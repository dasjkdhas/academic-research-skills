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6A8FE3-A8A4-4C00-840E-A7B9745894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対応関係" sheetId="1" r:id="rId1"/>
    <sheet name="R6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3" l="1"/>
  <c r="J61" i="3"/>
  <c r="I61" i="3"/>
  <c r="H61" i="3"/>
  <c r="G61" i="3"/>
  <c r="F61" i="3"/>
  <c r="E61" i="3"/>
  <c r="D61" i="3"/>
  <c r="C61" i="3"/>
  <c r="B61" i="3"/>
  <c r="M61" i="3" s="1"/>
  <c r="L59" i="3"/>
  <c r="J59" i="3"/>
  <c r="I59" i="3"/>
  <c r="H59" i="3"/>
  <c r="G59" i="3"/>
  <c r="F59" i="3"/>
  <c r="E59" i="3"/>
  <c r="D59" i="3"/>
  <c r="C59" i="3"/>
  <c r="B59" i="3"/>
  <c r="L57" i="3"/>
  <c r="J57" i="3"/>
  <c r="I57" i="3"/>
  <c r="H57" i="3"/>
  <c r="G57" i="3"/>
  <c r="F57" i="3"/>
  <c r="E57" i="3"/>
  <c r="D57" i="3"/>
  <c r="C57" i="3"/>
  <c r="B57" i="3"/>
  <c r="M57" i="3" s="1"/>
  <c r="L55" i="3"/>
  <c r="J55" i="3"/>
  <c r="I55" i="3"/>
  <c r="H55" i="3"/>
  <c r="G55" i="3"/>
  <c r="F55" i="3"/>
  <c r="E55" i="3"/>
  <c r="D55" i="3"/>
  <c r="C55" i="3"/>
  <c r="M55" i="3" s="1"/>
  <c r="B55" i="3"/>
  <c r="L53" i="3"/>
  <c r="J53" i="3"/>
  <c r="I53" i="3"/>
  <c r="H53" i="3"/>
  <c r="G53" i="3"/>
  <c r="F53" i="3"/>
  <c r="E53" i="3"/>
  <c r="D53" i="3"/>
  <c r="C53" i="3"/>
  <c r="B53" i="3"/>
  <c r="M53" i="3" s="1"/>
  <c r="J51" i="3"/>
  <c r="I51" i="3"/>
  <c r="H51" i="3"/>
  <c r="G51" i="3"/>
  <c r="F51" i="3"/>
  <c r="E51" i="3"/>
  <c r="D51" i="3"/>
  <c r="C51" i="3"/>
  <c r="B51" i="3"/>
  <c r="M51" i="3" s="1"/>
  <c r="L49" i="3"/>
  <c r="J49" i="3"/>
  <c r="I49" i="3"/>
  <c r="H49" i="3"/>
  <c r="G49" i="3"/>
  <c r="F49" i="3"/>
  <c r="E49" i="3"/>
  <c r="D49" i="3"/>
  <c r="C49" i="3"/>
  <c r="B49" i="3"/>
  <c r="L47" i="3"/>
  <c r="J47" i="3"/>
  <c r="I47" i="3"/>
  <c r="H47" i="3"/>
  <c r="G47" i="3"/>
  <c r="F47" i="3"/>
  <c r="E47" i="3"/>
  <c r="D47" i="3"/>
  <c r="C47" i="3"/>
  <c r="B47" i="3"/>
  <c r="M47" i="3" s="1"/>
  <c r="L45" i="3"/>
  <c r="J45" i="3"/>
  <c r="I45" i="3"/>
  <c r="H45" i="3"/>
  <c r="G45" i="3"/>
  <c r="F45" i="3"/>
  <c r="E45" i="3"/>
  <c r="D45" i="3"/>
  <c r="C45" i="3"/>
  <c r="B45" i="3"/>
  <c r="M45" i="3" s="1"/>
  <c r="L43" i="3"/>
  <c r="J43" i="3"/>
  <c r="I43" i="3"/>
  <c r="H43" i="3"/>
  <c r="G43" i="3"/>
  <c r="F43" i="3"/>
  <c r="E43" i="3"/>
  <c r="D43" i="3"/>
  <c r="C43" i="3"/>
  <c r="B43" i="3"/>
  <c r="L41" i="3"/>
  <c r="J41" i="3"/>
  <c r="I41" i="3"/>
  <c r="H41" i="3"/>
  <c r="G41" i="3"/>
  <c r="F41" i="3"/>
  <c r="E41" i="3"/>
  <c r="D41" i="3"/>
  <c r="C41" i="3"/>
  <c r="B41" i="3"/>
  <c r="M41" i="3" s="1"/>
  <c r="L39" i="3"/>
  <c r="L63" i="3" s="1"/>
  <c r="J39" i="3"/>
  <c r="I39" i="3"/>
  <c r="H39" i="3"/>
  <c r="G39" i="3"/>
  <c r="F39" i="3"/>
  <c r="E39" i="3"/>
  <c r="E63" i="3" s="1"/>
  <c r="D39" i="3"/>
  <c r="C39" i="3"/>
  <c r="B39" i="3"/>
  <c r="K28" i="3"/>
  <c r="J28" i="3"/>
  <c r="L28" i="3" s="1"/>
  <c r="H28" i="3"/>
  <c r="G28" i="3"/>
  <c r="F28" i="3"/>
  <c r="E28" i="3"/>
  <c r="D28" i="3"/>
  <c r="C28" i="3"/>
  <c r="B28" i="3"/>
  <c r="K26" i="3"/>
  <c r="J26" i="3"/>
  <c r="H26" i="3"/>
  <c r="G26" i="3"/>
  <c r="F26" i="3"/>
  <c r="E26" i="3"/>
  <c r="D26" i="3"/>
  <c r="C26" i="3"/>
  <c r="B26" i="3"/>
  <c r="K24" i="3"/>
  <c r="J24" i="3"/>
  <c r="L24" i="3" s="1"/>
  <c r="H24" i="3"/>
  <c r="G24" i="3"/>
  <c r="F24" i="3"/>
  <c r="E24" i="3"/>
  <c r="D24" i="3"/>
  <c r="C24" i="3"/>
  <c r="B24" i="3"/>
  <c r="K22" i="3"/>
  <c r="J22" i="3"/>
  <c r="H22" i="3"/>
  <c r="G22" i="3"/>
  <c r="F22" i="3"/>
  <c r="E22" i="3"/>
  <c r="D22" i="3"/>
  <c r="C22" i="3"/>
  <c r="B22" i="3"/>
  <c r="K20" i="3"/>
  <c r="J20" i="3"/>
  <c r="L20" i="3" s="1"/>
  <c r="H20" i="3"/>
  <c r="G20" i="3"/>
  <c r="F20" i="3"/>
  <c r="E20" i="3"/>
  <c r="D20" i="3"/>
  <c r="C20" i="3"/>
  <c r="B20" i="3"/>
  <c r="L18" i="3"/>
  <c r="K18" i="3"/>
  <c r="J18" i="3"/>
  <c r="H18" i="3"/>
  <c r="G18" i="3"/>
  <c r="F18" i="3"/>
  <c r="E18" i="3"/>
  <c r="D18" i="3"/>
  <c r="C18" i="3"/>
  <c r="B18" i="3"/>
  <c r="K16" i="3"/>
  <c r="J16" i="3"/>
  <c r="L16" i="3" s="1"/>
  <c r="H16" i="3"/>
  <c r="G16" i="3"/>
  <c r="F16" i="3"/>
  <c r="E16" i="3"/>
  <c r="D16" i="3"/>
  <c r="C16" i="3"/>
  <c r="B16" i="3"/>
  <c r="K14" i="3"/>
  <c r="J14" i="3"/>
  <c r="L14" i="3" s="1"/>
  <c r="H14" i="3"/>
  <c r="G14" i="3"/>
  <c r="F14" i="3"/>
  <c r="E14" i="3"/>
  <c r="D14" i="3"/>
  <c r="C14" i="3"/>
  <c r="B14" i="3"/>
  <c r="K12" i="3"/>
  <c r="J12" i="3"/>
  <c r="L12" i="3" s="1"/>
  <c r="E12" i="3"/>
  <c r="D12" i="3"/>
  <c r="C12" i="3"/>
  <c r="B12" i="3"/>
  <c r="K10" i="3"/>
  <c r="J10" i="3"/>
  <c r="L10" i="3" s="1"/>
  <c r="H10" i="3"/>
  <c r="G10" i="3"/>
  <c r="F10" i="3"/>
  <c r="E10" i="3"/>
  <c r="D10" i="3"/>
  <c r="C10" i="3"/>
  <c r="B10" i="3"/>
  <c r="K8" i="3"/>
  <c r="J8" i="3"/>
  <c r="L8" i="3" s="1"/>
  <c r="H8" i="3"/>
  <c r="G8" i="3"/>
  <c r="F8" i="3"/>
  <c r="E8" i="3"/>
  <c r="D8" i="3"/>
  <c r="C8" i="3"/>
  <c r="B8" i="3"/>
  <c r="K6" i="3"/>
  <c r="J6" i="3"/>
  <c r="L6" i="3" s="1"/>
  <c r="H6" i="3"/>
  <c r="G6" i="3"/>
  <c r="F6" i="3"/>
  <c r="E6" i="3"/>
  <c r="D6" i="3"/>
  <c r="C6" i="3"/>
  <c r="C30" i="3" s="1"/>
  <c r="B6" i="3"/>
  <c r="F30" i="3" l="1"/>
  <c r="B63" i="3"/>
  <c r="H63" i="3"/>
  <c r="G30" i="3"/>
  <c r="L22" i="3"/>
  <c r="L26" i="3"/>
  <c r="C63" i="3"/>
  <c r="I63" i="3"/>
  <c r="B30" i="3"/>
  <c r="H30" i="3"/>
  <c r="D63" i="3"/>
  <c r="J63" i="3"/>
  <c r="M43" i="3"/>
  <c r="M49" i="3"/>
  <c r="D30" i="3"/>
  <c r="K30" i="3"/>
  <c r="F63" i="3"/>
  <c r="E30" i="3"/>
  <c r="G63" i="3"/>
  <c r="M59" i="3"/>
  <c r="J30" i="3"/>
  <c r="M39" i="3"/>
</calcChain>
</file>

<file path=xl/sharedStrings.xml><?xml version="1.0" encoding="utf-8"?>
<sst xmlns="http://schemas.openxmlformats.org/spreadsheetml/2006/main" count="121" uniqueCount="76">
  <si>
    <t>ガスメーター設置場所ーガスメーター検針票　対応関係</t>
    <rPh sb="6" eb="10">
      <t>セッチバショ</t>
    </rPh>
    <rPh sb="17" eb="20">
      <t>ケンシンヒョウ</t>
    </rPh>
    <rPh sb="21" eb="25">
      <t>タイオウカンケイ</t>
    </rPh>
    <phoneticPr fontId="1"/>
  </si>
  <si>
    <t>マップ１</t>
    <phoneticPr fontId="1"/>
  </si>
  <si>
    <t>マップ２</t>
    <phoneticPr fontId="1"/>
  </si>
  <si>
    <t>ガスメーター検針票（予想）</t>
    <rPh sb="6" eb="9">
      <t>ケンシンヒョウ</t>
    </rPh>
    <rPh sb="10" eb="12">
      <t>ヨソウ</t>
    </rPh>
    <phoneticPr fontId="1"/>
  </si>
  <si>
    <t>図書館</t>
    <rPh sb="0" eb="3">
      <t>トショカン</t>
    </rPh>
    <phoneticPr fontId="1"/>
  </si>
  <si>
    <t>親メーター（口径100）</t>
    <rPh sb="0" eb="1">
      <t>オヤ</t>
    </rPh>
    <rPh sb="6" eb="8">
      <t>コウケイ</t>
    </rPh>
    <phoneticPr fontId="1"/>
  </si>
  <si>
    <t>エアコン用元（口径150）</t>
    <rPh sb="4" eb="5">
      <t>ヨウ</t>
    </rPh>
    <rPh sb="5" eb="6">
      <t>モト</t>
    </rPh>
    <rPh sb="7" eb="9">
      <t>コウケイ</t>
    </rPh>
    <phoneticPr fontId="1"/>
  </si>
  <si>
    <t>売店GHP</t>
    <rPh sb="0" eb="2">
      <t>バイテン</t>
    </rPh>
    <phoneticPr fontId="1"/>
  </si>
  <si>
    <t>喫茶・厨房</t>
    <rPh sb="0" eb="2">
      <t>キッサ</t>
    </rPh>
    <rPh sb="3" eb="5">
      <t>チュウボウ</t>
    </rPh>
    <phoneticPr fontId="1"/>
  </si>
  <si>
    <t>食堂・厨房</t>
    <rPh sb="0" eb="2">
      <t>ショクドウ</t>
    </rPh>
    <rPh sb="3" eb="5">
      <t>チュウボウ</t>
    </rPh>
    <phoneticPr fontId="1"/>
  </si>
  <si>
    <t>寮　管理部</t>
    <rPh sb="0" eb="1">
      <t>リョウ</t>
    </rPh>
    <rPh sb="2" eb="5">
      <t>カンリブ</t>
    </rPh>
    <phoneticPr fontId="1"/>
  </si>
  <si>
    <t>寮　学生</t>
    <rPh sb="0" eb="1">
      <t>リョウ</t>
    </rPh>
    <rPh sb="2" eb="4">
      <t>ガクセイ</t>
    </rPh>
    <phoneticPr fontId="1"/>
  </si>
  <si>
    <t>寮　シャワー</t>
    <rPh sb="0" eb="1">
      <t>リョウ</t>
    </rPh>
    <phoneticPr fontId="1"/>
  </si>
  <si>
    <t>メディア基盤</t>
    <rPh sb="4" eb="6">
      <t>キバン</t>
    </rPh>
    <phoneticPr fontId="1"/>
  </si>
  <si>
    <t>東側門（口径100）</t>
    <rPh sb="0" eb="3">
      <t>ヒガシガワモン</t>
    </rPh>
    <rPh sb="4" eb="6">
      <t>コウケイ</t>
    </rPh>
    <phoneticPr fontId="1"/>
  </si>
  <si>
    <t>東側門（口径150）</t>
    <rPh sb="0" eb="3">
      <t>ヒガシガワモン</t>
    </rPh>
    <rPh sb="4" eb="6">
      <t>コウケイ</t>
    </rPh>
    <phoneticPr fontId="1"/>
  </si>
  <si>
    <t>電気電子棟</t>
    <rPh sb="0" eb="5">
      <t>デンキデンシトウ</t>
    </rPh>
    <phoneticPr fontId="1"/>
  </si>
  <si>
    <t>共同研究棟（1Fトイレ隣PS）</t>
    <rPh sb="0" eb="5">
      <t>キョウドウケンキュウトウ</t>
    </rPh>
    <rPh sb="11" eb="12">
      <t>トナリ</t>
    </rPh>
    <phoneticPr fontId="1"/>
  </si>
  <si>
    <t>共同研究棟（２Fトイレ隣PS）</t>
    <rPh sb="0" eb="5">
      <t>キョウドウケンキュウトウ</t>
    </rPh>
    <rPh sb="11" eb="12">
      <t>トナリ</t>
    </rPh>
    <phoneticPr fontId="1"/>
  </si>
  <si>
    <t>共同研究棟（1FPS）</t>
    <rPh sb="0" eb="5">
      <t>キョウドウケンキュウトウ</t>
    </rPh>
    <phoneticPr fontId="1"/>
  </si>
  <si>
    <t>共同研究棟（2FPS）</t>
    <rPh sb="0" eb="5">
      <t>キョウドウケンキュウトウ</t>
    </rPh>
    <phoneticPr fontId="1"/>
  </si>
  <si>
    <t>先端研究棟</t>
    <rPh sb="0" eb="5">
      <t>センタンケンキュウトウ</t>
    </rPh>
    <phoneticPr fontId="1"/>
  </si>
  <si>
    <t>？不明</t>
    <rPh sb="1" eb="3">
      <t>フメイ</t>
    </rPh>
    <phoneticPr fontId="1"/>
  </si>
  <si>
    <t>共同GHP</t>
    <rPh sb="0" eb="2">
      <t>キョウドウ</t>
    </rPh>
    <phoneticPr fontId="1"/>
  </si>
  <si>
    <t>国流湯沸室</t>
    <rPh sb="0" eb="1">
      <t>クニ</t>
    </rPh>
    <rPh sb="1" eb="2">
      <t>ナガ</t>
    </rPh>
    <rPh sb="2" eb="4">
      <t>ユワカシ</t>
    </rPh>
    <rPh sb="4" eb="5">
      <t>シツ</t>
    </rPh>
    <phoneticPr fontId="1"/>
  </si>
  <si>
    <t>R6年度ガスメーター検針票</t>
  </si>
  <si>
    <t>　※メーターは全て小数点以下切捨</t>
  </si>
  <si>
    <t>事務室　西側</t>
  </si>
  <si>
    <t>A棟　東側</t>
  </si>
  <si>
    <t>検針日</t>
  </si>
  <si>
    <t>共同GHP</t>
  </si>
  <si>
    <t>売店GHP</t>
  </si>
  <si>
    <t>喫茶・厨房</t>
  </si>
  <si>
    <t>食堂・厨房</t>
  </si>
  <si>
    <t>寮　管理部</t>
  </si>
  <si>
    <t>寮　学生</t>
  </si>
  <si>
    <t>寮　シャワー</t>
  </si>
  <si>
    <t>メディア基盤</t>
  </si>
  <si>
    <t>共同研究棟(1Fトイレ隣PS)</t>
  </si>
  <si>
    <t>共同研究棟(1FPS)</t>
  </si>
  <si>
    <t>共同研究棟1階</t>
  </si>
  <si>
    <t>使用量</t>
  </si>
  <si>
    <t>使用量計</t>
  </si>
  <si>
    <t>生協負担</t>
  </si>
  <si>
    <t>寮生負担</t>
  </si>
  <si>
    <t>※盆暮れ、春及び夏期は休業・短縮営業のため極端に使用量が減少する。</t>
  </si>
  <si>
    <t>20日頃請求</t>
  </si>
  <si>
    <t>検針は1日でOK</t>
  </si>
  <si>
    <t>１Fエレベーター隣PS</t>
  </si>
  <si>
    <t>入って右突き当たり</t>
  </si>
  <si>
    <t>共同研究棟(2Fトイレ隣PS)</t>
  </si>
  <si>
    <t>共同研究棟(2FPS)</t>
  </si>
  <si>
    <t>先端研究棟</t>
  </si>
  <si>
    <t>電気電子棟</t>
  </si>
  <si>
    <t>図書館</t>
  </si>
  <si>
    <t>東側門(口径150)</t>
  </si>
  <si>
    <t>東側門(口径100)</t>
  </si>
  <si>
    <t>親メーター(口径100)</t>
  </si>
  <si>
    <t>エアコン用元(口径150)</t>
  </si>
  <si>
    <t>国流湯沸室</t>
  </si>
  <si>
    <t>共同研究棟2階</t>
  </si>
  <si>
    <t>10/10メーター取替</t>
  </si>
  <si>
    <t>取替時指針465.048</t>
  </si>
  <si>
    <t>取替時指針301,303</t>
  </si>
  <si>
    <t>取替時指針218,486</t>
  </si>
  <si>
    <t>取替指針1,313</t>
  </si>
  <si>
    <t>取替指針1,207</t>
  </si>
  <si>
    <t>取替指針592</t>
  </si>
  <si>
    <t>4-１ マップ１の★４に４台メーター、１F～３Fの共用部空調用と思われる。</t>
    <phoneticPr fontId="1"/>
  </si>
  <si>
    <t>６　寮管理部　マップ１★６　開栓２４５㎥</t>
    <rPh sb="2" eb="6">
      <t>リョウカンリブ</t>
    </rPh>
    <rPh sb="14" eb="15">
      <t>ヒラ</t>
    </rPh>
    <rPh sb="15" eb="16">
      <t>セン</t>
    </rPh>
    <phoneticPr fontId="1"/>
  </si>
  <si>
    <t>7　　寮学生　　マップ１★７　閉栓211974㎥</t>
    <rPh sb="3" eb="6">
      <t>リョウガクセイ</t>
    </rPh>
    <rPh sb="15" eb="17">
      <t>ヘイセン</t>
    </rPh>
    <phoneticPr fontId="1"/>
  </si>
  <si>
    <t>８　寮シャワー　マップ１★８　閉栓と思われる（鍵）170314㎥</t>
    <rPh sb="2" eb="3">
      <t>リョウ</t>
    </rPh>
    <rPh sb="15" eb="17">
      <t>ヘイセン</t>
    </rPh>
    <rPh sb="18" eb="19">
      <t>オモ</t>
    </rPh>
    <rPh sb="23" eb="24">
      <t>カギ</t>
    </rPh>
    <phoneticPr fontId="1"/>
  </si>
  <si>
    <t>国流湯沸室　マップ１電気☆１４の建物１F南側PS　４３㎥から動いていない</t>
    <rPh sb="0" eb="2">
      <t>コクリュウ</t>
    </rPh>
    <rPh sb="2" eb="4">
      <t>ユワ</t>
    </rPh>
    <rPh sb="4" eb="5">
      <t>シツ</t>
    </rPh>
    <rPh sb="10" eb="12">
      <t>デンキ</t>
    </rPh>
    <rPh sb="16" eb="18">
      <t>タテモノ</t>
    </rPh>
    <rPh sb="20" eb="21">
      <t>ミナミ</t>
    </rPh>
    <rPh sb="21" eb="22">
      <t>ガワ</t>
    </rPh>
    <rPh sb="30" eb="31">
      <t>ウゴ</t>
    </rPh>
    <phoneticPr fontId="1"/>
  </si>
  <si>
    <t>検針無</t>
    <rPh sb="0" eb="2">
      <t>ケンシン</t>
    </rPh>
    <rPh sb="2" eb="3">
      <t>ナシ</t>
    </rPh>
    <phoneticPr fontId="1"/>
  </si>
  <si>
    <t>マップ２の①プレハブ実験棟　閉栓１５２㎥　　検針簿無</t>
    <rPh sb="10" eb="13">
      <t>ジッケントウ</t>
    </rPh>
    <rPh sb="14" eb="16">
      <t>ヘイセン</t>
    </rPh>
    <rPh sb="22" eb="26">
      <t>ケンシンボナシ</t>
    </rPh>
    <phoneticPr fontId="1"/>
  </si>
  <si>
    <t>マップ２の②西研究棟　開栓118㎥　　検針簿無</t>
    <rPh sb="6" eb="9">
      <t>ニシケンキュウ</t>
    </rPh>
    <rPh sb="11" eb="12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</si>
</sst>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1"/>
      <color rgb="FFFF0000"/>
      <name val="Yu Gothic"/>
      <family val="3"/>
      <charset val="128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7030A0"/>
      <name val="Yu Gothic"/>
      <family val="2"/>
      <scheme val="minor"/>
    </font>
    <font>
      <sz val="11"/>
      <color rgb="FF7030A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0" fontId="0" fillId="2" borderId="0" xfId="0" applyFill="1" applyBorder="1"/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56" fontId="4" fillId="0" borderId="4" xfId="1" applyNumberFormat="1" applyFont="1" applyBorder="1" applyAlignment="1">
      <alignment horizontal="left" vertical="center"/>
    </xf>
    <xf numFmtId="176" fontId="4" fillId="0" borderId="4" xfId="1" applyNumberFormat="1" applyFont="1" applyBorder="1" applyAlignment="1">
      <alignment vertical="center"/>
    </xf>
    <xf numFmtId="0" fontId="4" fillId="0" borderId="4" xfId="1" applyFont="1" applyBorder="1" applyAlignment="1">
      <alignment horizontal="right" vertical="center"/>
    </xf>
    <xf numFmtId="176" fontId="4" fillId="0" borderId="6" xfId="1" applyNumberFormat="1" applyFont="1" applyBorder="1" applyAlignment="1">
      <alignment vertical="center"/>
    </xf>
    <xf numFmtId="176" fontId="4" fillId="0" borderId="7" xfId="1" applyNumberFormat="1" applyFont="1" applyBorder="1" applyAlignment="1">
      <alignment vertical="center"/>
    </xf>
    <xf numFmtId="176" fontId="4" fillId="0" borderId="0" xfId="1" applyNumberFormat="1" applyFont="1" applyAlignment="1">
      <alignment vertical="center"/>
    </xf>
    <xf numFmtId="56" fontId="4" fillId="0" borderId="4" xfId="1" applyNumberFormat="1" applyFont="1" applyBorder="1" applyAlignment="1">
      <alignment horizontal="right" vertical="center"/>
    </xf>
    <xf numFmtId="0" fontId="4" fillId="0" borderId="8" xfId="1" applyFont="1" applyBorder="1" applyAlignment="1">
      <alignment horizontal="right" vertical="center"/>
    </xf>
    <xf numFmtId="176" fontId="4" fillId="0" borderId="8" xfId="1" applyNumberFormat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 shrinkToFit="1"/>
    </xf>
    <xf numFmtId="0" fontId="7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176" fontId="4" fillId="0" borderId="14" xfId="1" applyNumberFormat="1" applyFont="1" applyBorder="1" applyAlignment="1">
      <alignment vertical="center"/>
    </xf>
    <xf numFmtId="0" fontId="5" fillId="0" borderId="15" xfId="1" applyFont="1" applyBorder="1" applyAlignment="1">
      <alignment vertical="center" shrinkToFit="1"/>
    </xf>
    <xf numFmtId="0" fontId="5" fillId="0" borderId="16" xfId="1" applyFont="1" applyBorder="1" applyAlignment="1">
      <alignment vertical="center" shrinkToFit="1"/>
    </xf>
    <xf numFmtId="0" fontId="5" fillId="0" borderId="17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標準" xfId="0" builtinId="0"/>
    <cellStyle name="標準 2" xfId="1" xr:uid="{25FC5DE2-D544-4972-BAE5-E5AFD64629C8}"/>
  </cellStyles>
  <dxfs count="16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2" workbookViewId="0">
      <selection activeCell="H21" sqref="H21"/>
    </sheetView>
  </sheetViews>
  <sheetFormatPr defaultRowHeight="18.75"/>
  <sheetData>
    <row r="1" spans="1:6" ht="19.5" thickBot="1">
      <c r="A1" s="37" t="s">
        <v>0</v>
      </c>
      <c r="B1" s="38"/>
      <c r="C1" s="38"/>
      <c r="D1" s="38"/>
      <c r="E1" s="38"/>
      <c r="F1" s="39"/>
    </row>
    <row r="2" spans="1:6">
      <c r="A2" s="1" t="s">
        <v>1</v>
      </c>
      <c r="B2" s="3" t="s">
        <v>2</v>
      </c>
      <c r="C2" s="1" t="s">
        <v>3</v>
      </c>
      <c r="D2" s="1"/>
      <c r="E2" s="1"/>
    </row>
    <row r="3" spans="1:6">
      <c r="A3" s="2">
        <v>1</v>
      </c>
      <c r="B3" s="4">
        <v>1</v>
      </c>
      <c r="C3" t="s">
        <v>4</v>
      </c>
    </row>
    <row r="4" spans="1:6">
      <c r="A4" s="2">
        <v>2</v>
      </c>
      <c r="B4" s="4">
        <v>2</v>
      </c>
      <c r="C4" t="s">
        <v>5</v>
      </c>
    </row>
    <row r="5" spans="1:6">
      <c r="A5" s="2">
        <v>3</v>
      </c>
      <c r="B5" s="4">
        <v>3</v>
      </c>
      <c r="C5" t="s">
        <v>6</v>
      </c>
    </row>
    <row r="6" spans="1:6">
      <c r="A6" s="2">
        <v>4</v>
      </c>
      <c r="B6" s="4"/>
      <c r="C6" t="s">
        <v>7</v>
      </c>
    </row>
    <row r="7" spans="1:6">
      <c r="A7" s="2">
        <v>4</v>
      </c>
      <c r="B7" s="4"/>
      <c r="C7" t="s">
        <v>8</v>
      </c>
    </row>
    <row r="8" spans="1:6">
      <c r="A8" s="2">
        <v>4</v>
      </c>
      <c r="B8" s="4"/>
      <c r="C8" t="s">
        <v>9</v>
      </c>
    </row>
    <row r="9" spans="1:6">
      <c r="A9" s="2">
        <v>5</v>
      </c>
      <c r="B9" s="4"/>
      <c r="C9" t="s">
        <v>13</v>
      </c>
    </row>
    <row r="10" spans="1:6">
      <c r="A10" s="2">
        <v>6</v>
      </c>
      <c r="B10" s="4"/>
      <c r="C10" t="s">
        <v>10</v>
      </c>
    </row>
    <row r="11" spans="1:6">
      <c r="A11" s="2">
        <v>7</v>
      </c>
      <c r="B11" s="4"/>
      <c r="C11" t="s">
        <v>11</v>
      </c>
    </row>
    <row r="12" spans="1:6">
      <c r="A12" s="2">
        <v>8</v>
      </c>
      <c r="B12" s="4"/>
      <c r="C12" t="s">
        <v>12</v>
      </c>
    </row>
    <row r="13" spans="1:6">
      <c r="A13" s="2">
        <v>9</v>
      </c>
      <c r="B13" s="4">
        <v>9</v>
      </c>
      <c r="C13" t="s">
        <v>14</v>
      </c>
    </row>
    <row r="14" spans="1:6">
      <c r="A14" s="2">
        <v>10</v>
      </c>
      <c r="B14" s="4">
        <v>10</v>
      </c>
      <c r="C14" t="s">
        <v>15</v>
      </c>
    </row>
    <row r="15" spans="1:6">
      <c r="A15" s="2">
        <v>11</v>
      </c>
      <c r="B15" s="4"/>
      <c r="C15" t="s">
        <v>16</v>
      </c>
    </row>
    <row r="16" spans="1:6">
      <c r="A16" s="2">
        <v>12</v>
      </c>
      <c r="B16" s="4"/>
      <c r="C16" t="s">
        <v>17</v>
      </c>
    </row>
    <row r="17" spans="1:8">
      <c r="A17" s="2">
        <v>12</v>
      </c>
      <c r="B17" s="4"/>
      <c r="C17" t="s">
        <v>19</v>
      </c>
    </row>
    <row r="18" spans="1:8">
      <c r="A18" s="2">
        <v>12</v>
      </c>
      <c r="B18" s="4"/>
      <c r="C18" t="s">
        <v>18</v>
      </c>
    </row>
    <row r="19" spans="1:8">
      <c r="A19" s="2">
        <v>12</v>
      </c>
      <c r="B19" s="4"/>
      <c r="C19" t="s">
        <v>20</v>
      </c>
    </row>
    <row r="20" spans="1:8">
      <c r="A20" s="2">
        <v>13</v>
      </c>
      <c r="B20" s="4"/>
      <c r="C20" t="s">
        <v>21</v>
      </c>
    </row>
    <row r="21" spans="1:8">
      <c r="A21" s="6" t="s">
        <v>22</v>
      </c>
      <c r="B21" s="4"/>
      <c r="C21" s="5" t="s">
        <v>23</v>
      </c>
      <c r="H21" s="43"/>
    </row>
    <row r="22" spans="1:8">
      <c r="A22" s="5" t="s">
        <v>22</v>
      </c>
      <c r="B22" s="4"/>
      <c r="C22" s="5" t="s">
        <v>24</v>
      </c>
    </row>
    <row r="24" spans="1:8">
      <c r="A24" s="44" t="s">
        <v>69</v>
      </c>
      <c r="B24" s="44"/>
      <c r="C24" s="44"/>
      <c r="D24" s="44"/>
      <c r="E24" s="44"/>
      <c r="F24" s="44"/>
      <c r="G24" s="44"/>
      <c r="H24" t="s">
        <v>73</v>
      </c>
    </row>
    <row r="25" spans="1:8">
      <c r="A25" s="44" t="s">
        <v>70</v>
      </c>
      <c r="B25" s="44"/>
      <c r="C25" s="44"/>
      <c r="D25" s="44"/>
      <c r="E25" s="44"/>
      <c r="F25" s="44"/>
      <c r="G25" s="44"/>
      <c r="H25" t="s">
        <v>73</v>
      </c>
    </row>
    <row r="26" spans="1:8">
      <c r="A26" s="44" t="s">
        <v>71</v>
      </c>
      <c r="B26" s="44"/>
      <c r="C26" s="44"/>
      <c r="D26" s="44"/>
      <c r="E26" s="44"/>
      <c r="F26" s="44"/>
      <c r="G26" s="44"/>
      <c r="H26" t="s">
        <v>73</v>
      </c>
    </row>
    <row r="28" spans="1:8">
      <c r="A28" s="43" t="s">
        <v>68</v>
      </c>
    </row>
    <row r="29" spans="1:8">
      <c r="A29" s="43" t="s">
        <v>72</v>
      </c>
    </row>
    <row r="32" spans="1:8">
      <c r="A32" s="45" t="s">
        <v>74</v>
      </c>
      <c r="B32" s="46"/>
      <c r="C32" s="46"/>
      <c r="D32" s="46"/>
      <c r="E32" s="46"/>
      <c r="F32" s="46"/>
    </row>
    <row r="33" spans="1:6">
      <c r="A33" s="46" t="s">
        <v>75</v>
      </c>
      <c r="B33" s="46"/>
      <c r="C33" s="46"/>
      <c r="D33" s="46"/>
      <c r="E33" s="46"/>
      <c r="F33" s="46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2A42-5874-48D8-87CE-6F4E5DCDBFF3}">
  <sheetPr>
    <tabColor rgb="FFFFFF00"/>
  </sheetPr>
  <dimension ref="A1:N1000"/>
  <sheetViews>
    <sheetView topLeftCell="A16" workbookViewId="0"/>
  </sheetViews>
  <sheetFormatPr defaultColWidth="12.625" defaultRowHeight="15" customHeight="1"/>
  <cols>
    <col min="1" max="12" width="11.875" style="8" customWidth="1"/>
    <col min="13" max="26" width="7.625" style="8" customWidth="1"/>
    <col min="27" max="16384" width="12.625" style="8"/>
  </cols>
  <sheetData>
    <row r="1" spans="1:14" ht="18.75" customHeight="1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8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8.75" customHeight="1">
      <c r="A3" s="9" t="s">
        <v>26</v>
      </c>
      <c r="B3" s="7"/>
      <c r="C3" s="7"/>
      <c r="D3" s="7"/>
      <c r="E3" s="7"/>
      <c r="F3" s="10" t="s">
        <v>27</v>
      </c>
      <c r="G3" s="10" t="s">
        <v>28</v>
      </c>
      <c r="H3" s="7"/>
      <c r="I3" s="7"/>
      <c r="J3" s="7"/>
      <c r="K3" s="7"/>
      <c r="L3" s="7"/>
      <c r="M3" s="7"/>
      <c r="N3" s="7"/>
    </row>
    <row r="4" spans="1:14" ht="18.75" customHeight="1" thickBot="1">
      <c r="A4" s="11" t="s">
        <v>29</v>
      </c>
      <c r="B4" s="11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3" t="s">
        <v>38</v>
      </c>
      <c r="K4" s="14" t="s">
        <v>39</v>
      </c>
      <c r="L4" s="15" t="s">
        <v>40</v>
      </c>
      <c r="M4" s="7"/>
      <c r="N4" s="7"/>
    </row>
    <row r="5" spans="1:14" ht="18.75" customHeight="1" thickBot="1">
      <c r="A5" s="16">
        <v>45383</v>
      </c>
      <c r="B5" s="17">
        <v>510289</v>
      </c>
      <c r="C5" s="17">
        <v>6897</v>
      </c>
      <c r="D5" s="17">
        <v>1504</v>
      </c>
      <c r="E5" s="17">
        <v>588683</v>
      </c>
      <c r="F5" s="17"/>
      <c r="G5" s="17"/>
      <c r="H5" s="17"/>
      <c r="I5" s="17"/>
      <c r="J5" s="17">
        <v>1552</v>
      </c>
      <c r="K5" s="17">
        <v>424</v>
      </c>
      <c r="L5" s="7"/>
      <c r="M5" s="7"/>
      <c r="N5" s="7"/>
    </row>
    <row r="6" spans="1:14" ht="18.75" customHeight="1" thickBot="1">
      <c r="A6" s="18" t="s">
        <v>41</v>
      </c>
      <c r="B6" s="17">
        <f t="shared" ref="B6:H6" si="0">IF(B7="",0,IF(B7-B5&gt;=0,B7-B5,(1000000-B5+B7)))</f>
        <v>66</v>
      </c>
      <c r="C6" s="17">
        <f t="shared" si="0"/>
        <v>0</v>
      </c>
      <c r="D6" s="17">
        <f t="shared" si="0"/>
        <v>0</v>
      </c>
      <c r="E6" s="17">
        <f t="shared" si="0"/>
        <v>1537</v>
      </c>
      <c r="F6" s="17">
        <f t="shared" si="0"/>
        <v>0</v>
      </c>
      <c r="G6" s="17">
        <f t="shared" si="0"/>
        <v>0</v>
      </c>
      <c r="H6" s="17">
        <f t="shared" si="0"/>
        <v>0</v>
      </c>
      <c r="I6" s="17"/>
      <c r="J6" s="17">
        <f t="shared" ref="J6:K6" si="1">IF(J7="",0,IF(J7-J5&gt;=0,J7-J5,(1000000-J5+J7)))</f>
        <v>3</v>
      </c>
      <c r="K6" s="19">
        <f t="shared" si="1"/>
        <v>0</v>
      </c>
      <c r="L6" s="20">
        <f>J6+K6</f>
        <v>3</v>
      </c>
      <c r="M6" s="7"/>
      <c r="N6" s="7"/>
    </row>
    <row r="7" spans="1:14" ht="18.75" customHeight="1" thickBot="1">
      <c r="A7" s="16">
        <v>43953</v>
      </c>
      <c r="B7" s="17">
        <v>510355</v>
      </c>
      <c r="C7" s="17">
        <v>6897</v>
      </c>
      <c r="D7" s="17">
        <v>1504</v>
      </c>
      <c r="E7" s="17">
        <v>590220</v>
      </c>
      <c r="F7" s="17"/>
      <c r="G7" s="17"/>
      <c r="H7" s="17"/>
      <c r="I7" s="17"/>
      <c r="J7" s="17">
        <v>1555</v>
      </c>
      <c r="K7" s="17">
        <v>424</v>
      </c>
      <c r="L7" s="21"/>
      <c r="M7" s="7"/>
      <c r="N7" s="7"/>
    </row>
    <row r="8" spans="1:14" ht="18.75" customHeight="1" thickBot="1">
      <c r="A8" s="18" t="s">
        <v>41</v>
      </c>
      <c r="B8" s="17">
        <f>IF(B9="",0,IF(B9-B7&gt;=0,B9-B7,(1000000-B7+B9)))</f>
        <v>683</v>
      </c>
      <c r="C8" s="17">
        <f t="shared" ref="C8:H8" si="2">IF(C9="",0,IF(C9-C7&gt;=0,C9-C7,(10000-C7+C9)))</f>
        <v>0</v>
      </c>
      <c r="D8" s="17">
        <f t="shared" si="2"/>
        <v>0</v>
      </c>
      <c r="E8" s="17">
        <f t="shared" si="2"/>
        <v>1808</v>
      </c>
      <c r="F8" s="17">
        <f t="shared" si="2"/>
        <v>0</v>
      </c>
      <c r="G8" s="17">
        <f t="shared" si="2"/>
        <v>0</v>
      </c>
      <c r="H8" s="17">
        <f t="shared" si="2"/>
        <v>0</v>
      </c>
      <c r="I8" s="17"/>
      <c r="J8" s="17">
        <f t="shared" ref="J8:K8" si="3">IF(J9="",0,IF(J9-J7&gt;=0,J9-J7,(10000-J7+J9)))</f>
        <v>2</v>
      </c>
      <c r="K8" s="19">
        <f t="shared" si="3"/>
        <v>0</v>
      </c>
      <c r="L8" s="20">
        <f>J8+K8</f>
        <v>2</v>
      </c>
      <c r="M8" s="7"/>
      <c r="N8" s="7"/>
    </row>
    <row r="9" spans="1:14" ht="18.75" customHeight="1" thickBot="1">
      <c r="A9" s="16">
        <v>43983</v>
      </c>
      <c r="B9" s="17">
        <v>511038</v>
      </c>
      <c r="C9" s="17">
        <v>6897</v>
      </c>
      <c r="D9" s="17">
        <v>1504</v>
      </c>
      <c r="E9" s="17">
        <v>592028</v>
      </c>
      <c r="F9" s="17"/>
      <c r="G9" s="17"/>
      <c r="H9" s="17"/>
      <c r="I9" s="17"/>
      <c r="J9" s="17">
        <v>1557</v>
      </c>
      <c r="K9" s="17">
        <v>424</v>
      </c>
      <c r="L9" s="21"/>
      <c r="M9" s="7"/>
      <c r="N9" s="7"/>
    </row>
    <row r="10" spans="1:14" ht="18.75" customHeight="1" thickBot="1">
      <c r="A10" s="18" t="s">
        <v>41</v>
      </c>
      <c r="B10" s="17">
        <f>IF(B11="",0,IF(B11-B9&gt;=0,B11-B9,(1000000-B9+B11)))</f>
        <v>2007</v>
      </c>
      <c r="C10" s="17">
        <f t="shared" ref="C10:H10" si="4">IF(C11="",0,IF(C11-C9&gt;=0,C11-C9,(10000-C9+C11)))</f>
        <v>34</v>
      </c>
      <c r="D10" s="17">
        <f t="shared" si="4"/>
        <v>0</v>
      </c>
      <c r="E10" s="17">
        <f t="shared" si="4"/>
        <v>1941</v>
      </c>
      <c r="F10" s="17">
        <f t="shared" si="4"/>
        <v>0</v>
      </c>
      <c r="G10" s="17">
        <f t="shared" si="4"/>
        <v>0</v>
      </c>
      <c r="H10" s="17">
        <f t="shared" si="4"/>
        <v>0</v>
      </c>
      <c r="I10" s="17"/>
      <c r="J10" s="17">
        <f t="shared" ref="J10:K10" si="5">IF(J11="",0,IF(J11-J9&gt;=0,J11-J9,(10000-J9+J11)))</f>
        <v>2</v>
      </c>
      <c r="K10" s="19">
        <f t="shared" si="5"/>
        <v>0</v>
      </c>
      <c r="L10" s="20">
        <f>J10+K10</f>
        <v>2</v>
      </c>
      <c r="M10" s="7"/>
      <c r="N10" s="7"/>
    </row>
    <row r="11" spans="1:14" ht="18.75" customHeight="1" thickBot="1">
      <c r="A11" s="16">
        <v>44015</v>
      </c>
      <c r="B11" s="17">
        <v>513045</v>
      </c>
      <c r="C11" s="17">
        <v>6931</v>
      </c>
      <c r="D11" s="17">
        <v>1504</v>
      </c>
      <c r="E11" s="17">
        <v>593969</v>
      </c>
      <c r="F11" s="17"/>
      <c r="G11" s="17"/>
      <c r="H11" s="17"/>
      <c r="I11" s="17"/>
      <c r="J11" s="17">
        <v>1559</v>
      </c>
      <c r="K11" s="17">
        <v>424</v>
      </c>
      <c r="L11" s="21"/>
      <c r="M11" s="7"/>
      <c r="N11" s="7"/>
    </row>
    <row r="12" spans="1:14" ht="18.75" customHeight="1" thickBot="1">
      <c r="A12" s="18" t="s">
        <v>41</v>
      </c>
      <c r="B12" s="17">
        <f>IF(B13="",0,IF(B13-B11&gt;=0,B13-B11,(1000000-B11+B13)))</f>
        <v>4013</v>
      </c>
      <c r="C12" s="17">
        <f t="shared" ref="C12:E12" si="6">IF(C13="",0,IF(C13-C11&gt;=0,C13-C11,(10000-C11+C13)))</f>
        <v>277</v>
      </c>
      <c r="D12" s="17">
        <f t="shared" si="6"/>
        <v>0</v>
      </c>
      <c r="E12" s="17">
        <f t="shared" si="6"/>
        <v>1949</v>
      </c>
      <c r="F12" s="17"/>
      <c r="G12" s="17"/>
      <c r="H12" s="17"/>
      <c r="I12" s="17"/>
      <c r="J12" s="17">
        <f t="shared" ref="J12:K12" si="7">IF(J13="",0,IF(J13-J11&gt;=0,J13-J11,(10000-J11+J13)))</f>
        <v>1</v>
      </c>
      <c r="K12" s="19">
        <f t="shared" si="7"/>
        <v>0</v>
      </c>
      <c r="L12" s="20">
        <f>J12+K12</f>
        <v>1</v>
      </c>
      <c r="M12" s="7"/>
      <c r="N12" s="7"/>
    </row>
    <row r="13" spans="1:14" ht="18.75" customHeight="1" thickBot="1">
      <c r="A13" s="16">
        <v>44044</v>
      </c>
      <c r="B13" s="17">
        <v>517058</v>
      </c>
      <c r="C13" s="17">
        <v>7208</v>
      </c>
      <c r="D13" s="17">
        <v>1504</v>
      </c>
      <c r="E13" s="17">
        <v>595918</v>
      </c>
      <c r="F13" s="17"/>
      <c r="G13" s="17"/>
      <c r="H13" s="17"/>
      <c r="I13" s="17"/>
      <c r="J13" s="17">
        <v>1560</v>
      </c>
      <c r="K13" s="17">
        <v>424</v>
      </c>
      <c r="L13" s="21"/>
      <c r="M13" s="7"/>
      <c r="N13" s="7"/>
    </row>
    <row r="14" spans="1:14" ht="18.75" customHeight="1" thickBot="1">
      <c r="A14" s="18" t="s">
        <v>41</v>
      </c>
      <c r="B14" s="17">
        <f t="shared" ref="B14:H14" si="8">IF(B15="",0,IF(B15-B13&gt;=0,B15-B13,(1000000-B13+B15)))</f>
        <v>2294</v>
      </c>
      <c r="C14" s="17">
        <f t="shared" si="8"/>
        <v>430</v>
      </c>
      <c r="D14" s="17">
        <f t="shared" si="8"/>
        <v>0</v>
      </c>
      <c r="E14" s="17">
        <f t="shared" si="8"/>
        <v>680</v>
      </c>
      <c r="F14" s="17">
        <f t="shared" si="8"/>
        <v>0</v>
      </c>
      <c r="G14" s="17">
        <f t="shared" si="8"/>
        <v>0</v>
      </c>
      <c r="H14" s="17">
        <f t="shared" si="8"/>
        <v>0</v>
      </c>
      <c r="I14" s="17"/>
      <c r="J14" s="17">
        <f t="shared" ref="J14:K14" si="9">IF(J15="",0,IF(J15-J13&gt;=0,J15-J13,(1000000-J13+J15)))</f>
        <v>1</v>
      </c>
      <c r="K14" s="19">
        <f t="shared" si="9"/>
        <v>0</v>
      </c>
      <c r="L14" s="20">
        <f>J14+K14</f>
        <v>1</v>
      </c>
      <c r="M14" s="7"/>
      <c r="N14" s="7"/>
    </row>
    <row r="15" spans="1:14" ht="18.75" customHeight="1" thickBot="1">
      <c r="A15" s="16">
        <v>44076</v>
      </c>
      <c r="B15" s="17">
        <v>519352</v>
      </c>
      <c r="C15" s="17">
        <v>7638</v>
      </c>
      <c r="D15" s="17">
        <v>1504</v>
      </c>
      <c r="E15" s="17">
        <v>596598</v>
      </c>
      <c r="F15" s="17"/>
      <c r="G15" s="17"/>
      <c r="H15" s="17"/>
      <c r="I15" s="17"/>
      <c r="J15" s="17">
        <v>1561</v>
      </c>
      <c r="K15" s="17">
        <v>424</v>
      </c>
      <c r="L15" s="21"/>
      <c r="M15" s="7"/>
      <c r="N15" s="7"/>
    </row>
    <row r="16" spans="1:14" ht="18.75" customHeight="1" thickBot="1">
      <c r="A16" s="18" t="s">
        <v>41</v>
      </c>
      <c r="B16" s="17">
        <f>IF(B17="",0,IF(B17-B15&gt;=0,B17-B15,(1000000-B15+B17)))</f>
        <v>2040</v>
      </c>
      <c r="C16" s="17">
        <f t="shared" ref="C16:H16" si="10">IF(C17="",0,IF(C17-C15&gt;=0,C17-C15,(10000-C15+C17)))</f>
        <v>244</v>
      </c>
      <c r="D16" s="17">
        <f t="shared" si="10"/>
        <v>0</v>
      </c>
      <c r="E16" s="17">
        <f t="shared" si="10"/>
        <v>677</v>
      </c>
      <c r="F16" s="17">
        <f t="shared" si="10"/>
        <v>0</v>
      </c>
      <c r="G16" s="17">
        <f t="shared" si="10"/>
        <v>0</v>
      </c>
      <c r="H16" s="17">
        <f t="shared" si="10"/>
        <v>0</v>
      </c>
      <c r="I16" s="17"/>
      <c r="J16" s="17">
        <f t="shared" ref="J16:K16" si="11">IF(J17="",0,IF(J17-J15&gt;=0,J17-J15,(10000-J15+J17)))</f>
        <v>1</v>
      </c>
      <c r="K16" s="17">
        <f t="shared" si="11"/>
        <v>0</v>
      </c>
      <c r="L16" s="20">
        <f>J16+K16</f>
        <v>1</v>
      </c>
      <c r="M16" s="7"/>
      <c r="N16" s="7"/>
    </row>
    <row r="17" spans="1:14" ht="18.75" customHeight="1" thickBot="1">
      <c r="A17" s="16">
        <v>43739</v>
      </c>
      <c r="B17" s="17">
        <v>521392</v>
      </c>
      <c r="C17" s="17">
        <v>7882</v>
      </c>
      <c r="D17" s="17">
        <v>1504</v>
      </c>
      <c r="E17" s="17">
        <v>597275</v>
      </c>
      <c r="F17" s="17"/>
      <c r="G17" s="17"/>
      <c r="H17" s="17"/>
      <c r="I17" s="17"/>
      <c r="J17" s="17">
        <v>1562</v>
      </c>
      <c r="K17" s="17">
        <v>424</v>
      </c>
      <c r="L17" s="21"/>
      <c r="M17" s="7"/>
      <c r="N17" s="7"/>
    </row>
    <row r="18" spans="1:14" ht="18.75" customHeight="1" thickBot="1">
      <c r="A18" s="18" t="s">
        <v>41</v>
      </c>
      <c r="B18" s="17">
        <f>IF(B19="",0,IF(B19-B17&gt;=0,B19-B17,(1000000-B17+B19)))</f>
        <v>1352</v>
      </c>
      <c r="C18" s="17">
        <f t="shared" ref="C18:H18" si="12">IF(C19="",0,IF(C19-C17&gt;=0,C19-C17,(10000-C17+C19)))</f>
        <v>91</v>
      </c>
      <c r="D18" s="17">
        <f t="shared" si="12"/>
        <v>0</v>
      </c>
      <c r="E18" s="17">
        <f t="shared" si="12"/>
        <v>2046</v>
      </c>
      <c r="F18" s="17">
        <f t="shared" si="12"/>
        <v>0</v>
      </c>
      <c r="G18" s="17">
        <f t="shared" si="12"/>
        <v>0</v>
      </c>
      <c r="H18" s="17">
        <f t="shared" si="12"/>
        <v>0</v>
      </c>
      <c r="I18" s="17"/>
      <c r="J18" s="17">
        <f t="shared" ref="J18:K18" si="13">IF(J19="",0,IF(J19-J17&gt;=0,J19-J17,(10000-J17+J19)))</f>
        <v>2</v>
      </c>
      <c r="K18" s="17">
        <f t="shared" si="13"/>
        <v>0</v>
      </c>
      <c r="L18" s="20">
        <f>J18+K18</f>
        <v>2</v>
      </c>
      <c r="M18" s="7"/>
      <c r="N18" s="7"/>
    </row>
    <row r="19" spans="1:14" ht="18.75" customHeight="1" thickBot="1">
      <c r="A19" s="16">
        <v>43770</v>
      </c>
      <c r="B19" s="17">
        <v>522744</v>
      </c>
      <c r="C19" s="17">
        <v>7973</v>
      </c>
      <c r="D19" s="17">
        <v>1504</v>
      </c>
      <c r="E19" s="17">
        <v>599321</v>
      </c>
      <c r="F19" s="17"/>
      <c r="G19" s="17"/>
      <c r="H19" s="17"/>
      <c r="I19" s="17"/>
      <c r="J19" s="17">
        <v>1564</v>
      </c>
      <c r="K19" s="17">
        <v>424</v>
      </c>
      <c r="L19" s="21"/>
      <c r="M19" s="7"/>
      <c r="N19" s="7"/>
    </row>
    <row r="20" spans="1:14" ht="18.75" customHeight="1" thickBot="1">
      <c r="A20" s="22" t="s">
        <v>41</v>
      </c>
      <c r="B20" s="17">
        <f t="shared" ref="B20:H20" si="14">IF(B21="",0,IF(B21-B19&gt;=0,B21-B19,(1000000-B19+B21)))</f>
        <v>672</v>
      </c>
      <c r="C20" s="17">
        <f t="shared" si="14"/>
        <v>0</v>
      </c>
      <c r="D20" s="17">
        <f t="shared" si="14"/>
        <v>0</v>
      </c>
      <c r="E20" s="17">
        <f t="shared" si="14"/>
        <v>1996</v>
      </c>
      <c r="F20" s="17">
        <f t="shared" si="14"/>
        <v>0</v>
      </c>
      <c r="G20" s="17">
        <f t="shared" si="14"/>
        <v>0</v>
      </c>
      <c r="H20" s="17">
        <f t="shared" si="14"/>
        <v>0</v>
      </c>
      <c r="I20" s="17"/>
      <c r="J20" s="17">
        <f t="shared" ref="J20:K20" si="15">IF(J21="",0,IF(J21-J19&gt;=0,J21-J19,(1000000-J19+J21)))</f>
        <v>2</v>
      </c>
      <c r="K20" s="17">
        <f t="shared" si="15"/>
        <v>0</v>
      </c>
      <c r="L20" s="20">
        <f>J20+K20</f>
        <v>2</v>
      </c>
      <c r="M20" s="7"/>
      <c r="N20" s="7"/>
    </row>
    <row r="21" spans="1:14" ht="18.75" customHeight="1" thickBot="1">
      <c r="A21" s="16">
        <v>43800</v>
      </c>
      <c r="B21" s="17">
        <v>523416</v>
      </c>
      <c r="C21" s="17">
        <v>7973</v>
      </c>
      <c r="D21" s="17">
        <v>1504</v>
      </c>
      <c r="E21" s="17">
        <v>601317</v>
      </c>
      <c r="F21" s="17"/>
      <c r="G21" s="17"/>
      <c r="H21" s="17"/>
      <c r="I21" s="17"/>
      <c r="J21" s="17">
        <v>1566</v>
      </c>
      <c r="K21" s="17">
        <v>424</v>
      </c>
      <c r="L21" s="21"/>
      <c r="M21" s="7"/>
      <c r="N21" s="7"/>
    </row>
    <row r="22" spans="1:14" ht="18.75" customHeight="1" thickBot="1">
      <c r="A22" s="18" t="s">
        <v>41</v>
      </c>
      <c r="B22" s="17">
        <f>IF(B23="",0,IF(B23-B21&gt;=0,B23-B21,(1000000-B21+B23)))</f>
        <v>2121</v>
      </c>
      <c r="C22" s="17">
        <f t="shared" ref="C22:D22" si="16">IF(C23="",0,IF(C23-C21&gt;=0,C23-C21,(10000-C21+C23)))</f>
        <v>20</v>
      </c>
      <c r="D22" s="17">
        <f t="shared" si="16"/>
        <v>0</v>
      </c>
      <c r="E22" s="17">
        <f>IF(E23="",0,IF(E23-E21&gt;=0,E23-E21,(1000000-E21+E23)))</f>
        <v>2107</v>
      </c>
      <c r="F22" s="17">
        <f>IF(F23="",0,IF(F23-F21&gt;=0,F23-F21,(10000-F21+F23)))</f>
        <v>0</v>
      </c>
      <c r="G22" s="17">
        <f t="shared" ref="G22:H22" si="17">IF(G23="",0,IF(G23-G21&gt;=0,G23-G21,(1000000-G21+G23)))</f>
        <v>0</v>
      </c>
      <c r="H22" s="17">
        <f t="shared" si="17"/>
        <v>0</v>
      </c>
      <c r="I22" s="17"/>
      <c r="J22" s="17">
        <f>IF(J23="",0,IF(J23-J21&gt;=0,J23-J21,(10000-J21+J23)))</f>
        <v>3</v>
      </c>
      <c r="K22" s="19">
        <f>IF(K23="",0,IF(K23-K21&gt;=0,K23-K21,(100000-K21+K23)))</f>
        <v>0</v>
      </c>
      <c r="L22" s="20">
        <f>J22+K22</f>
        <v>3</v>
      </c>
      <c r="M22" s="7"/>
      <c r="N22" s="7"/>
    </row>
    <row r="23" spans="1:14" ht="18.75" customHeight="1" thickBot="1">
      <c r="A23" s="16">
        <v>43469</v>
      </c>
      <c r="B23" s="17">
        <v>525537</v>
      </c>
      <c r="C23" s="17">
        <v>7993</v>
      </c>
      <c r="D23" s="17">
        <v>1504</v>
      </c>
      <c r="E23" s="17">
        <v>603424</v>
      </c>
      <c r="F23" s="17"/>
      <c r="G23" s="17"/>
      <c r="H23" s="17"/>
      <c r="I23" s="17"/>
      <c r="J23" s="17">
        <v>1569</v>
      </c>
      <c r="K23" s="17">
        <v>424</v>
      </c>
      <c r="L23" s="21"/>
      <c r="M23" s="7"/>
      <c r="N23" s="7"/>
    </row>
    <row r="24" spans="1:14" ht="18.75" customHeight="1" thickBot="1">
      <c r="A24" s="18" t="s">
        <v>41</v>
      </c>
      <c r="B24" s="17">
        <f>IF(B25="",0,IF(B25-B23&gt;=0,B25-B23,(1000000-B23+B25)))</f>
        <v>2609</v>
      </c>
      <c r="C24" s="17">
        <f t="shared" ref="C24:D24" si="18">IF(C25="",0,IF(C25-C23&gt;=0,C25-C23,(10000-C23+C25)))</f>
        <v>185</v>
      </c>
      <c r="D24" s="17">
        <f t="shared" si="18"/>
        <v>0</v>
      </c>
      <c r="E24" s="17">
        <f>IF(E25="",0,IF(E25-E23&gt;=0,E25-E23,(1000000-E23+E25)))</f>
        <v>1763</v>
      </c>
      <c r="F24" s="17">
        <f>IF(F25="",0,IF(F25-F23&gt;=0,F25-F23,(10000-F23+F25)))</f>
        <v>0</v>
      </c>
      <c r="G24" s="17">
        <f t="shared" ref="G24:H24" si="19">IF(G25="",0,IF(G25-G23&gt;=0,G25-G23,(1000000-G23+G25)))</f>
        <v>0</v>
      </c>
      <c r="H24" s="17">
        <f t="shared" si="19"/>
        <v>0</v>
      </c>
      <c r="I24" s="17"/>
      <c r="J24" s="17">
        <f>IF(J25="",0,IF(J25-J23&gt;=0,J25-J23,(10000-J23+J25)))</f>
        <v>3</v>
      </c>
      <c r="K24" s="19">
        <f>IF(K25="",0,IF(K25-K23&gt;=0,K25-K23,(100000-K23+K25)))</f>
        <v>0</v>
      </c>
      <c r="L24" s="20">
        <f>J24+K24</f>
        <v>3</v>
      </c>
      <c r="M24" s="7"/>
      <c r="N24" s="7"/>
    </row>
    <row r="25" spans="1:14" ht="18.75" customHeight="1" thickBot="1">
      <c r="A25" s="16">
        <v>43497</v>
      </c>
      <c r="B25" s="17">
        <v>528146</v>
      </c>
      <c r="C25" s="17">
        <v>8178</v>
      </c>
      <c r="D25" s="17">
        <v>1504</v>
      </c>
      <c r="E25" s="17">
        <v>605187</v>
      </c>
      <c r="F25" s="17"/>
      <c r="G25" s="17"/>
      <c r="H25" s="17"/>
      <c r="I25" s="17"/>
      <c r="J25" s="17">
        <v>1572</v>
      </c>
      <c r="K25" s="17">
        <v>424</v>
      </c>
      <c r="L25" s="21"/>
      <c r="M25" s="7"/>
      <c r="N25" s="7"/>
    </row>
    <row r="26" spans="1:14" ht="18.75" customHeight="1" thickBot="1">
      <c r="A26" s="18" t="s">
        <v>41</v>
      </c>
      <c r="B26" s="17">
        <f>IF(B27="",0,IF(B27-B25&gt;=0,B27-B25,(1000000-B25+B27)))</f>
        <v>1855</v>
      </c>
      <c r="C26" s="17">
        <f t="shared" ref="C26:D26" si="20">IF(C27="",0,IF(C27-C25&gt;=0,C27-C25,(10000-C25+C27)))</f>
        <v>198</v>
      </c>
      <c r="D26" s="17">
        <f t="shared" si="20"/>
        <v>0</v>
      </c>
      <c r="E26" s="17">
        <f>IF(E27="",0,IF(E27-E25&gt;=0,E27-E25,(1000000-E25+E27)))</f>
        <v>1033</v>
      </c>
      <c r="F26" s="17">
        <f>IF(F27="",0,IF(F27-F25&gt;=0,F27-F25,(10000-F25+F27)))</f>
        <v>0</v>
      </c>
      <c r="G26" s="17">
        <f t="shared" ref="G26:H26" si="21">IF(G27="",0,IF(G27-G25&gt;=0,G27-G25,(1000000-G25+G27)))</f>
        <v>0</v>
      </c>
      <c r="H26" s="17">
        <f t="shared" si="21"/>
        <v>0</v>
      </c>
      <c r="I26" s="17"/>
      <c r="J26" s="17">
        <f>IF(J27="",0,IF(J27-J25&gt;=0,J27-J25,(10000-J25+J27)))</f>
        <v>3</v>
      </c>
      <c r="K26" s="19">
        <f>IF(K27="",0,IF(K27-K25&gt;=0,K27-K25,(100000-K25+K27)))</f>
        <v>0</v>
      </c>
      <c r="L26" s="20">
        <f>J26+K26</f>
        <v>3</v>
      </c>
      <c r="M26" s="7"/>
      <c r="N26" s="7"/>
    </row>
    <row r="27" spans="1:14" ht="18.75" customHeight="1" thickBot="1">
      <c r="A27" s="16">
        <v>43525</v>
      </c>
      <c r="B27" s="17">
        <v>530001</v>
      </c>
      <c r="C27" s="17">
        <v>8376</v>
      </c>
      <c r="D27" s="17">
        <v>1504</v>
      </c>
      <c r="E27" s="17">
        <v>606220</v>
      </c>
      <c r="F27" s="17"/>
      <c r="G27" s="17"/>
      <c r="H27" s="17"/>
      <c r="I27" s="17"/>
      <c r="J27" s="17">
        <v>1575</v>
      </c>
      <c r="K27" s="17">
        <v>424</v>
      </c>
      <c r="L27" s="21"/>
      <c r="M27" s="7"/>
      <c r="N27" s="7"/>
    </row>
    <row r="28" spans="1:14" ht="18.75" customHeight="1" thickBot="1">
      <c r="A28" s="18" t="s">
        <v>41</v>
      </c>
      <c r="B28" s="17">
        <f>IF(B29="",0,IF(B29-B27&gt;=0,B29-B27,(1000000-B27+B29)))</f>
        <v>796</v>
      </c>
      <c r="C28" s="17">
        <f t="shared" ref="C28:D28" si="22">IF(C29="",0,IF(C29-C27&gt;=0,C29-C27,(10000-C27+C29)))</f>
        <v>105</v>
      </c>
      <c r="D28" s="17">
        <f t="shared" si="22"/>
        <v>0</v>
      </c>
      <c r="E28" s="17">
        <f>IF(E29="",0,IF(E29-E27&gt;=0,E29-E27,(1000000-E27+E29)))</f>
        <v>620</v>
      </c>
      <c r="F28" s="17">
        <f>IF(F29="",0,IF(F29-F27&gt;=0,F29-F27,(10000-F27+F29)))</f>
        <v>0</v>
      </c>
      <c r="G28" s="17">
        <f t="shared" ref="G28:H28" si="23">IF(G29="",0,IF(G29-G27&gt;=0,G29-G27,(1000000-G27+G29)))</f>
        <v>0</v>
      </c>
      <c r="H28" s="17">
        <f t="shared" si="23"/>
        <v>0</v>
      </c>
      <c r="I28" s="17"/>
      <c r="J28" s="17">
        <f>IF(J29="",0,IF(J29-J27&gt;=0,J29-J27,(10000-J27+J29)))</f>
        <v>4</v>
      </c>
      <c r="K28" s="19">
        <f>IF(K29="",0,IF(K29-K27&gt;=0,K29-K27,(100000-K27+K29)))</f>
        <v>0</v>
      </c>
      <c r="L28" s="20">
        <f>J28+K28</f>
        <v>4</v>
      </c>
      <c r="M28" s="7"/>
      <c r="N28" s="7"/>
    </row>
    <row r="29" spans="1:14" ht="18.75" customHeight="1">
      <c r="A29" s="16">
        <v>43556</v>
      </c>
      <c r="B29" s="17">
        <v>530797</v>
      </c>
      <c r="C29" s="17">
        <v>8481</v>
      </c>
      <c r="D29" s="17">
        <v>1504</v>
      </c>
      <c r="E29" s="17">
        <v>606840</v>
      </c>
      <c r="F29" s="17"/>
      <c r="G29" s="17"/>
      <c r="H29" s="17"/>
      <c r="I29" s="17"/>
      <c r="J29" s="17">
        <v>1579</v>
      </c>
      <c r="K29" s="17">
        <v>424</v>
      </c>
      <c r="L29" s="7"/>
      <c r="M29" s="7"/>
      <c r="N29" s="7"/>
    </row>
    <row r="30" spans="1:14" ht="18.75" customHeight="1">
      <c r="A30" s="23" t="s">
        <v>42</v>
      </c>
      <c r="B30" s="24">
        <f t="shared" ref="B30:H30" si="24">B6+B8+B10+B12+B14+B16+B18+B20+B22+B24+B26+B28</f>
        <v>20508</v>
      </c>
      <c r="C30" s="24">
        <f t="shared" si="24"/>
        <v>1584</v>
      </c>
      <c r="D30" s="24">
        <f t="shared" si="24"/>
        <v>0</v>
      </c>
      <c r="E30" s="24">
        <f t="shared" si="24"/>
        <v>18157</v>
      </c>
      <c r="F30" s="24">
        <f t="shared" si="24"/>
        <v>0</v>
      </c>
      <c r="G30" s="24">
        <f t="shared" si="24"/>
        <v>0</v>
      </c>
      <c r="H30" s="24">
        <f t="shared" si="24"/>
        <v>0</v>
      </c>
      <c r="I30" s="24"/>
      <c r="J30" s="24">
        <f t="shared" ref="J30:K30" si="25">J6+J8+J10+J12+J14+J16+J18+J20+J22+J24+J26+J28</f>
        <v>27</v>
      </c>
      <c r="K30" s="24">
        <f t="shared" si="25"/>
        <v>0</v>
      </c>
      <c r="L30" s="7"/>
      <c r="M30" s="7"/>
      <c r="N30" s="7"/>
    </row>
    <row r="31" spans="1:14" ht="18.75" customHeight="1" thickBot="1">
      <c r="A31" s="7"/>
      <c r="B31" s="7"/>
      <c r="C31" s="40" t="s">
        <v>43</v>
      </c>
      <c r="D31" s="41"/>
      <c r="E31" s="42"/>
      <c r="F31" s="25"/>
      <c r="G31" s="40" t="s">
        <v>44</v>
      </c>
      <c r="H31" s="42"/>
      <c r="I31" s="7"/>
      <c r="J31" s="7"/>
      <c r="K31" s="7"/>
      <c r="L31" s="7"/>
      <c r="M31" s="7"/>
      <c r="N31" s="7"/>
    </row>
    <row r="32" spans="1:14" ht="18.75" customHeight="1">
      <c r="A32" s="7" t="s">
        <v>45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8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 t="s">
        <v>46</v>
      </c>
      <c r="M34" s="7"/>
      <c r="N34" s="7"/>
    </row>
    <row r="35" spans="1:14" ht="18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 t="s">
        <v>47</v>
      </c>
      <c r="M35" s="7"/>
      <c r="N35" s="7"/>
    </row>
    <row r="36" spans="1:14" ht="18.75" customHeight="1">
      <c r="A36" s="9" t="s">
        <v>26</v>
      </c>
      <c r="B36" s="7"/>
      <c r="C36" s="7"/>
      <c r="D36" s="7"/>
      <c r="E36" s="26" t="s">
        <v>48</v>
      </c>
      <c r="F36" s="27"/>
      <c r="G36" s="7"/>
      <c r="H36" s="7"/>
      <c r="I36" s="9"/>
      <c r="J36" s="7"/>
      <c r="K36" s="7"/>
      <c r="L36" s="27" t="s">
        <v>49</v>
      </c>
      <c r="M36" s="7"/>
      <c r="N36" s="7"/>
    </row>
    <row r="37" spans="1:14" ht="18.75" customHeight="1" thickBot="1">
      <c r="A37" s="11" t="s">
        <v>29</v>
      </c>
      <c r="B37" s="28" t="s">
        <v>50</v>
      </c>
      <c r="C37" s="14" t="s">
        <v>51</v>
      </c>
      <c r="D37" s="12" t="s">
        <v>52</v>
      </c>
      <c r="E37" s="11" t="s">
        <v>53</v>
      </c>
      <c r="F37" s="12" t="s">
        <v>54</v>
      </c>
      <c r="G37" s="29" t="s">
        <v>55</v>
      </c>
      <c r="H37" s="29" t="s">
        <v>56</v>
      </c>
      <c r="I37" s="30" t="s">
        <v>57</v>
      </c>
      <c r="J37" s="30" t="s">
        <v>58</v>
      </c>
      <c r="K37" s="11" t="s">
        <v>29</v>
      </c>
      <c r="L37" s="12" t="s">
        <v>59</v>
      </c>
      <c r="M37" s="31" t="s">
        <v>60</v>
      </c>
      <c r="N37" s="7"/>
    </row>
    <row r="38" spans="1:14" ht="18.75" customHeight="1">
      <c r="A38" s="16">
        <v>43922</v>
      </c>
      <c r="B38" s="17">
        <v>571</v>
      </c>
      <c r="C38" s="17">
        <v>988</v>
      </c>
      <c r="D38" s="17">
        <v>687</v>
      </c>
      <c r="E38" s="17">
        <v>23182</v>
      </c>
      <c r="F38" s="17">
        <v>232554</v>
      </c>
      <c r="G38" s="17">
        <v>95162</v>
      </c>
      <c r="H38" s="17">
        <v>50523</v>
      </c>
      <c r="I38" s="17">
        <v>2776</v>
      </c>
      <c r="J38" s="17">
        <v>46416</v>
      </c>
      <c r="K38" s="17"/>
      <c r="L38" s="17">
        <v>43</v>
      </c>
      <c r="M38" s="7"/>
      <c r="N38" s="7"/>
    </row>
    <row r="39" spans="1:14" ht="18.75" customHeight="1">
      <c r="A39" s="18" t="s">
        <v>41</v>
      </c>
      <c r="B39" s="17">
        <f t="shared" ref="B39:J39" si="26">IF(B40="",0,IF(B40-B38&gt;=0,B40-B38,(1000000-B38+B40)))</f>
        <v>2</v>
      </c>
      <c r="C39" s="17">
        <f t="shared" si="26"/>
        <v>0</v>
      </c>
      <c r="D39" s="17">
        <f t="shared" si="26"/>
        <v>0</v>
      </c>
      <c r="E39" s="17">
        <f t="shared" si="26"/>
        <v>4</v>
      </c>
      <c r="F39" s="17">
        <f t="shared" si="26"/>
        <v>22</v>
      </c>
      <c r="G39" s="17">
        <f t="shared" si="26"/>
        <v>1793</v>
      </c>
      <c r="H39" s="17">
        <f t="shared" si="26"/>
        <v>1749</v>
      </c>
      <c r="I39" s="17">
        <f t="shared" si="26"/>
        <v>228</v>
      </c>
      <c r="J39" s="17">
        <f t="shared" si="26"/>
        <v>235</v>
      </c>
      <c r="K39" s="18" t="s">
        <v>41</v>
      </c>
      <c r="L39" s="17">
        <f>IF(L40="",0,IF(L40-L38&gt;=0,L40-L38,(1000000-L38+L40)))</f>
        <v>0</v>
      </c>
      <c r="M39" s="21">
        <f>B39+C39</f>
        <v>2</v>
      </c>
      <c r="N39" s="7"/>
    </row>
    <row r="40" spans="1:14" ht="18.75" customHeight="1">
      <c r="A40" s="16">
        <v>43953</v>
      </c>
      <c r="B40" s="17">
        <v>573</v>
      </c>
      <c r="C40" s="17">
        <v>988</v>
      </c>
      <c r="D40" s="17">
        <v>687</v>
      </c>
      <c r="E40" s="17">
        <v>23186</v>
      </c>
      <c r="F40" s="17">
        <v>232576</v>
      </c>
      <c r="G40" s="17">
        <v>96955</v>
      </c>
      <c r="H40" s="17">
        <v>52272</v>
      </c>
      <c r="I40" s="17">
        <v>3004</v>
      </c>
      <c r="J40" s="17">
        <v>46651</v>
      </c>
      <c r="K40" s="17"/>
      <c r="L40" s="17">
        <v>43</v>
      </c>
      <c r="M40" s="21"/>
      <c r="N40" s="7"/>
    </row>
    <row r="41" spans="1:14" ht="18.75" customHeight="1">
      <c r="A41" s="18" t="s">
        <v>41</v>
      </c>
      <c r="B41" s="17">
        <f>IF(B42="",0,IF(B42-B40&gt;=0,B42-B40,(1000000-B40+B42)))</f>
        <v>1</v>
      </c>
      <c r="C41" s="17">
        <f t="shared" ref="C41:J41" si="27">IF(C42="",0,IF(C42-C40&gt;=0,C42-C40,(10000-C40+C42)))</f>
        <v>0</v>
      </c>
      <c r="D41" s="17">
        <f t="shared" si="27"/>
        <v>1</v>
      </c>
      <c r="E41" s="17">
        <f t="shared" si="27"/>
        <v>3</v>
      </c>
      <c r="F41" s="17">
        <f t="shared" si="27"/>
        <v>0</v>
      </c>
      <c r="G41" s="17">
        <f t="shared" si="27"/>
        <v>2074</v>
      </c>
      <c r="H41" s="17">
        <f t="shared" si="27"/>
        <v>2562</v>
      </c>
      <c r="I41" s="17">
        <f t="shared" si="27"/>
        <v>79</v>
      </c>
      <c r="J41" s="17">
        <f t="shared" si="27"/>
        <v>515</v>
      </c>
      <c r="K41" s="18" t="s">
        <v>41</v>
      </c>
      <c r="L41" s="17">
        <f>IF(L42="",0,IF(L42-L40&gt;=0,L42-L40,(1000000-L40+L42)))</f>
        <v>0</v>
      </c>
      <c r="M41" s="21">
        <f>B41+C41</f>
        <v>1</v>
      </c>
      <c r="N41" s="7"/>
    </row>
    <row r="42" spans="1:14" ht="18.75" customHeight="1">
      <c r="A42" s="16">
        <v>43985</v>
      </c>
      <c r="B42" s="17">
        <v>574</v>
      </c>
      <c r="C42" s="17">
        <v>988</v>
      </c>
      <c r="D42" s="17">
        <v>688</v>
      </c>
      <c r="E42" s="17">
        <v>23189</v>
      </c>
      <c r="F42" s="17">
        <v>232576</v>
      </c>
      <c r="G42" s="17">
        <v>99029</v>
      </c>
      <c r="H42" s="17">
        <v>54834</v>
      </c>
      <c r="I42" s="17">
        <v>3083</v>
      </c>
      <c r="J42" s="17">
        <v>47166</v>
      </c>
      <c r="K42" s="17"/>
      <c r="L42" s="17">
        <v>43</v>
      </c>
      <c r="M42" s="21"/>
      <c r="N42" s="7"/>
    </row>
    <row r="43" spans="1:14" ht="18.75" customHeight="1">
      <c r="A43" s="18" t="s">
        <v>41</v>
      </c>
      <c r="B43" s="17">
        <f>IF(B44="",0,IF(B44-B42&gt;=0,B44-B42,(1000000-B42+B44)))</f>
        <v>1</v>
      </c>
      <c r="C43" s="17">
        <f t="shared" ref="C43:J43" si="28">IF(C44="",0,IF(C44-C42&gt;=0,C44-C42,(10000-C42+C44)))</f>
        <v>0</v>
      </c>
      <c r="D43" s="17">
        <f t="shared" si="28"/>
        <v>1</v>
      </c>
      <c r="E43" s="17">
        <f t="shared" si="28"/>
        <v>2</v>
      </c>
      <c r="F43" s="17">
        <f t="shared" si="28"/>
        <v>226</v>
      </c>
      <c r="G43" s="17">
        <f t="shared" si="28"/>
        <v>4905</v>
      </c>
      <c r="H43" s="17">
        <f t="shared" si="28"/>
        <v>3940</v>
      </c>
      <c r="I43" s="17">
        <f t="shared" si="28"/>
        <v>45</v>
      </c>
      <c r="J43" s="17">
        <f t="shared" si="28"/>
        <v>2232</v>
      </c>
      <c r="K43" s="18" t="s">
        <v>41</v>
      </c>
      <c r="L43" s="17">
        <f>IF(L44="",0,IF(L44-L42&gt;=0,L44-L42,(1000000-L42+L44)))</f>
        <v>0</v>
      </c>
      <c r="M43" s="21">
        <f>B43+C43</f>
        <v>1</v>
      </c>
      <c r="N43" s="7"/>
    </row>
    <row r="44" spans="1:14" ht="18.75" customHeight="1">
      <c r="A44" s="16">
        <v>44015</v>
      </c>
      <c r="B44" s="17">
        <v>575</v>
      </c>
      <c r="C44" s="17">
        <v>988</v>
      </c>
      <c r="D44" s="17">
        <v>689</v>
      </c>
      <c r="E44" s="17">
        <v>23191</v>
      </c>
      <c r="F44" s="17">
        <v>232802</v>
      </c>
      <c r="G44" s="17">
        <v>103934</v>
      </c>
      <c r="H44" s="17">
        <v>58774</v>
      </c>
      <c r="I44" s="17">
        <v>3128</v>
      </c>
      <c r="J44" s="17">
        <v>49398</v>
      </c>
      <c r="K44" s="17"/>
      <c r="L44" s="17">
        <v>43</v>
      </c>
      <c r="M44" s="21"/>
      <c r="N44" s="7"/>
    </row>
    <row r="45" spans="1:14" ht="18.75" customHeight="1">
      <c r="A45" s="18" t="s">
        <v>41</v>
      </c>
      <c r="B45" s="17">
        <f>IF(B46="",0,IF(B46-B44&gt;=0,B46-B44,(1000-B44+B46)))</f>
        <v>1</v>
      </c>
      <c r="C45" s="17">
        <f t="shared" ref="C45:D45" si="29">IF(C46="",0,IF(C46-C44&gt;=0,C46-C44,(10000-C44+C46)))</f>
        <v>0</v>
      </c>
      <c r="D45" s="17">
        <f t="shared" si="29"/>
        <v>0</v>
      </c>
      <c r="E45" s="17">
        <f t="shared" ref="E45:J45" si="30">IF(E46="",0,IF(E46-E44&gt;=0,E46-E44,(1000000-E44+E46)))</f>
        <v>3</v>
      </c>
      <c r="F45" s="17">
        <f t="shared" si="30"/>
        <v>1910</v>
      </c>
      <c r="G45" s="17">
        <f t="shared" si="30"/>
        <v>12037</v>
      </c>
      <c r="H45" s="17">
        <f t="shared" si="30"/>
        <v>6442</v>
      </c>
      <c r="I45" s="17">
        <f t="shared" si="30"/>
        <v>42</v>
      </c>
      <c r="J45" s="17">
        <f t="shared" si="30"/>
        <v>6874</v>
      </c>
      <c r="K45" s="18" t="s">
        <v>41</v>
      </c>
      <c r="L45" s="17">
        <f>IF(L46="",0,IF(L46-L44&gt;=0,L46-L44,(1000-L44+L46)))</f>
        <v>0</v>
      </c>
      <c r="M45" s="21">
        <f>B45+C45</f>
        <v>1</v>
      </c>
      <c r="N45" s="7"/>
    </row>
    <row r="46" spans="1:14" ht="18.75" customHeight="1">
      <c r="A46" s="16">
        <v>44044</v>
      </c>
      <c r="B46" s="17">
        <v>576</v>
      </c>
      <c r="C46" s="17">
        <v>988</v>
      </c>
      <c r="D46" s="17">
        <v>689</v>
      </c>
      <c r="E46" s="17">
        <v>23194</v>
      </c>
      <c r="F46" s="17">
        <v>234712</v>
      </c>
      <c r="G46" s="17">
        <v>115971</v>
      </c>
      <c r="H46" s="17">
        <v>65216</v>
      </c>
      <c r="I46" s="17">
        <v>3170</v>
      </c>
      <c r="J46" s="17">
        <v>56272</v>
      </c>
      <c r="K46" s="17"/>
      <c r="L46" s="17">
        <v>43</v>
      </c>
      <c r="M46" s="21"/>
      <c r="N46" s="7"/>
    </row>
    <row r="47" spans="1:14" ht="18.75" customHeight="1">
      <c r="A47" s="18" t="s">
        <v>41</v>
      </c>
      <c r="B47" s="17">
        <f>IF(B48="",0,IF(B48-B46&gt;=0,B48-B46,(1000-B46+B48)))</f>
        <v>0</v>
      </c>
      <c r="C47" s="17">
        <f t="shared" ref="C47:D47" si="31">IF(C48="",0,IF(C48-C46&gt;=0,C48-C46,(10000-C46+C48)))</f>
        <v>0</v>
      </c>
      <c r="D47" s="17">
        <f t="shared" si="31"/>
        <v>0</v>
      </c>
      <c r="E47" s="17">
        <f t="shared" ref="E47:J47" si="32">IF(E48="",0,IF(E48-E46&gt;=0,E48-E46,(1000000-E46+E48)))</f>
        <v>2</v>
      </c>
      <c r="F47" s="17">
        <f t="shared" si="32"/>
        <v>967</v>
      </c>
      <c r="G47" s="17">
        <f t="shared" si="32"/>
        <v>11668</v>
      </c>
      <c r="H47" s="17">
        <f t="shared" si="32"/>
        <v>3355</v>
      </c>
      <c r="I47" s="17">
        <f t="shared" si="32"/>
        <v>32</v>
      </c>
      <c r="J47" s="17">
        <f t="shared" si="32"/>
        <v>4948</v>
      </c>
      <c r="K47" s="18" t="s">
        <v>41</v>
      </c>
      <c r="L47" s="17">
        <f>IF(L48="",0,IF(L48-L46&gt;=0,L48-L46,(1000-L46+L48)))</f>
        <v>0</v>
      </c>
      <c r="M47" s="21">
        <f>B47+C47</f>
        <v>0</v>
      </c>
      <c r="N47" s="7"/>
    </row>
    <row r="48" spans="1:14" ht="18.75" customHeight="1">
      <c r="A48" s="16">
        <v>44076</v>
      </c>
      <c r="B48" s="17">
        <v>576</v>
      </c>
      <c r="C48" s="17">
        <v>988</v>
      </c>
      <c r="D48" s="17">
        <v>689</v>
      </c>
      <c r="E48" s="17">
        <v>23196</v>
      </c>
      <c r="F48" s="17">
        <v>235679</v>
      </c>
      <c r="G48" s="17">
        <v>127639</v>
      </c>
      <c r="H48" s="17">
        <v>68571</v>
      </c>
      <c r="I48" s="17">
        <v>3202</v>
      </c>
      <c r="J48" s="17">
        <v>61220</v>
      </c>
      <c r="K48" s="17"/>
      <c r="L48" s="17">
        <v>43</v>
      </c>
      <c r="M48" s="21"/>
      <c r="N48" s="7"/>
    </row>
    <row r="49" spans="1:14" ht="18.75" customHeight="1">
      <c r="A49" s="18" t="s">
        <v>41</v>
      </c>
      <c r="B49" s="17">
        <f>IF(B50="",0,IF(B50-B48&gt;=0,B50-B48,(1000-B48+B50)))</f>
        <v>1</v>
      </c>
      <c r="C49" s="17">
        <f t="shared" ref="C49:D49" si="33">IF(C50="",0,IF(C50-C48&gt;=0,C50-C48,(10000-C48+C50)))</f>
        <v>0</v>
      </c>
      <c r="D49" s="17">
        <f t="shared" si="33"/>
        <v>1</v>
      </c>
      <c r="E49" s="17">
        <f t="shared" ref="E49:J49" si="34">IF(E50="",0,IF(E50-E48&gt;=0,E50-E48,(1000000-E48+E50)))</f>
        <v>4</v>
      </c>
      <c r="F49" s="17">
        <f t="shared" si="34"/>
        <v>528</v>
      </c>
      <c r="G49" s="17">
        <f t="shared" si="34"/>
        <v>10170</v>
      </c>
      <c r="H49" s="17">
        <f t="shared" si="34"/>
        <v>3016</v>
      </c>
      <c r="I49" s="17">
        <f t="shared" si="34"/>
        <v>31</v>
      </c>
      <c r="J49" s="17">
        <f t="shared" si="34"/>
        <v>4180</v>
      </c>
      <c r="K49" s="18" t="s">
        <v>41</v>
      </c>
      <c r="L49" s="17">
        <f>IF(L50="",0,IF(L50-L48&gt;=0,L50-L48,(1000-L48+L50)))</f>
        <v>0</v>
      </c>
      <c r="M49" s="21">
        <f>B49+C49</f>
        <v>1</v>
      </c>
      <c r="N49" s="7"/>
    </row>
    <row r="50" spans="1:14" ht="18.75" customHeight="1">
      <c r="A50" s="16">
        <v>43739</v>
      </c>
      <c r="B50" s="17">
        <v>577</v>
      </c>
      <c r="C50" s="17">
        <v>988</v>
      </c>
      <c r="D50" s="17">
        <v>690</v>
      </c>
      <c r="E50" s="17">
        <v>23200</v>
      </c>
      <c r="F50" s="17">
        <v>236207</v>
      </c>
      <c r="G50" s="17">
        <v>137809</v>
      </c>
      <c r="H50" s="17">
        <v>71587</v>
      </c>
      <c r="I50" s="17">
        <v>3233</v>
      </c>
      <c r="J50" s="17">
        <v>65400</v>
      </c>
      <c r="K50" s="17"/>
      <c r="L50" s="17">
        <v>43</v>
      </c>
      <c r="M50" s="21"/>
      <c r="N50" s="7"/>
    </row>
    <row r="51" spans="1:14" ht="18.75" customHeight="1">
      <c r="A51" s="18" t="s">
        <v>41</v>
      </c>
      <c r="B51" s="17">
        <f>IF(B52="",0,IF(B52-B50&gt;=0,B52-B50,(1000-B50+B52)))</f>
        <v>1</v>
      </c>
      <c r="C51" s="17">
        <f t="shared" ref="C51:D51" si="35">IF(C52="",0,IF(C52-C50&gt;=0,C52-C50,(10000-C50+C52)))</f>
        <v>0</v>
      </c>
      <c r="D51" s="17">
        <f t="shared" si="35"/>
        <v>0</v>
      </c>
      <c r="E51" s="17">
        <f t="shared" ref="E51:J51" si="36">IF(E52="",0,IF(E52-E50&gt;=0,E52-E50,(1000000-E50+E52)))</f>
        <v>4</v>
      </c>
      <c r="F51" s="17">
        <f t="shared" si="36"/>
        <v>132</v>
      </c>
      <c r="G51" s="17">
        <f t="shared" si="36"/>
        <v>3605</v>
      </c>
      <c r="H51" s="17">
        <f t="shared" si="36"/>
        <v>3452</v>
      </c>
      <c r="I51" s="17">
        <f t="shared" si="36"/>
        <v>38</v>
      </c>
      <c r="J51" s="17">
        <f t="shared" si="36"/>
        <v>1373</v>
      </c>
      <c r="K51" s="18" t="s">
        <v>41</v>
      </c>
      <c r="L51" s="17">
        <v>0</v>
      </c>
      <c r="M51" s="21">
        <f>B51+C51</f>
        <v>1</v>
      </c>
      <c r="N51" s="7"/>
    </row>
    <row r="52" spans="1:14" ht="18.75" customHeight="1">
      <c r="A52" s="16">
        <v>43770</v>
      </c>
      <c r="B52" s="17">
        <v>578</v>
      </c>
      <c r="C52" s="17">
        <v>988</v>
      </c>
      <c r="D52" s="17">
        <v>690</v>
      </c>
      <c r="E52" s="17">
        <v>23204</v>
      </c>
      <c r="F52" s="17">
        <v>236339</v>
      </c>
      <c r="G52" s="17">
        <v>141414</v>
      </c>
      <c r="H52" s="17">
        <v>75039</v>
      </c>
      <c r="I52" s="17">
        <v>3271</v>
      </c>
      <c r="J52" s="17">
        <v>66773</v>
      </c>
      <c r="K52" s="17"/>
      <c r="L52" s="17">
        <v>43</v>
      </c>
      <c r="M52" s="21"/>
      <c r="N52" s="7"/>
    </row>
    <row r="53" spans="1:14" ht="18.75" customHeight="1">
      <c r="A53" s="22" t="s">
        <v>41</v>
      </c>
      <c r="B53" s="17">
        <f t="shared" ref="B53:J53" si="37">IF(B54="",0,IF(B54-B52&gt;=0,B54-B52,(1000000-B52+B54)))</f>
        <v>1</v>
      </c>
      <c r="C53" s="17">
        <f t="shared" si="37"/>
        <v>0</v>
      </c>
      <c r="D53" s="17">
        <f t="shared" si="37"/>
        <v>0</v>
      </c>
      <c r="E53" s="17">
        <f t="shared" si="37"/>
        <v>6</v>
      </c>
      <c r="F53" s="17">
        <f t="shared" si="37"/>
        <v>80</v>
      </c>
      <c r="G53" s="24">
        <f t="shared" si="37"/>
        <v>2762</v>
      </c>
      <c r="H53" s="24">
        <f t="shared" si="37"/>
        <v>2691</v>
      </c>
      <c r="I53" s="24">
        <f t="shared" si="37"/>
        <v>195</v>
      </c>
      <c r="J53" s="24">
        <f t="shared" si="37"/>
        <v>1081</v>
      </c>
      <c r="K53" s="22" t="s">
        <v>41</v>
      </c>
      <c r="L53" s="17">
        <f>IF(L54="",0,IF(L54-L52&gt;=0,L54-L52,(1000000-L52+L54)))</f>
        <v>0</v>
      </c>
      <c r="M53" s="21">
        <f>B53+C53</f>
        <v>1</v>
      </c>
      <c r="N53" s="7"/>
    </row>
    <row r="54" spans="1:14" ht="18.75" customHeight="1">
      <c r="A54" s="16">
        <v>43800</v>
      </c>
      <c r="B54" s="17">
        <v>579</v>
      </c>
      <c r="C54" s="17">
        <v>988</v>
      </c>
      <c r="D54" s="17">
        <v>690</v>
      </c>
      <c r="E54" s="17">
        <v>23210</v>
      </c>
      <c r="F54" s="17">
        <v>236419</v>
      </c>
      <c r="G54" s="17">
        <v>144176</v>
      </c>
      <c r="H54" s="17">
        <v>77730</v>
      </c>
      <c r="I54" s="17">
        <v>3466</v>
      </c>
      <c r="J54" s="17">
        <v>67854</v>
      </c>
      <c r="K54" s="17"/>
      <c r="L54" s="17">
        <v>43</v>
      </c>
      <c r="M54" s="21"/>
      <c r="N54" s="7"/>
    </row>
    <row r="55" spans="1:14" ht="18.75" customHeight="1">
      <c r="A55" s="18" t="s">
        <v>41</v>
      </c>
      <c r="B55" s="17">
        <f>IF(B56="",0,IF(B56-B54&gt;=0,B56-B54,(1000-B54+B56)))</f>
        <v>1</v>
      </c>
      <c r="C55" s="17">
        <f t="shared" ref="C55:D55" si="38">IF(C56="",0,IF(C56-C54&gt;=0,C56-C54,(10000-C54+C56)))</f>
        <v>0</v>
      </c>
      <c r="D55" s="17">
        <f t="shared" si="38"/>
        <v>1</v>
      </c>
      <c r="E55" s="17">
        <f t="shared" ref="E55:J55" si="39">IF(E56="",0,IF(E56-E54&gt;=0,E56-E54,(1000000-E54+E56)))</f>
        <v>5</v>
      </c>
      <c r="F55" s="17">
        <f t="shared" si="39"/>
        <v>837</v>
      </c>
      <c r="G55" s="17">
        <f t="shared" si="39"/>
        <v>6928</v>
      </c>
      <c r="H55" s="17">
        <f t="shared" si="39"/>
        <v>4310</v>
      </c>
      <c r="I55" s="17">
        <f t="shared" si="39"/>
        <v>478</v>
      </c>
      <c r="J55" s="17">
        <f t="shared" si="39"/>
        <v>4002</v>
      </c>
      <c r="K55" s="18" t="s">
        <v>41</v>
      </c>
      <c r="L55" s="17">
        <f>IF(L56="",0,IF(L56-L54&gt;=0,L56-L54,(1000-L54+L56)))</f>
        <v>0</v>
      </c>
      <c r="M55" s="21">
        <f>B55+C55</f>
        <v>1</v>
      </c>
      <c r="N55" s="7"/>
    </row>
    <row r="56" spans="1:14" ht="18.75" customHeight="1">
      <c r="A56" s="16">
        <v>43471</v>
      </c>
      <c r="B56" s="17">
        <v>580</v>
      </c>
      <c r="C56" s="17">
        <v>988</v>
      </c>
      <c r="D56" s="17">
        <v>691</v>
      </c>
      <c r="E56" s="17">
        <v>23215</v>
      </c>
      <c r="F56" s="17">
        <v>237256</v>
      </c>
      <c r="G56" s="17">
        <v>151104</v>
      </c>
      <c r="H56" s="17">
        <v>82040</v>
      </c>
      <c r="I56" s="17">
        <v>3944</v>
      </c>
      <c r="J56" s="17">
        <v>71856</v>
      </c>
      <c r="K56" s="17"/>
      <c r="L56" s="17">
        <v>43</v>
      </c>
      <c r="M56" s="21"/>
      <c r="N56" s="7"/>
    </row>
    <row r="57" spans="1:14" ht="18.75" customHeight="1">
      <c r="A57" s="18" t="s">
        <v>41</v>
      </c>
      <c r="B57" s="17">
        <f>IF(B58="",0,IF(B58-B56&gt;=0,B58-B56,(1000-B56+B58)))</f>
        <v>2</v>
      </c>
      <c r="C57" s="17">
        <f t="shared" ref="C57:D57" si="40">IF(C58="",0,IF(C58-C56&gt;=0,C58-C56,(10000-C56+C58)))</f>
        <v>0</v>
      </c>
      <c r="D57" s="17">
        <f t="shared" si="40"/>
        <v>0</v>
      </c>
      <c r="E57" s="17">
        <f t="shared" ref="E57:J57" si="41">IF(E58="",0,IF(E58-E56&gt;=0,E58-E56,(1000000-E56+E58)))</f>
        <v>5</v>
      </c>
      <c r="F57" s="17">
        <f t="shared" si="41"/>
        <v>1327</v>
      </c>
      <c r="G57" s="17">
        <f t="shared" si="41"/>
        <v>6378</v>
      </c>
      <c r="H57" s="17">
        <f t="shared" si="41"/>
        <v>4732</v>
      </c>
      <c r="I57" s="17">
        <f t="shared" si="41"/>
        <v>540</v>
      </c>
      <c r="J57" s="17">
        <f t="shared" si="41"/>
        <v>4761</v>
      </c>
      <c r="K57" s="18" t="s">
        <v>41</v>
      </c>
      <c r="L57" s="17">
        <f>IF(L58="",0,IF(L58-L56&gt;=0,L58-L56,(1000-L56+L58)))</f>
        <v>0</v>
      </c>
      <c r="M57" s="21">
        <f>B57+C57</f>
        <v>2</v>
      </c>
      <c r="N57" s="7"/>
    </row>
    <row r="58" spans="1:14" ht="18.75" customHeight="1">
      <c r="A58" s="16">
        <v>43497</v>
      </c>
      <c r="B58" s="17">
        <v>582</v>
      </c>
      <c r="C58" s="17">
        <v>988</v>
      </c>
      <c r="D58" s="17">
        <v>691</v>
      </c>
      <c r="E58" s="17">
        <v>23220</v>
      </c>
      <c r="F58" s="17">
        <v>238583</v>
      </c>
      <c r="G58" s="17">
        <v>157482</v>
      </c>
      <c r="H58" s="17">
        <v>86772</v>
      </c>
      <c r="I58" s="17">
        <v>4484</v>
      </c>
      <c r="J58" s="17">
        <v>76617</v>
      </c>
      <c r="K58" s="17"/>
      <c r="L58" s="17">
        <v>43</v>
      </c>
      <c r="M58" s="21"/>
      <c r="N58" s="7"/>
    </row>
    <row r="59" spans="1:14" ht="18.75" customHeight="1">
      <c r="A59" s="18" t="s">
        <v>41</v>
      </c>
      <c r="B59" s="17">
        <f>IF(B60="",0,IF(B60-B58&gt;=0,B60-B58,(1000-B58+B60)))</f>
        <v>1</v>
      </c>
      <c r="C59" s="17">
        <f t="shared" ref="C59:D59" si="42">IF(C60="",0,IF(C60-C58&gt;=0,C60-C58,(10000-C58+C60)))</f>
        <v>0</v>
      </c>
      <c r="D59" s="17">
        <f t="shared" si="42"/>
        <v>1</v>
      </c>
      <c r="E59" s="17">
        <f t="shared" ref="E59:J59" si="43">IF(E60="",0,IF(E60-E58&gt;=0,E60-E58,(1000000-E58+E60)))</f>
        <v>2</v>
      </c>
      <c r="F59" s="17">
        <f t="shared" si="43"/>
        <v>700</v>
      </c>
      <c r="G59" s="17">
        <f t="shared" si="43"/>
        <v>7966</v>
      </c>
      <c r="H59" s="17">
        <f t="shared" si="43"/>
        <v>3064</v>
      </c>
      <c r="I59" s="17">
        <f t="shared" si="43"/>
        <v>502</v>
      </c>
      <c r="J59" s="17">
        <f t="shared" si="43"/>
        <v>3576</v>
      </c>
      <c r="K59" s="18" t="s">
        <v>41</v>
      </c>
      <c r="L59" s="17">
        <f>IF(L60="",0,IF(L60-L58&gt;=0,L60-L58,(1000-L58+L60)))</f>
        <v>0</v>
      </c>
      <c r="M59" s="21">
        <f>B59+C59</f>
        <v>1</v>
      </c>
      <c r="N59" s="7"/>
    </row>
    <row r="60" spans="1:14" ht="18.75" customHeight="1">
      <c r="A60" s="16">
        <v>43525</v>
      </c>
      <c r="B60" s="17">
        <v>583</v>
      </c>
      <c r="C60" s="17">
        <v>988</v>
      </c>
      <c r="D60" s="17">
        <v>692</v>
      </c>
      <c r="E60" s="17">
        <v>23222</v>
      </c>
      <c r="F60" s="17">
        <v>239283</v>
      </c>
      <c r="G60" s="17">
        <v>165448</v>
      </c>
      <c r="H60" s="17">
        <v>89836</v>
      </c>
      <c r="I60" s="17">
        <v>4986</v>
      </c>
      <c r="J60" s="17">
        <v>80193</v>
      </c>
      <c r="K60" s="16"/>
      <c r="L60" s="17">
        <v>43</v>
      </c>
      <c r="M60" s="21"/>
      <c r="N60" s="7"/>
    </row>
    <row r="61" spans="1:14" ht="18.75" customHeight="1">
      <c r="A61" s="18" t="s">
        <v>41</v>
      </c>
      <c r="B61" s="17">
        <f>IF(B62="",0,IF(B62-B60&gt;=0,B62-B60,(1000-B60+B62)))</f>
        <v>2</v>
      </c>
      <c r="C61" s="17">
        <f t="shared" ref="C61:D61" si="44">IF(C62="",0,IF(C62-C60&gt;=0,C62-C60,(10000-C60+C62)))</f>
        <v>0</v>
      </c>
      <c r="D61" s="17">
        <f t="shared" si="44"/>
        <v>1</v>
      </c>
      <c r="E61" s="17">
        <f t="shared" ref="E61:J61" si="45">IF(E62="",0,IF(E62-E60&gt;=0,E62-E60,(1000000-E60+E62)))</f>
        <v>4</v>
      </c>
      <c r="F61" s="17">
        <f t="shared" si="45"/>
        <v>424</v>
      </c>
      <c r="G61" s="17">
        <f t="shared" si="45"/>
        <v>4999</v>
      </c>
      <c r="H61" s="17">
        <f t="shared" si="45"/>
        <v>1577</v>
      </c>
      <c r="I61" s="17">
        <f t="shared" si="45"/>
        <v>310</v>
      </c>
      <c r="J61" s="17">
        <f t="shared" si="45"/>
        <v>1936</v>
      </c>
      <c r="K61" s="18" t="s">
        <v>41</v>
      </c>
      <c r="L61" s="17">
        <f>IF(L62="",0,IF(L62-L60&gt;=0,L62-L60,(1000-L60+L62)))</f>
        <v>0</v>
      </c>
      <c r="M61" s="21">
        <f>B61+C61</f>
        <v>2</v>
      </c>
      <c r="N61" s="7"/>
    </row>
    <row r="62" spans="1:14" ht="18.75" customHeight="1">
      <c r="A62" s="16">
        <v>43556</v>
      </c>
      <c r="B62" s="17">
        <v>585</v>
      </c>
      <c r="C62" s="17">
        <v>988</v>
      </c>
      <c r="D62" s="17">
        <v>693</v>
      </c>
      <c r="E62" s="17">
        <v>23226</v>
      </c>
      <c r="F62" s="17">
        <v>239707</v>
      </c>
      <c r="G62" s="17">
        <v>170447</v>
      </c>
      <c r="H62" s="17">
        <v>91413</v>
      </c>
      <c r="I62" s="17">
        <v>5296</v>
      </c>
      <c r="J62" s="17">
        <v>82129</v>
      </c>
      <c r="K62" s="16"/>
      <c r="L62" s="17">
        <v>43</v>
      </c>
      <c r="M62" s="21"/>
      <c r="N62" s="7"/>
    </row>
    <row r="63" spans="1:14" ht="18.75" customHeight="1" thickBot="1">
      <c r="A63" s="18" t="s">
        <v>42</v>
      </c>
      <c r="B63" s="17">
        <f t="shared" ref="B63:J63" si="46">B39+B41+B43+B45+B47+B49+B51+B53+B55+B57+B59+B61</f>
        <v>14</v>
      </c>
      <c r="C63" s="17">
        <f t="shared" si="46"/>
        <v>0</v>
      </c>
      <c r="D63" s="17">
        <f t="shared" si="46"/>
        <v>6</v>
      </c>
      <c r="E63" s="17">
        <f t="shared" si="46"/>
        <v>44</v>
      </c>
      <c r="F63" s="17">
        <f t="shared" si="46"/>
        <v>7153</v>
      </c>
      <c r="G63" s="32">
        <f t="shared" si="46"/>
        <v>75285</v>
      </c>
      <c r="H63" s="32">
        <f t="shared" si="46"/>
        <v>40890</v>
      </c>
      <c r="I63" s="17">
        <f t="shared" si="46"/>
        <v>2520</v>
      </c>
      <c r="J63" s="32">
        <f t="shared" si="46"/>
        <v>35713</v>
      </c>
      <c r="K63" s="18" t="s">
        <v>42</v>
      </c>
      <c r="L63" s="17">
        <f>L39+L41+L43+L45+L47+L49+L51+L53+L55+L57+L59+L61</f>
        <v>0</v>
      </c>
      <c r="M63" s="21"/>
      <c r="N63" s="7"/>
    </row>
    <row r="64" spans="1:14" ht="18.75" customHeight="1">
      <c r="A64" s="7"/>
      <c r="B64" s="7"/>
      <c r="C64" s="7"/>
      <c r="D64" s="7"/>
      <c r="E64" s="7"/>
      <c r="F64" s="7"/>
      <c r="G64" s="33" t="s">
        <v>61</v>
      </c>
      <c r="H64" s="33" t="s">
        <v>61</v>
      </c>
      <c r="J64" s="33" t="s">
        <v>61</v>
      </c>
      <c r="K64" s="7"/>
      <c r="L64" s="7"/>
      <c r="M64" s="7"/>
      <c r="N64" s="7"/>
    </row>
    <row r="65" spans="1:14" ht="18.75" customHeight="1">
      <c r="A65" s="7"/>
      <c r="B65" s="7"/>
      <c r="C65" s="7"/>
      <c r="D65" s="7"/>
      <c r="E65" s="7"/>
      <c r="F65" s="7"/>
      <c r="G65" s="34" t="s">
        <v>62</v>
      </c>
      <c r="H65" s="34" t="s">
        <v>63</v>
      </c>
      <c r="J65" s="34" t="s">
        <v>64</v>
      </c>
      <c r="K65" s="7"/>
      <c r="L65" s="7"/>
      <c r="M65" s="7"/>
      <c r="N65" s="7"/>
    </row>
    <row r="66" spans="1:14" ht="18.75" customHeight="1" thickBot="1">
      <c r="A66" s="7"/>
      <c r="B66" s="7"/>
      <c r="C66" s="7"/>
      <c r="D66" s="7"/>
      <c r="E66" s="7"/>
      <c r="F66" s="7"/>
      <c r="G66" s="35" t="s">
        <v>65</v>
      </c>
      <c r="H66" s="35" t="s">
        <v>66</v>
      </c>
      <c r="I66" s="36"/>
      <c r="J66" s="35" t="s">
        <v>67</v>
      </c>
      <c r="K66" s="7"/>
      <c r="L66" s="7"/>
      <c r="M66" s="7"/>
      <c r="N66" s="7"/>
    </row>
    <row r="67" spans="1:14" ht="18.75" customHeight="1"/>
    <row r="68" spans="1:14" ht="18.75" customHeight="1"/>
    <row r="69" spans="1:14" ht="18.75" customHeight="1"/>
    <row r="70" spans="1:14" ht="18.75" customHeight="1"/>
    <row r="71" spans="1:14" ht="18.75" customHeight="1"/>
    <row r="72" spans="1:14" ht="18.75" customHeight="1"/>
    <row r="73" spans="1:14" ht="18.75" customHeight="1"/>
    <row r="74" spans="1:14" ht="18.75" customHeight="1"/>
    <row r="75" spans="1:14" ht="18.75" customHeight="1"/>
    <row r="76" spans="1:14" ht="18.75" customHeight="1"/>
    <row r="77" spans="1:14" ht="18.75" customHeight="1"/>
    <row r="78" spans="1:14" ht="18.75" customHeight="1"/>
    <row r="79" spans="1:14" ht="18.75" customHeight="1"/>
    <row r="80" spans="1:14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2">
    <mergeCell ref="C31:E31"/>
    <mergeCell ref="G31:H31"/>
  </mergeCells>
  <phoneticPr fontId="1"/>
  <conditionalFormatting sqref="B39:J39">
    <cfRule type="cellIs" dxfId="15" priority="2" operator="lessThan">
      <formula>0</formula>
    </cfRule>
  </conditionalFormatting>
  <conditionalFormatting sqref="B41:J41">
    <cfRule type="cellIs" dxfId="14" priority="3" operator="lessThan">
      <formula>0</formula>
    </cfRule>
  </conditionalFormatting>
  <conditionalFormatting sqref="B43:J43">
    <cfRule type="cellIs" dxfId="13" priority="16" operator="lessThan">
      <formula>0</formula>
    </cfRule>
  </conditionalFormatting>
  <conditionalFormatting sqref="B45:J45">
    <cfRule type="cellIs" dxfId="12" priority="4" operator="lessThan">
      <formula>0</formula>
    </cfRule>
  </conditionalFormatting>
  <conditionalFormatting sqref="B5:K30 L38:L63 B47:J47 B49:J49 B51:J51 B53:J53 B55:J55 B57:J57 B59:J63">
    <cfRule type="cellIs" dxfId="11" priority="1" operator="lessThan">
      <formula>0</formula>
    </cfRule>
  </conditionalFormatting>
  <conditionalFormatting sqref="B38:K38">
    <cfRule type="cellIs" dxfId="10" priority="5" operator="lessThan">
      <formula>0</formula>
    </cfRule>
  </conditionalFormatting>
  <conditionalFormatting sqref="B40:K40">
    <cfRule type="cellIs" dxfId="9" priority="6" operator="lessThan">
      <formula>0</formula>
    </cfRule>
  </conditionalFormatting>
  <conditionalFormatting sqref="B42:K42">
    <cfRule type="cellIs" dxfId="8" priority="7" operator="lessThan">
      <formula>0</formula>
    </cfRule>
  </conditionalFormatting>
  <conditionalFormatting sqref="B44:K44">
    <cfRule type="cellIs" dxfId="7" priority="8" operator="lessThan">
      <formula>0</formula>
    </cfRule>
  </conditionalFormatting>
  <conditionalFormatting sqref="B46:K46">
    <cfRule type="cellIs" dxfId="6" priority="9" operator="lessThan">
      <formula>0</formula>
    </cfRule>
  </conditionalFormatting>
  <conditionalFormatting sqref="B48:K48">
    <cfRule type="cellIs" dxfId="5" priority="10" operator="lessThan">
      <formula>0</formula>
    </cfRule>
  </conditionalFormatting>
  <conditionalFormatting sqref="B50:K50">
    <cfRule type="cellIs" dxfId="4" priority="11" operator="lessThan">
      <formula>0</formula>
    </cfRule>
  </conditionalFormatting>
  <conditionalFormatting sqref="B52:K52">
    <cfRule type="cellIs" dxfId="3" priority="12" operator="lessThan">
      <formula>0</formula>
    </cfRule>
  </conditionalFormatting>
  <conditionalFormatting sqref="B54:K54">
    <cfRule type="cellIs" dxfId="2" priority="13" operator="lessThan">
      <formula>0</formula>
    </cfRule>
  </conditionalFormatting>
  <conditionalFormatting sqref="B56:K56">
    <cfRule type="cellIs" dxfId="1" priority="14" operator="lessThan">
      <formula>0</formula>
    </cfRule>
  </conditionalFormatting>
  <conditionalFormatting sqref="B58:K58">
    <cfRule type="cellIs" dxfId="0" priority="15" operator="lessThan">
      <formula>0</formula>
    </cfRule>
  </conditionalFormatting>
  <pageMargins left="0.7" right="0.7" top="0.75" bottom="0.75" header="0" footer="0"/>
  <pageSetup paperSize="9" orientation="landscape" r:id="rId1"/>
  <rowBreaks count="1" manualBreakCount="1">
    <brk id="3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対応関係</vt:lpstr>
      <vt:lpstr>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ETO KIYOKA</dc:creator>
  <cp:lastModifiedBy>User</cp:lastModifiedBy>
  <cp:lastPrinted>2025-11-06T07:55:29Z</cp:lastPrinted>
  <dcterms:created xsi:type="dcterms:W3CDTF">2015-06-05T18:19:34Z</dcterms:created>
  <dcterms:modified xsi:type="dcterms:W3CDTF">2025-11-06T08:11:04Z</dcterms:modified>
</cp:coreProperties>
</file>