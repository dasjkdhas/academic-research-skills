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/>
  <workbookPr/>
  <mc:AlternateContent xmlns:mc="http://schemas.openxmlformats.org/markup-compatibility/2006">
    <mc:Choice Requires="x15">
      <x15ac:absPath xmlns:x15ac="http://schemas.microsoft.com/office/spreadsheetml/2010/11/ac" url="G:\.shortcut-targets-by-id\1l1VcZN8YE9eslpRm5rO9-j21e_9bQb4h\建築設備－三浦研究室\学生別\江藤澄香\ゼミ\20251008個別ゼミ\"/>
    </mc:Choice>
  </mc:AlternateContent>
  <xr:revisionPtr revIDLastSave="0" documentId="13_ncr:1_{C0416E1E-9953-4257-B29A-A791A2B6DBA3}" xr6:coauthVersionLast="36" xr6:coauthVersionMax="47" xr10:uidLastSave="{00000000-0000-0000-0000-000000000000}"/>
  <bookViews>
    <workbookView xWindow="0" yWindow="0" windowWidth="28800" windowHeight="12015" activeTab="3" xr2:uid="{00000000-000D-0000-FFFF-FFFF00000000}"/>
  </bookViews>
  <sheets>
    <sheet name="元データ" sheetId="1" r:id="rId1"/>
    <sheet name="反転" sheetId="3" r:id="rId2"/>
    <sheet name="電力量" sheetId="2" r:id="rId3"/>
    <sheet name="電力使用量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83" i="4" l="1"/>
  <c r="G384" i="4"/>
  <c r="G385" i="4"/>
  <c r="G386" i="4"/>
  <c r="C183" i="4"/>
  <c r="B54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M582" i="4" l="1"/>
  <c r="M583" i="4"/>
  <c r="M584" i="4"/>
  <c r="M585" i="4"/>
  <c r="B370" i="4"/>
  <c r="B371" i="4"/>
  <c r="B372" i="4"/>
  <c r="B373" i="4"/>
  <c r="N344" i="4"/>
  <c r="N345" i="4"/>
  <c r="N346" i="4"/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B216" i="4"/>
  <c r="L134" i="4"/>
  <c r="G100" i="4"/>
  <c r="B4" i="4" l="1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B100" i="4"/>
  <c r="C100" i="4"/>
  <c r="D100" i="4"/>
  <c r="E100" i="4"/>
  <c r="F100" i="4"/>
  <c r="H100" i="4"/>
  <c r="I100" i="4"/>
  <c r="J100" i="4"/>
  <c r="K100" i="4"/>
  <c r="L100" i="4"/>
  <c r="M100" i="4"/>
  <c r="N100" i="4"/>
  <c r="O100" i="4"/>
  <c r="P100" i="4"/>
  <c r="Q100" i="4"/>
  <c r="R100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B134" i="4"/>
  <c r="C134" i="4"/>
  <c r="D134" i="4"/>
  <c r="E134" i="4"/>
  <c r="F134" i="4"/>
  <c r="G134" i="4"/>
  <c r="H134" i="4"/>
  <c r="I134" i="4"/>
  <c r="J134" i="4"/>
  <c r="K134" i="4"/>
  <c r="M134" i="4"/>
  <c r="N134" i="4"/>
  <c r="O134" i="4"/>
  <c r="P134" i="4"/>
  <c r="Q134" i="4"/>
  <c r="R134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O145" i="4"/>
  <c r="P145" i="4"/>
  <c r="Q145" i="4"/>
  <c r="R145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O146" i="4"/>
  <c r="P146" i="4"/>
  <c r="Q146" i="4"/>
  <c r="R146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O147" i="4"/>
  <c r="P147" i="4"/>
  <c r="Q147" i="4"/>
  <c r="R147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O148" i="4"/>
  <c r="P148" i="4"/>
  <c r="Q148" i="4"/>
  <c r="R148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O149" i="4"/>
  <c r="P149" i="4"/>
  <c r="Q149" i="4"/>
  <c r="R149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O150" i="4"/>
  <c r="P150" i="4"/>
  <c r="Q150" i="4"/>
  <c r="R150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O152" i="4"/>
  <c r="P152" i="4"/>
  <c r="Q152" i="4"/>
  <c r="R152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O153" i="4"/>
  <c r="P153" i="4"/>
  <c r="Q153" i="4"/>
  <c r="R153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O154" i="4"/>
  <c r="P154" i="4"/>
  <c r="Q154" i="4"/>
  <c r="R154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O156" i="4"/>
  <c r="P156" i="4"/>
  <c r="Q156" i="4"/>
  <c r="R156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O157" i="4"/>
  <c r="P157" i="4"/>
  <c r="Q157" i="4"/>
  <c r="R157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O159" i="4"/>
  <c r="P159" i="4"/>
  <c r="Q159" i="4"/>
  <c r="R159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O160" i="4"/>
  <c r="P160" i="4"/>
  <c r="Q160" i="4"/>
  <c r="R160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O161" i="4"/>
  <c r="P161" i="4"/>
  <c r="Q161" i="4"/>
  <c r="R161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O162" i="4"/>
  <c r="P162" i="4"/>
  <c r="Q162" i="4"/>
  <c r="R162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O163" i="4"/>
  <c r="P163" i="4"/>
  <c r="Q163" i="4"/>
  <c r="R163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O164" i="4"/>
  <c r="P164" i="4"/>
  <c r="Q164" i="4"/>
  <c r="R164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O165" i="4"/>
  <c r="P165" i="4"/>
  <c r="Q165" i="4"/>
  <c r="R165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O166" i="4"/>
  <c r="P166" i="4"/>
  <c r="Q166" i="4"/>
  <c r="R166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O167" i="4"/>
  <c r="P167" i="4"/>
  <c r="Q167" i="4"/>
  <c r="R167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O168" i="4"/>
  <c r="P168" i="4"/>
  <c r="Q168" i="4"/>
  <c r="R168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O169" i="4"/>
  <c r="P169" i="4"/>
  <c r="Q169" i="4"/>
  <c r="R169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O170" i="4"/>
  <c r="P170" i="4"/>
  <c r="Q170" i="4"/>
  <c r="R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O171" i="4"/>
  <c r="P171" i="4"/>
  <c r="Q171" i="4"/>
  <c r="R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O172" i="4"/>
  <c r="P172" i="4"/>
  <c r="Q172" i="4"/>
  <c r="R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Q173" i="4"/>
  <c r="R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O174" i="4"/>
  <c r="P174" i="4"/>
  <c r="Q174" i="4"/>
  <c r="R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R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R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Q177" i="4"/>
  <c r="R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R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O179" i="4"/>
  <c r="P179" i="4"/>
  <c r="Q179" i="4"/>
  <c r="R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O180" i="4"/>
  <c r="P180" i="4"/>
  <c r="Q180" i="4"/>
  <c r="R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O181" i="4"/>
  <c r="P181" i="4"/>
  <c r="Q181" i="4"/>
  <c r="R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R182" i="4"/>
  <c r="B183" i="4"/>
  <c r="D183" i="4"/>
  <c r="E183" i="4"/>
  <c r="F183" i="4"/>
  <c r="G183" i="4"/>
  <c r="H183" i="4"/>
  <c r="I183" i="4"/>
  <c r="J183" i="4"/>
  <c r="K183" i="4"/>
  <c r="L183" i="4"/>
  <c r="M183" i="4"/>
  <c r="N183" i="4"/>
  <c r="O183" i="4"/>
  <c r="P183" i="4"/>
  <c r="Q183" i="4"/>
  <c r="R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R184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O185" i="4"/>
  <c r="P185" i="4"/>
  <c r="Q185" i="4"/>
  <c r="R185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O186" i="4"/>
  <c r="P186" i="4"/>
  <c r="Q186" i="4"/>
  <c r="R186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O187" i="4"/>
  <c r="P187" i="4"/>
  <c r="Q187" i="4"/>
  <c r="R187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O188" i="4"/>
  <c r="P188" i="4"/>
  <c r="Q188" i="4"/>
  <c r="R188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O189" i="4"/>
  <c r="P189" i="4"/>
  <c r="Q189" i="4"/>
  <c r="R189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O190" i="4"/>
  <c r="P190" i="4"/>
  <c r="Q190" i="4"/>
  <c r="R190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O191" i="4"/>
  <c r="P191" i="4"/>
  <c r="Q191" i="4"/>
  <c r="R191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O192" i="4"/>
  <c r="P192" i="4"/>
  <c r="Q192" i="4"/>
  <c r="R192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O193" i="4"/>
  <c r="P193" i="4"/>
  <c r="Q193" i="4"/>
  <c r="R193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O194" i="4"/>
  <c r="P194" i="4"/>
  <c r="Q194" i="4"/>
  <c r="R194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O195" i="4"/>
  <c r="P195" i="4"/>
  <c r="Q195" i="4"/>
  <c r="R195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O196" i="4"/>
  <c r="P196" i="4"/>
  <c r="Q196" i="4"/>
  <c r="R196" i="4"/>
  <c r="B197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O197" i="4"/>
  <c r="P197" i="4"/>
  <c r="Q197" i="4"/>
  <c r="R197" i="4"/>
  <c r="B198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O198" i="4"/>
  <c r="P198" i="4"/>
  <c r="Q198" i="4"/>
  <c r="R198" i="4"/>
  <c r="B199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O199" i="4"/>
  <c r="P199" i="4"/>
  <c r="Q199" i="4"/>
  <c r="R199" i="4"/>
  <c r="B200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O200" i="4"/>
  <c r="P200" i="4"/>
  <c r="Q200" i="4"/>
  <c r="R200" i="4"/>
  <c r="B201" i="4"/>
  <c r="C201" i="4"/>
  <c r="D201" i="4"/>
  <c r="E201" i="4"/>
  <c r="F201" i="4"/>
  <c r="G201" i="4"/>
  <c r="H201" i="4"/>
  <c r="I201" i="4"/>
  <c r="J201" i="4"/>
  <c r="K201" i="4"/>
  <c r="L201" i="4"/>
  <c r="M201" i="4"/>
  <c r="N201" i="4"/>
  <c r="O201" i="4"/>
  <c r="P201" i="4"/>
  <c r="Q201" i="4"/>
  <c r="R201" i="4"/>
  <c r="B202" i="4"/>
  <c r="C202" i="4"/>
  <c r="D202" i="4"/>
  <c r="E202" i="4"/>
  <c r="F202" i="4"/>
  <c r="G202" i="4"/>
  <c r="H202" i="4"/>
  <c r="I202" i="4"/>
  <c r="J202" i="4"/>
  <c r="K202" i="4"/>
  <c r="L202" i="4"/>
  <c r="M202" i="4"/>
  <c r="N202" i="4"/>
  <c r="O202" i="4"/>
  <c r="P202" i="4"/>
  <c r="Q202" i="4"/>
  <c r="R202" i="4"/>
  <c r="B203" i="4"/>
  <c r="C203" i="4"/>
  <c r="D203" i="4"/>
  <c r="E203" i="4"/>
  <c r="F203" i="4"/>
  <c r="G203" i="4"/>
  <c r="H203" i="4"/>
  <c r="I203" i="4"/>
  <c r="J203" i="4"/>
  <c r="K203" i="4"/>
  <c r="L203" i="4"/>
  <c r="M203" i="4"/>
  <c r="N203" i="4"/>
  <c r="O203" i="4"/>
  <c r="P203" i="4"/>
  <c r="Q203" i="4"/>
  <c r="R203" i="4"/>
  <c r="B204" i="4"/>
  <c r="C204" i="4"/>
  <c r="D204" i="4"/>
  <c r="E204" i="4"/>
  <c r="F204" i="4"/>
  <c r="G204" i="4"/>
  <c r="H204" i="4"/>
  <c r="I204" i="4"/>
  <c r="J204" i="4"/>
  <c r="K204" i="4"/>
  <c r="L204" i="4"/>
  <c r="M204" i="4"/>
  <c r="N204" i="4"/>
  <c r="O204" i="4"/>
  <c r="P204" i="4"/>
  <c r="Q204" i="4"/>
  <c r="R204" i="4"/>
  <c r="B205" i="4"/>
  <c r="C205" i="4"/>
  <c r="D205" i="4"/>
  <c r="E205" i="4"/>
  <c r="F205" i="4"/>
  <c r="G205" i="4"/>
  <c r="H205" i="4"/>
  <c r="I205" i="4"/>
  <c r="J205" i="4"/>
  <c r="K205" i="4"/>
  <c r="L205" i="4"/>
  <c r="M205" i="4"/>
  <c r="N205" i="4"/>
  <c r="O205" i="4"/>
  <c r="P205" i="4"/>
  <c r="Q205" i="4"/>
  <c r="R205" i="4"/>
  <c r="B206" i="4"/>
  <c r="C206" i="4"/>
  <c r="D206" i="4"/>
  <c r="E206" i="4"/>
  <c r="F206" i="4"/>
  <c r="G206" i="4"/>
  <c r="H206" i="4"/>
  <c r="I206" i="4"/>
  <c r="J206" i="4"/>
  <c r="K206" i="4"/>
  <c r="L206" i="4"/>
  <c r="M206" i="4"/>
  <c r="N206" i="4"/>
  <c r="O206" i="4"/>
  <c r="P206" i="4"/>
  <c r="Q206" i="4"/>
  <c r="R206" i="4"/>
  <c r="B207" i="4"/>
  <c r="C207" i="4"/>
  <c r="D207" i="4"/>
  <c r="E207" i="4"/>
  <c r="F207" i="4"/>
  <c r="G207" i="4"/>
  <c r="H207" i="4"/>
  <c r="I207" i="4"/>
  <c r="J207" i="4"/>
  <c r="K207" i="4"/>
  <c r="L207" i="4"/>
  <c r="M207" i="4"/>
  <c r="N207" i="4"/>
  <c r="O207" i="4"/>
  <c r="P207" i="4"/>
  <c r="Q207" i="4"/>
  <c r="R207" i="4"/>
  <c r="B208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O208" i="4"/>
  <c r="P208" i="4"/>
  <c r="Q208" i="4"/>
  <c r="R208" i="4"/>
  <c r="B209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O209" i="4"/>
  <c r="P209" i="4"/>
  <c r="Q209" i="4"/>
  <c r="R209" i="4"/>
  <c r="B210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O210" i="4"/>
  <c r="P210" i="4"/>
  <c r="Q210" i="4"/>
  <c r="R210" i="4"/>
  <c r="B211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O211" i="4"/>
  <c r="P211" i="4"/>
  <c r="Q211" i="4"/>
  <c r="R211" i="4"/>
  <c r="B212" i="4"/>
  <c r="C212" i="4"/>
  <c r="D212" i="4"/>
  <c r="E212" i="4"/>
  <c r="F212" i="4"/>
  <c r="G212" i="4"/>
  <c r="H212" i="4"/>
  <c r="I212" i="4"/>
  <c r="J212" i="4"/>
  <c r="K212" i="4"/>
  <c r="L212" i="4"/>
  <c r="M212" i="4"/>
  <c r="N212" i="4"/>
  <c r="O212" i="4"/>
  <c r="P212" i="4"/>
  <c r="Q212" i="4"/>
  <c r="R212" i="4"/>
  <c r="B213" i="4"/>
  <c r="C213" i="4"/>
  <c r="D213" i="4"/>
  <c r="E213" i="4"/>
  <c r="F213" i="4"/>
  <c r="G213" i="4"/>
  <c r="H213" i="4"/>
  <c r="I213" i="4"/>
  <c r="J213" i="4"/>
  <c r="K213" i="4"/>
  <c r="L213" i="4"/>
  <c r="M213" i="4"/>
  <c r="N213" i="4"/>
  <c r="O213" i="4"/>
  <c r="P213" i="4"/>
  <c r="Q213" i="4"/>
  <c r="R213" i="4"/>
  <c r="B214" i="4"/>
  <c r="C214" i="4"/>
  <c r="D214" i="4"/>
  <c r="E214" i="4"/>
  <c r="F214" i="4"/>
  <c r="G214" i="4"/>
  <c r="H214" i="4"/>
  <c r="I214" i="4"/>
  <c r="J214" i="4"/>
  <c r="K214" i="4"/>
  <c r="L214" i="4"/>
  <c r="M214" i="4"/>
  <c r="N214" i="4"/>
  <c r="O214" i="4"/>
  <c r="P214" i="4"/>
  <c r="Q214" i="4"/>
  <c r="R214" i="4"/>
  <c r="B215" i="4"/>
  <c r="C215" i="4"/>
  <c r="D215" i="4"/>
  <c r="E215" i="4"/>
  <c r="F215" i="4"/>
  <c r="G215" i="4"/>
  <c r="H215" i="4"/>
  <c r="I215" i="4"/>
  <c r="J215" i="4"/>
  <c r="K215" i="4"/>
  <c r="L215" i="4"/>
  <c r="M215" i="4"/>
  <c r="N215" i="4"/>
  <c r="O215" i="4"/>
  <c r="P215" i="4"/>
  <c r="Q215" i="4"/>
  <c r="R215" i="4"/>
  <c r="C216" i="4"/>
  <c r="D216" i="4"/>
  <c r="E216" i="4"/>
  <c r="F216" i="4"/>
  <c r="G216" i="4"/>
  <c r="H216" i="4"/>
  <c r="I216" i="4"/>
  <c r="J216" i="4"/>
  <c r="K216" i="4"/>
  <c r="L216" i="4"/>
  <c r="M216" i="4"/>
  <c r="N216" i="4"/>
  <c r="O216" i="4"/>
  <c r="P216" i="4"/>
  <c r="Q216" i="4"/>
  <c r="R216" i="4"/>
  <c r="B217" i="4"/>
  <c r="C217" i="4"/>
  <c r="D217" i="4"/>
  <c r="E217" i="4"/>
  <c r="F217" i="4"/>
  <c r="G217" i="4"/>
  <c r="H217" i="4"/>
  <c r="I217" i="4"/>
  <c r="J217" i="4"/>
  <c r="K217" i="4"/>
  <c r="L217" i="4"/>
  <c r="M217" i="4"/>
  <c r="N217" i="4"/>
  <c r="O217" i="4"/>
  <c r="P217" i="4"/>
  <c r="Q217" i="4"/>
  <c r="R217" i="4"/>
  <c r="B218" i="4"/>
  <c r="C218" i="4"/>
  <c r="D218" i="4"/>
  <c r="E218" i="4"/>
  <c r="F218" i="4"/>
  <c r="G218" i="4"/>
  <c r="H218" i="4"/>
  <c r="I218" i="4"/>
  <c r="J218" i="4"/>
  <c r="K218" i="4"/>
  <c r="L218" i="4"/>
  <c r="M218" i="4"/>
  <c r="N218" i="4"/>
  <c r="O218" i="4"/>
  <c r="P218" i="4"/>
  <c r="Q218" i="4"/>
  <c r="R218" i="4"/>
  <c r="B219" i="4"/>
  <c r="C219" i="4"/>
  <c r="D219" i="4"/>
  <c r="E219" i="4"/>
  <c r="F219" i="4"/>
  <c r="G219" i="4"/>
  <c r="H219" i="4"/>
  <c r="I219" i="4"/>
  <c r="J219" i="4"/>
  <c r="K219" i="4"/>
  <c r="L219" i="4"/>
  <c r="M219" i="4"/>
  <c r="N219" i="4"/>
  <c r="O219" i="4"/>
  <c r="P219" i="4"/>
  <c r="Q219" i="4"/>
  <c r="R219" i="4"/>
  <c r="B220" i="4"/>
  <c r="C220" i="4"/>
  <c r="D220" i="4"/>
  <c r="E220" i="4"/>
  <c r="F220" i="4"/>
  <c r="G220" i="4"/>
  <c r="H220" i="4"/>
  <c r="I220" i="4"/>
  <c r="J220" i="4"/>
  <c r="K220" i="4"/>
  <c r="L220" i="4"/>
  <c r="M220" i="4"/>
  <c r="N220" i="4"/>
  <c r="O220" i="4"/>
  <c r="P220" i="4"/>
  <c r="Q220" i="4"/>
  <c r="R220" i="4"/>
  <c r="B221" i="4"/>
  <c r="C221" i="4"/>
  <c r="D221" i="4"/>
  <c r="E221" i="4"/>
  <c r="F221" i="4"/>
  <c r="G221" i="4"/>
  <c r="H221" i="4"/>
  <c r="I221" i="4"/>
  <c r="J221" i="4"/>
  <c r="K221" i="4"/>
  <c r="L221" i="4"/>
  <c r="M221" i="4"/>
  <c r="N221" i="4"/>
  <c r="O221" i="4"/>
  <c r="P221" i="4"/>
  <c r="Q221" i="4"/>
  <c r="R221" i="4"/>
  <c r="B222" i="4"/>
  <c r="C222" i="4"/>
  <c r="D222" i="4"/>
  <c r="E222" i="4"/>
  <c r="F222" i="4"/>
  <c r="G222" i="4"/>
  <c r="H222" i="4"/>
  <c r="I222" i="4"/>
  <c r="J222" i="4"/>
  <c r="K222" i="4"/>
  <c r="L222" i="4"/>
  <c r="M222" i="4"/>
  <c r="N222" i="4"/>
  <c r="O222" i="4"/>
  <c r="P222" i="4"/>
  <c r="Q222" i="4"/>
  <c r="R222" i="4"/>
  <c r="B223" i="4"/>
  <c r="C223" i="4"/>
  <c r="D223" i="4"/>
  <c r="E223" i="4"/>
  <c r="F223" i="4"/>
  <c r="G223" i="4"/>
  <c r="H223" i="4"/>
  <c r="I223" i="4"/>
  <c r="J223" i="4"/>
  <c r="K223" i="4"/>
  <c r="L223" i="4"/>
  <c r="M223" i="4"/>
  <c r="N223" i="4"/>
  <c r="O223" i="4"/>
  <c r="P223" i="4"/>
  <c r="Q223" i="4"/>
  <c r="R223" i="4"/>
  <c r="B224" i="4"/>
  <c r="C224" i="4"/>
  <c r="D224" i="4"/>
  <c r="E224" i="4"/>
  <c r="F224" i="4"/>
  <c r="G224" i="4"/>
  <c r="H224" i="4"/>
  <c r="I224" i="4"/>
  <c r="J224" i="4"/>
  <c r="K224" i="4"/>
  <c r="L224" i="4"/>
  <c r="M224" i="4"/>
  <c r="N224" i="4"/>
  <c r="O224" i="4"/>
  <c r="P224" i="4"/>
  <c r="Q224" i="4"/>
  <c r="R224" i="4"/>
  <c r="B225" i="4"/>
  <c r="C225" i="4"/>
  <c r="D225" i="4"/>
  <c r="E225" i="4"/>
  <c r="F225" i="4"/>
  <c r="G225" i="4"/>
  <c r="H225" i="4"/>
  <c r="I225" i="4"/>
  <c r="J225" i="4"/>
  <c r="K225" i="4"/>
  <c r="L225" i="4"/>
  <c r="M225" i="4"/>
  <c r="N225" i="4"/>
  <c r="O225" i="4"/>
  <c r="P225" i="4"/>
  <c r="Q225" i="4"/>
  <c r="R225" i="4"/>
  <c r="B226" i="4"/>
  <c r="C226" i="4"/>
  <c r="D226" i="4"/>
  <c r="E226" i="4"/>
  <c r="F226" i="4"/>
  <c r="G226" i="4"/>
  <c r="H226" i="4"/>
  <c r="I226" i="4"/>
  <c r="J226" i="4"/>
  <c r="K226" i="4"/>
  <c r="L226" i="4"/>
  <c r="M226" i="4"/>
  <c r="N226" i="4"/>
  <c r="O226" i="4"/>
  <c r="P226" i="4"/>
  <c r="Q226" i="4"/>
  <c r="R226" i="4"/>
  <c r="B227" i="4"/>
  <c r="C227" i="4"/>
  <c r="D227" i="4"/>
  <c r="E227" i="4"/>
  <c r="F227" i="4"/>
  <c r="G227" i="4"/>
  <c r="H227" i="4"/>
  <c r="I227" i="4"/>
  <c r="J227" i="4"/>
  <c r="K227" i="4"/>
  <c r="L227" i="4"/>
  <c r="M227" i="4"/>
  <c r="N227" i="4"/>
  <c r="O227" i="4"/>
  <c r="P227" i="4"/>
  <c r="Q227" i="4"/>
  <c r="R227" i="4"/>
  <c r="B228" i="4"/>
  <c r="C228" i="4"/>
  <c r="D228" i="4"/>
  <c r="E228" i="4"/>
  <c r="F228" i="4"/>
  <c r="G228" i="4"/>
  <c r="H228" i="4"/>
  <c r="I228" i="4"/>
  <c r="J228" i="4"/>
  <c r="K228" i="4"/>
  <c r="L228" i="4"/>
  <c r="M228" i="4"/>
  <c r="N228" i="4"/>
  <c r="O228" i="4"/>
  <c r="P228" i="4"/>
  <c r="Q228" i="4"/>
  <c r="R228" i="4"/>
  <c r="B229" i="4"/>
  <c r="C229" i="4"/>
  <c r="D229" i="4"/>
  <c r="E229" i="4"/>
  <c r="F229" i="4"/>
  <c r="G229" i="4"/>
  <c r="H229" i="4"/>
  <c r="I229" i="4"/>
  <c r="J229" i="4"/>
  <c r="K229" i="4"/>
  <c r="L229" i="4"/>
  <c r="M229" i="4"/>
  <c r="N229" i="4"/>
  <c r="O229" i="4"/>
  <c r="P229" i="4"/>
  <c r="Q229" i="4"/>
  <c r="R229" i="4"/>
  <c r="B230" i="4"/>
  <c r="C230" i="4"/>
  <c r="D230" i="4"/>
  <c r="E230" i="4"/>
  <c r="F230" i="4"/>
  <c r="G230" i="4"/>
  <c r="H230" i="4"/>
  <c r="I230" i="4"/>
  <c r="J230" i="4"/>
  <c r="K230" i="4"/>
  <c r="L230" i="4"/>
  <c r="M230" i="4"/>
  <c r="N230" i="4"/>
  <c r="O230" i="4"/>
  <c r="P230" i="4"/>
  <c r="Q230" i="4"/>
  <c r="R230" i="4"/>
  <c r="B231" i="4"/>
  <c r="C231" i="4"/>
  <c r="D231" i="4"/>
  <c r="E231" i="4"/>
  <c r="F231" i="4"/>
  <c r="G231" i="4"/>
  <c r="H231" i="4"/>
  <c r="I231" i="4"/>
  <c r="J231" i="4"/>
  <c r="K231" i="4"/>
  <c r="L231" i="4"/>
  <c r="M231" i="4"/>
  <c r="N231" i="4"/>
  <c r="O231" i="4"/>
  <c r="P231" i="4"/>
  <c r="Q231" i="4"/>
  <c r="R231" i="4"/>
  <c r="B232" i="4"/>
  <c r="C232" i="4"/>
  <c r="D232" i="4"/>
  <c r="E232" i="4"/>
  <c r="F232" i="4"/>
  <c r="G232" i="4"/>
  <c r="H232" i="4"/>
  <c r="I232" i="4"/>
  <c r="J232" i="4"/>
  <c r="K232" i="4"/>
  <c r="L232" i="4"/>
  <c r="M232" i="4"/>
  <c r="N232" i="4"/>
  <c r="O232" i="4"/>
  <c r="P232" i="4"/>
  <c r="Q232" i="4"/>
  <c r="R232" i="4"/>
  <c r="B233" i="4"/>
  <c r="C233" i="4"/>
  <c r="D233" i="4"/>
  <c r="E233" i="4"/>
  <c r="F233" i="4"/>
  <c r="G233" i="4"/>
  <c r="H233" i="4"/>
  <c r="I233" i="4"/>
  <c r="J233" i="4"/>
  <c r="K233" i="4"/>
  <c r="L233" i="4"/>
  <c r="M233" i="4"/>
  <c r="N233" i="4"/>
  <c r="O233" i="4"/>
  <c r="P233" i="4"/>
  <c r="Q233" i="4"/>
  <c r="R233" i="4"/>
  <c r="B234" i="4"/>
  <c r="C234" i="4"/>
  <c r="D234" i="4"/>
  <c r="E234" i="4"/>
  <c r="F234" i="4"/>
  <c r="G234" i="4"/>
  <c r="H234" i="4"/>
  <c r="I234" i="4"/>
  <c r="J234" i="4"/>
  <c r="K234" i="4"/>
  <c r="L234" i="4"/>
  <c r="M234" i="4"/>
  <c r="N234" i="4"/>
  <c r="O234" i="4"/>
  <c r="P234" i="4"/>
  <c r="Q234" i="4"/>
  <c r="R234" i="4"/>
  <c r="B235" i="4"/>
  <c r="C235" i="4"/>
  <c r="D235" i="4"/>
  <c r="E235" i="4"/>
  <c r="F235" i="4"/>
  <c r="G235" i="4"/>
  <c r="H235" i="4"/>
  <c r="I235" i="4"/>
  <c r="J235" i="4"/>
  <c r="K235" i="4"/>
  <c r="L235" i="4"/>
  <c r="M235" i="4"/>
  <c r="N235" i="4"/>
  <c r="O235" i="4"/>
  <c r="P235" i="4"/>
  <c r="Q235" i="4"/>
  <c r="R235" i="4"/>
  <c r="B236" i="4"/>
  <c r="C236" i="4"/>
  <c r="D236" i="4"/>
  <c r="E236" i="4"/>
  <c r="F236" i="4"/>
  <c r="G236" i="4"/>
  <c r="H236" i="4"/>
  <c r="I236" i="4"/>
  <c r="J236" i="4"/>
  <c r="K236" i="4"/>
  <c r="L236" i="4"/>
  <c r="M236" i="4"/>
  <c r="N236" i="4"/>
  <c r="O236" i="4"/>
  <c r="P236" i="4"/>
  <c r="Q236" i="4"/>
  <c r="R236" i="4"/>
  <c r="B237" i="4"/>
  <c r="C237" i="4"/>
  <c r="D237" i="4"/>
  <c r="E237" i="4"/>
  <c r="F237" i="4"/>
  <c r="G237" i="4"/>
  <c r="H237" i="4"/>
  <c r="I237" i="4"/>
  <c r="J237" i="4"/>
  <c r="K237" i="4"/>
  <c r="L237" i="4"/>
  <c r="M237" i="4"/>
  <c r="N237" i="4"/>
  <c r="O237" i="4"/>
  <c r="P237" i="4"/>
  <c r="Q237" i="4"/>
  <c r="R237" i="4"/>
  <c r="B238" i="4"/>
  <c r="C238" i="4"/>
  <c r="D238" i="4"/>
  <c r="E238" i="4"/>
  <c r="F238" i="4"/>
  <c r="G238" i="4"/>
  <c r="H238" i="4"/>
  <c r="I238" i="4"/>
  <c r="J238" i="4"/>
  <c r="K238" i="4"/>
  <c r="L238" i="4"/>
  <c r="M238" i="4"/>
  <c r="N238" i="4"/>
  <c r="O238" i="4"/>
  <c r="P238" i="4"/>
  <c r="Q238" i="4"/>
  <c r="R238" i="4"/>
  <c r="B239" i="4"/>
  <c r="C239" i="4"/>
  <c r="D239" i="4"/>
  <c r="E239" i="4"/>
  <c r="F239" i="4"/>
  <c r="G239" i="4"/>
  <c r="H239" i="4"/>
  <c r="I239" i="4"/>
  <c r="J239" i="4"/>
  <c r="K239" i="4"/>
  <c r="L239" i="4"/>
  <c r="M239" i="4"/>
  <c r="N239" i="4"/>
  <c r="O239" i="4"/>
  <c r="P239" i="4"/>
  <c r="Q239" i="4"/>
  <c r="R239" i="4"/>
  <c r="B240" i="4"/>
  <c r="C240" i="4"/>
  <c r="D240" i="4"/>
  <c r="E240" i="4"/>
  <c r="F240" i="4"/>
  <c r="G240" i="4"/>
  <c r="H240" i="4"/>
  <c r="I240" i="4"/>
  <c r="J240" i="4"/>
  <c r="K240" i="4"/>
  <c r="L240" i="4"/>
  <c r="M240" i="4"/>
  <c r="N240" i="4"/>
  <c r="O240" i="4"/>
  <c r="P240" i="4"/>
  <c r="Q240" i="4"/>
  <c r="R240" i="4"/>
  <c r="B241" i="4"/>
  <c r="C241" i="4"/>
  <c r="D241" i="4"/>
  <c r="E241" i="4"/>
  <c r="F241" i="4"/>
  <c r="G241" i="4"/>
  <c r="H241" i="4"/>
  <c r="I241" i="4"/>
  <c r="J241" i="4"/>
  <c r="K241" i="4"/>
  <c r="L241" i="4"/>
  <c r="M241" i="4"/>
  <c r="N241" i="4"/>
  <c r="O241" i="4"/>
  <c r="P241" i="4"/>
  <c r="Q241" i="4"/>
  <c r="R241" i="4"/>
  <c r="B242" i="4"/>
  <c r="C242" i="4"/>
  <c r="D242" i="4"/>
  <c r="E242" i="4"/>
  <c r="F242" i="4"/>
  <c r="G242" i="4"/>
  <c r="H242" i="4"/>
  <c r="I242" i="4"/>
  <c r="J242" i="4"/>
  <c r="K242" i="4"/>
  <c r="L242" i="4"/>
  <c r="M242" i="4"/>
  <c r="N242" i="4"/>
  <c r="O242" i="4"/>
  <c r="P242" i="4"/>
  <c r="Q242" i="4"/>
  <c r="R242" i="4"/>
  <c r="B243" i="4"/>
  <c r="C243" i="4"/>
  <c r="D243" i="4"/>
  <c r="E243" i="4"/>
  <c r="F243" i="4"/>
  <c r="G243" i="4"/>
  <c r="H243" i="4"/>
  <c r="I243" i="4"/>
  <c r="J243" i="4"/>
  <c r="K243" i="4"/>
  <c r="L243" i="4"/>
  <c r="M243" i="4"/>
  <c r="N243" i="4"/>
  <c r="O243" i="4"/>
  <c r="P243" i="4"/>
  <c r="Q243" i="4"/>
  <c r="R243" i="4"/>
  <c r="B244" i="4"/>
  <c r="C244" i="4"/>
  <c r="D244" i="4"/>
  <c r="E244" i="4"/>
  <c r="F244" i="4"/>
  <c r="G244" i="4"/>
  <c r="H244" i="4"/>
  <c r="I244" i="4"/>
  <c r="J244" i="4"/>
  <c r="K244" i="4"/>
  <c r="L244" i="4"/>
  <c r="M244" i="4"/>
  <c r="N244" i="4"/>
  <c r="O244" i="4"/>
  <c r="P244" i="4"/>
  <c r="Q244" i="4"/>
  <c r="R244" i="4"/>
  <c r="B245" i="4"/>
  <c r="C245" i="4"/>
  <c r="D245" i="4"/>
  <c r="E245" i="4"/>
  <c r="F245" i="4"/>
  <c r="G245" i="4"/>
  <c r="H245" i="4"/>
  <c r="I245" i="4"/>
  <c r="J245" i="4"/>
  <c r="K245" i="4"/>
  <c r="L245" i="4"/>
  <c r="M245" i="4"/>
  <c r="N245" i="4"/>
  <c r="O245" i="4"/>
  <c r="P245" i="4"/>
  <c r="Q245" i="4"/>
  <c r="R245" i="4"/>
  <c r="B246" i="4"/>
  <c r="C246" i="4"/>
  <c r="D246" i="4"/>
  <c r="E246" i="4"/>
  <c r="F246" i="4"/>
  <c r="G246" i="4"/>
  <c r="H246" i="4"/>
  <c r="I246" i="4"/>
  <c r="J246" i="4"/>
  <c r="K246" i="4"/>
  <c r="L246" i="4"/>
  <c r="M246" i="4"/>
  <c r="N246" i="4"/>
  <c r="O246" i="4"/>
  <c r="P246" i="4"/>
  <c r="Q246" i="4"/>
  <c r="R246" i="4"/>
  <c r="B247" i="4"/>
  <c r="C247" i="4"/>
  <c r="D247" i="4"/>
  <c r="E247" i="4"/>
  <c r="F247" i="4"/>
  <c r="G247" i="4"/>
  <c r="H247" i="4"/>
  <c r="I247" i="4"/>
  <c r="J247" i="4"/>
  <c r="K247" i="4"/>
  <c r="L247" i="4"/>
  <c r="M247" i="4"/>
  <c r="N247" i="4"/>
  <c r="O247" i="4"/>
  <c r="P247" i="4"/>
  <c r="Q247" i="4"/>
  <c r="R247" i="4"/>
  <c r="B248" i="4"/>
  <c r="C248" i="4"/>
  <c r="D248" i="4"/>
  <c r="E248" i="4"/>
  <c r="F248" i="4"/>
  <c r="G248" i="4"/>
  <c r="H248" i="4"/>
  <c r="I248" i="4"/>
  <c r="J248" i="4"/>
  <c r="K248" i="4"/>
  <c r="L248" i="4"/>
  <c r="M248" i="4"/>
  <c r="N248" i="4"/>
  <c r="O248" i="4"/>
  <c r="P248" i="4"/>
  <c r="Q248" i="4"/>
  <c r="R248" i="4"/>
  <c r="B249" i="4"/>
  <c r="C249" i="4"/>
  <c r="D249" i="4"/>
  <c r="E249" i="4"/>
  <c r="F249" i="4"/>
  <c r="G249" i="4"/>
  <c r="H249" i="4"/>
  <c r="I249" i="4"/>
  <c r="J249" i="4"/>
  <c r="K249" i="4"/>
  <c r="L249" i="4"/>
  <c r="M249" i="4"/>
  <c r="N249" i="4"/>
  <c r="O249" i="4"/>
  <c r="P249" i="4"/>
  <c r="Q249" i="4"/>
  <c r="R249" i="4"/>
  <c r="B250" i="4"/>
  <c r="C250" i="4"/>
  <c r="D250" i="4"/>
  <c r="E250" i="4"/>
  <c r="F250" i="4"/>
  <c r="G250" i="4"/>
  <c r="H250" i="4"/>
  <c r="I250" i="4"/>
  <c r="J250" i="4"/>
  <c r="K250" i="4"/>
  <c r="L250" i="4"/>
  <c r="M250" i="4"/>
  <c r="N250" i="4"/>
  <c r="O250" i="4"/>
  <c r="P250" i="4"/>
  <c r="Q250" i="4"/>
  <c r="R250" i="4"/>
  <c r="B251" i="4"/>
  <c r="C251" i="4"/>
  <c r="D251" i="4"/>
  <c r="E251" i="4"/>
  <c r="F251" i="4"/>
  <c r="G251" i="4"/>
  <c r="H251" i="4"/>
  <c r="I251" i="4"/>
  <c r="J251" i="4"/>
  <c r="K251" i="4"/>
  <c r="L251" i="4"/>
  <c r="M251" i="4"/>
  <c r="N251" i="4"/>
  <c r="O251" i="4"/>
  <c r="P251" i="4"/>
  <c r="Q251" i="4"/>
  <c r="R251" i="4"/>
  <c r="B252" i="4"/>
  <c r="C252" i="4"/>
  <c r="D252" i="4"/>
  <c r="E252" i="4"/>
  <c r="F252" i="4"/>
  <c r="G252" i="4"/>
  <c r="H252" i="4"/>
  <c r="I252" i="4"/>
  <c r="J252" i="4"/>
  <c r="K252" i="4"/>
  <c r="L252" i="4"/>
  <c r="M252" i="4"/>
  <c r="N252" i="4"/>
  <c r="O252" i="4"/>
  <c r="P252" i="4"/>
  <c r="Q252" i="4"/>
  <c r="R252" i="4"/>
  <c r="B253" i="4"/>
  <c r="C253" i="4"/>
  <c r="D253" i="4"/>
  <c r="E253" i="4"/>
  <c r="F253" i="4"/>
  <c r="G253" i="4"/>
  <c r="H253" i="4"/>
  <c r="I253" i="4"/>
  <c r="J253" i="4"/>
  <c r="K253" i="4"/>
  <c r="L253" i="4"/>
  <c r="M253" i="4"/>
  <c r="N253" i="4"/>
  <c r="O253" i="4"/>
  <c r="P253" i="4"/>
  <c r="Q253" i="4"/>
  <c r="R253" i="4"/>
  <c r="B254" i="4"/>
  <c r="C254" i="4"/>
  <c r="D254" i="4"/>
  <c r="E254" i="4"/>
  <c r="F254" i="4"/>
  <c r="G254" i="4"/>
  <c r="H254" i="4"/>
  <c r="I254" i="4"/>
  <c r="J254" i="4"/>
  <c r="K254" i="4"/>
  <c r="L254" i="4"/>
  <c r="M254" i="4"/>
  <c r="N254" i="4"/>
  <c r="O254" i="4"/>
  <c r="P254" i="4"/>
  <c r="Q254" i="4"/>
  <c r="R254" i="4"/>
  <c r="B255" i="4"/>
  <c r="C255" i="4"/>
  <c r="D255" i="4"/>
  <c r="E255" i="4"/>
  <c r="F255" i="4"/>
  <c r="G255" i="4"/>
  <c r="H255" i="4"/>
  <c r="I255" i="4"/>
  <c r="J255" i="4"/>
  <c r="K255" i="4"/>
  <c r="L255" i="4"/>
  <c r="M255" i="4"/>
  <c r="N255" i="4"/>
  <c r="O255" i="4"/>
  <c r="P255" i="4"/>
  <c r="Q255" i="4"/>
  <c r="R255" i="4"/>
  <c r="B256" i="4"/>
  <c r="C256" i="4"/>
  <c r="D256" i="4"/>
  <c r="E256" i="4"/>
  <c r="F256" i="4"/>
  <c r="G256" i="4"/>
  <c r="H256" i="4"/>
  <c r="I256" i="4"/>
  <c r="J256" i="4"/>
  <c r="K256" i="4"/>
  <c r="L256" i="4"/>
  <c r="M256" i="4"/>
  <c r="N256" i="4"/>
  <c r="O256" i="4"/>
  <c r="P256" i="4"/>
  <c r="Q256" i="4"/>
  <c r="R256" i="4"/>
  <c r="B257" i="4"/>
  <c r="C257" i="4"/>
  <c r="D257" i="4"/>
  <c r="E257" i="4"/>
  <c r="F257" i="4"/>
  <c r="G257" i="4"/>
  <c r="H257" i="4"/>
  <c r="I257" i="4"/>
  <c r="J257" i="4"/>
  <c r="K257" i="4"/>
  <c r="L257" i="4"/>
  <c r="M257" i="4"/>
  <c r="N257" i="4"/>
  <c r="O257" i="4"/>
  <c r="P257" i="4"/>
  <c r="Q257" i="4"/>
  <c r="R257" i="4"/>
  <c r="B258" i="4"/>
  <c r="C258" i="4"/>
  <c r="D258" i="4"/>
  <c r="E258" i="4"/>
  <c r="F258" i="4"/>
  <c r="G258" i="4"/>
  <c r="H258" i="4"/>
  <c r="I258" i="4"/>
  <c r="J258" i="4"/>
  <c r="K258" i="4"/>
  <c r="L258" i="4"/>
  <c r="M258" i="4"/>
  <c r="N258" i="4"/>
  <c r="O258" i="4"/>
  <c r="P258" i="4"/>
  <c r="Q258" i="4"/>
  <c r="R258" i="4"/>
  <c r="B259" i="4"/>
  <c r="C259" i="4"/>
  <c r="D259" i="4"/>
  <c r="E259" i="4"/>
  <c r="F259" i="4"/>
  <c r="G259" i="4"/>
  <c r="H259" i="4"/>
  <c r="I259" i="4"/>
  <c r="J259" i="4"/>
  <c r="K259" i="4"/>
  <c r="L259" i="4"/>
  <c r="M259" i="4"/>
  <c r="N259" i="4"/>
  <c r="O259" i="4"/>
  <c r="P259" i="4"/>
  <c r="Q259" i="4"/>
  <c r="R259" i="4"/>
  <c r="B260" i="4"/>
  <c r="C260" i="4"/>
  <c r="D260" i="4"/>
  <c r="E260" i="4"/>
  <c r="F260" i="4"/>
  <c r="G260" i="4"/>
  <c r="H260" i="4"/>
  <c r="I260" i="4"/>
  <c r="J260" i="4"/>
  <c r="K260" i="4"/>
  <c r="L260" i="4"/>
  <c r="M260" i="4"/>
  <c r="N260" i="4"/>
  <c r="O260" i="4"/>
  <c r="P260" i="4"/>
  <c r="Q260" i="4"/>
  <c r="R260" i="4"/>
  <c r="B261" i="4"/>
  <c r="C261" i="4"/>
  <c r="D261" i="4"/>
  <c r="E261" i="4"/>
  <c r="F261" i="4"/>
  <c r="G261" i="4"/>
  <c r="H261" i="4"/>
  <c r="I261" i="4"/>
  <c r="J261" i="4"/>
  <c r="K261" i="4"/>
  <c r="L261" i="4"/>
  <c r="M261" i="4"/>
  <c r="N261" i="4"/>
  <c r="O261" i="4"/>
  <c r="P261" i="4"/>
  <c r="Q261" i="4"/>
  <c r="R261" i="4"/>
  <c r="B262" i="4"/>
  <c r="C262" i="4"/>
  <c r="D262" i="4"/>
  <c r="E262" i="4"/>
  <c r="F262" i="4"/>
  <c r="G262" i="4"/>
  <c r="H262" i="4"/>
  <c r="I262" i="4"/>
  <c r="J262" i="4"/>
  <c r="K262" i="4"/>
  <c r="L262" i="4"/>
  <c r="M262" i="4"/>
  <c r="N262" i="4"/>
  <c r="O262" i="4"/>
  <c r="P262" i="4"/>
  <c r="Q262" i="4"/>
  <c r="R262" i="4"/>
  <c r="B263" i="4"/>
  <c r="C263" i="4"/>
  <c r="D263" i="4"/>
  <c r="E263" i="4"/>
  <c r="F263" i="4"/>
  <c r="G263" i="4"/>
  <c r="H263" i="4"/>
  <c r="I263" i="4"/>
  <c r="J263" i="4"/>
  <c r="K263" i="4"/>
  <c r="L263" i="4"/>
  <c r="M263" i="4"/>
  <c r="N263" i="4"/>
  <c r="O263" i="4"/>
  <c r="P263" i="4"/>
  <c r="Q263" i="4"/>
  <c r="R263" i="4"/>
  <c r="B264" i="4"/>
  <c r="C264" i="4"/>
  <c r="D264" i="4"/>
  <c r="E264" i="4"/>
  <c r="F264" i="4"/>
  <c r="G264" i="4"/>
  <c r="H264" i="4"/>
  <c r="I264" i="4"/>
  <c r="J264" i="4"/>
  <c r="K264" i="4"/>
  <c r="L264" i="4"/>
  <c r="M264" i="4"/>
  <c r="N264" i="4"/>
  <c r="O264" i="4"/>
  <c r="P264" i="4"/>
  <c r="Q264" i="4"/>
  <c r="R264" i="4"/>
  <c r="B265" i="4"/>
  <c r="C265" i="4"/>
  <c r="D265" i="4"/>
  <c r="E265" i="4"/>
  <c r="F265" i="4"/>
  <c r="G265" i="4"/>
  <c r="H265" i="4"/>
  <c r="I265" i="4"/>
  <c r="J265" i="4"/>
  <c r="K265" i="4"/>
  <c r="L265" i="4"/>
  <c r="M265" i="4"/>
  <c r="N265" i="4"/>
  <c r="O265" i="4"/>
  <c r="P265" i="4"/>
  <c r="Q265" i="4"/>
  <c r="R265" i="4"/>
  <c r="B266" i="4"/>
  <c r="C266" i="4"/>
  <c r="D266" i="4"/>
  <c r="E266" i="4"/>
  <c r="F266" i="4"/>
  <c r="G266" i="4"/>
  <c r="H266" i="4"/>
  <c r="I266" i="4"/>
  <c r="J266" i="4"/>
  <c r="K266" i="4"/>
  <c r="L266" i="4"/>
  <c r="M266" i="4"/>
  <c r="N266" i="4"/>
  <c r="O266" i="4"/>
  <c r="P266" i="4"/>
  <c r="Q266" i="4"/>
  <c r="R266" i="4"/>
  <c r="B267" i="4"/>
  <c r="C267" i="4"/>
  <c r="D267" i="4"/>
  <c r="E267" i="4"/>
  <c r="F267" i="4"/>
  <c r="G267" i="4"/>
  <c r="H267" i="4"/>
  <c r="I267" i="4"/>
  <c r="J267" i="4"/>
  <c r="K267" i="4"/>
  <c r="L267" i="4"/>
  <c r="M267" i="4"/>
  <c r="N267" i="4"/>
  <c r="O267" i="4"/>
  <c r="P267" i="4"/>
  <c r="Q267" i="4"/>
  <c r="R267" i="4"/>
  <c r="B268" i="4"/>
  <c r="C268" i="4"/>
  <c r="D268" i="4"/>
  <c r="E268" i="4"/>
  <c r="F268" i="4"/>
  <c r="G268" i="4"/>
  <c r="H268" i="4"/>
  <c r="I268" i="4"/>
  <c r="J268" i="4"/>
  <c r="K268" i="4"/>
  <c r="L268" i="4"/>
  <c r="M268" i="4"/>
  <c r="N268" i="4"/>
  <c r="O268" i="4"/>
  <c r="P268" i="4"/>
  <c r="Q268" i="4"/>
  <c r="R268" i="4"/>
  <c r="B269" i="4"/>
  <c r="C269" i="4"/>
  <c r="D269" i="4"/>
  <c r="E269" i="4"/>
  <c r="F269" i="4"/>
  <c r="G269" i="4"/>
  <c r="H269" i="4"/>
  <c r="I269" i="4"/>
  <c r="J269" i="4"/>
  <c r="K269" i="4"/>
  <c r="L269" i="4"/>
  <c r="M269" i="4"/>
  <c r="N269" i="4"/>
  <c r="O269" i="4"/>
  <c r="P269" i="4"/>
  <c r="Q269" i="4"/>
  <c r="R269" i="4"/>
  <c r="B270" i="4"/>
  <c r="C270" i="4"/>
  <c r="D270" i="4"/>
  <c r="E270" i="4"/>
  <c r="F270" i="4"/>
  <c r="G270" i="4"/>
  <c r="H270" i="4"/>
  <c r="I270" i="4"/>
  <c r="J270" i="4"/>
  <c r="K270" i="4"/>
  <c r="L270" i="4"/>
  <c r="M270" i="4"/>
  <c r="N270" i="4"/>
  <c r="O270" i="4"/>
  <c r="P270" i="4"/>
  <c r="Q270" i="4"/>
  <c r="R270" i="4"/>
  <c r="B271" i="4"/>
  <c r="C271" i="4"/>
  <c r="D271" i="4"/>
  <c r="E271" i="4"/>
  <c r="F271" i="4"/>
  <c r="G271" i="4"/>
  <c r="H271" i="4"/>
  <c r="I271" i="4"/>
  <c r="J271" i="4"/>
  <c r="K271" i="4"/>
  <c r="L271" i="4"/>
  <c r="M271" i="4"/>
  <c r="N271" i="4"/>
  <c r="O271" i="4"/>
  <c r="P271" i="4"/>
  <c r="Q271" i="4"/>
  <c r="R271" i="4"/>
  <c r="B272" i="4"/>
  <c r="C272" i="4"/>
  <c r="D272" i="4"/>
  <c r="E272" i="4"/>
  <c r="F272" i="4"/>
  <c r="G272" i="4"/>
  <c r="H272" i="4"/>
  <c r="I272" i="4"/>
  <c r="J272" i="4"/>
  <c r="K272" i="4"/>
  <c r="L272" i="4"/>
  <c r="M272" i="4"/>
  <c r="N272" i="4"/>
  <c r="O272" i="4"/>
  <c r="P272" i="4"/>
  <c r="Q272" i="4"/>
  <c r="R272" i="4"/>
  <c r="B273" i="4"/>
  <c r="C273" i="4"/>
  <c r="D273" i="4"/>
  <c r="E273" i="4"/>
  <c r="F273" i="4"/>
  <c r="G273" i="4"/>
  <c r="H273" i="4"/>
  <c r="I273" i="4"/>
  <c r="J273" i="4"/>
  <c r="K273" i="4"/>
  <c r="L273" i="4"/>
  <c r="M273" i="4"/>
  <c r="N273" i="4"/>
  <c r="O273" i="4"/>
  <c r="P273" i="4"/>
  <c r="Q273" i="4"/>
  <c r="R273" i="4"/>
  <c r="B274" i="4"/>
  <c r="C274" i="4"/>
  <c r="D274" i="4"/>
  <c r="E274" i="4"/>
  <c r="F274" i="4"/>
  <c r="G274" i="4"/>
  <c r="H274" i="4"/>
  <c r="I274" i="4"/>
  <c r="J274" i="4"/>
  <c r="K274" i="4"/>
  <c r="L274" i="4"/>
  <c r="M274" i="4"/>
  <c r="N274" i="4"/>
  <c r="O274" i="4"/>
  <c r="P274" i="4"/>
  <c r="Q274" i="4"/>
  <c r="R274" i="4"/>
  <c r="B275" i="4"/>
  <c r="C275" i="4"/>
  <c r="D275" i="4"/>
  <c r="E275" i="4"/>
  <c r="F275" i="4"/>
  <c r="G275" i="4"/>
  <c r="H275" i="4"/>
  <c r="I275" i="4"/>
  <c r="J275" i="4"/>
  <c r="K275" i="4"/>
  <c r="L275" i="4"/>
  <c r="M275" i="4"/>
  <c r="N275" i="4"/>
  <c r="O275" i="4"/>
  <c r="P275" i="4"/>
  <c r="Q275" i="4"/>
  <c r="R275" i="4"/>
  <c r="B276" i="4"/>
  <c r="C276" i="4"/>
  <c r="D276" i="4"/>
  <c r="E276" i="4"/>
  <c r="F276" i="4"/>
  <c r="G276" i="4"/>
  <c r="H276" i="4"/>
  <c r="I276" i="4"/>
  <c r="J276" i="4"/>
  <c r="K276" i="4"/>
  <c r="L276" i="4"/>
  <c r="M276" i="4"/>
  <c r="N276" i="4"/>
  <c r="O276" i="4"/>
  <c r="P276" i="4"/>
  <c r="Q276" i="4"/>
  <c r="R276" i="4"/>
  <c r="B277" i="4"/>
  <c r="C277" i="4"/>
  <c r="D277" i="4"/>
  <c r="E277" i="4"/>
  <c r="F277" i="4"/>
  <c r="G277" i="4"/>
  <c r="H277" i="4"/>
  <c r="I277" i="4"/>
  <c r="J277" i="4"/>
  <c r="K277" i="4"/>
  <c r="L277" i="4"/>
  <c r="M277" i="4"/>
  <c r="N277" i="4"/>
  <c r="O277" i="4"/>
  <c r="P277" i="4"/>
  <c r="Q277" i="4"/>
  <c r="R277" i="4"/>
  <c r="B278" i="4"/>
  <c r="C278" i="4"/>
  <c r="D278" i="4"/>
  <c r="E278" i="4"/>
  <c r="F278" i="4"/>
  <c r="G278" i="4"/>
  <c r="H278" i="4"/>
  <c r="I278" i="4"/>
  <c r="J278" i="4"/>
  <c r="K278" i="4"/>
  <c r="L278" i="4"/>
  <c r="M278" i="4"/>
  <c r="N278" i="4"/>
  <c r="O278" i="4"/>
  <c r="P278" i="4"/>
  <c r="Q278" i="4"/>
  <c r="R278" i="4"/>
  <c r="B279" i="4"/>
  <c r="C279" i="4"/>
  <c r="D279" i="4"/>
  <c r="E279" i="4"/>
  <c r="F279" i="4"/>
  <c r="G279" i="4"/>
  <c r="H279" i="4"/>
  <c r="I279" i="4"/>
  <c r="J279" i="4"/>
  <c r="K279" i="4"/>
  <c r="L279" i="4"/>
  <c r="M279" i="4"/>
  <c r="N279" i="4"/>
  <c r="O279" i="4"/>
  <c r="P279" i="4"/>
  <c r="Q279" i="4"/>
  <c r="R279" i="4"/>
  <c r="B280" i="4"/>
  <c r="C280" i="4"/>
  <c r="D280" i="4"/>
  <c r="E280" i="4"/>
  <c r="F280" i="4"/>
  <c r="G280" i="4"/>
  <c r="H280" i="4"/>
  <c r="I280" i="4"/>
  <c r="J280" i="4"/>
  <c r="K280" i="4"/>
  <c r="L280" i="4"/>
  <c r="M280" i="4"/>
  <c r="N280" i="4"/>
  <c r="O280" i="4"/>
  <c r="P280" i="4"/>
  <c r="Q280" i="4"/>
  <c r="R280" i="4"/>
  <c r="B281" i="4"/>
  <c r="C281" i="4"/>
  <c r="D281" i="4"/>
  <c r="E281" i="4"/>
  <c r="F281" i="4"/>
  <c r="G281" i="4"/>
  <c r="H281" i="4"/>
  <c r="I281" i="4"/>
  <c r="J281" i="4"/>
  <c r="K281" i="4"/>
  <c r="L281" i="4"/>
  <c r="M281" i="4"/>
  <c r="N281" i="4"/>
  <c r="O281" i="4"/>
  <c r="P281" i="4"/>
  <c r="Q281" i="4"/>
  <c r="R281" i="4"/>
  <c r="B282" i="4"/>
  <c r="C282" i="4"/>
  <c r="D282" i="4"/>
  <c r="E282" i="4"/>
  <c r="F282" i="4"/>
  <c r="G282" i="4"/>
  <c r="H282" i="4"/>
  <c r="I282" i="4"/>
  <c r="J282" i="4"/>
  <c r="K282" i="4"/>
  <c r="L282" i="4"/>
  <c r="M282" i="4"/>
  <c r="N282" i="4"/>
  <c r="O282" i="4"/>
  <c r="P282" i="4"/>
  <c r="Q282" i="4"/>
  <c r="R282" i="4"/>
  <c r="B283" i="4"/>
  <c r="C283" i="4"/>
  <c r="D283" i="4"/>
  <c r="E283" i="4"/>
  <c r="F283" i="4"/>
  <c r="G283" i="4"/>
  <c r="H283" i="4"/>
  <c r="I283" i="4"/>
  <c r="J283" i="4"/>
  <c r="K283" i="4"/>
  <c r="L283" i="4"/>
  <c r="M283" i="4"/>
  <c r="N283" i="4"/>
  <c r="O283" i="4"/>
  <c r="P283" i="4"/>
  <c r="Q283" i="4"/>
  <c r="R283" i="4"/>
  <c r="B284" i="4"/>
  <c r="C284" i="4"/>
  <c r="D284" i="4"/>
  <c r="E284" i="4"/>
  <c r="F284" i="4"/>
  <c r="G284" i="4"/>
  <c r="H284" i="4"/>
  <c r="I284" i="4"/>
  <c r="J284" i="4"/>
  <c r="K284" i="4"/>
  <c r="L284" i="4"/>
  <c r="M284" i="4"/>
  <c r="N284" i="4"/>
  <c r="O284" i="4"/>
  <c r="P284" i="4"/>
  <c r="Q284" i="4"/>
  <c r="R284" i="4"/>
  <c r="B285" i="4"/>
  <c r="C285" i="4"/>
  <c r="D285" i="4"/>
  <c r="E285" i="4"/>
  <c r="F285" i="4"/>
  <c r="G285" i="4"/>
  <c r="H285" i="4"/>
  <c r="I285" i="4"/>
  <c r="J285" i="4"/>
  <c r="K285" i="4"/>
  <c r="L285" i="4"/>
  <c r="M285" i="4"/>
  <c r="N285" i="4"/>
  <c r="O285" i="4"/>
  <c r="P285" i="4"/>
  <c r="Q285" i="4"/>
  <c r="R285" i="4"/>
  <c r="B286" i="4"/>
  <c r="C286" i="4"/>
  <c r="D286" i="4"/>
  <c r="E286" i="4"/>
  <c r="F286" i="4"/>
  <c r="G286" i="4"/>
  <c r="H286" i="4"/>
  <c r="I286" i="4"/>
  <c r="J286" i="4"/>
  <c r="K286" i="4"/>
  <c r="L286" i="4"/>
  <c r="M286" i="4"/>
  <c r="N286" i="4"/>
  <c r="O286" i="4"/>
  <c r="P286" i="4"/>
  <c r="Q286" i="4"/>
  <c r="R286" i="4"/>
  <c r="B287" i="4"/>
  <c r="C287" i="4"/>
  <c r="D287" i="4"/>
  <c r="E287" i="4"/>
  <c r="F287" i="4"/>
  <c r="G287" i="4"/>
  <c r="H287" i="4"/>
  <c r="I287" i="4"/>
  <c r="J287" i="4"/>
  <c r="K287" i="4"/>
  <c r="L287" i="4"/>
  <c r="M287" i="4"/>
  <c r="N287" i="4"/>
  <c r="O287" i="4"/>
  <c r="P287" i="4"/>
  <c r="Q287" i="4"/>
  <c r="R287" i="4"/>
  <c r="B288" i="4"/>
  <c r="C288" i="4"/>
  <c r="D288" i="4"/>
  <c r="E288" i="4"/>
  <c r="F288" i="4"/>
  <c r="G288" i="4"/>
  <c r="H288" i="4"/>
  <c r="I288" i="4"/>
  <c r="J288" i="4"/>
  <c r="K288" i="4"/>
  <c r="L288" i="4"/>
  <c r="M288" i="4"/>
  <c r="N288" i="4"/>
  <c r="O288" i="4"/>
  <c r="P288" i="4"/>
  <c r="Q288" i="4"/>
  <c r="R288" i="4"/>
  <c r="B289" i="4"/>
  <c r="C289" i="4"/>
  <c r="D289" i="4"/>
  <c r="E289" i="4"/>
  <c r="F289" i="4"/>
  <c r="G289" i="4"/>
  <c r="H289" i="4"/>
  <c r="I289" i="4"/>
  <c r="J289" i="4"/>
  <c r="K289" i="4"/>
  <c r="L289" i="4"/>
  <c r="M289" i="4"/>
  <c r="N289" i="4"/>
  <c r="O289" i="4"/>
  <c r="P289" i="4"/>
  <c r="Q289" i="4"/>
  <c r="R289" i="4"/>
  <c r="B290" i="4"/>
  <c r="C290" i="4"/>
  <c r="D290" i="4"/>
  <c r="E290" i="4"/>
  <c r="F290" i="4"/>
  <c r="G290" i="4"/>
  <c r="H290" i="4"/>
  <c r="I290" i="4"/>
  <c r="J290" i="4"/>
  <c r="K290" i="4"/>
  <c r="L290" i="4"/>
  <c r="M290" i="4"/>
  <c r="N290" i="4"/>
  <c r="O290" i="4"/>
  <c r="P290" i="4"/>
  <c r="Q290" i="4"/>
  <c r="R290" i="4"/>
  <c r="B291" i="4"/>
  <c r="C291" i="4"/>
  <c r="D291" i="4"/>
  <c r="E291" i="4"/>
  <c r="F291" i="4"/>
  <c r="G291" i="4"/>
  <c r="H291" i="4"/>
  <c r="I291" i="4"/>
  <c r="J291" i="4"/>
  <c r="K291" i="4"/>
  <c r="L291" i="4"/>
  <c r="M291" i="4"/>
  <c r="N291" i="4"/>
  <c r="O291" i="4"/>
  <c r="P291" i="4"/>
  <c r="Q291" i="4"/>
  <c r="R291" i="4"/>
  <c r="B292" i="4"/>
  <c r="C292" i="4"/>
  <c r="D292" i="4"/>
  <c r="E292" i="4"/>
  <c r="F292" i="4"/>
  <c r="G292" i="4"/>
  <c r="H292" i="4"/>
  <c r="I292" i="4"/>
  <c r="J292" i="4"/>
  <c r="K292" i="4"/>
  <c r="L292" i="4"/>
  <c r="M292" i="4"/>
  <c r="N292" i="4"/>
  <c r="O292" i="4"/>
  <c r="P292" i="4"/>
  <c r="Q292" i="4"/>
  <c r="R292" i="4"/>
  <c r="B293" i="4"/>
  <c r="C293" i="4"/>
  <c r="D293" i="4"/>
  <c r="E293" i="4"/>
  <c r="F293" i="4"/>
  <c r="G293" i="4"/>
  <c r="H293" i="4"/>
  <c r="I293" i="4"/>
  <c r="J293" i="4"/>
  <c r="K293" i="4"/>
  <c r="L293" i="4"/>
  <c r="M293" i="4"/>
  <c r="N293" i="4"/>
  <c r="O293" i="4"/>
  <c r="P293" i="4"/>
  <c r="Q293" i="4"/>
  <c r="R293" i="4"/>
  <c r="B294" i="4"/>
  <c r="C294" i="4"/>
  <c r="D294" i="4"/>
  <c r="E294" i="4"/>
  <c r="F294" i="4"/>
  <c r="G294" i="4"/>
  <c r="H294" i="4"/>
  <c r="I294" i="4"/>
  <c r="J294" i="4"/>
  <c r="K294" i="4"/>
  <c r="L294" i="4"/>
  <c r="M294" i="4"/>
  <c r="N294" i="4"/>
  <c r="O294" i="4"/>
  <c r="P294" i="4"/>
  <c r="Q294" i="4"/>
  <c r="R294" i="4"/>
  <c r="B295" i="4"/>
  <c r="C295" i="4"/>
  <c r="D295" i="4"/>
  <c r="E295" i="4"/>
  <c r="F295" i="4"/>
  <c r="G295" i="4"/>
  <c r="H295" i="4"/>
  <c r="I295" i="4"/>
  <c r="J295" i="4"/>
  <c r="K295" i="4"/>
  <c r="L295" i="4"/>
  <c r="M295" i="4"/>
  <c r="N295" i="4"/>
  <c r="O295" i="4"/>
  <c r="P295" i="4"/>
  <c r="Q295" i="4"/>
  <c r="R295" i="4"/>
  <c r="B296" i="4"/>
  <c r="C296" i="4"/>
  <c r="D296" i="4"/>
  <c r="E296" i="4"/>
  <c r="F296" i="4"/>
  <c r="G296" i="4"/>
  <c r="H296" i="4"/>
  <c r="I296" i="4"/>
  <c r="J296" i="4"/>
  <c r="K296" i="4"/>
  <c r="L296" i="4"/>
  <c r="M296" i="4"/>
  <c r="N296" i="4"/>
  <c r="O296" i="4"/>
  <c r="P296" i="4"/>
  <c r="Q296" i="4"/>
  <c r="R296" i="4"/>
  <c r="B297" i="4"/>
  <c r="C297" i="4"/>
  <c r="D297" i="4"/>
  <c r="E297" i="4"/>
  <c r="F297" i="4"/>
  <c r="G297" i="4"/>
  <c r="H297" i="4"/>
  <c r="I297" i="4"/>
  <c r="J297" i="4"/>
  <c r="K297" i="4"/>
  <c r="L297" i="4"/>
  <c r="M297" i="4"/>
  <c r="N297" i="4"/>
  <c r="O297" i="4"/>
  <c r="P297" i="4"/>
  <c r="Q297" i="4"/>
  <c r="R297" i="4"/>
  <c r="B298" i="4"/>
  <c r="C298" i="4"/>
  <c r="D298" i="4"/>
  <c r="E298" i="4"/>
  <c r="F298" i="4"/>
  <c r="G298" i="4"/>
  <c r="H298" i="4"/>
  <c r="I298" i="4"/>
  <c r="J298" i="4"/>
  <c r="K298" i="4"/>
  <c r="L298" i="4"/>
  <c r="M298" i="4"/>
  <c r="N298" i="4"/>
  <c r="O298" i="4"/>
  <c r="P298" i="4"/>
  <c r="Q298" i="4"/>
  <c r="R298" i="4"/>
  <c r="B299" i="4"/>
  <c r="C299" i="4"/>
  <c r="D299" i="4"/>
  <c r="E299" i="4"/>
  <c r="F299" i="4"/>
  <c r="G299" i="4"/>
  <c r="H299" i="4"/>
  <c r="I299" i="4"/>
  <c r="J299" i="4"/>
  <c r="K299" i="4"/>
  <c r="L299" i="4"/>
  <c r="M299" i="4"/>
  <c r="N299" i="4"/>
  <c r="O299" i="4"/>
  <c r="P299" i="4"/>
  <c r="Q299" i="4"/>
  <c r="R299" i="4"/>
  <c r="B300" i="4"/>
  <c r="C300" i="4"/>
  <c r="D300" i="4"/>
  <c r="E300" i="4"/>
  <c r="F300" i="4"/>
  <c r="G300" i="4"/>
  <c r="H300" i="4"/>
  <c r="I300" i="4"/>
  <c r="J300" i="4"/>
  <c r="K300" i="4"/>
  <c r="L300" i="4"/>
  <c r="M300" i="4"/>
  <c r="N300" i="4"/>
  <c r="O300" i="4"/>
  <c r="P300" i="4"/>
  <c r="Q300" i="4"/>
  <c r="R300" i="4"/>
  <c r="B301" i="4"/>
  <c r="C301" i="4"/>
  <c r="D301" i="4"/>
  <c r="E301" i="4"/>
  <c r="F301" i="4"/>
  <c r="G301" i="4"/>
  <c r="H301" i="4"/>
  <c r="I301" i="4"/>
  <c r="J301" i="4"/>
  <c r="K301" i="4"/>
  <c r="L301" i="4"/>
  <c r="M301" i="4"/>
  <c r="N301" i="4"/>
  <c r="O301" i="4"/>
  <c r="P301" i="4"/>
  <c r="Q301" i="4"/>
  <c r="R301" i="4"/>
  <c r="B302" i="4"/>
  <c r="C302" i="4"/>
  <c r="D302" i="4"/>
  <c r="E302" i="4"/>
  <c r="F302" i="4"/>
  <c r="G302" i="4"/>
  <c r="H302" i="4"/>
  <c r="I302" i="4"/>
  <c r="J302" i="4"/>
  <c r="K302" i="4"/>
  <c r="L302" i="4"/>
  <c r="M302" i="4"/>
  <c r="N302" i="4"/>
  <c r="O302" i="4"/>
  <c r="P302" i="4"/>
  <c r="Q302" i="4"/>
  <c r="R302" i="4"/>
  <c r="B303" i="4"/>
  <c r="C303" i="4"/>
  <c r="D303" i="4"/>
  <c r="E303" i="4"/>
  <c r="F303" i="4"/>
  <c r="G303" i="4"/>
  <c r="H303" i="4"/>
  <c r="I303" i="4"/>
  <c r="J303" i="4"/>
  <c r="K303" i="4"/>
  <c r="L303" i="4"/>
  <c r="M303" i="4"/>
  <c r="N303" i="4"/>
  <c r="O303" i="4"/>
  <c r="P303" i="4"/>
  <c r="Q303" i="4"/>
  <c r="R303" i="4"/>
  <c r="B304" i="4"/>
  <c r="C304" i="4"/>
  <c r="D304" i="4"/>
  <c r="E304" i="4"/>
  <c r="F304" i="4"/>
  <c r="G304" i="4"/>
  <c r="H304" i="4"/>
  <c r="I304" i="4"/>
  <c r="J304" i="4"/>
  <c r="K304" i="4"/>
  <c r="L304" i="4"/>
  <c r="M304" i="4"/>
  <c r="N304" i="4"/>
  <c r="O304" i="4"/>
  <c r="P304" i="4"/>
  <c r="Q304" i="4"/>
  <c r="R304" i="4"/>
  <c r="B305" i="4"/>
  <c r="C305" i="4"/>
  <c r="D305" i="4"/>
  <c r="E305" i="4"/>
  <c r="F305" i="4"/>
  <c r="G305" i="4"/>
  <c r="H305" i="4"/>
  <c r="I305" i="4"/>
  <c r="J305" i="4"/>
  <c r="K305" i="4"/>
  <c r="L305" i="4"/>
  <c r="M305" i="4"/>
  <c r="N305" i="4"/>
  <c r="O305" i="4"/>
  <c r="P305" i="4"/>
  <c r="Q305" i="4"/>
  <c r="R305" i="4"/>
  <c r="B306" i="4"/>
  <c r="C306" i="4"/>
  <c r="D306" i="4"/>
  <c r="E306" i="4"/>
  <c r="F306" i="4"/>
  <c r="G306" i="4"/>
  <c r="H306" i="4"/>
  <c r="I306" i="4"/>
  <c r="J306" i="4"/>
  <c r="K306" i="4"/>
  <c r="L306" i="4"/>
  <c r="M306" i="4"/>
  <c r="N306" i="4"/>
  <c r="O306" i="4"/>
  <c r="P306" i="4"/>
  <c r="Q306" i="4"/>
  <c r="R306" i="4"/>
  <c r="B307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O307" i="4"/>
  <c r="P307" i="4"/>
  <c r="Q307" i="4"/>
  <c r="R307" i="4"/>
  <c r="B308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O308" i="4"/>
  <c r="P308" i="4"/>
  <c r="Q308" i="4"/>
  <c r="R308" i="4"/>
  <c r="B309" i="4"/>
  <c r="C309" i="4"/>
  <c r="D309" i="4"/>
  <c r="E309" i="4"/>
  <c r="F309" i="4"/>
  <c r="G309" i="4"/>
  <c r="H309" i="4"/>
  <c r="I309" i="4"/>
  <c r="J309" i="4"/>
  <c r="K309" i="4"/>
  <c r="L309" i="4"/>
  <c r="M309" i="4"/>
  <c r="N309" i="4"/>
  <c r="O309" i="4"/>
  <c r="P309" i="4"/>
  <c r="Q309" i="4"/>
  <c r="R309" i="4"/>
  <c r="B310" i="4"/>
  <c r="C310" i="4"/>
  <c r="D310" i="4"/>
  <c r="E310" i="4"/>
  <c r="F310" i="4"/>
  <c r="G310" i="4"/>
  <c r="H310" i="4"/>
  <c r="I310" i="4"/>
  <c r="J310" i="4"/>
  <c r="K310" i="4"/>
  <c r="L310" i="4"/>
  <c r="M310" i="4"/>
  <c r="N310" i="4"/>
  <c r="O310" i="4"/>
  <c r="P310" i="4"/>
  <c r="Q310" i="4"/>
  <c r="R310" i="4"/>
  <c r="B311" i="4"/>
  <c r="C311" i="4"/>
  <c r="D311" i="4"/>
  <c r="E311" i="4"/>
  <c r="F311" i="4"/>
  <c r="G311" i="4"/>
  <c r="H311" i="4"/>
  <c r="I311" i="4"/>
  <c r="J311" i="4"/>
  <c r="K311" i="4"/>
  <c r="L311" i="4"/>
  <c r="M311" i="4"/>
  <c r="N311" i="4"/>
  <c r="O311" i="4"/>
  <c r="P311" i="4"/>
  <c r="Q311" i="4"/>
  <c r="R311" i="4"/>
  <c r="B312" i="4"/>
  <c r="C312" i="4"/>
  <c r="D312" i="4"/>
  <c r="E312" i="4"/>
  <c r="F312" i="4"/>
  <c r="G312" i="4"/>
  <c r="H312" i="4"/>
  <c r="I312" i="4"/>
  <c r="J312" i="4"/>
  <c r="K312" i="4"/>
  <c r="L312" i="4"/>
  <c r="M312" i="4"/>
  <c r="N312" i="4"/>
  <c r="O312" i="4"/>
  <c r="P312" i="4"/>
  <c r="Q312" i="4"/>
  <c r="R312" i="4"/>
  <c r="B313" i="4"/>
  <c r="C313" i="4"/>
  <c r="D313" i="4"/>
  <c r="E313" i="4"/>
  <c r="F313" i="4"/>
  <c r="G313" i="4"/>
  <c r="H313" i="4"/>
  <c r="I313" i="4"/>
  <c r="J313" i="4"/>
  <c r="K313" i="4"/>
  <c r="L313" i="4"/>
  <c r="M313" i="4"/>
  <c r="N313" i="4"/>
  <c r="O313" i="4"/>
  <c r="P313" i="4"/>
  <c r="Q313" i="4"/>
  <c r="R313" i="4"/>
  <c r="B314" i="4"/>
  <c r="C314" i="4"/>
  <c r="D314" i="4"/>
  <c r="E314" i="4"/>
  <c r="F314" i="4"/>
  <c r="G314" i="4"/>
  <c r="H314" i="4"/>
  <c r="I314" i="4"/>
  <c r="J314" i="4"/>
  <c r="K314" i="4"/>
  <c r="L314" i="4"/>
  <c r="M314" i="4"/>
  <c r="N314" i="4"/>
  <c r="O314" i="4"/>
  <c r="P314" i="4"/>
  <c r="Q314" i="4"/>
  <c r="R314" i="4"/>
  <c r="B315" i="4"/>
  <c r="C315" i="4"/>
  <c r="D315" i="4"/>
  <c r="E315" i="4"/>
  <c r="F315" i="4"/>
  <c r="G315" i="4"/>
  <c r="H315" i="4"/>
  <c r="I315" i="4"/>
  <c r="J315" i="4"/>
  <c r="K315" i="4"/>
  <c r="L315" i="4"/>
  <c r="M315" i="4"/>
  <c r="N315" i="4"/>
  <c r="O315" i="4"/>
  <c r="P315" i="4"/>
  <c r="Q315" i="4"/>
  <c r="R315" i="4"/>
  <c r="B316" i="4"/>
  <c r="C316" i="4"/>
  <c r="D316" i="4"/>
  <c r="E316" i="4"/>
  <c r="F316" i="4"/>
  <c r="G316" i="4"/>
  <c r="H316" i="4"/>
  <c r="I316" i="4"/>
  <c r="J316" i="4"/>
  <c r="K316" i="4"/>
  <c r="L316" i="4"/>
  <c r="M316" i="4"/>
  <c r="N316" i="4"/>
  <c r="O316" i="4"/>
  <c r="P316" i="4"/>
  <c r="Q316" i="4"/>
  <c r="R316" i="4"/>
  <c r="B317" i="4"/>
  <c r="C317" i="4"/>
  <c r="D317" i="4"/>
  <c r="E317" i="4"/>
  <c r="F317" i="4"/>
  <c r="G317" i="4"/>
  <c r="H317" i="4"/>
  <c r="I317" i="4"/>
  <c r="J317" i="4"/>
  <c r="K317" i="4"/>
  <c r="L317" i="4"/>
  <c r="M317" i="4"/>
  <c r="N317" i="4"/>
  <c r="O317" i="4"/>
  <c r="P317" i="4"/>
  <c r="Q317" i="4"/>
  <c r="R317" i="4"/>
  <c r="B318" i="4"/>
  <c r="C318" i="4"/>
  <c r="D318" i="4"/>
  <c r="E318" i="4"/>
  <c r="F318" i="4"/>
  <c r="G318" i="4"/>
  <c r="H318" i="4"/>
  <c r="I318" i="4"/>
  <c r="J318" i="4"/>
  <c r="K318" i="4"/>
  <c r="L318" i="4"/>
  <c r="M318" i="4"/>
  <c r="N318" i="4"/>
  <c r="O318" i="4"/>
  <c r="P318" i="4"/>
  <c r="Q318" i="4"/>
  <c r="R318" i="4"/>
  <c r="B319" i="4"/>
  <c r="C319" i="4"/>
  <c r="D319" i="4"/>
  <c r="E319" i="4"/>
  <c r="F319" i="4"/>
  <c r="G319" i="4"/>
  <c r="H319" i="4"/>
  <c r="I319" i="4"/>
  <c r="J319" i="4"/>
  <c r="K319" i="4"/>
  <c r="L319" i="4"/>
  <c r="M319" i="4"/>
  <c r="N319" i="4"/>
  <c r="O319" i="4"/>
  <c r="P319" i="4"/>
  <c r="Q319" i="4"/>
  <c r="R319" i="4"/>
  <c r="B320" i="4"/>
  <c r="C320" i="4"/>
  <c r="D320" i="4"/>
  <c r="E320" i="4"/>
  <c r="F320" i="4"/>
  <c r="G320" i="4"/>
  <c r="H320" i="4"/>
  <c r="I320" i="4"/>
  <c r="J320" i="4"/>
  <c r="K320" i="4"/>
  <c r="L320" i="4"/>
  <c r="M320" i="4"/>
  <c r="N320" i="4"/>
  <c r="O320" i="4"/>
  <c r="P320" i="4"/>
  <c r="Q320" i="4"/>
  <c r="R320" i="4"/>
  <c r="B321" i="4"/>
  <c r="C321" i="4"/>
  <c r="D321" i="4"/>
  <c r="E321" i="4"/>
  <c r="F321" i="4"/>
  <c r="G321" i="4"/>
  <c r="H321" i="4"/>
  <c r="I321" i="4"/>
  <c r="J321" i="4"/>
  <c r="K321" i="4"/>
  <c r="L321" i="4"/>
  <c r="M321" i="4"/>
  <c r="N321" i="4"/>
  <c r="O321" i="4"/>
  <c r="P321" i="4"/>
  <c r="Q321" i="4"/>
  <c r="R321" i="4"/>
  <c r="B322" i="4"/>
  <c r="C322" i="4"/>
  <c r="D322" i="4"/>
  <c r="E322" i="4"/>
  <c r="F322" i="4"/>
  <c r="G322" i="4"/>
  <c r="H322" i="4"/>
  <c r="I322" i="4"/>
  <c r="J322" i="4"/>
  <c r="K322" i="4"/>
  <c r="L322" i="4"/>
  <c r="M322" i="4"/>
  <c r="N322" i="4"/>
  <c r="O322" i="4"/>
  <c r="P322" i="4"/>
  <c r="Q322" i="4"/>
  <c r="R322" i="4"/>
  <c r="B323" i="4"/>
  <c r="C323" i="4"/>
  <c r="D323" i="4"/>
  <c r="E323" i="4"/>
  <c r="F323" i="4"/>
  <c r="G323" i="4"/>
  <c r="H323" i="4"/>
  <c r="I323" i="4"/>
  <c r="J323" i="4"/>
  <c r="K323" i="4"/>
  <c r="L323" i="4"/>
  <c r="M323" i="4"/>
  <c r="N323" i="4"/>
  <c r="O323" i="4"/>
  <c r="P323" i="4"/>
  <c r="Q323" i="4"/>
  <c r="R323" i="4"/>
  <c r="B324" i="4"/>
  <c r="C324" i="4"/>
  <c r="D324" i="4"/>
  <c r="E324" i="4"/>
  <c r="F324" i="4"/>
  <c r="G324" i="4"/>
  <c r="H324" i="4"/>
  <c r="I324" i="4"/>
  <c r="J324" i="4"/>
  <c r="K324" i="4"/>
  <c r="L324" i="4"/>
  <c r="M324" i="4"/>
  <c r="N324" i="4"/>
  <c r="O324" i="4"/>
  <c r="P324" i="4"/>
  <c r="Q324" i="4"/>
  <c r="R324" i="4"/>
  <c r="B325" i="4"/>
  <c r="C325" i="4"/>
  <c r="D325" i="4"/>
  <c r="E325" i="4"/>
  <c r="F325" i="4"/>
  <c r="G325" i="4"/>
  <c r="H325" i="4"/>
  <c r="I325" i="4"/>
  <c r="J325" i="4"/>
  <c r="K325" i="4"/>
  <c r="L325" i="4"/>
  <c r="M325" i="4"/>
  <c r="N325" i="4"/>
  <c r="O325" i="4"/>
  <c r="P325" i="4"/>
  <c r="Q325" i="4"/>
  <c r="R325" i="4"/>
  <c r="B326" i="4"/>
  <c r="C326" i="4"/>
  <c r="D326" i="4"/>
  <c r="E326" i="4"/>
  <c r="F326" i="4"/>
  <c r="G326" i="4"/>
  <c r="H326" i="4"/>
  <c r="I326" i="4"/>
  <c r="J326" i="4"/>
  <c r="K326" i="4"/>
  <c r="L326" i="4"/>
  <c r="M326" i="4"/>
  <c r="N326" i="4"/>
  <c r="O326" i="4"/>
  <c r="P326" i="4"/>
  <c r="Q326" i="4"/>
  <c r="R326" i="4"/>
  <c r="B327" i="4"/>
  <c r="C327" i="4"/>
  <c r="D327" i="4"/>
  <c r="E327" i="4"/>
  <c r="F327" i="4"/>
  <c r="G327" i="4"/>
  <c r="H327" i="4"/>
  <c r="I327" i="4"/>
  <c r="J327" i="4"/>
  <c r="K327" i="4"/>
  <c r="L327" i="4"/>
  <c r="M327" i="4"/>
  <c r="N327" i="4"/>
  <c r="O327" i="4"/>
  <c r="P327" i="4"/>
  <c r="Q327" i="4"/>
  <c r="R327" i="4"/>
  <c r="B328" i="4"/>
  <c r="C328" i="4"/>
  <c r="D328" i="4"/>
  <c r="E328" i="4"/>
  <c r="F328" i="4"/>
  <c r="G328" i="4"/>
  <c r="H328" i="4"/>
  <c r="I328" i="4"/>
  <c r="J328" i="4"/>
  <c r="K328" i="4"/>
  <c r="L328" i="4"/>
  <c r="M328" i="4"/>
  <c r="N328" i="4"/>
  <c r="O328" i="4"/>
  <c r="P328" i="4"/>
  <c r="Q328" i="4"/>
  <c r="R328" i="4"/>
  <c r="B329" i="4"/>
  <c r="C329" i="4"/>
  <c r="D329" i="4"/>
  <c r="E329" i="4"/>
  <c r="F329" i="4"/>
  <c r="G329" i="4"/>
  <c r="H329" i="4"/>
  <c r="I329" i="4"/>
  <c r="J329" i="4"/>
  <c r="K329" i="4"/>
  <c r="L329" i="4"/>
  <c r="M329" i="4"/>
  <c r="N329" i="4"/>
  <c r="O329" i="4"/>
  <c r="P329" i="4"/>
  <c r="Q329" i="4"/>
  <c r="R329" i="4"/>
  <c r="B330" i="4"/>
  <c r="C330" i="4"/>
  <c r="D330" i="4"/>
  <c r="E330" i="4"/>
  <c r="F330" i="4"/>
  <c r="G330" i="4"/>
  <c r="H330" i="4"/>
  <c r="I330" i="4"/>
  <c r="J330" i="4"/>
  <c r="K330" i="4"/>
  <c r="L330" i="4"/>
  <c r="M330" i="4"/>
  <c r="N330" i="4"/>
  <c r="O330" i="4"/>
  <c r="P330" i="4"/>
  <c r="Q330" i="4"/>
  <c r="R330" i="4"/>
  <c r="B331" i="4"/>
  <c r="C331" i="4"/>
  <c r="D331" i="4"/>
  <c r="E331" i="4"/>
  <c r="F331" i="4"/>
  <c r="G331" i="4"/>
  <c r="H331" i="4"/>
  <c r="I331" i="4"/>
  <c r="J331" i="4"/>
  <c r="K331" i="4"/>
  <c r="L331" i="4"/>
  <c r="M331" i="4"/>
  <c r="N331" i="4"/>
  <c r="O331" i="4"/>
  <c r="P331" i="4"/>
  <c r="Q331" i="4"/>
  <c r="R331" i="4"/>
  <c r="B332" i="4"/>
  <c r="C332" i="4"/>
  <c r="D332" i="4"/>
  <c r="E332" i="4"/>
  <c r="F332" i="4"/>
  <c r="G332" i="4"/>
  <c r="H332" i="4"/>
  <c r="I332" i="4"/>
  <c r="J332" i="4"/>
  <c r="K332" i="4"/>
  <c r="L332" i="4"/>
  <c r="M332" i="4"/>
  <c r="N332" i="4"/>
  <c r="O332" i="4"/>
  <c r="P332" i="4"/>
  <c r="Q332" i="4"/>
  <c r="R332" i="4"/>
  <c r="B333" i="4"/>
  <c r="C333" i="4"/>
  <c r="D333" i="4"/>
  <c r="E333" i="4"/>
  <c r="F333" i="4"/>
  <c r="G333" i="4"/>
  <c r="H333" i="4"/>
  <c r="I333" i="4"/>
  <c r="J333" i="4"/>
  <c r="K333" i="4"/>
  <c r="L333" i="4"/>
  <c r="M333" i="4"/>
  <c r="N333" i="4"/>
  <c r="O333" i="4"/>
  <c r="P333" i="4"/>
  <c r="Q333" i="4"/>
  <c r="R333" i="4"/>
  <c r="B334" i="4"/>
  <c r="C334" i="4"/>
  <c r="D334" i="4"/>
  <c r="E334" i="4"/>
  <c r="F334" i="4"/>
  <c r="G334" i="4"/>
  <c r="H334" i="4"/>
  <c r="I334" i="4"/>
  <c r="J334" i="4"/>
  <c r="K334" i="4"/>
  <c r="L334" i="4"/>
  <c r="M334" i="4"/>
  <c r="N334" i="4"/>
  <c r="O334" i="4"/>
  <c r="P334" i="4"/>
  <c r="Q334" i="4"/>
  <c r="R334" i="4"/>
  <c r="B335" i="4"/>
  <c r="C335" i="4"/>
  <c r="D335" i="4"/>
  <c r="E335" i="4"/>
  <c r="F335" i="4"/>
  <c r="G335" i="4"/>
  <c r="H335" i="4"/>
  <c r="I335" i="4"/>
  <c r="J335" i="4"/>
  <c r="K335" i="4"/>
  <c r="L335" i="4"/>
  <c r="M335" i="4"/>
  <c r="N335" i="4"/>
  <c r="O335" i="4"/>
  <c r="P335" i="4"/>
  <c r="Q335" i="4"/>
  <c r="R335" i="4"/>
  <c r="B336" i="4"/>
  <c r="C336" i="4"/>
  <c r="D336" i="4"/>
  <c r="E336" i="4"/>
  <c r="F336" i="4"/>
  <c r="G336" i="4"/>
  <c r="H336" i="4"/>
  <c r="I336" i="4"/>
  <c r="J336" i="4"/>
  <c r="K336" i="4"/>
  <c r="L336" i="4"/>
  <c r="M336" i="4"/>
  <c r="N336" i="4"/>
  <c r="O336" i="4"/>
  <c r="P336" i="4"/>
  <c r="Q336" i="4"/>
  <c r="R336" i="4"/>
  <c r="B337" i="4"/>
  <c r="C337" i="4"/>
  <c r="D337" i="4"/>
  <c r="E337" i="4"/>
  <c r="F337" i="4"/>
  <c r="G337" i="4"/>
  <c r="H337" i="4"/>
  <c r="I337" i="4"/>
  <c r="J337" i="4"/>
  <c r="K337" i="4"/>
  <c r="L337" i="4"/>
  <c r="M337" i="4"/>
  <c r="N337" i="4"/>
  <c r="O337" i="4"/>
  <c r="P337" i="4"/>
  <c r="Q337" i="4"/>
  <c r="R337" i="4"/>
  <c r="B338" i="4"/>
  <c r="C338" i="4"/>
  <c r="D338" i="4"/>
  <c r="E338" i="4"/>
  <c r="F338" i="4"/>
  <c r="G338" i="4"/>
  <c r="H338" i="4"/>
  <c r="I338" i="4"/>
  <c r="J338" i="4"/>
  <c r="K338" i="4"/>
  <c r="L338" i="4"/>
  <c r="M338" i="4"/>
  <c r="N338" i="4"/>
  <c r="O338" i="4"/>
  <c r="P338" i="4"/>
  <c r="Q338" i="4"/>
  <c r="R338" i="4"/>
  <c r="B339" i="4"/>
  <c r="C339" i="4"/>
  <c r="D339" i="4"/>
  <c r="E339" i="4"/>
  <c r="F339" i="4"/>
  <c r="G339" i="4"/>
  <c r="H339" i="4"/>
  <c r="I339" i="4"/>
  <c r="J339" i="4"/>
  <c r="K339" i="4"/>
  <c r="L339" i="4"/>
  <c r="M339" i="4"/>
  <c r="N339" i="4"/>
  <c r="O339" i="4"/>
  <c r="P339" i="4"/>
  <c r="Q339" i="4"/>
  <c r="R339" i="4"/>
  <c r="B340" i="4"/>
  <c r="C340" i="4"/>
  <c r="D340" i="4"/>
  <c r="E340" i="4"/>
  <c r="F340" i="4"/>
  <c r="G340" i="4"/>
  <c r="H340" i="4"/>
  <c r="I340" i="4"/>
  <c r="J340" i="4"/>
  <c r="K340" i="4"/>
  <c r="L340" i="4"/>
  <c r="M340" i="4"/>
  <c r="N340" i="4"/>
  <c r="O340" i="4"/>
  <c r="P340" i="4"/>
  <c r="Q340" i="4"/>
  <c r="R340" i="4"/>
  <c r="B341" i="4"/>
  <c r="C341" i="4"/>
  <c r="D341" i="4"/>
  <c r="E341" i="4"/>
  <c r="F341" i="4"/>
  <c r="G341" i="4"/>
  <c r="H341" i="4"/>
  <c r="I341" i="4"/>
  <c r="J341" i="4"/>
  <c r="K341" i="4"/>
  <c r="L341" i="4"/>
  <c r="M341" i="4"/>
  <c r="N341" i="4"/>
  <c r="O341" i="4"/>
  <c r="P341" i="4"/>
  <c r="Q341" i="4"/>
  <c r="R341" i="4"/>
  <c r="B342" i="4"/>
  <c r="C342" i="4"/>
  <c r="D342" i="4"/>
  <c r="E342" i="4"/>
  <c r="F342" i="4"/>
  <c r="G342" i="4"/>
  <c r="H342" i="4"/>
  <c r="I342" i="4"/>
  <c r="J342" i="4"/>
  <c r="K342" i="4"/>
  <c r="L342" i="4"/>
  <c r="M342" i="4"/>
  <c r="N342" i="4"/>
  <c r="O342" i="4"/>
  <c r="P342" i="4"/>
  <c r="Q342" i="4"/>
  <c r="R342" i="4"/>
  <c r="B343" i="4"/>
  <c r="C343" i="4"/>
  <c r="D343" i="4"/>
  <c r="E343" i="4"/>
  <c r="F343" i="4"/>
  <c r="G343" i="4"/>
  <c r="H343" i="4"/>
  <c r="I343" i="4"/>
  <c r="J343" i="4"/>
  <c r="K343" i="4"/>
  <c r="L343" i="4"/>
  <c r="M343" i="4"/>
  <c r="N343" i="4"/>
  <c r="O343" i="4"/>
  <c r="P343" i="4"/>
  <c r="Q343" i="4"/>
  <c r="R343" i="4"/>
  <c r="B344" i="4"/>
  <c r="C344" i="4"/>
  <c r="D344" i="4"/>
  <c r="E344" i="4"/>
  <c r="F344" i="4"/>
  <c r="G344" i="4"/>
  <c r="H344" i="4"/>
  <c r="I344" i="4"/>
  <c r="J344" i="4"/>
  <c r="K344" i="4"/>
  <c r="L344" i="4"/>
  <c r="M344" i="4"/>
  <c r="O344" i="4"/>
  <c r="P344" i="4"/>
  <c r="Q344" i="4"/>
  <c r="R344" i="4"/>
  <c r="B345" i="4"/>
  <c r="C345" i="4"/>
  <c r="D345" i="4"/>
  <c r="E345" i="4"/>
  <c r="F345" i="4"/>
  <c r="G345" i="4"/>
  <c r="H345" i="4"/>
  <c r="I345" i="4"/>
  <c r="J345" i="4"/>
  <c r="K345" i="4"/>
  <c r="L345" i="4"/>
  <c r="M345" i="4"/>
  <c r="O345" i="4"/>
  <c r="P345" i="4"/>
  <c r="Q345" i="4"/>
  <c r="R345" i="4"/>
  <c r="B346" i="4"/>
  <c r="C346" i="4"/>
  <c r="D346" i="4"/>
  <c r="E346" i="4"/>
  <c r="F346" i="4"/>
  <c r="G346" i="4"/>
  <c r="H346" i="4"/>
  <c r="I346" i="4"/>
  <c r="J346" i="4"/>
  <c r="K346" i="4"/>
  <c r="L346" i="4"/>
  <c r="M346" i="4"/>
  <c r="O346" i="4"/>
  <c r="P346" i="4"/>
  <c r="Q346" i="4"/>
  <c r="R346" i="4"/>
  <c r="B347" i="4"/>
  <c r="C347" i="4"/>
  <c r="D347" i="4"/>
  <c r="E347" i="4"/>
  <c r="F347" i="4"/>
  <c r="G347" i="4"/>
  <c r="H347" i="4"/>
  <c r="I347" i="4"/>
  <c r="J347" i="4"/>
  <c r="K347" i="4"/>
  <c r="L347" i="4"/>
  <c r="M347" i="4"/>
  <c r="N347" i="4"/>
  <c r="O347" i="4"/>
  <c r="P347" i="4"/>
  <c r="Q347" i="4"/>
  <c r="R347" i="4"/>
  <c r="B348" i="4"/>
  <c r="C348" i="4"/>
  <c r="D348" i="4"/>
  <c r="E348" i="4"/>
  <c r="F348" i="4"/>
  <c r="G348" i="4"/>
  <c r="H348" i="4"/>
  <c r="I348" i="4"/>
  <c r="J348" i="4"/>
  <c r="K348" i="4"/>
  <c r="L348" i="4"/>
  <c r="M348" i="4"/>
  <c r="N348" i="4"/>
  <c r="O348" i="4"/>
  <c r="P348" i="4"/>
  <c r="Q348" i="4"/>
  <c r="R348" i="4"/>
  <c r="B349" i="4"/>
  <c r="C349" i="4"/>
  <c r="D349" i="4"/>
  <c r="E349" i="4"/>
  <c r="F349" i="4"/>
  <c r="G349" i="4"/>
  <c r="H349" i="4"/>
  <c r="I349" i="4"/>
  <c r="J349" i="4"/>
  <c r="K349" i="4"/>
  <c r="L349" i="4"/>
  <c r="M349" i="4"/>
  <c r="N349" i="4"/>
  <c r="O349" i="4"/>
  <c r="P349" i="4"/>
  <c r="Q349" i="4"/>
  <c r="R349" i="4"/>
  <c r="B350" i="4"/>
  <c r="C350" i="4"/>
  <c r="D350" i="4"/>
  <c r="E350" i="4"/>
  <c r="F350" i="4"/>
  <c r="G350" i="4"/>
  <c r="H350" i="4"/>
  <c r="I350" i="4"/>
  <c r="J350" i="4"/>
  <c r="K350" i="4"/>
  <c r="L350" i="4"/>
  <c r="M350" i="4"/>
  <c r="N350" i="4"/>
  <c r="O350" i="4"/>
  <c r="P350" i="4"/>
  <c r="Q350" i="4"/>
  <c r="R350" i="4"/>
  <c r="B351" i="4"/>
  <c r="C351" i="4"/>
  <c r="D351" i="4"/>
  <c r="E351" i="4"/>
  <c r="F351" i="4"/>
  <c r="G351" i="4"/>
  <c r="H351" i="4"/>
  <c r="I351" i="4"/>
  <c r="J351" i="4"/>
  <c r="K351" i="4"/>
  <c r="L351" i="4"/>
  <c r="M351" i="4"/>
  <c r="N351" i="4"/>
  <c r="O351" i="4"/>
  <c r="P351" i="4"/>
  <c r="Q351" i="4"/>
  <c r="R351" i="4"/>
  <c r="B352" i="4"/>
  <c r="C352" i="4"/>
  <c r="D352" i="4"/>
  <c r="E352" i="4"/>
  <c r="F352" i="4"/>
  <c r="G352" i="4"/>
  <c r="H352" i="4"/>
  <c r="I352" i="4"/>
  <c r="J352" i="4"/>
  <c r="K352" i="4"/>
  <c r="L352" i="4"/>
  <c r="M352" i="4"/>
  <c r="N352" i="4"/>
  <c r="O352" i="4"/>
  <c r="P352" i="4"/>
  <c r="Q352" i="4"/>
  <c r="R352" i="4"/>
  <c r="B353" i="4"/>
  <c r="C353" i="4"/>
  <c r="D353" i="4"/>
  <c r="E353" i="4"/>
  <c r="F353" i="4"/>
  <c r="G353" i="4"/>
  <c r="H353" i="4"/>
  <c r="I353" i="4"/>
  <c r="J353" i="4"/>
  <c r="K353" i="4"/>
  <c r="L353" i="4"/>
  <c r="M353" i="4"/>
  <c r="N353" i="4"/>
  <c r="O353" i="4"/>
  <c r="P353" i="4"/>
  <c r="Q353" i="4"/>
  <c r="R353" i="4"/>
  <c r="B354" i="4"/>
  <c r="C354" i="4"/>
  <c r="D354" i="4"/>
  <c r="E354" i="4"/>
  <c r="F354" i="4"/>
  <c r="G354" i="4"/>
  <c r="H354" i="4"/>
  <c r="I354" i="4"/>
  <c r="J354" i="4"/>
  <c r="K354" i="4"/>
  <c r="L354" i="4"/>
  <c r="M354" i="4"/>
  <c r="N354" i="4"/>
  <c r="O354" i="4"/>
  <c r="P354" i="4"/>
  <c r="Q354" i="4"/>
  <c r="R354" i="4"/>
  <c r="B355" i="4"/>
  <c r="C355" i="4"/>
  <c r="D355" i="4"/>
  <c r="E355" i="4"/>
  <c r="F355" i="4"/>
  <c r="G355" i="4"/>
  <c r="H355" i="4"/>
  <c r="I355" i="4"/>
  <c r="J355" i="4"/>
  <c r="K355" i="4"/>
  <c r="L355" i="4"/>
  <c r="M355" i="4"/>
  <c r="N355" i="4"/>
  <c r="O355" i="4"/>
  <c r="P355" i="4"/>
  <c r="Q355" i="4"/>
  <c r="R355" i="4"/>
  <c r="B356" i="4"/>
  <c r="C356" i="4"/>
  <c r="D356" i="4"/>
  <c r="E356" i="4"/>
  <c r="F356" i="4"/>
  <c r="G356" i="4"/>
  <c r="H356" i="4"/>
  <c r="I356" i="4"/>
  <c r="J356" i="4"/>
  <c r="K356" i="4"/>
  <c r="L356" i="4"/>
  <c r="M356" i="4"/>
  <c r="N356" i="4"/>
  <c r="O356" i="4"/>
  <c r="P356" i="4"/>
  <c r="Q356" i="4"/>
  <c r="R356" i="4"/>
  <c r="B357" i="4"/>
  <c r="C357" i="4"/>
  <c r="D357" i="4"/>
  <c r="E357" i="4"/>
  <c r="F357" i="4"/>
  <c r="G357" i="4"/>
  <c r="H357" i="4"/>
  <c r="I357" i="4"/>
  <c r="J357" i="4"/>
  <c r="K357" i="4"/>
  <c r="L357" i="4"/>
  <c r="M357" i="4"/>
  <c r="N357" i="4"/>
  <c r="O357" i="4"/>
  <c r="P357" i="4"/>
  <c r="Q357" i="4"/>
  <c r="R357" i="4"/>
  <c r="B358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O358" i="4"/>
  <c r="P358" i="4"/>
  <c r="Q358" i="4"/>
  <c r="R358" i="4"/>
  <c r="B359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O359" i="4"/>
  <c r="P359" i="4"/>
  <c r="Q359" i="4"/>
  <c r="R359" i="4"/>
  <c r="B360" i="4"/>
  <c r="C360" i="4"/>
  <c r="D360" i="4"/>
  <c r="E360" i="4"/>
  <c r="F360" i="4"/>
  <c r="G360" i="4"/>
  <c r="H360" i="4"/>
  <c r="I360" i="4"/>
  <c r="J360" i="4"/>
  <c r="K360" i="4"/>
  <c r="L360" i="4"/>
  <c r="M360" i="4"/>
  <c r="N360" i="4"/>
  <c r="O360" i="4"/>
  <c r="P360" i="4"/>
  <c r="Q360" i="4"/>
  <c r="R360" i="4"/>
  <c r="B361" i="4"/>
  <c r="C361" i="4"/>
  <c r="D361" i="4"/>
  <c r="E361" i="4"/>
  <c r="F361" i="4"/>
  <c r="G361" i="4"/>
  <c r="H361" i="4"/>
  <c r="I361" i="4"/>
  <c r="J361" i="4"/>
  <c r="K361" i="4"/>
  <c r="L361" i="4"/>
  <c r="M361" i="4"/>
  <c r="N361" i="4"/>
  <c r="O361" i="4"/>
  <c r="P361" i="4"/>
  <c r="Q361" i="4"/>
  <c r="R361" i="4"/>
  <c r="B362" i="4"/>
  <c r="C362" i="4"/>
  <c r="D362" i="4"/>
  <c r="E362" i="4"/>
  <c r="F362" i="4"/>
  <c r="G362" i="4"/>
  <c r="H362" i="4"/>
  <c r="I362" i="4"/>
  <c r="J362" i="4"/>
  <c r="K362" i="4"/>
  <c r="L362" i="4"/>
  <c r="M362" i="4"/>
  <c r="N362" i="4"/>
  <c r="O362" i="4"/>
  <c r="P362" i="4"/>
  <c r="Q362" i="4"/>
  <c r="R362" i="4"/>
  <c r="B363" i="4"/>
  <c r="C363" i="4"/>
  <c r="D363" i="4"/>
  <c r="E363" i="4"/>
  <c r="F363" i="4"/>
  <c r="G363" i="4"/>
  <c r="H363" i="4"/>
  <c r="I363" i="4"/>
  <c r="J363" i="4"/>
  <c r="K363" i="4"/>
  <c r="L363" i="4"/>
  <c r="M363" i="4"/>
  <c r="N363" i="4"/>
  <c r="O363" i="4"/>
  <c r="P363" i="4"/>
  <c r="Q363" i="4"/>
  <c r="R363" i="4"/>
  <c r="B364" i="4"/>
  <c r="C364" i="4"/>
  <c r="D364" i="4"/>
  <c r="E364" i="4"/>
  <c r="F364" i="4"/>
  <c r="G364" i="4"/>
  <c r="H364" i="4"/>
  <c r="I364" i="4"/>
  <c r="J364" i="4"/>
  <c r="K364" i="4"/>
  <c r="L364" i="4"/>
  <c r="M364" i="4"/>
  <c r="N364" i="4"/>
  <c r="O364" i="4"/>
  <c r="P364" i="4"/>
  <c r="Q364" i="4"/>
  <c r="R364" i="4"/>
  <c r="B365" i="4"/>
  <c r="C365" i="4"/>
  <c r="D365" i="4"/>
  <c r="E365" i="4"/>
  <c r="F365" i="4"/>
  <c r="G365" i="4"/>
  <c r="H365" i="4"/>
  <c r="I365" i="4"/>
  <c r="J365" i="4"/>
  <c r="K365" i="4"/>
  <c r="L365" i="4"/>
  <c r="M365" i="4"/>
  <c r="N365" i="4"/>
  <c r="O365" i="4"/>
  <c r="P365" i="4"/>
  <c r="Q365" i="4"/>
  <c r="R365" i="4"/>
  <c r="B366" i="4"/>
  <c r="C366" i="4"/>
  <c r="D366" i="4"/>
  <c r="E366" i="4"/>
  <c r="F366" i="4"/>
  <c r="G366" i="4"/>
  <c r="H366" i="4"/>
  <c r="I366" i="4"/>
  <c r="J366" i="4"/>
  <c r="K366" i="4"/>
  <c r="L366" i="4"/>
  <c r="M366" i="4"/>
  <c r="N366" i="4"/>
  <c r="O366" i="4"/>
  <c r="P366" i="4"/>
  <c r="Q366" i="4"/>
  <c r="R366" i="4"/>
  <c r="B367" i="4"/>
  <c r="C367" i="4"/>
  <c r="D367" i="4"/>
  <c r="E367" i="4"/>
  <c r="F367" i="4"/>
  <c r="G367" i="4"/>
  <c r="H367" i="4"/>
  <c r="I367" i="4"/>
  <c r="J367" i="4"/>
  <c r="K367" i="4"/>
  <c r="L367" i="4"/>
  <c r="M367" i="4"/>
  <c r="N367" i="4"/>
  <c r="O367" i="4"/>
  <c r="P367" i="4"/>
  <c r="Q367" i="4"/>
  <c r="R367" i="4"/>
  <c r="B368" i="4"/>
  <c r="C368" i="4"/>
  <c r="D368" i="4"/>
  <c r="E368" i="4"/>
  <c r="F368" i="4"/>
  <c r="G368" i="4"/>
  <c r="H368" i="4"/>
  <c r="I368" i="4"/>
  <c r="J368" i="4"/>
  <c r="K368" i="4"/>
  <c r="L368" i="4"/>
  <c r="M368" i="4"/>
  <c r="N368" i="4"/>
  <c r="O368" i="4"/>
  <c r="P368" i="4"/>
  <c r="Q368" i="4"/>
  <c r="R368" i="4"/>
  <c r="B369" i="4"/>
  <c r="C369" i="4"/>
  <c r="D369" i="4"/>
  <c r="E369" i="4"/>
  <c r="F369" i="4"/>
  <c r="G369" i="4"/>
  <c r="H369" i="4"/>
  <c r="I369" i="4"/>
  <c r="J369" i="4"/>
  <c r="K369" i="4"/>
  <c r="L369" i="4"/>
  <c r="M369" i="4"/>
  <c r="N369" i="4"/>
  <c r="O369" i="4"/>
  <c r="P369" i="4"/>
  <c r="Q369" i="4"/>
  <c r="R369" i="4"/>
  <c r="C370" i="4"/>
  <c r="D370" i="4"/>
  <c r="E370" i="4"/>
  <c r="F370" i="4"/>
  <c r="G370" i="4"/>
  <c r="H370" i="4"/>
  <c r="I370" i="4"/>
  <c r="J370" i="4"/>
  <c r="K370" i="4"/>
  <c r="L370" i="4"/>
  <c r="M370" i="4"/>
  <c r="N370" i="4"/>
  <c r="O370" i="4"/>
  <c r="P370" i="4"/>
  <c r="Q370" i="4"/>
  <c r="R370" i="4"/>
  <c r="C371" i="4"/>
  <c r="D371" i="4"/>
  <c r="E371" i="4"/>
  <c r="F371" i="4"/>
  <c r="G371" i="4"/>
  <c r="H371" i="4"/>
  <c r="I371" i="4"/>
  <c r="J371" i="4"/>
  <c r="K371" i="4"/>
  <c r="L371" i="4"/>
  <c r="M371" i="4"/>
  <c r="N371" i="4"/>
  <c r="O371" i="4"/>
  <c r="P371" i="4"/>
  <c r="Q371" i="4"/>
  <c r="R371" i="4"/>
  <c r="C372" i="4"/>
  <c r="D372" i="4"/>
  <c r="E372" i="4"/>
  <c r="F372" i="4"/>
  <c r="G372" i="4"/>
  <c r="H372" i="4"/>
  <c r="I372" i="4"/>
  <c r="J372" i="4"/>
  <c r="K372" i="4"/>
  <c r="L372" i="4"/>
  <c r="M372" i="4"/>
  <c r="N372" i="4"/>
  <c r="O372" i="4"/>
  <c r="P372" i="4"/>
  <c r="Q372" i="4"/>
  <c r="R372" i="4"/>
  <c r="C373" i="4"/>
  <c r="D373" i="4"/>
  <c r="E373" i="4"/>
  <c r="F373" i="4"/>
  <c r="G373" i="4"/>
  <c r="H373" i="4"/>
  <c r="I373" i="4"/>
  <c r="J373" i="4"/>
  <c r="K373" i="4"/>
  <c r="L373" i="4"/>
  <c r="M373" i="4"/>
  <c r="N373" i="4"/>
  <c r="O373" i="4"/>
  <c r="P373" i="4"/>
  <c r="Q373" i="4"/>
  <c r="R373" i="4"/>
  <c r="B374" i="4"/>
  <c r="C374" i="4"/>
  <c r="D374" i="4"/>
  <c r="E374" i="4"/>
  <c r="F374" i="4"/>
  <c r="G374" i="4"/>
  <c r="H374" i="4"/>
  <c r="I374" i="4"/>
  <c r="J374" i="4"/>
  <c r="K374" i="4"/>
  <c r="L374" i="4"/>
  <c r="M374" i="4"/>
  <c r="N374" i="4"/>
  <c r="O374" i="4"/>
  <c r="P374" i="4"/>
  <c r="Q374" i="4"/>
  <c r="R374" i="4"/>
  <c r="B375" i="4"/>
  <c r="C375" i="4"/>
  <c r="D375" i="4"/>
  <c r="E375" i="4"/>
  <c r="F375" i="4"/>
  <c r="G375" i="4"/>
  <c r="H375" i="4"/>
  <c r="I375" i="4"/>
  <c r="J375" i="4"/>
  <c r="K375" i="4"/>
  <c r="L375" i="4"/>
  <c r="M375" i="4"/>
  <c r="N375" i="4"/>
  <c r="O375" i="4"/>
  <c r="P375" i="4"/>
  <c r="Q375" i="4"/>
  <c r="R375" i="4"/>
  <c r="B376" i="4"/>
  <c r="C376" i="4"/>
  <c r="D376" i="4"/>
  <c r="E376" i="4"/>
  <c r="F376" i="4"/>
  <c r="G376" i="4"/>
  <c r="H376" i="4"/>
  <c r="I376" i="4"/>
  <c r="J376" i="4"/>
  <c r="K376" i="4"/>
  <c r="L376" i="4"/>
  <c r="M376" i="4"/>
  <c r="N376" i="4"/>
  <c r="O376" i="4"/>
  <c r="P376" i="4"/>
  <c r="Q376" i="4"/>
  <c r="R376" i="4"/>
  <c r="B377" i="4"/>
  <c r="C377" i="4"/>
  <c r="D377" i="4"/>
  <c r="E377" i="4"/>
  <c r="F377" i="4"/>
  <c r="G377" i="4"/>
  <c r="H377" i="4"/>
  <c r="I377" i="4"/>
  <c r="J377" i="4"/>
  <c r="K377" i="4"/>
  <c r="L377" i="4"/>
  <c r="M377" i="4"/>
  <c r="N377" i="4"/>
  <c r="O377" i="4"/>
  <c r="P377" i="4"/>
  <c r="Q377" i="4"/>
  <c r="R377" i="4"/>
  <c r="B378" i="4"/>
  <c r="C378" i="4"/>
  <c r="D378" i="4"/>
  <c r="E378" i="4"/>
  <c r="F378" i="4"/>
  <c r="G378" i="4"/>
  <c r="H378" i="4"/>
  <c r="I378" i="4"/>
  <c r="J378" i="4"/>
  <c r="K378" i="4"/>
  <c r="L378" i="4"/>
  <c r="M378" i="4"/>
  <c r="N378" i="4"/>
  <c r="O378" i="4"/>
  <c r="P378" i="4"/>
  <c r="Q378" i="4"/>
  <c r="R378" i="4"/>
  <c r="B379" i="4"/>
  <c r="C379" i="4"/>
  <c r="D379" i="4"/>
  <c r="E379" i="4"/>
  <c r="F379" i="4"/>
  <c r="G379" i="4"/>
  <c r="H379" i="4"/>
  <c r="I379" i="4"/>
  <c r="J379" i="4"/>
  <c r="K379" i="4"/>
  <c r="L379" i="4"/>
  <c r="M379" i="4"/>
  <c r="N379" i="4"/>
  <c r="O379" i="4"/>
  <c r="P379" i="4"/>
  <c r="Q379" i="4"/>
  <c r="R379" i="4"/>
  <c r="B380" i="4"/>
  <c r="C380" i="4"/>
  <c r="D380" i="4"/>
  <c r="E380" i="4"/>
  <c r="F380" i="4"/>
  <c r="G380" i="4"/>
  <c r="H380" i="4"/>
  <c r="I380" i="4"/>
  <c r="J380" i="4"/>
  <c r="K380" i="4"/>
  <c r="L380" i="4"/>
  <c r="M380" i="4"/>
  <c r="N380" i="4"/>
  <c r="O380" i="4"/>
  <c r="P380" i="4"/>
  <c r="Q380" i="4"/>
  <c r="R380" i="4"/>
  <c r="B381" i="4"/>
  <c r="C381" i="4"/>
  <c r="D381" i="4"/>
  <c r="E381" i="4"/>
  <c r="F381" i="4"/>
  <c r="G381" i="4"/>
  <c r="H381" i="4"/>
  <c r="I381" i="4"/>
  <c r="J381" i="4"/>
  <c r="K381" i="4"/>
  <c r="L381" i="4"/>
  <c r="M381" i="4"/>
  <c r="N381" i="4"/>
  <c r="O381" i="4"/>
  <c r="P381" i="4"/>
  <c r="Q381" i="4"/>
  <c r="R381" i="4"/>
  <c r="B382" i="4"/>
  <c r="C382" i="4"/>
  <c r="D382" i="4"/>
  <c r="E382" i="4"/>
  <c r="F382" i="4"/>
  <c r="G382" i="4"/>
  <c r="H382" i="4"/>
  <c r="I382" i="4"/>
  <c r="J382" i="4"/>
  <c r="K382" i="4"/>
  <c r="L382" i="4"/>
  <c r="M382" i="4"/>
  <c r="N382" i="4"/>
  <c r="O382" i="4"/>
  <c r="P382" i="4"/>
  <c r="Q382" i="4"/>
  <c r="R382" i="4"/>
  <c r="B383" i="4"/>
  <c r="C383" i="4"/>
  <c r="D383" i="4"/>
  <c r="E383" i="4"/>
  <c r="F383" i="4"/>
  <c r="H383" i="4"/>
  <c r="I383" i="4"/>
  <c r="J383" i="4"/>
  <c r="K383" i="4"/>
  <c r="L383" i="4"/>
  <c r="M383" i="4"/>
  <c r="N383" i="4"/>
  <c r="O383" i="4"/>
  <c r="P383" i="4"/>
  <c r="Q383" i="4"/>
  <c r="R383" i="4"/>
  <c r="B384" i="4"/>
  <c r="C384" i="4"/>
  <c r="D384" i="4"/>
  <c r="E384" i="4"/>
  <c r="F384" i="4"/>
  <c r="H384" i="4"/>
  <c r="I384" i="4"/>
  <c r="J384" i="4"/>
  <c r="K384" i="4"/>
  <c r="L384" i="4"/>
  <c r="M384" i="4"/>
  <c r="N384" i="4"/>
  <c r="O384" i="4"/>
  <c r="P384" i="4"/>
  <c r="Q384" i="4"/>
  <c r="R384" i="4"/>
  <c r="B385" i="4"/>
  <c r="C385" i="4"/>
  <c r="D385" i="4"/>
  <c r="E385" i="4"/>
  <c r="F385" i="4"/>
  <c r="H385" i="4"/>
  <c r="I385" i="4"/>
  <c r="J385" i="4"/>
  <c r="K385" i="4"/>
  <c r="L385" i="4"/>
  <c r="M385" i="4"/>
  <c r="N385" i="4"/>
  <c r="O385" i="4"/>
  <c r="P385" i="4"/>
  <c r="Q385" i="4"/>
  <c r="R385" i="4"/>
  <c r="B386" i="4"/>
  <c r="C386" i="4"/>
  <c r="D386" i="4"/>
  <c r="E386" i="4"/>
  <c r="F386" i="4"/>
  <c r="H386" i="4"/>
  <c r="I386" i="4"/>
  <c r="J386" i="4"/>
  <c r="K386" i="4"/>
  <c r="L386" i="4"/>
  <c r="M386" i="4"/>
  <c r="N386" i="4"/>
  <c r="O386" i="4"/>
  <c r="P386" i="4"/>
  <c r="Q386" i="4"/>
  <c r="R386" i="4"/>
  <c r="B387" i="4"/>
  <c r="C387" i="4"/>
  <c r="D387" i="4"/>
  <c r="E387" i="4"/>
  <c r="F387" i="4"/>
  <c r="G387" i="4"/>
  <c r="H387" i="4"/>
  <c r="I387" i="4"/>
  <c r="J387" i="4"/>
  <c r="K387" i="4"/>
  <c r="L387" i="4"/>
  <c r="M387" i="4"/>
  <c r="N387" i="4"/>
  <c r="O387" i="4"/>
  <c r="P387" i="4"/>
  <c r="Q387" i="4"/>
  <c r="R387" i="4"/>
  <c r="B388" i="4"/>
  <c r="C388" i="4"/>
  <c r="D388" i="4"/>
  <c r="E388" i="4"/>
  <c r="F388" i="4"/>
  <c r="G388" i="4"/>
  <c r="H388" i="4"/>
  <c r="I388" i="4"/>
  <c r="J388" i="4"/>
  <c r="K388" i="4"/>
  <c r="L388" i="4"/>
  <c r="M388" i="4"/>
  <c r="N388" i="4"/>
  <c r="O388" i="4"/>
  <c r="P388" i="4"/>
  <c r="Q388" i="4"/>
  <c r="R388" i="4"/>
  <c r="B389" i="4"/>
  <c r="C389" i="4"/>
  <c r="D389" i="4"/>
  <c r="E389" i="4"/>
  <c r="F389" i="4"/>
  <c r="G389" i="4"/>
  <c r="H389" i="4"/>
  <c r="I389" i="4"/>
  <c r="J389" i="4"/>
  <c r="K389" i="4"/>
  <c r="L389" i="4"/>
  <c r="M389" i="4"/>
  <c r="N389" i="4"/>
  <c r="O389" i="4"/>
  <c r="P389" i="4"/>
  <c r="Q389" i="4"/>
  <c r="R389" i="4"/>
  <c r="B390" i="4"/>
  <c r="C390" i="4"/>
  <c r="D390" i="4"/>
  <c r="E390" i="4"/>
  <c r="F390" i="4"/>
  <c r="G390" i="4"/>
  <c r="H390" i="4"/>
  <c r="I390" i="4"/>
  <c r="J390" i="4"/>
  <c r="K390" i="4"/>
  <c r="L390" i="4"/>
  <c r="M390" i="4"/>
  <c r="N390" i="4"/>
  <c r="O390" i="4"/>
  <c r="P390" i="4"/>
  <c r="Q390" i="4"/>
  <c r="R390" i="4"/>
  <c r="B391" i="4"/>
  <c r="C391" i="4"/>
  <c r="D391" i="4"/>
  <c r="E391" i="4"/>
  <c r="F391" i="4"/>
  <c r="G391" i="4"/>
  <c r="H391" i="4"/>
  <c r="I391" i="4"/>
  <c r="J391" i="4"/>
  <c r="K391" i="4"/>
  <c r="L391" i="4"/>
  <c r="M391" i="4"/>
  <c r="N391" i="4"/>
  <c r="O391" i="4"/>
  <c r="P391" i="4"/>
  <c r="Q391" i="4"/>
  <c r="R391" i="4"/>
  <c r="B392" i="4"/>
  <c r="C392" i="4"/>
  <c r="D392" i="4"/>
  <c r="E392" i="4"/>
  <c r="F392" i="4"/>
  <c r="G392" i="4"/>
  <c r="H392" i="4"/>
  <c r="I392" i="4"/>
  <c r="J392" i="4"/>
  <c r="K392" i="4"/>
  <c r="L392" i="4"/>
  <c r="M392" i="4"/>
  <c r="N392" i="4"/>
  <c r="O392" i="4"/>
  <c r="P392" i="4"/>
  <c r="Q392" i="4"/>
  <c r="R392" i="4"/>
  <c r="B393" i="4"/>
  <c r="C393" i="4"/>
  <c r="D393" i="4"/>
  <c r="E393" i="4"/>
  <c r="F393" i="4"/>
  <c r="G393" i="4"/>
  <c r="H393" i="4"/>
  <c r="I393" i="4"/>
  <c r="J393" i="4"/>
  <c r="K393" i="4"/>
  <c r="L393" i="4"/>
  <c r="M393" i="4"/>
  <c r="N393" i="4"/>
  <c r="O393" i="4"/>
  <c r="P393" i="4"/>
  <c r="Q393" i="4"/>
  <c r="R393" i="4"/>
  <c r="B394" i="4"/>
  <c r="C394" i="4"/>
  <c r="D394" i="4"/>
  <c r="E394" i="4"/>
  <c r="F394" i="4"/>
  <c r="G394" i="4"/>
  <c r="H394" i="4"/>
  <c r="I394" i="4"/>
  <c r="J394" i="4"/>
  <c r="K394" i="4"/>
  <c r="L394" i="4"/>
  <c r="M394" i="4"/>
  <c r="N394" i="4"/>
  <c r="O394" i="4"/>
  <c r="P394" i="4"/>
  <c r="Q394" i="4"/>
  <c r="R394" i="4"/>
  <c r="B395" i="4"/>
  <c r="C395" i="4"/>
  <c r="D395" i="4"/>
  <c r="E395" i="4"/>
  <c r="F395" i="4"/>
  <c r="G395" i="4"/>
  <c r="H395" i="4"/>
  <c r="I395" i="4"/>
  <c r="J395" i="4"/>
  <c r="K395" i="4"/>
  <c r="L395" i="4"/>
  <c r="M395" i="4"/>
  <c r="N395" i="4"/>
  <c r="O395" i="4"/>
  <c r="P395" i="4"/>
  <c r="Q395" i="4"/>
  <c r="R395" i="4"/>
  <c r="B396" i="4"/>
  <c r="C396" i="4"/>
  <c r="D396" i="4"/>
  <c r="E396" i="4"/>
  <c r="F396" i="4"/>
  <c r="G396" i="4"/>
  <c r="H396" i="4"/>
  <c r="I396" i="4"/>
  <c r="J396" i="4"/>
  <c r="K396" i="4"/>
  <c r="L396" i="4"/>
  <c r="M396" i="4"/>
  <c r="N396" i="4"/>
  <c r="O396" i="4"/>
  <c r="P396" i="4"/>
  <c r="Q396" i="4"/>
  <c r="R396" i="4"/>
  <c r="B397" i="4"/>
  <c r="C397" i="4"/>
  <c r="D397" i="4"/>
  <c r="E397" i="4"/>
  <c r="F397" i="4"/>
  <c r="G397" i="4"/>
  <c r="H397" i="4"/>
  <c r="I397" i="4"/>
  <c r="J397" i="4"/>
  <c r="K397" i="4"/>
  <c r="L397" i="4"/>
  <c r="M397" i="4"/>
  <c r="N397" i="4"/>
  <c r="O397" i="4"/>
  <c r="P397" i="4"/>
  <c r="Q397" i="4"/>
  <c r="R397" i="4"/>
  <c r="B398" i="4"/>
  <c r="C398" i="4"/>
  <c r="D398" i="4"/>
  <c r="E398" i="4"/>
  <c r="F398" i="4"/>
  <c r="G398" i="4"/>
  <c r="H398" i="4"/>
  <c r="I398" i="4"/>
  <c r="J398" i="4"/>
  <c r="K398" i="4"/>
  <c r="L398" i="4"/>
  <c r="M398" i="4"/>
  <c r="N398" i="4"/>
  <c r="O398" i="4"/>
  <c r="P398" i="4"/>
  <c r="Q398" i="4"/>
  <c r="R398" i="4"/>
  <c r="B399" i="4"/>
  <c r="C399" i="4"/>
  <c r="D399" i="4"/>
  <c r="E399" i="4"/>
  <c r="F399" i="4"/>
  <c r="G399" i="4"/>
  <c r="H399" i="4"/>
  <c r="I399" i="4"/>
  <c r="J399" i="4"/>
  <c r="K399" i="4"/>
  <c r="L399" i="4"/>
  <c r="M399" i="4"/>
  <c r="N399" i="4"/>
  <c r="O399" i="4"/>
  <c r="P399" i="4"/>
  <c r="Q399" i="4"/>
  <c r="R399" i="4"/>
  <c r="B400" i="4"/>
  <c r="C400" i="4"/>
  <c r="D400" i="4"/>
  <c r="E400" i="4"/>
  <c r="F400" i="4"/>
  <c r="G400" i="4"/>
  <c r="H400" i="4"/>
  <c r="I400" i="4"/>
  <c r="J400" i="4"/>
  <c r="K400" i="4"/>
  <c r="L400" i="4"/>
  <c r="M400" i="4"/>
  <c r="N400" i="4"/>
  <c r="O400" i="4"/>
  <c r="P400" i="4"/>
  <c r="Q400" i="4"/>
  <c r="R400" i="4"/>
  <c r="B401" i="4"/>
  <c r="C401" i="4"/>
  <c r="D401" i="4"/>
  <c r="E401" i="4"/>
  <c r="F401" i="4"/>
  <c r="G401" i="4"/>
  <c r="H401" i="4"/>
  <c r="I401" i="4"/>
  <c r="J401" i="4"/>
  <c r="K401" i="4"/>
  <c r="L401" i="4"/>
  <c r="M401" i="4"/>
  <c r="N401" i="4"/>
  <c r="O401" i="4"/>
  <c r="P401" i="4"/>
  <c r="Q401" i="4"/>
  <c r="R401" i="4"/>
  <c r="B402" i="4"/>
  <c r="C402" i="4"/>
  <c r="D402" i="4"/>
  <c r="E402" i="4"/>
  <c r="F402" i="4"/>
  <c r="G402" i="4"/>
  <c r="H402" i="4"/>
  <c r="I402" i="4"/>
  <c r="J402" i="4"/>
  <c r="K402" i="4"/>
  <c r="L402" i="4"/>
  <c r="M402" i="4"/>
  <c r="N402" i="4"/>
  <c r="O402" i="4"/>
  <c r="P402" i="4"/>
  <c r="Q402" i="4"/>
  <c r="R402" i="4"/>
  <c r="B403" i="4"/>
  <c r="C403" i="4"/>
  <c r="D403" i="4"/>
  <c r="E403" i="4"/>
  <c r="F403" i="4"/>
  <c r="G403" i="4"/>
  <c r="H403" i="4"/>
  <c r="I403" i="4"/>
  <c r="J403" i="4"/>
  <c r="K403" i="4"/>
  <c r="L403" i="4"/>
  <c r="M403" i="4"/>
  <c r="N403" i="4"/>
  <c r="O403" i="4"/>
  <c r="P403" i="4"/>
  <c r="Q403" i="4"/>
  <c r="R403" i="4"/>
  <c r="B404" i="4"/>
  <c r="C404" i="4"/>
  <c r="D404" i="4"/>
  <c r="E404" i="4"/>
  <c r="F404" i="4"/>
  <c r="G404" i="4"/>
  <c r="H404" i="4"/>
  <c r="I404" i="4"/>
  <c r="J404" i="4"/>
  <c r="K404" i="4"/>
  <c r="L404" i="4"/>
  <c r="M404" i="4"/>
  <c r="N404" i="4"/>
  <c r="O404" i="4"/>
  <c r="P404" i="4"/>
  <c r="Q404" i="4"/>
  <c r="R404" i="4"/>
  <c r="B405" i="4"/>
  <c r="C405" i="4"/>
  <c r="D405" i="4"/>
  <c r="E405" i="4"/>
  <c r="F405" i="4"/>
  <c r="G405" i="4"/>
  <c r="H405" i="4"/>
  <c r="I405" i="4"/>
  <c r="J405" i="4"/>
  <c r="K405" i="4"/>
  <c r="L405" i="4"/>
  <c r="M405" i="4"/>
  <c r="N405" i="4"/>
  <c r="O405" i="4"/>
  <c r="P405" i="4"/>
  <c r="Q405" i="4"/>
  <c r="R405" i="4"/>
  <c r="B406" i="4"/>
  <c r="C406" i="4"/>
  <c r="D406" i="4"/>
  <c r="E406" i="4"/>
  <c r="F406" i="4"/>
  <c r="G406" i="4"/>
  <c r="H406" i="4"/>
  <c r="I406" i="4"/>
  <c r="J406" i="4"/>
  <c r="K406" i="4"/>
  <c r="L406" i="4"/>
  <c r="M406" i="4"/>
  <c r="N406" i="4"/>
  <c r="O406" i="4"/>
  <c r="P406" i="4"/>
  <c r="Q406" i="4"/>
  <c r="R406" i="4"/>
  <c r="B407" i="4"/>
  <c r="C407" i="4"/>
  <c r="D407" i="4"/>
  <c r="E407" i="4"/>
  <c r="F407" i="4"/>
  <c r="G407" i="4"/>
  <c r="H407" i="4"/>
  <c r="I407" i="4"/>
  <c r="J407" i="4"/>
  <c r="K407" i="4"/>
  <c r="L407" i="4"/>
  <c r="M407" i="4"/>
  <c r="N407" i="4"/>
  <c r="O407" i="4"/>
  <c r="P407" i="4"/>
  <c r="Q407" i="4"/>
  <c r="R407" i="4"/>
  <c r="B408" i="4"/>
  <c r="C408" i="4"/>
  <c r="D408" i="4"/>
  <c r="E408" i="4"/>
  <c r="F408" i="4"/>
  <c r="G408" i="4"/>
  <c r="H408" i="4"/>
  <c r="I408" i="4"/>
  <c r="J408" i="4"/>
  <c r="K408" i="4"/>
  <c r="L408" i="4"/>
  <c r="M408" i="4"/>
  <c r="N408" i="4"/>
  <c r="O408" i="4"/>
  <c r="P408" i="4"/>
  <c r="Q408" i="4"/>
  <c r="R408" i="4"/>
  <c r="B409" i="4"/>
  <c r="C409" i="4"/>
  <c r="D409" i="4"/>
  <c r="E409" i="4"/>
  <c r="F409" i="4"/>
  <c r="G409" i="4"/>
  <c r="H409" i="4"/>
  <c r="I409" i="4"/>
  <c r="J409" i="4"/>
  <c r="K409" i="4"/>
  <c r="L409" i="4"/>
  <c r="M409" i="4"/>
  <c r="N409" i="4"/>
  <c r="O409" i="4"/>
  <c r="P409" i="4"/>
  <c r="Q409" i="4"/>
  <c r="R409" i="4"/>
  <c r="B410" i="4"/>
  <c r="C410" i="4"/>
  <c r="D410" i="4"/>
  <c r="E410" i="4"/>
  <c r="F410" i="4"/>
  <c r="G410" i="4"/>
  <c r="H410" i="4"/>
  <c r="I410" i="4"/>
  <c r="J410" i="4"/>
  <c r="K410" i="4"/>
  <c r="L410" i="4"/>
  <c r="M410" i="4"/>
  <c r="N410" i="4"/>
  <c r="O410" i="4"/>
  <c r="P410" i="4"/>
  <c r="Q410" i="4"/>
  <c r="R410" i="4"/>
  <c r="B411" i="4"/>
  <c r="C411" i="4"/>
  <c r="D411" i="4"/>
  <c r="E411" i="4"/>
  <c r="F411" i="4"/>
  <c r="G411" i="4"/>
  <c r="H411" i="4"/>
  <c r="I411" i="4"/>
  <c r="J411" i="4"/>
  <c r="K411" i="4"/>
  <c r="L411" i="4"/>
  <c r="M411" i="4"/>
  <c r="N411" i="4"/>
  <c r="O411" i="4"/>
  <c r="P411" i="4"/>
  <c r="Q411" i="4"/>
  <c r="R411" i="4"/>
  <c r="B412" i="4"/>
  <c r="C412" i="4"/>
  <c r="D412" i="4"/>
  <c r="E412" i="4"/>
  <c r="F412" i="4"/>
  <c r="G412" i="4"/>
  <c r="H412" i="4"/>
  <c r="I412" i="4"/>
  <c r="J412" i="4"/>
  <c r="K412" i="4"/>
  <c r="L412" i="4"/>
  <c r="M412" i="4"/>
  <c r="N412" i="4"/>
  <c r="O412" i="4"/>
  <c r="P412" i="4"/>
  <c r="Q412" i="4"/>
  <c r="R412" i="4"/>
  <c r="B413" i="4"/>
  <c r="C413" i="4"/>
  <c r="D413" i="4"/>
  <c r="E413" i="4"/>
  <c r="F413" i="4"/>
  <c r="G413" i="4"/>
  <c r="H413" i="4"/>
  <c r="I413" i="4"/>
  <c r="J413" i="4"/>
  <c r="K413" i="4"/>
  <c r="L413" i="4"/>
  <c r="M413" i="4"/>
  <c r="N413" i="4"/>
  <c r="O413" i="4"/>
  <c r="P413" i="4"/>
  <c r="Q413" i="4"/>
  <c r="R413" i="4"/>
  <c r="B414" i="4"/>
  <c r="C414" i="4"/>
  <c r="D414" i="4"/>
  <c r="E414" i="4"/>
  <c r="F414" i="4"/>
  <c r="G414" i="4"/>
  <c r="H414" i="4"/>
  <c r="I414" i="4"/>
  <c r="J414" i="4"/>
  <c r="K414" i="4"/>
  <c r="L414" i="4"/>
  <c r="M414" i="4"/>
  <c r="N414" i="4"/>
  <c r="O414" i="4"/>
  <c r="P414" i="4"/>
  <c r="Q414" i="4"/>
  <c r="R414" i="4"/>
  <c r="B415" i="4"/>
  <c r="C415" i="4"/>
  <c r="D415" i="4"/>
  <c r="E415" i="4"/>
  <c r="F415" i="4"/>
  <c r="G415" i="4"/>
  <c r="H415" i="4"/>
  <c r="I415" i="4"/>
  <c r="J415" i="4"/>
  <c r="K415" i="4"/>
  <c r="L415" i="4"/>
  <c r="M415" i="4"/>
  <c r="N415" i="4"/>
  <c r="O415" i="4"/>
  <c r="P415" i="4"/>
  <c r="Q415" i="4"/>
  <c r="R415" i="4"/>
  <c r="B416" i="4"/>
  <c r="C416" i="4"/>
  <c r="D416" i="4"/>
  <c r="E416" i="4"/>
  <c r="F416" i="4"/>
  <c r="G416" i="4"/>
  <c r="H416" i="4"/>
  <c r="I416" i="4"/>
  <c r="J416" i="4"/>
  <c r="K416" i="4"/>
  <c r="L416" i="4"/>
  <c r="M416" i="4"/>
  <c r="N416" i="4"/>
  <c r="O416" i="4"/>
  <c r="P416" i="4"/>
  <c r="Q416" i="4"/>
  <c r="R416" i="4"/>
  <c r="B417" i="4"/>
  <c r="C417" i="4"/>
  <c r="D417" i="4"/>
  <c r="E417" i="4"/>
  <c r="F417" i="4"/>
  <c r="G417" i="4"/>
  <c r="H417" i="4"/>
  <c r="I417" i="4"/>
  <c r="J417" i="4"/>
  <c r="K417" i="4"/>
  <c r="L417" i="4"/>
  <c r="M417" i="4"/>
  <c r="N417" i="4"/>
  <c r="O417" i="4"/>
  <c r="P417" i="4"/>
  <c r="Q417" i="4"/>
  <c r="R417" i="4"/>
  <c r="B418" i="4"/>
  <c r="C418" i="4"/>
  <c r="D418" i="4"/>
  <c r="E418" i="4"/>
  <c r="F418" i="4"/>
  <c r="G418" i="4"/>
  <c r="H418" i="4"/>
  <c r="I418" i="4"/>
  <c r="J418" i="4"/>
  <c r="K418" i="4"/>
  <c r="L418" i="4"/>
  <c r="M418" i="4"/>
  <c r="N418" i="4"/>
  <c r="O418" i="4"/>
  <c r="P418" i="4"/>
  <c r="Q418" i="4"/>
  <c r="R418" i="4"/>
  <c r="B419" i="4"/>
  <c r="C419" i="4"/>
  <c r="D419" i="4"/>
  <c r="E419" i="4"/>
  <c r="F419" i="4"/>
  <c r="G419" i="4"/>
  <c r="H419" i="4"/>
  <c r="I419" i="4"/>
  <c r="J419" i="4"/>
  <c r="K419" i="4"/>
  <c r="L419" i="4"/>
  <c r="M419" i="4"/>
  <c r="N419" i="4"/>
  <c r="O419" i="4"/>
  <c r="P419" i="4"/>
  <c r="Q419" i="4"/>
  <c r="R419" i="4"/>
  <c r="B420" i="4"/>
  <c r="C420" i="4"/>
  <c r="D420" i="4"/>
  <c r="E420" i="4"/>
  <c r="F420" i="4"/>
  <c r="G420" i="4"/>
  <c r="H420" i="4"/>
  <c r="I420" i="4"/>
  <c r="J420" i="4"/>
  <c r="K420" i="4"/>
  <c r="L420" i="4"/>
  <c r="M420" i="4"/>
  <c r="N420" i="4"/>
  <c r="O420" i="4"/>
  <c r="P420" i="4"/>
  <c r="Q420" i="4"/>
  <c r="R420" i="4"/>
  <c r="B421" i="4"/>
  <c r="C421" i="4"/>
  <c r="D421" i="4"/>
  <c r="E421" i="4"/>
  <c r="F421" i="4"/>
  <c r="G421" i="4"/>
  <c r="H421" i="4"/>
  <c r="I421" i="4"/>
  <c r="J421" i="4"/>
  <c r="K421" i="4"/>
  <c r="L421" i="4"/>
  <c r="M421" i="4"/>
  <c r="N421" i="4"/>
  <c r="O421" i="4"/>
  <c r="P421" i="4"/>
  <c r="Q421" i="4"/>
  <c r="R421" i="4"/>
  <c r="B422" i="4"/>
  <c r="C422" i="4"/>
  <c r="D422" i="4"/>
  <c r="E422" i="4"/>
  <c r="F422" i="4"/>
  <c r="G422" i="4"/>
  <c r="H422" i="4"/>
  <c r="I422" i="4"/>
  <c r="J422" i="4"/>
  <c r="K422" i="4"/>
  <c r="L422" i="4"/>
  <c r="M422" i="4"/>
  <c r="N422" i="4"/>
  <c r="O422" i="4"/>
  <c r="P422" i="4"/>
  <c r="Q422" i="4"/>
  <c r="R422" i="4"/>
  <c r="B423" i="4"/>
  <c r="C423" i="4"/>
  <c r="D423" i="4"/>
  <c r="E423" i="4"/>
  <c r="F423" i="4"/>
  <c r="G423" i="4"/>
  <c r="H423" i="4"/>
  <c r="I423" i="4"/>
  <c r="J423" i="4"/>
  <c r="K423" i="4"/>
  <c r="L423" i="4"/>
  <c r="M423" i="4"/>
  <c r="N423" i="4"/>
  <c r="O423" i="4"/>
  <c r="P423" i="4"/>
  <c r="Q423" i="4"/>
  <c r="R423" i="4"/>
  <c r="B424" i="4"/>
  <c r="C424" i="4"/>
  <c r="D424" i="4"/>
  <c r="E424" i="4"/>
  <c r="F424" i="4"/>
  <c r="G424" i="4"/>
  <c r="H424" i="4"/>
  <c r="I424" i="4"/>
  <c r="J424" i="4"/>
  <c r="K424" i="4"/>
  <c r="L424" i="4"/>
  <c r="M424" i="4"/>
  <c r="N424" i="4"/>
  <c r="O424" i="4"/>
  <c r="P424" i="4"/>
  <c r="Q424" i="4"/>
  <c r="R424" i="4"/>
  <c r="B425" i="4"/>
  <c r="C425" i="4"/>
  <c r="D425" i="4"/>
  <c r="E425" i="4"/>
  <c r="F425" i="4"/>
  <c r="G425" i="4"/>
  <c r="H425" i="4"/>
  <c r="I425" i="4"/>
  <c r="J425" i="4"/>
  <c r="K425" i="4"/>
  <c r="L425" i="4"/>
  <c r="M425" i="4"/>
  <c r="N425" i="4"/>
  <c r="O425" i="4"/>
  <c r="P425" i="4"/>
  <c r="Q425" i="4"/>
  <c r="R425" i="4"/>
  <c r="B426" i="4"/>
  <c r="C426" i="4"/>
  <c r="D426" i="4"/>
  <c r="E426" i="4"/>
  <c r="F426" i="4"/>
  <c r="G426" i="4"/>
  <c r="H426" i="4"/>
  <c r="I426" i="4"/>
  <c r="J426" i="4"/>
  <c r="K426" i="4"/>
  <c r="L426" i="4"/>
  <c r="M426" i="4"/>
  <c r="N426" i="4"/>
  <c r="O426" i="4"/>
  <c r="P426" i="4"/>
  <c r="Q426" i="4"/>
  <c r="R426" i="4"/>
  <c r="B427" i="4"/>
  <c r="C427" i="4"/>
  <c r="D427" i="4"/>
  <c r="E427" i="4"/>
  <c r="F427" i="4"/>
  <c r="G427" i="4"/>
  <c r="H427" i="4"/>
  <c r="I427" i="4"/>
  <c r="J427" i="4"/>
  <c r="K427" i="4"/>
  <c r="L427" i="4"/>
  <c r="M427" i="4"/>
  <c r="N427" i="4"/>
  <c r="O427" i="4"/>
  <c r="P427" i="4"/>
  <c r="Q427" i="4"/>
  <c r="R427" i="4"/>
  <c r="B428" i="4"/>
  <c r="C428" i="4"/>
  <c r="D428" i="4"/>
  <c r="E428" i="4"/>
  <c r="F428" i="4"/>
  <c r="G428" i="4"/>
  <c r="H428" i="4"/>
  <c r="I428" i="4"/>
  <c r="J428" i="4"/>
  <c r="K428" i="4"/>
  <c r="L428" i="4"/>
  <c r="M428" i="4"/>
  <c r="N428" i="4"/>
  <c r="O428" i="4"/>
  <c r="P428" i="4"/>
  <c r="Q428" i="4"/>
  <c r="R428" i="4"/>
  <c r="B429" i="4"/>
  <c r="C429" i="4"/>
  <c r="D429" i="4"/>
  <c r="E429" i="4"/>
  <c r="F429" i="4"/>
  <c r="G429" i="4"/>
  <c r="H429" i="4"/>
  <c r="I429" i="4"/>
  <c r="J429" i="4"/>
  <c r="K429" i="4"/>
  <c r="L429" i="4"/>
  <c r="M429" i="4"/>
  <c r="N429" i="4"/>
  <c r="O429" i="4"/>
  <c r="P429" i="4"/>
  <c r="Q429" i="4"/>
  <c r="R429" i="4"/>
  <c r="B430" i="4"/>
  <c r="C430" i="4"/>
  <c r="D430" i="4"/>
  <c r="E430" i="4"/>
  <c r="F430" i="4"/>
  <c r="G430" i="4"/>
  <c r="H430" i="4"/>
  <c r="I430" i="4"/>
  <c r="J430" i="4"/>
  <c r="K430" i="4"/>
  <c r="L430" i="4"/>
  <c r="M430" i="4"/>
  <c r="N430" i="4"/>
  <c r="O430" i="4"/>
  <c r="P430" i="4"/>
  <c r="Q430" i="4"/>
  <c r="R430" i="4"/>
  <c r="B431" i="4"/>
  <c r="C431" i="4"/>
  <c r="D431" i="4"/>
  <c r="E431" i="4"/>
  <c r="F431" i="4"/>
  <c r="G431" i="4"/>
  <c r="H431" i="4"/>
  <c r="I431" i="4"/>
  <c r="J431" i="4"/>
  <c r="K431" i="4"/>
  <c r="L431" i="4"/>
  <c r="M431" i="4"/>
  <c r="N431" i="4"/>
  <c r="O431" i="4"/>
  <c r="P431" i="4"/>
  <c r="Q431" i="4"/>
  <c r="R431" i="4"/>
  <c r="B432" i="4"/>
  <c r="C432" i="4"/>
  <c r="D432" i="4"/>
  <c r="E432" i="4"/>
  <c r="F432" i="4"/>
  <c r="G432" i="4"/>
  <c r="H432" i="4"/>
  <c r="I432" i="4"/>
  <c r="J432" i="4"/>
  <c r="K432" i="4"/>
  <c r="L432" i="4"/>
  <c r="M432" i="4"/>
  <c r="N432" i="4"/>
  <c r="O432" i="4"/>
  <c r="P432" i="4"/>
  <c r="Q432" i="4"/>
  <c r="R432" i="4"/>
  <c r="B433" i="4"/>
  <c r="C433" i="4"/>
  <c r="D433" i="4"/>
  <c r="E433" i="4"/>
  <c r="F433" i="4"/>
  <c r="G433" i="4"/>
  <c r="H433" i="4"/>
  <c r="I433" i="4"/>
  <c r="J433" i="4"/>
  <c r="K433" i="4"/>
  <c r="L433" i="4"/>
  <c r="M433" i="4"/>
  <c r="N433" i="4"/>
  <c r="O433" i="4"/>
  <c r="P433" i="4"/>
  <c r="Q433" i="4"/>
  <c r="R433" i="4"/>
  <c r="B434" i="4"/>
  <c r="C434" i="4"/>
  <c r="D434" i="4"/>
  <c r="E434" i="4"/>
  <c r="F434" i="4"/>
  <c r="G434" i="4"/>
  <c r="H434" i="4"/>
  <c r="I434" i="4"/>
  <c r="J434" i="4"/>
  <c r="K434" i="4"/>
  <c r="L434" i="4"/>
  <c r="M434" i="4"/>
  <c r="N434" i="4"/>
  <c r="O434" i="4"/>
  <c r="P434" i="4"/>
  <c r="Q434" i="4"/>
  <c r="R434" i="4"/>
  <c r="B435" i="4"/>
  <c r="C435" i="4"/>
  <c r="D435" i="4"/>
  <c r="E435" i="4"/>
  <c r="F435" i="4"/>
  <c r="G435" i="4"/>
  <c r="H435" i="4"/>
  <c r="I435" i="4"/>
  <c r="J435" i="4"/>
  <c r="K435" i="4"/>
  <c r="L435" i="4"/>
  <c r="M435" i="4"/>
  <c r="N435" i="4"/>
  <c r="O435" i="4"/>
  <c r="P435" i="4"/>
  <c r="Q435" i="4"/>
  <c r="R435" i="4"/>
  <c r="B436" i="4"/>
  <c r="C436" i="4"/>
  <c r="D436" i="4"/>
  <c r="E436" i="4"/>
  <c r="F436" i="4"/>
  <c r="G436" i="4"/>
  <c r="H436" i="4"/>
  <c r="I436" i="4"/>
  <c r="J436" i="4"/>
  <c r="K436" i="4"/>
  <c r="L436" i="4"/>
  <c r="M436" i="4"/>
  <c r="N436" i="4"/>
  <c r="O436" i="4"/>
  <c r="P436" i="4"/>
  <c r="Q436" i="4"/>
  <c r="R436" i="4"/>
  <c r="B437" i="4"/>
  <c r="C437" i="4"/>
  <c r="D437" i="4"/>
  <c r="E437" i="4"/>
  <c r="F437" i="4"/>
  <c r="G437" i="4"/>
  <c r="H437" i="4"/>
  <c r="I437" i="4"/>
  <c r="J437" i="4"/>
  <c r="K437" i="4"/>
  <c r="L437" i="4"/>
  <c r="M437" i="4"/>
  <c r="N437" i="4"/>
  <c r="O437" i="4"/>
  <c r="P437" i="4"/>
  <c r="Q437" i="4"/>
  <c r="R437" i="4"/>
  <c r="B438" i="4"/>
  <c r="C438" i="4"/>
  <c r="D438" i="4"/>
  <c r="E438" i="4"/>
  <c r="F438" i="4"/>
  <c r="G438" i="4"/>
  <c r="H438" i="4"/>
  <c r="I438" i="4"/>
  <c r="J438" i="4"/>
  <c r="K438" i="4"/>
  <c r="L438" i="4"/>
  <c r="M438" i="4"/>
  <c r="N438" i="4"/>
  <c r="O438" i="4"/>
  <c r="P438" i="4"/>
  <c r="Q438" i="4"/>
  <c r="R438" i="4"/>
  <c r="B439" i="4"/>
  <c r="C439" i="4"/>
  <c r="D439" i="4"/>
  <c r="E439" i="4"/>
  <c r="F439" i="4"/>
  <c r="G439" i="4"/>
  <c r="H439" i="4"/>
  <c r="I439" i="4"/>
  <c r="J439" i="4"/>
  <c r="K439" i="4"/>
  <c r="L439" i="4"/>
  <c r="M439" i="4"/>
  <c r="N439" i="4"/>
  <c r="O439" i="4"/>
  <c r="P439" i="4"/>
  <c r="Q439" i="4"/>
  <c r="R439" i="4"/>
  <c r="B440" i="4"/>
  <c r="C440" i="4"/>
  <c r="D440" i="4"/>
  <c r="E440" i="4"/>
  <c r="F440" i="4"/>
  <c r="G440" i="4"/>
  <c r="H440" i="4"/>
  <c r="I440" i="4"/>
  <c r="J440" i="4"/>
  <c r="K440" i="4"/>
  <c r="L440" i="4"/>
  <c r="M440" i="4"/>
  <c r="N440" i="4"/>
  <c r="O440" i="4"/>
  <c r="P440" i="4"/>
  <c r="Q440" i="4"/>
  <c r="R440" i="4"/>
  <c r="B441" i="4"/>
  <c r="C441" i="4"/>
  <c r="D441" i="4"/>
  <c r="E441" i="4"/>
  <c r="F441" i="4"/>
  <c r="G441" i="4"/>
  <c r="H441" i="4"/>
  <c r="I441" i="4"/>
  <c r="J441" i="4"/>
  <c r="K441" i="4"/>
  <c r="L441" i="4"/>
  <c r="M441" i="4"/>
  <c r="N441" i="4"/>
  <c r="O441" i="4"/>
  <c r="P441" i="4"/>
  <c r="Q441" i="4"/>
  <c r="R441" i="4"/>
  <c r="B442" i="4"/>
  <c r="C442" i="4"/>
  <c r="D442" i="4"/>
  <c r="E442" i="4"/>
  <c r="F442" i="4"/>
  <c r="G442" i="4"/>
  <c r="H442" i="4"/>
  <c r="I442" i="4"/>
  <c r="J442" i="4"/>
  <c r="K442" i="4"/>
  <c r="L442" i="4"/>
  <c r="M442" i="4"/>
  <c r="N442" i="4"/>
  <c r="O442" i="4"/>
  <c r="P442" i="4"/>
  <c r="Q442" i="4"/>
  <c r="R442" i="4"/>
  <c r="B443" i="4"/>
  <c r="C443" i="4"/>
  <c r="D443" i="4"/>
  <c r="E443" i="4"/>
  <c r="F443" i="4"/>
  <c r="G443" i="4"/>
  <c r="H443" i="4"/>
  <c r="I443" i="4"/>
  <c r="J443" i="4"/>
  <c r="K443" i="4"/>
  <c r="L443" i="4"/>
  <c r="M443" i="4"/>
  <c r="N443" i="4"/>
  <c r="O443" i="4"/>
  <c r="P443" i="4"/>
  <c r="Q443" i="4"/>
  <c r="R443" i="4"/>
  <c r="B444" i="4"/>
  <c r="C444" i="4"/>
  <c r="D444" i="4"/>
  <c r="E444" i="4"/>
  <c r="F444" i="4"/>
  <c r="G444" i="4"/>
  <c r="H444" i="4"/>
  <c r="I444" i="4"/>
  <c r="J444" i="4"/>
  <c r="K444" i="4"/>
  <c r="L444" i="4"/>
  <c r="M444" i="4"/>
  <c r="N444" i="4"/>
  <c r="O444" i="4"/>
  <c r="P444" i="4"/>
  <c r="Q444" i="4"/>
  <c r="R444" i="4"/>
  <c r="B445" i="4"/>
  <c r="C445" i="4"/>
  <c r="D445" i="4"/>
  <c r="E445" i="4"/>
  <c r="F445" i="4"/>
  <c r="G445" i="4"/>
  <c r="H445" i="4"/>
  <c r="I445" i="4"/>
  <c r="J445" i="4"/>
  <c r="K445" i="4"/>
  <c r="L445" i="4"/>
  <c r="M445" i="4"/>
  <c r="N445" i="4"/>
  <c r="O445" i="4"/>
  <c r="P445" i="4"/>
  <c r="Q445" i="4"/>
  <c r="R445" i="4"/>
  <c r="B446" i="4"/>
  <c r="C446" i="4"/>
  <c r="D446" i="4"/>
  <c r="E446" i="4"/>
  <c r="F446" i="4"/>
  <c r="G446" i="4"/>
  <c r="H446" i="4"/>
  <c r="I446" i="4"/>
  <c r="J446" i="4"/>
  <c r="K446" i="4"/>
  <c r="L446" i="4"/>
  <c r="M446" i="4"/>
  <c r="N446" i="4"/>
  <c r="O446" i="4"/>
  <c r="P446" i="4"/>
  <c r="Q446" i="4"/>
  <c r="R446" i="4"/>
  <c r="B447" i="4"/>
  <c r="C447" i="4"/>
  <c r="D447" i="4"/>
  <c r="E447" i="4"/>
  <c r="F447" i="4"/>
  <c r="G447" i="4"/>
  <c r="H447" i="4"/>
  <c r="I447" i="4"/>
  <c r="J447" i="4"/>
  <c r="K447" i="4"/>
  <c r="L447" i="4"/>
  <c r="M447" i="4"/>
  <c r="N447" i="4"/>
  <c r="O447" i="4"/>
  <c r="P447" i="4"/>
  <c r="Q447" i="4"/>
  <c r="R447" i="4"/>
  <c r="B448" i="4"/>
  <c r="C448" i="4"/>
  <c r="D448" i="4"/>
  <c r="E448" i="4"/>
  <c r="F448" i="4"/>
  <c r="G448" i="4"/>
  <c r="H448" i="4"/>
  <c r="I448" i="4"/>
  <c r="J448" i="4"/>
  <c r="K448" i="4"/>
  <c r="L448" i="4"/>
  <c r="M448" i="4"/>
  <c r="N448" i="4"/>
  <c r="O448" i="4"/>
  <c r="P448" i="4"/>
  <c r="Q448" i="4"/>
  <c r="R448" i="4"/>
  <c r="B449" i="4"/>
  <c r="C449" i="4"/>
  <c r="D449" i="4"/>
  <c r="E449" i="4"/>
  <c r="F449" i="4"/>
  <c r="G449" i="4"/>
  <c r="H449" i="4"/>
  <c r="I449" i="4"/>
  <c r="J449" i="4"/>
  <c r="K449" i="4"/>
  <c r="L449" i="4"/>
  <c r="M449" i="4"/>
  <c r="N449" i="4"/>
  <c r="O449" i="4"/>
  <c r="P449" i="4"/>
  <c r="Q449" i="4"/>
  <c r="R449" i="4"/>
  <c r="B450" i="4"/>
  <c r="C450" i="4"/>
  <c r="D450" i="4"/>
  <c r="E450" i="4"/>
  <c r="F450" i="4"/>
  <c r="G450" i="4"/>
  <c r="H450" i="4"/>
  <c r="I450" i="4"/>
  <c r="J450" i="4"/>
  <c r="K450" i="4"/>
  <c r="L450" i="4"/>
  <c r="M450" i="4"/>
  <c r="N450" i="4"/>
  <c r="O450" i="4"/>
  <c r="P450" i="4"/>
  <c r="Q450" i="4"/>
  <c r="R450" i="4"/>
  <c r="B451" i="4"/>
  <c r="C451" i="4"/>
  <c r="D451" i="4"/>
  <c r="E451" i="4"/>
  <c r="F451" i="4"/>
  <c r="G451" i="4"/>
  <c r="H451" i="4"/>
  <c r="I451" i="4"/>
  <c r="J451" i="4"/>
  <c r="K451" i="4"/>
  <c r="L451" i="4"/>
  <c r="M451" i="4"/>
  <c r="N451" i="4"/>
  <c r="O451" i="4"/>
  <c r="P451" i="4"/>
  <c r="Q451" i="4"/>
  <c r="R451" i="4"/>
  <c r="B452" i="4"/>
  <c r="C452" i="4"/>
  <c r="D452" i="4"/>
  <c r="E452" i="4"/>
  <c r="F452" i="4"/>
  <c r="G452" i="4"/>
  <c r="H452" i="4"/>
  <c r="I452" i="4"/>
  <c r="J452" i="4"/>
  <c r="K452" i="4"/>
  <c r="L452" i="4"/>
  <c r="M452" i="4"/>
  <c r="N452" i="4"/>
  <c r="O452" i="4"/>
  <c r="P452" i="4"/>
  <c r="Q452" i="4"/>
  <c r="R452" i="4"/>
  <c r="B453" i="4"/>
  <c r="C453" i="4"/>
  <c r="D453" i="4"/>
  <c r="E453" i="4"/>
  <c r="F453" i="4"/>
  <c r="G453" i="4"/>
  <c r="H453" i="4"/>
  <c r="I453" i="4"/>
  <c r="J453" i="4"/>
  <c r="K453" i="4"/>
  <c r="L453" i="4"/>
  <c r="M453" i="4"/>
  <c r="N453" i="4"/>
  <c r="O453" i="4"/>
  <c r="P453" i="4"/>
  <c r="Q453" i="4"/>
  <c r="R453" i="4"/>
  <c r="B454" i="4"/>
  <c r="C454" i="4"/>
  <c r="D454" i="4"/>
  <c r="E454" i="4"/>
  <c r="F454" i="4"/>
  <c r="G454" i="4"/>
  <c r="H454" i="4"/>
  <c r="I454" i="4"/>
  <c r="J454" i="4"/>
  <c r="K454" i="4"/>
  <c r="L454" i="4"/>
  <c r="M454" i="4"/>
  <c r="N454" i="4"/>
  <c r="O454" i="4"/>
  <c r="P454" i="4"/>
  <c r="Q454" i="4"/>
  <c r="R454" i="4"/>
  <c r="B455" i="4"/>
  <c r="C455" i="4"/>
  <c r="D455" i="4"/>
  <c r="E455" i="4"/>
  <c r="F455" i="4"/>
  <c r="G455" i="4"/>
  <c r="H455" i="4"/>
  <c r="I455" i="4"/>
  <c r="J455" i="4"/>
  <c r="K455" i="4"/>
  <c r="L455" i="4"/>
  <c r="M455" i="4"/>
  <c r="N455" i="4"/>
  <c r="O455" i="4"/>
  <c r="P455" i="4"/>
  <c r="Q455" i="4"/>
  <c r="R455" i="4"/>
  <c r="B456" i="4"/>
  <c r="C456" i="4"/>
  <c r="D456" i="4"/>
  <c r="E456" i="4"/>
  <c r="F456" i="4"/>
  <c r="G456" i="4"/>
  <c r="H456" i="4"/>
  <c r="I456" i="4"/>
  <c r="J456" i="4"/>
  <c r="K456" i="4"/>
  <c r="L456" i="4"/>
  <c r="M456" i="4"/>
  <c r="N456" i="4"/>
  <c r="O456" i="4"/>
  <c r="P456" i="4"/>
  <c r="Q456" i="4"/>
  <c r="R456" i="4"/>
  <c r="B457" i="4"/>
  <c r="C457" i="4"/>
  <c r="D457" i="4"/>
  <c r="E457" i="4"/>
  <c r="F457" i="4"/>
  <c r="G457" i="4"/>
  <c r="H457" i="4"/>
  <c r="I457" i="4"/>
  <c r="J457" i="4"/>
  <c r="K457" i="4"/>
  <c r="L457" i="4"/>
  <c r="M457" i="4"/>
  <c r="N457" i="4"/>
  <c r="O457" i="4"/>
  <c r="P457" i="4"/>
  <c r="Q457" i="4"/>
  <c r="R457" i="4"/>
  <c r="B458" i="4"/>
  <c r="C458" i="4"/>
  <c r="D458" i="4"/>
  <c r="E458" i="4"/>
  <c r="F458" i="4"/>
  <c r="G458" i="4"/>
  <c r="H458" i="4"/>
  <c r="I458" i="4"/>
  <c r="J458" i="4"/>
  <c r="K458" i="4"/>
  <c r="L458" i="4"/>
  <c r="M458" i="4"/>
  <c r="N458" i="4"/>
  <c r="O458" i="4"/>
  <c r="P458" i="4"/>
  <c r="Q458" i="4"/>
  <c r="R458" i="4"/>
  <c r="B459" i="4"/>
  <c r="C459" i="4"/>
  <c r="D459" i="4"/>
  <c r="E459" i="4"/>
  <c r="F459" i="4"/>
  <c r="G459" i="4"/>
  <c r="H459" i="4"/>
  <c r="I459" i="4"/>
  <c r="J459" i="4"/>
  <c r="K459" i="4"/>
  <c r="L459" i="4"/>
  <c r="M459" i="4"/>
  <c r="N459" i="4"/>
  <c r="O459" i="4"/>
  <c r="P459" i="4"/>
  <c r="Q459" i="4"/>
  <c r="R459" i="4"/>
  <c r="B460" i="4"/>
  <c r="C460" i="4"/>
  <c r="D460" i="4"/>
  <c r="E460" i="4"/>
  <c r="F460" i="4"/>
  <c r="G460" i="4"/>
  <c r="H460" i="4"/>
  <c r="I460" i="4"/>
  <c r="J460" i="4"/>
  <c r="K460" i="4"/>
  <c r="L460" i="4"/>
  <c r="M460" i="4"/>
  <c r="N460" i="4"/>
  <c r="O460" i="4"/>
  <c r="P460" i="4"/>
  <c r="Q460" i="4"/>
  <c r="R460" i="4"/>
  <c r="B461" i="4"/>
  <c r="C461" i="4"/>
  <c r="D461" i="4"/>
  <c r="E461" i="4"/>
  <c r="F461" i="4"/>
  <c r="G461" i="4"/>
  <c r="H461" i="4"/>
  <c r="I461" i="4"/>
  <c r="J461" i="4"/>
  <c r="K461" i="4"/>
  <c r="L461" i="4"/>
  <c r="M461" i="4"/>
  <c r="N461" i="4"/>
  <c r="O461" i="4"/>
  <c r="P461" i="4"/>
  <c r="Q461" i="4"/>
  <c r="R461" i="4"/>
  <c r="B462" i="4"/>
  <c r="C462" i="4"/>
  <c r="D462" i="4"/>
  <c r="E462" i="4"/>
  <c r="F462" i="4"/>
  <c r="G462" i="4"/>
  <c r="H462" i="4"/>
  <c r="I462" i="4"/>
  <c r="J462" i="4"/>
  <c r="K462" i="4"/>
  <c r="L462" i="4"/>
  <c r="M462" i="4"/>
  <c r="N462" i="4"/>
  <c r="O462" i="4"/>
  <c r="P462" i="4"/>
  <c r="Q462" i="4"/>
  <c r="R462" i="4"/>
  <c r="B463" i="4"/>
  <c r="C463" i="4"/>
  <c r="D463" i="4"/>
  <c r="E463" i="4"/>
  <c r="F463" i="4"/>
  <c r="G463" i="4"/>
  <c r="H463" i="4"/>
  <c r="I463" i="4"/>
  <c r="J463" i="4"/>
  <c r="K463" i="4"/>
  <c r="L463" i="4"/>
  <c r="M463" i="4"/>
  <c r="N463" i="4"/>
  <c r="O463" i="4"/>
  <c r="P463" i="4"/>
  <c r="Q463" i="4"/>
  <c r="R463" i="4"/>
  <c r="B464" i="4"/>
  <c r="C464" i="4"/>
  <c r="D464" i="4"/>
  <c r="E464" i="4"/>
  <c r="F464" i="4"/>
  <c r="G464" i="4"/>
  <c r="H464" i="4"/>
  <c r="I464" i="4"/>
  <c r="J464" i="4"/>
  <c r="K464" i="4"/>
  <c r="L464" i="4"/>
  <c r="M464" i="4"/>
  <c r="N464" i="4"/>
  <c r="O464" i="4"/>
  <c r="P464" i="4"/>
  <c r="Q464" i="4"/>
  <c r="R464" i="4"/>
  <c r="B465" i="4"/>
  <c r="C465" i="4"/>
  <c r="D465" i="4"/>
  <c r="E465" i="4"/>
  <c r="F465" i="4"/>
  <c r="G465" i="4"/>
  <c r="H465" i="4"/>
  <c r="I465" i="4"/>
  <c r="J465" i="4"/>
  <c r="K465" i="4"/>
  <c r="L465" i="4"/>
  <c r="M465" i="4"/>
  <c r="N465" i="4"/>
  <c r="O465" i="4"/>
  <c r="P465" i="4"/>
  <c r="Q465" i="4"/>
  <c r="R465" i="4"/>
  <c r="B466" i="4"/>
  <c r="C466" i="4"/>
  <c r="D466" i="4"/>
  <c r="E466" i="4"/>
  <c r="F466" i="4"/>
  <c r="G466" i="4"/>
  <c r="H466" i="4"/>
  <c r="I466" i="4"/>
  <c r="J466" i="4"/>
  <c r="K466" i="4"/>
  <c r="L466" i="4"/>
  <c r="M466" i="4"/>
  <c r="N466" i="4"/>
  <c r="O466" i="4"/>
  <c r="P466" i="4"/>
  <c r="Q466" i="4"/>
  <c r="R466" i="4"/>
  <c r="B467" i="4"/>
  <c r="C467" i="4"/>
  <c r="D467" i="4"/>
  <c r="E467" i="4"/>
  <c r="F467" i="4"/>
  <c r="G467" i="4"/>
  <c r="H467" i="4"/>
  <c r="I467" i="4"/>
  <c r="J467" i="4"/>
  <c r="K467" i="4"/>
  <c r="L467" i="4"/>
  <c r="M467" i="4"/>
  <c r="N467" i="4"/>
  <c r="O467" i="4"/>
  <c r="P467" i="4"/>
  <c r="Q467" i="4"/>
  <c r="R467" i="4"/>
  <c r="B468" i="4"/>
  <c r="C468" i="4"/>
  <c r="D468" i="4"/>
  <c r="E468" i="4"/>
  <c r="F468" i="4"/>
  <c r="G468" i="4"/>
  <c r="H468" i="4"/>
  <c r="I468" i="4"/>
  <c r="J468" i="4"/>
  <c r="K468" i="4"/>
  <c r="L468" i="4"/>
  <c r="M468" i="4"/>
  <c r="N468" i="4"/>
  <c r="O468" i="4"/>
  <c r="P468" i="4"/>
  <c r="Q468" i="4"/>
  <c r="R468" i="4"/>
  <c r="B469" i="4"/>
  <c r="C469" i="4"/>
  <c r="D469" i="4"/>
  <c r="E469" i="4"/>
  <c r="F469" i="4"/>
  <c r="G469" i="4"/>
  <c r="H469" i="4"/>
  <c r="I469" i="4"/>
  <c r="J469" i="4"/>
  <c r="K469" i="4"/>
  <c r="L469" i="4"/>
  <c r="M469" i="4"/>
  <c r="N469" i="4"/>
  <c r="O469" i="4"/>
  <c r="P469" i="4"/>
  <c r="Q469" i="4"/>
  <c r="R469" i="4"/>
  <c r="B470" i="4"/>
  <c r="C470" i="4"/>
  <c r="D470" i="4"/>
  <c r="E470" i="4"/>
  <c r="F470" i="4"/>
  <c r="G470" i="4"/>
  <c r="H470" i="4"/>
  <c r="I470" i="4"/>
  <c r="J470" i="4"/>
  <c r="K470" i="4"/>
  <c r="L470" i="4"/>
  <c r="M470" i="4"/>
  <c r="N470" i="4"/>
  <c r="O470" i="4"/>
  <c r="P470" i="4"/>
  <c r="Q470" i="4"/>
  <c r="R470" i="4"/>
  <c r="B471" i="4"/>
  <c r="C471" i="4"/>
  <c r="D471" i="4"/>
  <c r="E471" i="4"/>
  <c r="F471" i="4"/>
  <c r="G471" i="4"/>
  <c r="H471" i="4"/>
  <c r="I471" i="4"/>
  <c r="J471" i="4"/>
  <c r="K471" i="4"/>
  <c r="L471" i="4"/>
  <c r="M471" i="4"/>
  <c r="N471" i="4"/>
  <c r="O471" i="4"/>
  <c r="P471" i="4"/>
  <c r="Q471" i="4"/>
  <c r="R471" i="4"/>
  <c r="B472" i="4"/>
  <c r="C472" i="4"/>
  <c r="D472" i="4"/>
  <c r="E472" i="4"/>
  <c r="F472" i="4"/>
  <c r="G472" i="4"/>
  <c r="H472" i="4"/>
  <c r="I472" i="4"/>
  <c r="J472" i="4"/>
  <c r="K472" i="4"/>
  <c r="L472" i="4"/>
  <c r="M472" i="4"/>
  <c r="N472" i="4"/>
  <c r="O472" i="4"/>
  <c r="P472" i="4"/>
  <c r="Q472" i="4"/>
  <c r="R472" i="4"/>
  <c r="B473" i="4"/>
  <c r="C473" i="4"/>
  <c r="D473" i="4"/>
  <c r="E473" i="4"/>
  <c r="F473" i="4"/>
  <c r="G473" i="4"/>
  <c r="H473" i="4"/>
  <c r="I473" i="4"/>
  <c r="J473" i="4"/>
  <c r="K473" i="4"/>
  <c r="L473" i="4"/>
  <c r="M473" i="4"/>
  <c r="N473" i="4"/>
  <c r="O473" i="4"/>
  <c r="P473" i="4"/>
  <c r="Q473" i="4"/>
  <c r="R473" i="4"/>
  <c r="B474" i="4"/>
  <c r="C474" i="4"/>
  <c r="D474" i="4"/>
  <c r="E474" i="4"/>
  <c r="F474" i="4"/>
  <c r="G474" i="4"/>
  <c r="H474" i="4"/>
  <c r="I474" i="4"/>
  <c r="J474" i="4"/>
  <c r="K474" i="4"/>
  <c r="L474" i="4"/>
  <c r="M474" i="4"/>
  <c r="N474" i="4"/>
  <c r="O474" i="4"/>
  <c r="P474" i="4"/>
  <c r="Q474" i="4"/>
  <c r="R474" i="4"/>
  <c r="B475" i="4"/>
  <c r="C475" i="4"/>
  <c r="D475" i="4"/>
  <c r="E475" i="4"/>
  <c r="F475" i="4"/>
  <c r="G475" i="4"/>
  <c r="H475" i="4"/>
  <c r="I475" i="4"/>
  <c r="J475" i="4"/>
  <c r="K475" i="4"/>
  <c r="L475" i="4"/>
  <c r="M475" i="4"/>
  <c r="N475" i="4"/>
  <c r="O475" i="4"/>
  <c r="P475" i="4"/>
  <c r="Q475" i="4"/>
  <c r="R475" i="4"/>
  <c r="B476" i="4"/>
  <c r="C476" i="4"/>
  <c r="D476" i="4"/>
  <c r="E476" i="4"/>
  <c r="F476" i="4"/>
  <c r="G476" i="4"/>
  <c r="H476" i="4"/>
  <c r="I476" i="4"/>
  <c r="J476" i="4"/>
  <c r="K476" i="4"/>
  <c r="L476" i="4"/>
  <c r="M476" i="4"/>
  <c r="N476" i="4"/>
  <c r="O476" i="4"/>
  <c r="P476" i="4"/>
  <c r="Q476" i="4"/>
  <c r="R476" i="4"/>
  <c r="B477" i="4"/>
  <c r="C477" i="4"/>
  <c r="D477" i="4"/>
  <c r="E477" i="4"/>
  <c r="F477" i="4"/>
  <c r="G477" i="4"/>
  <c r="H477" i="4"/>
  <c r="I477" i="4"/>
  <c r="J477" i="4"/>
  <c r="K477" i="4"/>
  <c r="L477" i="4"/>
  <c r="M477" i="4"/>
  <c r="N477" i="4"/>
  <c r="O477" i="4"/>
  <c r="P477" i="4"/>
  <c r="Q477" i="4"/>
  <c r="R477" i="4"/>
  <c r="B478" i="4"/>
  <c r="C478" i="4"/>
  <c r="D478" i="4"/>
  <c r="E478" i="4"/>
  <c r="F478" i="4"/>
  <c r="G478" i="4"/>
  <c r="H478" i="4"/>
  <c r="I478" i="4"/>
  <c r="J478" i="4"/>
  <c r="K478" i="4"/>
  <c r="L478" i="4"/>
  <c r="M478" i="4"/>
  <c r="N478" i="4"/>
  <c r="O478" i="4"/>
  <c r="P478" i="4"/>
  <c r="Q478" i="4"/>
  <c r="R478" i="4"/>
  <c r="B479" i="4"/>
  <c r="C479" i="4"/>
  <c r="D479" i="4"/>
  <c r="E479" i="4"/>
  <c r="F479" i="4"/>
  <c r="G479" i="4"/>
  <c r="H479" i="4"/>
  <c r="I479" i="4"/>
  <c r="J479" i="4"/>
  <c r="K479" i="4"/>
  <c r="L479" i="4"/>
  <c r="M479" i="4"/>
  <c r="N479" i="4"/>
  <c r="O479" i="4"/>
  <c r="P479" i="4"/>
  <c r="Q479" i="4"/>
  <c r="R479" i="4"/>
  <c r="B480" i="4"/>
  <c r="C480" i="4"/>
  <c r="D480" i="4"/>
  <c r="E480" i="4"/>
  <c r="F480" i="4"/>
  <c r="G480" i="4"/>
  <c r="H480" i="4"/>
  <c r="I480" i="4"/>
  <c r="J480" i="4"/>
  <c r="K480" i="4"/>
  <c r="L480" i="4"/>
  <c r="M480" i="4"/>
  <c r="N480" i="4"/>
  <c r="O480" i="4"/>
  <c r="P480" i="4"/>
  <c r="Q480" i="4"/>
  <c r="R480" i="4"/>
  <c r="B481" i="4"/>
  <c r="C481" i="4"/>
  <c r="D481" i="4"/>
  <c r="E481" i="4"/>
  <c r="F481" i="4"/>
  <c r="G481" i="4"/>
  <c r="H481" i="4"/>
  <c r="I481" i="4"/>
  <c r="J481" i="4"/>
  <c r="K481" i="4"/>
  <c r="L481" i="4"/>
  <c r="M481" i="4"/>
  <c r="N481" i="4"/>
  <c r="O481" i="4"/>
  <c r="P481" i="4"/>
  <c r="Q481" i="4"/>
  <c r="R481" i="4"/>
  <c r="B482" i="4"/>
  <c r="C482" i="4"/>
  <c r="D482" i="4"/>
  <c r="E482" i="4"/>
  <c r="F482" i="4"/>
  <c r="G482" i="4"/>
  <c r="H482" i="4"/>
  <c r="I482" i="4"/>
  <c r="J482" i="4"/>
  <c r="K482" i="4"/>
  <c r="L482" i="4"/>
  <c r="M482" i="4"/>
  <c r="N482" i="4"/>
  <c r="O482" i="4"/>
  <c r="P482" i="4"/>
  <c r="Q482" i="4"/>
  <c r="R482" i="4"/>
  <c r="B483" i="4"/>
  <c r="C483" i="4"/>
  <c r="D483" i="4"/>
  <c r="E483" i="4"/>
  <c r="F483" i="4"/>
  <c r="G483" i="4"/>
  <c r="H483" i="4"/>
  <c r="I483" i="4"/>
  <c r="J483" i="4"/>
  <c r="K483" i="4"/>
  <c r="L483" i="4"/>
  <c r="M483" i="4"/>
  <c r="N483" i="4"/>
  <c r="O483" i="4"/>
  <c r="P483" i="4"/>
  <c r="Q483" i="4"/>
  <c r="R483" i="4"/>
  <c r="B484" i="4"/>
  <c r="C484" i="4"/>
  <c r="D484" i="4"/>
  <c r="E484" i="4"/>
  <c r="F484" i="4"/>
  <c r="G484" i="4"/>
  <c r="H484" i="4"/>
  <c r="I484" i="4"/>
  <c r="J484" i="4"/>
  <c r="K484" i="4"/>
  <c r="L484" i="4"/>
  <c r="M484" i="4"/>
  <c r="N484" i="4"/>
  <c r="O484" i="4"/>
  <c r="P484" i="4"/>
  <c r="Q484" i="4"/>
  <c r="R484" i="4"/>
  <c r="B485" i="4"/>
  <c r="C485" i="4"/>
  <c r="D485" i="4"/>
  <c r="E485" i="4"/>
  <c r="F485" i="4"/>
  <c r="G485" i="4"/>
  <c r="H485" i="4"/>
  <c r="I485" i="4"/>
  <c r="J485" i="4"/>
  <c r="K485" i="4"/>
  <c r="L485" i="4"/>
  <c r="M485" i="4"/>
  <c r="N485" i="4"/>
  <c r="O485" i="4"/>
  <c r="P485" i="4"/>
  <c r="Q485" i="4"/>
  <c r="R485" i="4"/>
  <c r="B486" i="4"/>
  <c r="C486" i="4"/>
  <c r="D486" i="4"/>
  <c r="E486" i="4"/>
  <c r="F486" i="4"/>
  <c r="G486" i="4"/>
  <c r="H486" i="4"/>
  <c r="I486" i="4"/>
  <c r="J486" i="4"/>
  <c r="K486" i="4"/>
  <c r="L486" i="4"/>
  <c r="M486" i="4"/>
  <c r="N486" i="4"/>
  <c r="O486" i="4"/>
  <c r="P486" i="4"/>
  <c r="Q486" i="4"/>
  <c r="R486" i="4"/>
  <c r="B487" i="4"/>
  <c r="C487" i="4"/>
  <c r="D487" i="4"/>
  <c r="E487" i="4"/>
  <c r="F487" i="4"/>
  <c r="G487" i="4"/>
  <c r="H487" i="4"/>
  <c r="I487" i="4"/>
  <c r="J487" i="4"/>
  <c r="K487" i="4"/>
  <c r="L487" i="4"/>
  <c r="M487" i="4"/>
  <c r="N487" i="4"/>
  <c r="O487" i="4"/>
  <c r="P487" i="4"/>
  <c r="Q487" i="4"/>
  <c r="R487" i="4"/>
  <c r="B488" i="4"/>
  <c r="C488" i="4"/>
  <c r="D488" i="4"/>
  <c r="E488" i="4"/>
  <c r="F488" i="4"/>
  <c r="G488" i="4"/>
  <c r="H488" i="4"/>
  <c r="I488" i="4"/>
  <c r="J488" i="4"/>
  <c r="K488" i="4"/>
  <c r="L488" i="4"/>
  <c r="M488" i="4"/>
  <c r="N488" i="4"/>
  <c r="O488" i="4"/>
  <c r="P488" i="4"/>
  <c r="Q488" i="4"/>
  <c r="R488" i="4"/>
  <c r="B489" i="4"/>
  <c r="C489" i="4"/>
  <c r="D489" i="4"/>
  <c r="E489" i="4"/>
  <c r="F489" i="4"/>
  <c r="G489" i="4"/>
  <c r="H489" i="4"/>
  <c r="I489" i="4"/>
  <c r="J489" i="4"/>
  <c r="K489" i="4"/>
  <c r="L489" i="4"/>
  <c r="M489" i="4"/>
  <c r="N489" i="4"/>
  <c r="O489" i="4"/>
  <c r="P489" i="4"/>
  <c r="Q489" i="4"/>
  <c r="R489" i="4"/>
  <c r="B490" i="4"/>
  <c r="C490" i="4"/>
  <c r="D490" i="4"/>
  <c r="E490" i="4"/>
  <c r="F490" i="4"/>
  <c r="G490" i="4"/>
  <c r="H490" i="4"/>
  <c r="I490" i="4"/>
  <c r="J490" i="4"/>
  <c r="K490" i="4"/>
  <c r="L490" i="4"/>
  <c r="M490" i="4"/>
  <c r="N490" i="4"/>
  <c r="O490" i="4"/>
  <c r="P490" i="4"/>
  <c r="Q490" i="4"/>
  <c r="R490" i="4"/>
  <c r="B491" i="4"/>
  <c r="C491" i="4"/>
  <c r="D491" i="4"/>
  <c r="E491" i="4"/>
  <c r="F491" i="4"/>
  <c r="G491" i="4"/>
  <c r="H491" i="4"/>
  <c r="I491" i="4"/>
  <c r="J491" i="4"/>
  <c r="K491" i="4"/>
  <c r="L491" i="4"/>
  <c r="M491" i="4"/>
  <c r="N491" i="4"/>
  <c r="O491" i="4"/>
  <c r="P491" i="4"/>
  <c r="Q491" i="4"/>
  <c r="R491" i="4"/>
  <c r="B492" i="4"/>
  <c r="C492" i="4"/>
  <c r="D492" i="4"/>
  <c r="E492" i="4"/>
  <c r="F492" i="4"/>
  <c r="G492" i="4"/>
  <c r="H492" i="4"/>
  <c r="I492" i="4"/>
  <c r="J492" i="4"/>
  <c r="K492" i="4"/>
  <c r="L492" i="4"/>
  <c r="M492" i="4"/>
  <c r="N492" i="4"/>
  <c r="O492" i="4"/>
  <c r="P492" i="4"/>
  <c r="Q492" i="4"/>
  <c r="R492" i="4"/>
  <c r="B493" i="4"/>
  <c r="C493" i="4"/>
  <c r="D493" i="4"/>
  <c r="E493" i="4"/>
  <c r="F493" i="4"/>
  <c r="G493" i="4"/>
  <c r="H493" i="4"/>
  <c r="I493" i="4"/>
  <c r="J493" i="4"/>
  <c r="K493" i="4"/>
  <c r="L493" i="4"/>
  <c r="M493" i="4"/>
  <c r="N493" i="4"/>
  <c r="O493" i="4"/>
  <c r="P493" i="4"/>
  <c r="Q493" i="4"/>
  <c r="R493" i="4"/>
  <c r="B494" i="4"/>
  <c r="C494" i="4"/>
  <c r="D494" i="4"/>
  <c r="E494" i="4"/>
  <c r="F494" i="4"/>
  <c r="G494" i="4"/>
  <c r="H494" i="4"/>
  <c r="I494" i="4"/>
  <c r="J494" i="4"/>
  <c r="K494" i="4"/>
  <c r="L494" i="4"/>
  <c r="M494" i="4"/>
  <c r="N494" i="4"/>
  <c r="O494" i="4"/>
  <c r="P494" i="4"/>
  <c r="Q494" i="4"/>
  <c r="R494" i="4"/>
  <c r="B495" i="4"/>
  <c r="C495" i="4"/>
  <c r="D495" i="4"/>
  <c r="E495" i="4"/>
  <c r="F495" i="4"/>
  <c r="G495" i="4"/>
  <c r="H495" i="4"/>
  <c r="I495" i="4"/>
  <c r="J495" i="4"/>
  <c r="K495" i="4"/>
  <c r="L495" i="4"/>
  <c r="M495" i="4"/>
  <c r="N495" i="4"/>
  <c r="O495" i="4"/>
  <c r="P495" i="4"/>
  <c r="Q495" i="4"/>
  <c r="R495" i="4"/>
  <c r="B496" i="4"/>
  <c r="C496" i="4"/>
  <c r="D496" i="4"/>
  <c r="E496" i="4"/>
  <c r="F496" i="4"/>
  <c r="G496" i="4"/>
  <c r="H496" i="4"/>
  <c r="I496" i="4"/>
  <c r="J496" i="4"/>
  <c r="K496" i="4"/>
  <c r="L496" i="4"/>
  <c r="M496" i="4"/>
  <c r="N496" i="4"/>
  <c r="O496" i="4"/>
  <c r="P496" i="4"/>
  <c r="Q496" i="4"/>
  <c r="R496" i="4"/>
  <c r="B497" i="4"/>
  <c r="C497" i="4"/>
  <c r="D497" i="4"/>
  <c r="E497" i="4"/>
  <c r="F497" i="4"/>
  <c r="G497" i="4"/>
  <c r="H497" i="4"/>
  <c r="I497" i="4"/>
  <c r="J497" i="4"/>
  <c r="K497" i="4"/>
  <c r="L497" i="4"/>
  <c r="M497" i="4"/>
  <c r="N497" i="4"/>
  <c r="O497" i="4"/>
  <c r="P497" i="4"/>
  <c r="Q497" i="4"/>
  <c r="R497" i="4"/>
  <c r="B498" i="4"/>
  <c r="C498" i="4"/>
  <c r="D498" i="4"/>
  <c r="E498" i="4"/>
  <c r="F498" i="4"/>
  <c r="G498" i="4"/>
  <c r="H498" i="4"/>
  <c r="I498" i="4"/>
  <c r="J498" i="4"/>
  <c r="K498" i="4"/>
  <c r="L498" i="4"/>
  <c r="M498" i="4"/>
  <c r="N498" i="4"/>
  <c r="O498" i="4"/>
  <c r="P498" i="4"/>
  <c r="Q498" i="4"/>
  <c r="R498" i="4"/>
  <c r="B499" i="4"/>
  <c r="C499" i="4"/>
  <c r="D499" i="4"/>
  <c r="E499" i="4"/>
  <c r="F499" i="4"/>
  <c r="G499" i="4"/>
  <c r="H499" i="4"/>
  <c r="I499" i="4"/>
  <c r="J499" i="4"/>
  <c r="K499" i="4"/>
  <c r="L499" i="4"/>
  <c r="M499" i="4"/>
  <c r="N499" i="4"/>
  <c r="O499" i="4"/>
  <c r="P499" i="4"/>
  <c r="Q499" i="4"/>
  <c r="R499" i="4"/>
  <c r="B500" i="4"/>
  <c r="C500" i="4"/>
  <c r="D500" i="4"/>
  <c r="E500" i="4"/>
  <c r="F500" i="4"/>
  <c r="G500" i="4"/>
  <c r="H500" i="4"/>
  <c r="I500" i="4"/>
  <c r="J500" i="4"/>
  <c r="K500" i="4"/>
  <c r="L500" i="4"/>
  <c r="M500" i="4"/>
  <c r="N500" i="4"/>
  <c r="O500" i="4"/>
  <c r="P500" i="4"/>
  <c r="Q500" i="4"/>
  <c r="R500" i="4"/>
  <c r="B501" i="4"/>
  <c r="C501" i="4"/>
  <c r="D501" i="4"/>
  <c r="E501" i="4"/>
  <c r="F501" i="4"/>
  <c r="G501" i="4"/>
  <c r="H501" i="4"/>
  <c r="I501" i="4"/>
  <c r="J501" i="4"/>
  <c r="K501" i="4"/>
  <c r="L501" i="4"/>
  <c r="M501" i="4"/>
  <c r="N501" i="4"/>
  <c r="O501" i="4"/>
  <c r="P501" i="4"/>
  <c r="Q501" i="4"/>
  <c r="R501" i="4"/>
  <c r="B502" i="4"/>
  <c r="C502" i="4"/>
  <c r="D502" i="4"/>
  <c r="E502" i="4"/>
  <c r="F502" i="4"/>
  <c r="G502" i="4"/>
  <c r="H502" i="4"/>
  <c r="I502" i="4"/>
  <c r="J502" i="4"/>
  <c r="K502" i="4"/>
  <c r="L502" i="4"/>
  <c r="M502" i="4"/>
  <c r="N502" i="4"/>
  <c r="O502" i="4"/>
  <c r="P502" i="4"/>
  <c r="Q502" i="4"/>
  <c r="R502" i="4"/>
  <c r="B503" i="4"/>
  <c r="C503" i="4"/>
  <c r="D503" i="4"/>
  <c r="E503" i="4"/>
  <c r="F503" i="4"/>
  <c r="G503" i="4"/>
  <c r="H503" i="4"/>
  <c r="I503" i="4"/>
  <c r="J503" i="4"/>
  <c r="K503" i="4"/>
  <c r="L503" i="4"/>
  <c r="M503" i="4"/>
  <c r="N503" i="4"/>
  <c r="O503" i="4"/>
  <c r="P503" i="4"/>
  <c r="Q503" i="4"/>
  <c r="R503" i="4"/>
  <c r="B504" i="4"/>
  <c r="C504" i="4"/>
  <c r="D504" i="4"/>
  <c r="E504" i="4"/>
  <c r="F504" i="4"/>
  <c r="G504" i="4"/>
  <c r="H504" i="4"/>
  <c r="I504" i="4"/>
  <c r="J504" i="4"/>
  <c r="K504" i="4"/>
  <c r="L504" i="4"/>
  <c r="M504" i="4"/>
  <c r="N504" i="4"/>
  <c r="O504" i="4"/>
  <c r="P504" i="4"/>
  <c r="Q504" i="4"/>
  <c r="R504" i="4"/>
  <c r="B505" i="4"/>
  <c r="C505" i="4"/>
  <c r="D505" i="4"/>
  <c r="E505" i="4"/>
  <c r="F505" i="4"/>
  <c r="G505" i="4"/>
  <c r="H505" i="4"/>
  <c r="I505" i="4"/>
  <c r="J505" i="4"/>
  <c r="K505" i="4"/>
  <c r="L505" i="4"/>
  <c r="M505" i="4"/>
  <c r="N505" i="4"/>
  <c r="O505" i="4"/>
  <c r="P505" i="4"/>
  <c r="Q505" i="4"/>
  <c r="R505" i="4"/>
  <c r="B506" i="4"/>
  <c r="C506" i="4"/>
  <c r="D506" i="4"/>
  <c r="E506" i="4"/>
  <c r="F506" i="4"/>
  <c r="G506" i="4"/>
  <c r="H506" i="4"/>
  <c r="I506" i="4"/>
  <c r="J506" i="4"/>
  <c r="K506" i="4"/>
  <c r="L506" i="4"/>
  <c r="M506" i="4"/>
  <c r="N506" i="4"/>
  <c r="O506" i="4"/>
  <c r="P506" i="4"/>
  <c r="Q506" i="4"/>
  <c r="R506" i="4"/>
  <c r="B507" i="4"/>
  <c r="C507" i="4"/>
  <c r="D507" i="4"/>
  <c r="E507" i="4"/>
  <c r="F507" i="4"/>
  <c r="G507" i="4"/>
  <c r="H507" i="4"/>
  <c r="I507" i="4"/>
  <c r="J507" i="4"/>
  <c r="K507" i="4"/>
  <c r="L507" i="4"/>
  <c r="M507" i="4"/>
  <c r="N507" i="4"/>
  <c r="O507" i="4"/>
  <c r="P507" i="4"/>
  <c r="Q507" i="4"/>
  <c r="R507" i="4"/>
  <c r="B508" i="4"/>
  <c r="C508" i="4"/>
  <c r="D508" i="4"/>
  <c r="E508" i="4"/>
  <c r="F508" i="4"/>
  <c r="G508" i="4"/>
  <c r="H508" i="4"/>
  <c r="I508" i="4"/>
  <c r="J508" i="4"/>
  <c r="K508" i="4"/>
  <c r="L508" i="4"/>
  <c r="M508" i="4"/>
  <c r="N508" i="4"/>
  <c r="O508" i="4"/>
  <c r="P508" i="4"/>
  <c r="Q508" i="4"/>
  <c r="R508" i="4"/>
  <c r="B509" i="4"/>
  <c r="C509" i="4"/>
  <c r="D509" i="4"/>
  <c r="E509" i="4"/>
  <c r="F509" i="4"/>
  <c r="G509" i="4"/>
  <c r="H509" i="4"/>
  <c r="I509" i="4"/>
  <c r="J509" i="4"/>
  <c r="K509" i="4"/>
  <c r="L509" i="4"/>
  <c r="M509" i="4"/>
  <c r="N509" i="4"/>
  <c r="O509" i="4"/>
  <c r="P509" i="4"/>
  <c r="Q509" i="4"/>
  <c r="R509" i="4"/>
  <c r="B510" i="4"/>
  <c r="C510" i="4"/>
  <c r="D510" i="4"/>
  <c r="E510" i="4"/>
  <c r="F510" i="4"/>
  <c r="G510" i="4"/>
  <c r="H510" i="4"/>
  <c r="I510" i="4"/>
  <c r="J510" i="4"/>
  <c r="K510" i="4"/>
  <c r="L510" i="4"/>
  <c r="M510" i="4"/>
  <c r="N510" i="4"/>
  <c r="O510" i="4"/>
  <c r="P510" i="4"/>
  <c r="Q510" i="4"/>
  <c r="R510" i="4"/>
  <c r="B511" i="4"/>
  <c r="C511" i="4"/>
  <c r="D511" i="4"/>
  <c r="E511" i="4"/>
  <c r="F511" i="4"/>
  <c r="G511" i="4"/>
  <c r="H511" i="4"/>
  <c r="I511" i="4"/>
  <c r="J511" i="4"/>
  <c r="K511" i="4"/>
  <c r="L511" i="4"/>
  <c r="M511" i="4"/>
  <c r="N511" i="4"/>
  <c r="O511" i="4"/>
  <c r="P511" i="4"/>
  <c r="Q511" i="4"/>
  <c r="R511" i="4"/>
  <c r="B512" i="4"/>
  <c r="C512" i="4"/>
  <c r="D512" i="4"/>
  <c r="E512" i="4"/>
  <c r="F512" i="4"/>
  <c r="G512" i="4"/>
  <c r="H512" i="4"/>
  <c r="I512" i="4"/>
  <c r="J512" i="4"/>
  <c r="K512" i="4"/>
  <c r="L512" i="4"/>
  <c r="M512" i="4"/>
  <c r="N512" i="4"/>
  <c r="O512" i="4"/>
  <c r="P512" i="4"/>
  <c r="Q512" i="4"/>
  <c r="R512" i="4"/>
  <c r="B513" i="4"/>
  <c r="C513" i="4"/>
  <c r="D513" i="4"/>
  <c r="E513" i="4"/>
  <c r="F513" i="4"/>
  <c r="G513" i="4"/>
  <c r="H513" i="4"/>
  <c r="I513" i="4"/>
  <c r="J513" i="4"/>
  <c r="K513" i="4"/>
  <c r="L513" i="4"/>
  <c r="M513" i="4"/>
  <c r="N513" i="4"/>
  <c r="O513" i="4"/>
  <c r="P513" i="4"/>
  <c r="Q513" i="4"/>
  <c r="R513" i="4"/>
  <c r="B514" i="4"/>
  <c r="C514" i="4"/>
  <c r="D514" i="4"/>
  <c r="E514" i="4"/>
  <c r="F514" i="4"/>
  <c r="G514" i="4"/>
  <c r="H514" i="4"/>
  <c r="I514" i="4"/>
  <c r="J514" i="4"/>
  <c r="K514" i="4"/>
  <c r="L514" i="4"/>
  <c r="M514" i="4"/>
  <c r="N514" i="4"/>
  <c r="O514" i="4"/>
  <c r="P514" i="4"/>
  <c r="Q514" i="4"/>
  <c r="R514" i="4"/>
  <c r="B515" i="4"/>
  <c r="C515" i="4"/>
  <c r="D515" i="4"/>
  <c r="E515" i="4"/>
  <c r="F515" i="4"/>
  <c r="G515" i="4"/>
  <c r="H515" i="4"/>
  <c r="I515" i="4"/>
  <c r="J515" i="4"/>
  <c r="K515" i="4"/>
  <c r="L515" i="4"/>
  <c r="M515" i="4"/>
  <c r="N515" i="4"/>
  <c r="O515" i="4"/>
  <c r="P515" i="4"/>
  <c r="Q515" i="4"/>
  <c r="R515" i="4"/>
  <c r="B516" i="4"/>
  <c r="C516" i="4"/>
  <c r="D516" i="4"/>
  <c r="E516" i="4"/>
  <c r="F516" i="4"/>
  <c r="G516" i="4"/>
  <c r="H516" i="4"/>
  <c r="I516" i="4"/>
  <c r="J516" i="4"/>
  <c r="K516" i="4"/>
  <c r="L516" i="4"/>
  <c r="M516" i="4"/>
  <c r="N516" i="4"/>
  <c r="O516" i="4"/>
  <c r="P516" i="4"/>
  <c r="Q516" i="4"/>
  <c r="R516" i="4"/>
  <c r="B517" i="4"/>
  <c r="C517" i="4"/>
  <c r="D517" i="4"/>
  <c r="E517" i="4"/>
  <c r="F517" i="4"/>
  <c r="G517" i="4"/>
  <c r="H517" i="4"/>
  <c r="I517" i="4"/>
  <c r="J517" i="4"/>
  <c r="K517" i="4"/>
  <c r="L517" i="4"/>
  <c r="M517" i="4"/>
  <c r="N517" i="4"/>
  <c r="O517" i="4"/>
  <c r="P517" i="4"/>
  <c r="Q517" i="4"/>
  <c r="R517" i="4"/>
  <c r="B518" i="4"/>
  <c r="C518" i="4"/>
  <c r="D518" i="4"/>
  <c r="E518" i="4"/>
  <c r="F518" i="4"/>
  <c r="G518" i="4"/>
  <c r="H518" i="4"/>
  <c r="I518" i="4"/>
  <c r="J518" i="4"/>
  <c r="K518" i="4"/>
  <c r="L518" i="4"/>
  <c r="M518" i="4"/>
  <c r="N518" i="4"/>
  <c r="O518" i="4"/>
  <c r="P518" i="4"/>
  <c r="Q518" i="4"/>
  <c r="R518" i="4"/>
  <c r="B519" i="4"/>
  <c r="C519" i="4"/>
  <c r="D519" i="4"/>
  <c r="E519" i="4"/>
  <c r="F519" i="4"/>
  <c r="G519" i="4"/>
  <c r="H519" i="4"/>
  <c r="I519" i="4"/>
  <c r="J519" i="4"/>
  <c r="K519" i="4"/>
  <c r="L519" i="4"/>
  <c r="M519" i="4"/>
  <c r="N519" i="4"/>
  <c r="O519" i="4"/>
  <c r="P519" i="4"/>
  <c r="Q519" i="4"/>
  <c r="R519" i="4"/>
  <c r="B520" i="4"/>
  <c r="C520" i="4"/>
  <c r="D520" i="4"/>
  <c r="E520" i="4"/>
  <c r="F520" i="4"/>
  <c r="G520" i="4"/>
  <c r="H520" i="4"/>
  <c r="I520" i="4"/>
  <c r="J520" i="4"/>
  <c r="K520" i="4"/>
  <c r="L520" i="4"/>
  <c r="M520" i="4"/>
  <c r="N520" i="4"/>
  <c r="O520" i="4"/>
  <c r="P520" i="4"/>
  <c r="Q520" i="4"/>
  <c r="R520" i="4"/>
  <c r="B521" i="4"/>
  <c r="C521" i="4"/>
  <c r="D521" i="4"/>
  <c r="E521" i="4"/>
  <c r="F521" i="4"/>
  <c r="G521" i="4"/>
  <c r="H521" i="4"/>
  <c r="I521" i="4"/>
  <c r="J521" i="4"/>
  <c r="K521" i="4"/>
  <c r="L521" i="4"/>
  <c r="M521" i="4"/>
  <c r="N521" i="4"/>
  <c r="O521" i="4"/>
  <c r="P521" i="4"/>
  <c r="Q521" i="4"/>
  <c r="R521" i="4"/>
  <c r="B522" i="4"/>
  <c r="C522" i="4"/>
  <c r="D522" i="4"/>
  <c r="E522" i="4"/>
  <c r="F522" i="4"/>
  <c r="G522" i="4"/>
  <c r="H522" i="4"/>
  <c r="I522" i="4"/>
  <c r="J522" i="4"/>
  <c r="K522" i="4"/>
  <c r="L522" i="4"/>
  <c r="M522" i="4"/>
  <c r="N522" i="4"/>
  <c r="O522" i="4"/>
  <c r="P522" i="4"/>
  <c r="Q522" i="4"/>
  <c r="R522" i="4"/>
  <c r="B523" i="4"/>
  <c r="C523" i="4"/>
  <c r="D523" i="4"/>
  <c r="E523" i="4"/>
  <c r="F523" i="4"/>
  <c r="G523" i="4"/>
  <c r="H523" i="4"/>
  <c r="I523" i="4"/>
  <c r="J523" i="4"/>
  <c r="K523" i="4"/>
  <c r="L523" i="4"/>
  <c r="M523" i="4"/>
  <c r="N523" i="4"/>
  <c r="O523" i="4"/>
  <c r="P523" i="4"/>
  <c r="Q523" i="4"/>
  <c r="R523" i="4"/>
  <c r="B524" i="4"/>
  <c r="C524" i="4"/>
  <c r="D524" i="4"/>
  <c r="E524" i="4"/>
  <c r="F524" i="4"/>
  <c r="G524" i="4"/>
  <c r="H524" i="4"/>
  <c r="I524" i="4"/>
  <c r="J524" i="4"/>
  <c r="K524" i="4"/>
  <c r="L524" i="4"/>
  <c r="M524" i="4"/>
  <c r="N524" i="4"/>
  <c r="O524" i="4"/>
  <c r="P524" i="4"/>
  <c r="Q524" i="4"/>
  <c r="R524" i="4"/>
  <c r="B525" i="4"/>
  <c r="C525" i="4"/>
  <c r="D525" i="4"/>
  <c r="E525" i="4"/>
  <c r="F525" i="4"/>
  <c r="G525" i="4"/>
  <c r="H525" i="4"/>
  <c r="I525" i="4"/>
  <c r="J525" i="4"/>
  <c r="K525" i="4"/>
  <c r="L525" i="4"/>
  <c r="M525" i="4"/>
  <c r="N525" i="4"/>
  <c r="O525" i="4"/>
  <c r="P525" i="4"/>
  <c r="Q525" i="4"/>
  <c r="R525" i="4"/>
  <c r="B526" i="4"/>
  <c r="C526" i="4"/>
  <c r="D526" i="4"/>
  <c r="E526" i="4"/>
  <c r="F526" i="4"/>
  <c r="G526" i="4"/>
  <c r="H526" i="4"/>
  <c r="I526" i="4"/>
  <c r="J526" i="4"/>
  <c r="K526" i="4"/>
  <c r="L526" i="4"/>
  <c r="M526" i="4"/>
  <c r="N526" i="4"/>
  <c r="O526" i="4"/>
  <c r="P526" i="4"/>
  <c r="Q526" i="4"/>
  <c r="R526" i="4"/>
  <c r="B527" i="4"/>
  <c r="C527" i="4"/>
  <c r="D527" i="4"/>
  <c r="E527" i="4"/>
  <c r="F527" i="4"/>
  <c r="G527" i="4"/>
  <c r="H527" i="4"/>
  <c r="I527" i="4"/>
  <c r="J527" i="4"/>
  <c r="K527" i="4"/>
  <c r="L527" i="4"/>
  <c r="M527" i="4"/>
  <c r="N527" i="4"/>
  <c r="O527" i="4"/>
  <c r="P527" i="4"/>
  <c r="Q527" i="4"/>
  <c r="R527" i="4"/>
  <c r="B528" i="4"/>
  <c r="C528" i="4"/>
  <c r="D528" i="4"/>
  <c r="E528" i="4"/>
  <c r="F528" i="4"/>
  <c r="G528" i="4"/>
  <c r="H528" i="4"/>
  <c r="I528" i="4"/>
  <c r="J528" i="4"/>
  <c r="K528" i="4"/>
  <c r="L528" i="4"/>
  <c r="M528" i="4"/>
  <c r="N528" i="4"/>
  <c r="O528" i="4"/>
  <c r="P528" i="4"/>
  <c r="Q528" i="4"/>
  <c r="R528" i="4"/>
  <c r="B529" i="4"/>
  <c r="C529" i="4"/>
  <c r="D529" i="4"/>
  <c r="E529" i="4"/>
  <c r="F529" i="4"/>
  <c r="G529" i="4"/>
  <c r="H529" i="4"/>
  <c r="I529" i="4"/>
  <c r="J529" i="4"/>
  <c r="K529" i="4"/>
  <c r="L529" i="4"/>
  <c r="M529" i="4"/>
  <c r="N529" i="4"/>
  <c r="O529" i="4"/>
  <c r="P529" i="4"/>
  <c r="Q529" i="4"/>
  <c r="R529" i="4"/>
  <c r="B530" i="4"/>
  <c r="C530" i="4"/>
  <c r="D530" i="4"/>
  <c r="E530" i="4"/>
  <c r="F530" i="4"/>
  <c r="G530" i="4"/>
  <c r="H530" i="4"/>
  <c r="I530" i="4"/>
  <c r="J530" i="4"/>
  <c r="K530" i="4"/>
  <c r="L530" i="4"/>
  <c r="M530" i="4"/>
  <c r="N530" i="4"/>
  <c r="O530" i="4"/>
  <c r="P530" i="4"/>
  <c r="Q530" i="4"/>
  <c r="R530" i="4"/>
  <c r="B531" i="4"/>
  <c r="C531" i="4"/>
  <c r="D531" i="4"/>
  <c r="E531" i="4"/>
  <c r="F531" i="4"/>
  <c r="G531" i="4"/>
  <c r="H531" i="4"/>
  <c r="I531" i="4"/>
  <c r="J531" i="4"/>
  <c r="K531" i="4"/>
  <c r="L531" i="4"/>
  <c r="M531" i="4"/>
  <c r="N531" i="4"/>
  <c r="O531" i="4"/>
  <c r="P531" i="4"/>
  <c r="Q531" i="4"/>
  <c r="R531" i="4"/>
  <c r="B532" i="4"/>
  <c r="C532" i="4"/>
  <c r="D532" i="4"/>
  <c r="E532" i="4"/>
  <c r="F532" i="4"/>
  <c r="G532" i="4"/>
  <c r="H532" i="4"/>
  <c r="I532" i="4"/>
  <c r="J532" i="4"/>
  <c r="K532" i="4"/>
  <c r="L532" i="4"/>
  <c r="M532" i="4"/>
  <c r="N532" i="4"/>
  <c r="O532" i="4"/>
  <c r="P532" i="4"/>
  <c r="Q532" i="4"/>
  <c r="R532" i="4"/>
  <c r="B533" i="4"/>
  <c r="C533" i="4"/>
  <c r="D533" i="4"/>
  <c r="E533" i="4"/>
  <c r="F533" i="4"/>
  <c r="G533" i="4"/>
  <c r="H533" i="4"/>
  <c r="I533" i="4"/>
  <c r="J533" i="4"/>
  <c r="K533" i="4"/>
  <c r="L533" i="4"/>
  <c r="M533" i="4"/>
  <c r="N533" i="4"/>
  <c r="O533" i="4"/>
  <c r="P533" i="4"/>
  <c r="Q533" i="4"/>
  <c r="R533" i="4"/>
  <c r="B534" i="4"/>
  <c r="C534" i="4"/>
  <c r="D534" i="4"/>
  <c r="E534" i="4"/>
  <c r="F534" i="4"/>
  <c r="G534" i="4"/>
  <c r="H534" i="4"/>
  <c r="I534" i="4"/>
  <c r="J534" i="4"/>
  <c r="K534" i="4"/>
  <c r="L534" i="4"/>
  <c r="M534" i="4"/>
  <c r="N534" i="4"/>
  <c r="O534" i="4"/>
  <c r="P534" i="4"/>
  <c r="Q534" i="4"/>
  <c r="R534" i="4"/>
  <c r="B535" i="4"/>
  <c r="C535" i="4"/>
  <c r="D535" i="4"/>
  <c r="E535" i="4"/>
  <c r="F535" i="4"/>
  <c r="G535" i="4"/>
  <c r="H535" i="4"/>
  <c r="I535" i="4"/>
  <c r="J535" i="4"/>
  <c r="K535" i="4"/>
  <c r="L535" i="4"/>
  <c r="M535" i="4"/>
  <c r="N535" i="4"/>
  <c r="O535" i="4"/>
  <c r="P535" i="4"/>
  <c r="Q535" i="4"/>
  <c r="R535" i="4"/>
  <c r="B536" i="4"/>
  <c r="C536" i="4"/>
  <c r="D536" i="4"/>
  <c r="E536" i="4"/>
  <c r="F536" i="4"/>
  <c r="G536" i="4"/>
  <c r="H536" i="4"/>
  <c r="I536" i="4"/>
  <c r="J536" i="4"/>
  <c r="K536" i="4"/>
  <c r="L536" i="4"/>
  <c r="M536" i="4"/>
  <c r="N536" i="4"/>
  <c r="O536" i="4"/>
  <c r="P536" i="4"/>
  <c r="Q536" i="4"/>
  <c r="R536" i="4"/>
  <c r="B537" i="4"/>
  <c r="C537" i="4"/>
  <c r="D537" i="4"/>
  <c r="E537" i="4"/>
  <c r="F537" i="4"/>
  <c r="G537" i="4"/>
  <c r="H537" i="4"/>
  <c r="I537" i="4"/>
  <c r="J537" i="4"/>
  <c r="K537" i="4"/>
  <c r="L537" i="4"/>
  <c r="M537" i="4"/>
  <c r="N537" i="4"/>
  <c r="O537" i="4"/>
  <c r="P537" i="4"/>
  <c r="Q537" i="4"/>
  <c r="R537" i="4"/>
  <c r="B538" i="4"/>
  <c r="C538" i="4"/>
  <c r="D538" i="4"/>
  <c r="E538" i="4"/>
  <c r="F538" i="4"/>
  <c r="G538" i="4"/>
  <c r="H538" i="4"/>
  <c r="I538" i="4"/>
  <c r="J538" i="4"/>
  <c r="K538" i="4"/>
  <c r="L538" i="4"/>
  <c r="M538" i="4"/>
  <c r="N538" i="4"/>
  <c r="O538" i="4"/>
  <c r="P538" i="4"/>
  <c r="Q538" i="4"/>
  <c r="R538" i="4"/>
  <c r="B539" i="4"/>
  <c r="C539" i="4"/>
  <c r="D539" i="4"/>
  <c r="E539" i="4"/>
  <c r="F539" i="4"/>
  <c r="G539" i="4"/>
  <c r="H539" i="4"/>
  <c r="I539" i="4"/>
  <c r="J539" i="4"/>
  <c r="K539" i="4"/>
  <c r="L539" i="4"/>
  <c r="M539" i="4"/>
  <c r="N539" i="4"/>
  <c r="O539" i="4"/>
  <c r="P539" i="4"/>
  <c r="Q539" i="4"/>
  <c r="R539" i="4"/>
  <c r="B540" i="4"/>
  <c r="C540" i="4"/>
  <c r="D540" i="4"/>
  <c r="E540" i="4"/>
  <c r="F540" i="4"/>
  <c r="G540" i="4"/>
  <c r="H540" i="4"/>
  <c r="I540" i="4"/>
  <c r="J540" i="4"/>
  <c r="K540" i="4"/>
  <c r="L540" i="4"/>
  <c r="M540" i="4"/>
  <c r="N540" i="4"/>
  <c r="O540" i="4"/>
  <c r="P540" i="4"/>
  <c r="Q540" i="4"/>
  <c r="R540" i="4"/>
  <c r="B541" i="4"/>
  <c r="C541" i="4"/>
  <c r="D541" i="4"/>
  <c r="E541" i="4"/>
  <c r="F541" i="4"/>
  <c r="G541" i="4"/>
  <c r="H541" i="4"/>
  <c r="I541" i="4"/>
  <c r="J541" i="4"/>
  <c r="K541" i="4"/>
  <c r="L541" i="4"/>
  <c r="M541" i="4"/>
  <c r="N541" i="4"/>
  <c r="O541" i="4"/>
  <c r="P541" i="4"/>
  <c r="Q541" i="4"/>
  <c r="R541" i="4"/>
  <c r="B542" i="4"/>
  <c r="C542" i="4"/>
  <c r="D542" i="4"/>
  <c r="E542" i="4"/>
  <c r="F542" i="4"/>
  <c r="G542" i="4"/>
  <c r="H542" i="4"/>
  <c r="I542" i="4"/>
  <c r="J542" i="4"/>
  <c r="K542" i="4"/>
  <c r="L542" i="4"/>
  <c r="M542" i="4"/>
  <c r="N542" i="4"/>
  <c r="O542" i="4"/>
  <c r="P542" i="4"/>
  <c r="Q542" i="4"/>
  <c r="R542" i="4"/>
  <c r="B543" i="4"/>
  <c r="C543" i="4"/>
  <c r="D543" i="4"/>
  <c r="E543" i="4"/>
  <c r="F543" i="4"/>
  <c r="G543" i="4"/>
  <c r="H543" i="4"/>
  <c r="I543" i="4"/>
  <c r="J543" i="4"/>
  <c r="K543" i="4"/>
  <c r="L543" i="4"/>
  <c r="M543" i="4"/>
  <c r="N543" i="4"/>
  <c r="O543" i="4"/>
  <c r="P543" i="4"/>
  <c r="Q543" i="4"/>
  <c r="R543" i="4"/>
  <c r="B544" i="4"/>
  <c r="C544" i="4"/>
  <c r="D544" i="4"/>
  <c r="E544" i="4"/>
  <c r="F544" i="4"/>
  <c r="G544" i="4"/>
  <c r="H544" i="4"/>
  <c r="I544" i="4"/>
  <c r="J544" i="4"/>
  <c r="K544" i="4"/>
  <c r="L544" i="4"/>
  <c r="M544" i="4"/>
  <c r="N544" i="4"/>
  <c r="O544" i="4"/>
  <c r="P544" i="4"/>
  <c r="Q544" i="4"/>
  <c r="R544" i="4"/>
  <c r="B545" i="4"/>
  <c r="C545" i="4"/>
  <c r="D545" i="4"/>
  <c r="E545" i="4"/>
  <c r="F545" i="4"/>
  <c r="G545" i="4"/>
  <c r="H545" i="4"/>
  <c r="I545" i="4"/>
  <c r="J545" i="4"/>
  <c r="K545" i="4"/>
  <c r="L545" i="4"/>
  <c r="M545" i="4"/>
  <c r="N545" i="4"/>
  <c r="O545" i="4"/>
  <c r="P545" i="4"/>
  <c r="Q545" i="4"/>
  <c r="R545" i="4"/>
  <c r="B546" i="4"/>
  <c r="C546" i="4"/>
  <c r="D546" i="4"/>
  <c r="E546" i="4"/>
  <c r="F546" i="4"/>
  <c r="G546" i="4"/>
  <c r="H546" i="4"/>
  <c r="I546" i="4"/>
  <c r="J546" i="4"/>
  <c r="K546" i="4"/>
  <c r="L546" i="4"/>
  <c r="M546" i="4"/>
  <c r="N546" i="4"/>
  <c r="O546" i="4"/>
  <c r="P546" i="4"/>
  <c r="Q546" i="4"/>
  <c r="R546" i="4"/>
  <c r="B547" i="4"/>
  <c r="C547" i="4"/>
  <c r="D547" i="4"/>
  <c r="E547" i="4"/>
  <c r="F547" i="4"/>
  <c r="G547" i="4"/>
  <c r="H547" i="4"/>
  <c r="I547" i="4"/>
  <c r="J547" i="4"/>
  <c r="K547" i="4"/>
  <c r="L547" i="4"/>
  <c r="M547" i="4"/>
  <c r="N547" i="4"/>
  <c r="O547" i="4"/>
  <c r="P547" i="4"/>
  <c r="Q547" i="4"/>
  <c r="R547" i="4"/>
  <c r="B548" i="4"/>
  <c r="C548" i="4"/>
  <c r="D548" i="4"/>
  <c r="E548" i="4"/>
  <c r="F548" i="4"/>
  <c r="G548" i="4"/>
  <c r="H548" i="4"/>
  <c r="I548" i="4"/>
  <c r="J548" i="4"/>
  <c r="K548" i="4"/>
  <c r="L548" i="4"/>
  <c r="M548" i="4"/>
  <c r="N548" i="4"/>
  <c r="O548" i="4"/>
  <c r="P548" i="4"/>
  <c r="Q548" i="4"/>
  <c r="R548" i="4"/>
  <c r="B549" i="4"/>
  <c r="C549" i="4"/>
  <c r="D549" i="4"/>
  <c r="E549" i="4"/>
  <c r="F549" i="4"/>
  <c r="G549" i="4"/>
  <c r="H549" i="4"/>
  <c r="I549" i="4"/>
  <c r="J549" i="4"/>
  <c r="K549" i="4"/>
  <c r="L549" i="4"/>
  <c r="M549" i="4"/>
  <c r="N549" i="4"/>
  <c r="O549" i="4"/>
  <c r="P549" i="4"/>
  <c r="Q549" i="4"/>
  <c r="R549" i="4"/>
  <c r="B550" i="4"/>
  <c r="C550" i="4"/>
  <c r="D550" i="4"/>
  <c r="E550" i="4"/>
  <c r="F550" i="4"/>
  <c r="G550" i="4"/>
  <c r="H550" i="4"/>
  <c r="I550" i="4"/>
  <c r="J550" i="4"/>
  <c r="K550" i="4"/>
  <c r="L550" i="4"/>
  <c r="M550" i="4"/>
  <c r="N550" i="4"/>
  <c r="O550" i="4"/>
  <c r="P550" i="4"/>
  <c r="Q550" i="4"/>
  <c r="R550" i="4"/>
  <c r="B551" i="4"/>
  <c r="C551" i="4"/>
  <c r="D551" i="4"/>
  <c r="E551" i="4"/>
  <c r="F551" i="4"/>
  <c r="G551" i="4"/>
  <c r="H551" i="4"/>
  <c r="I551" i="4"/>
  <c r="J551" i="4"/>
  <c r="K551" i="4"/>
  <c r="L551" i="4"/>
  <c r="M551" i="4"/>
  <c r="N551" i="4"/>
  <c r="O551" i="4"/>
  <c r="P551" i="4"/>
  <c r="Q551" i="4"/>
  <c r="R551" i="4"/>
  <c r="B552" i="4"/>
  <c r="C552" i="4"/>
  <c r="D552" i="4"/>
  <c r="E552" i="4"/>
  <c r="F552" i="4"/>
  <c r="G552" i="4"/>
  <c r="H552" i="4"/>
  <c r="I552" i="4"/>
  <c r="J552" i="4"/>
  <c r="K552" i="4"/>
  <c r="L552" i="4"/>
  <c r="M552" i="4"/>
  <c r="N552" i="4"/>
  <c r="O552" i="4"/>
  <c r="P552" i="4"/>
  <c r="Q552" i="4"/>
  <c r="R552" i="4"/>
  <c r="B553" i="4"/>
  <c r="C553" i="4"/>
  <c r="D553" i="4"/>
  <c r="E553" i="4"/>
  <c r="F553" i="4"/>
  <c r="G553" i="4"/>
  <c r="H553" i="4"/>
  <c r="I553" i="4"/>
  <c r="J553" i="4"/>
  <c r="K553" i="4"/>
  <c r="L553" i="4"/>
  <c r="M553" i="4"/>
  <c r="N553" i="4"/>
  <c r="O553" i="4"/>
  <c r="P553" i="4"/>
  <c r="Q553" i="4"/>
  <c r="R553" i="4"/>
  <c r="B554" i="4"/>
  <c r="C554" i="4"/>
  <c r="D554" i="4"/>
  <c r="E554" i="4"/>
  <c r="F554" i="4"/>
  <c r="G554" i="4"/>
  <c r="H554" i="4"/>
  <c r="I554" i="4"/>
  <c r="J554" i="4"/>
  <c r="K554" i="4"/>
  <c r="L554" i="4"/>
  <c r="M554" i="4"/>
  <c r="N554" i="4"/>
  <c r="O554" i="4"/>
  <c r="P554" i="4"/>
  <c r="Q554" i="4"/>
  <c r="R554" i="4"/>
  <c r="B555" i="4"/>
  <c r="C555" i="4"/>
  <c r="D555" i="4"/>
  <c r="E555" i="4"/>
  <c r="F555" i="4"/>
  <c r="G555" i="4"/>
  <c r="H555" i="4"/>
  <c r="I555" i="4"/>
  <c r="J555" i="4"/>
  <c r="K555" i="4"/>
  <c r="L555" i="4"/>
  <c r="M555" i="4"/>
  <c r="N555" i="4"/>
  <c r="O555" i="4"/>
  <c r="P555" i="4"/>
  <c r="Q555" i="4"/>
  <c r="R555" i="4"/>
  <c r="B556" i="4"/>
  <c r="C556" i="4"/>
  <c r="D556" i="4"/>
  <c r="E556" i="4"/>
  <c r="F556" i="4"/>
  <c r="G556" i="4"/>
  <c r="H556" i="4"/>
  <c r="I556" i="4"/>
  <c r="J556" i="4"/>
  <c r="K556" i="4"/>
  <c r="L556" i="4"/>
  <c r="M556" i="4"/>
  <c r="N556" i="4"/>
  <c r="O556" i="4"/>
  <c r="P556" i="4"/>
  <c r="Q556" i="4"/>
  <c r="R556" i="4"/>
  <c r="B557" i="4"/>
  <c r="C557" i="4"/>
  <c r="D557" i="4"/>
  <c r="E557" i="4"/>
  <c r="F557" i="4"/>
  <c r="G557" i="4"/>
  <c r="H557" i="4"/>
  <c r="I557" i="4"/>
  <c r="J557" i="4"/>
  <c r="K557" i="4"/>
  <c r="L557" i="4"/>
  <c r="M557" i="4"/>
  <c r="N557" i="4"/>
  <c r="O557" i="4"/>
  <c r="P557" i="4"/>
  <c r="Q557" i="4"/>
  <c r="R557" i="4"/>
  <c r="B558" i="4"/>
  <c r="C558" i="4"/>
  <c r="D558" i="4"/>
  <c r="E558" i="4"/>
  <c r="F558" i="4"/>
  <c r="G558" i="4"/>
  <c r="H558" i="4"/>
  <c r="I558" i="4"/>
  <c r="J558" i="4"/>
  <c r="K558" i="4"/>
  <c r="L558" i="4"/>
  <c r="M558" i="4"/>
  <c r="N558" i="4"/>
  <c r="O558" i="4"/>
  <c r="P558" i="4"/>
  <c r="Q558" i="4"/>
  <c r="R558" i="4"/>
  <c r="B559" i="4"/>
  <c r="C559" i="4"/>
  <c r="D559" i="4"/>
  <c r="E559" i="4"/>
  <c r="F559" i="4"/>
  <c r="G559" i="4"/>
  <c r="H559" i="4"/>
  <c r="I559" i="4"/>
  <c r="J559" i="4"/>
  <c r="K559" i="4"/>
  <c r="L559" i="4"/>
  <c r="M559" i="4"/>
  <c r="N559" i="4"/>
  <c r="O559" i="4"/>
  <c r="P559" i="4"/>
  <c r="Q559" i="4"/>
  <c r="R559" i="4"/>
  <c r="B560" i="4"/>
  <c r="C560" i="4"/>
  <c r="D560" i="4"/>
  <c r="E560" i="4"/>
  <c r="F560" i="4"/>
  <c r="G560" i="4"/>
  <c r="H560" i="4"/>
  <c r="I560" i="4"/>
  <c r="J560" i="4"/>
  <c r="K560" i="4"/>
  <c r="L560" i="4"/>
  <c r="M560" i="4"/>
  <c r="N560" i="4"/>
  <c r="O560" i="4"/>
  <c r="P560" i="4"/>
  <c r="Q560" i="4"/>
  <c r="R560" i="4"/>
  <c r="B561" i="4"/>
  <c r="C561" i="4"/>
  <c r="D561" i="4"/>
  <c r="E561" i="4"/>
  <c r="F561" i="4"/>
  <c r="G561" i="4"/>
  <c r="H561" i="4"/>
  <c r="I561" i="4"/>
  <c r="J561" i="4"/>
  <c r="K561" i="4"/>
  <c r="L561" i="4"/>
  <c r="M561" i="4"/>
  <c r="N561" i="4"/>
  <c r="O561" i="4"/>
  <c r="P561" i="4"/>
  <c r="Q561" i="4"/>
  <c r="R561" i="4"/>
  <c r="B562" i="4"/>
  <c r="C562" i="4"/>
  <c r="D562" i="4"/>
  <c r="E562" i="4"/>
  <c r="F562" i="4"/>
  <c r="G562" i="4"/>
  <c r="H562" i="4"/>
  <c r="I562" i="4"/>
  <c r="J562" i="4"/>
  <c r="K562" i="4"/>
  <c r="L562" i="4"/>
  <c r="M562" i="4"/>
  <c r="N562" i="4"/>
  <c r="O562" i="4"/>
  <c r="P562" i="4"/>
  <c r="Q562" i="4"/>
  <c r="R562" i="4"/>
  <c r="B563" i="4"/>
  <c r="C563" i="4"/>
  <c r="D563" i="4"/>
  <c r="E563" i="4"/>
  <c r="F563" i="4"/>
  <c r="G563" i="4"/>
  <c r="H563" i="4"/>
  <c r="I563" i="4"/>
  <c r="J563" i="4"/>
  <c r="K563" i="4"/>
  <c r="L563" i="4"/>
  <c r="M563" i="4"/>
  <c r="N563" i="4"/>
  <c r="O563" i="4"/>
  <c r="P563" i="4"/>
  <c r="Q563" i="4"/>
  <c r="R563" i="4"/>
  <c r="B564" i="4"/>
  <c r="C564" i="4"/>
  <c r="D564" i="4"/>
  <c r="E564" i="4"/>
  <c r="F564" i="4"/>
  <c r="G564" i="4"/>
  <c r="H564" i="4"/>
  <c r="I564" i="4"/>
  <c r="J564" i="4"/>
  <c r="K564" i="4"/>
  <c r="L564" i="4"/>
  <c r="M564" i="4"/>
  <c r="N564" i="4"/>
  <c r="O564" i="4"/>
  <c r="P564" i="4"/>
  <c r="Q564" i="4"/>
  <c r="R564" i="4"/>
  <c r="B565" i="4"/>
  <c r="C565" i="4"/>
  <c r="D565" i="4"/>
  <c r="E565" i="4"/>
  <c r="F565" i="4"/>
  <c r="G565" i="4"/>
  <c r="H565" i="4"/>
  <c r="I565" i="4"/>
  <c r="J565" i="4"/>
  <c r="K565" i="4"/>
  <c r="L565" i="4"/>
  <c r="M565" i="4"/>
  <c r="N565" i="4"/>
  <c r="O565" i="4"/>
  <c r="P565" i="4"/>
  <c r="Q565" i="4"/>
  <c r="R565" i="4"/>
  <c r="B566" i="4"/>
  <c r="C566" i="4"/>
  <c r="D566" i="4"/>
  <c r="E566" i="4"/>
  <c r="F566" i="4"/>
  <c r="G566" i="4"/>
  <c r="H566" i="4"/>
  <c r="I566" i="4"/>
  <c r="J566" i="4"/>
  <c r="K566" i="4"/>
  <c r="L566" i="4"/>
  <c r="M566" i="4"/>
  <c r="N566" i="4"/>
  <c r="O566" i="4"/>
  <c r="P566" i="4"/>
  <c r="Q566" i="4"/>
  <c r="R566" i="4"/>
  <c r="B567" i="4"/>
  <c r="C567" i="4"/>
  <c r="D567" i="4"/>
  <c r="E567" i="4"/>
  <c r="F567" i="4"/>
  <c r="G567" i="4"/>
  <c r="H567" i="4"/>
  <c r="I567" i="4"/>
  <c r="J567" i="4"/>
  <c r="K567" i="4"/>
  <c r="L567" i="4"/>
  <c r="M567" i="4"/>
  <c r="N567" i="4"/>
  <c r="O567" i="4"/>
  <c r="P567" i="4"/>
  <c r="Q567" i="4"/>
  <c r="R567" i="4"/>
  <c r="B568" i="4"/>
  <c r="C568" i="4"/>
  <c r="D568" i="4"/>
  <c r="E568" i="4"/>
  <c r="F568" i="4"/>
  <c r="G568" i="4"/>
  <c r="H568" i="4"/>
  <c r="I568" i="4"/>
  <c r="J568" i="4"/>
  <c r="K568" i="4"/>
  <c r="L568" i="4"/>
  <c r="M568" i="4"/>
  <c r="N568" i="4"/>
  <c r="O568" i="4"/>
  <c r="P568" i="4"/>
  <c r="Q568" i="4"/>
  <c r="R568" i="4"/>
  <c r="B569" i="4"/>
  <c r="C569" i="4"/>
  <c r="D569" i="4"/>
  <c r="E569" i="4"/>
  <c r="F569" i="4"/>
  <c r="G569" i="4"/>
  <c r="H569" i="4"/>
  <c r="I569" i="4"/>
  <c r="J569" i="4"/>
  <c r="K569" i="4"/>
  <c r="L569" i="4"/>
  <c r="M569" i="4"/>
  <c r="N569" i="4"/>
  <c r="O569" i="4"/>
  <c r="P569" i="4"/>
  <c r="Q569" i="4"/>
  <c r="R569" i="4"/>
  <c r="B570" i="4"/>
  <c r="C570" i="4"/>
  <c r="D570" i="4"/>
  <c r="E570" i="4"/>
  <c r="F570" i="4"/>
  <c r="G570" i="4"/>
  <c r="H570" i="4"/>
  <c r="I570" i="4"/>
  <c r="J570" i="4"/>
  <c r="K570" i="4"/>
  <c r="L570" i="4"/>
  <c r="M570" i="4"/>
  <c r="N570" i="4"/>
  <c r="O570" i="4"/>
  <c r="P570" i="4"/>
  <c r="Q570" i="4"/>
  <c r="R570" i="4"/>
  <c r="B571" i="4"/>
  <c r="C571" i="4"/>
  <c r="D571" i="4"/>
  <c r="E571" i="4"/>
  <c r="F571" i="4"/>
  <c r="G571" i="4"/>
  <c r="H571" i="4"/>
  <c r="I571" i="4"/>
  <c r="J571" i="4"/>
  <c r="K571" i="4"/>
  <c r="L571" i="4"/>
  <c r="M571" i="4"/>
  <c r="N571" i="4"/>
  <c r="O571" i="4"/>
  <c r="P571" i="4"/>
  <c r="Q571" i="4"/>
  <c r="R571" i="4"/>
  <c r="B572" i="4"/>
  <c r="C572" i="4"/>
  <c r="D572" i="4"/>
  <c r="E572" i="4"/>
  <c r="F572" i="4"/>
  <c r="G572" i="4"/>
  <c r="H572" i="4"/>
  <c r="I572" i="4"/>
  <c r="J572" i="4"/>
  <c r="K572" i="4"/>
  <c r="L572" i="4"/>
  <c r="M572" i="4"/>
  <c r="N572" i="4"/>
  <c r="O572" i="4"/>
  <c r="P572" i="4"/>
  <c r="Q572" i="4"/>
  <c r="R572" i="4"/>
  <c r="B573" i="4"/>
  <c r="C573" i="4"/>
  <c r="D573" i="4"/>
  <c r="E573" i="4"/>
  <c r="F573" i="4"/>
  <c r="G573" i="4"/>
  <c r="H573" i="4"/>
  <c r="I573" i="4"/>
  <c r="J573" i="4"/>
  <c r="K573" i="4"/>
  <c r="L573" i="4"/>
  <c r="M573" i="4"/>
  <c r="N573" i="4"/>
  <c r="O573" i="4"/>
  <c r="P573" i="4"/>
  <c r="Q573" i="4"/>
  <c r="R573" i="4"/>
  <c r="B574" i="4"/>
  <c r="C574" i="4"/>
  <c r="D574" i="4"/>
  <c r="E574" i="4"/>
  <c r="F574" i="4"/>
  <c r="G574" i="4"/>
  <c r="H574" i="4"/>
  <c r="I574" i="4"/>
  <c r="J574" i="4"/>
  <c r="K574" i="4"/>
  <c r="L574" i="4"/>
  <c r="M574" i="4"/>
  <c r="N574" i="4"/>
  <c r="O574" i="4"/>
  <c r="P574" i="4"/>
  <c r="Q574" i="4"/>
  <c r="R574" i="4"/>
  <c r="B575" i="4"/>
  <c r="C575" i="4"/>
  <c r="D575" i="4"/>
  <c r="E575" i="4"/>
  <c r="F575" i="4"/>
  <c r="G575" i="4"/>
  <c r="H575" i="4"/>
  <c r="I575" i="4"/>
  <c r="J575" i="4"/>
  <c r="K575" i="4"/>
  <c r="L575" i="4"/>
  <c r="M575" i="4"/>
  <c r="N575" i="4"/>
  <c r="O575" i="4"/>
  <c r="P575" i="4"/>
  <c r="Q575" i="4"/>
  <c r="R575" i="4"/>
  <c r="B576" i="4"/>
  <c r="C576" i="4"/>
  <c r="D576" i="4"/>
  <c r="E576" i="4"/>
  <c r="F576" i="4"/>
  <c r="G576" i="4"/>
  <c r="H576" i="4"/>
  <c r="I576" i="4"/>
  <c r="J576" i="4"/>
  <c r="K576" i="4"/>
  <c r="L576" i="4"/>
  <c r="M576" i="4"/>
  <c r="N576" i="4"/>
  <c r="O576" i="4"/>
  <c r="P576" i="4"/>
  <c r="Q576" i="4"/>
  <c r="R576" i="4"/>
  <c r="B577" i="4"/>
  <c r="C577" i="4"/>
  <c r="D577" i="4"/>
  <c r="E577" i="4"/>
  <c r="F577" i="4"/>
  <c r="G577" i="4"/>
  <c r="H577" i="4"/>
  <c r="I577" i="4"/>
  <c r="J577" i="4"/>
  <c r="K577" i="4"/>
  <c r="L577" i="4"/>
  <c r="M577" i="4"/>
  <c r="N577" i="4"/>
  <c r="O577" i="4"/>
  <c r="P577" i="4"/>
  <c r="Q577" i="4"/>
  <c r="R577" i="4"/>
  <c r="B578" i="4"/>
  <c r="C578" i="4"/>
  <c r="D578" i="4"/>
  <c r="E578" i="4"/>
  <c r="F578" i="4"/>
  <c r="G578" i="4"/>
  <c r="H578" i="4"/>
  <c r="I578" i="4"/>
  <c r="J578" i="4"/>
  <c r="K578" i="4"/>
  <c r="L578" i="4"/>
  <c r="M578" i="4"/>
  <c r="N578" i="4"/>
  <c r="O578" i="4"/>
  <c r="P578" i="4"/>
  <c r="Q578" i="4"/>
  <c r="R578" i="4"/>
  <c r="B579" i="4"/>
  <c r="C579" i="4"/>
  <c r="D579" i="4"/>
  <c r="E579" i="4"/>
  <c r="F579" i="4"/>
  <c r="G579" i="4"/>
  <c r="H579" i="4"/>
  <c r="I579" i="4"/>
  <c r="J579" i="4"/>
  <c r="K579" i="4"/>
  <c r="L579" i="4"/>
  <c r="M579" i="4"/>
  <c r="N579" i="4"/>
  <c r="O579" i="4"/>
  <c r="P579" i="4"/>
  <c r="Q579" i="4"/>
  <c r="R579" i="4"/>
  <c r="B580" i="4"/>
  <c r="C580" i="4"/>
  <c r="D580" i="4"/>
  <c r="E580" i="4"/>
  <c r="F580" i="4"/>
  <c r="G580" i="4"/>
  <c r="H580" i="4"/>
  <c r="I580" i="4"/>
  <c r="J580" i="4"/>
  <c r="K580" i="4"/>
  <c r="L580" i="4"/>
  <c r="M580" i="4"/>
  <c r="N580" i="4"/>
  <c r="O580" i="4"/>
  <c r="P580" i="4"/>
  <c r="Q580" i="4"/>
  <c r="R580" i="4"/>
  <c r="B581" i="4"/>
  <c r="C581" i="4"/>
  <c r="D581" i="4"/>
  <c r="E581" i="4"/>
  <c r="F581" i="4"/>
  <c r="G581" i="4"/>
  <c r="H581" i="4"/>
  <c r="I581" i="4"/>
  <c r="J581" i="4"/>
  <c r="K581" i="4"/>
  <c r="L581" i="4"/>
  <c r="M581" i="4"/>
  <c r="N581" i="4"/>
  <c r="O581" i="4"/>
  <c r="P581" i="4"/>
  <c r="Q581" i="4"/>
  <c r="R581" i="4"/>
  <c r="B582" i="4"/>
  <c r="C582" i="4"/>
  <c r="D582" i="4"/>
  <c r="E582" i="4"/>
  <c r="F582" i="4"/>
  <c r="G582" i="4"/>
  <c r="H582" i="4"/>
  <c r="I582" i="4"/>
  <c r="J582" i="4"/>
  <c r="K582" i="4"/>
  <c r="L582" i="4"/>
  <c r="N582" i="4"/>
  <c r="O582" i="4"/>
  <c r="P582" i="4"/>
  <c r="Q582" i="4"/>
  <c r="R582" i="4"/>
  <c r="B583" i="4"/>
  <c r="C583" i="4"/>
  <c r="D583" i="4"/>
  <c r="E583" i="4"/>
  <c r="F583" i="4"/>
  <c r="G583" i="4"/>
  <c r="H583" i="4"/>
  <c r="I583" i="4"/>
  <c r="J583" i="4"/>
  <c r="K583" i="4"/>
  <c r="L583" i="4"/>
  <c r="N583" i="4"/>
  <c r="O583" i="4"/>
  <c r="P583" i="4"/>
  <c r="Q583" i="4"/>
  <c r="R583" i="4"/>
  <c r="B584" i="4"/>
  <c r="C584" i="4"/>
  <c r="D584" i="4"/>
  <c r="E584" i="4"/>
  <c r="F584" i="4"/>
  <c r="G584" i="4"/>
  <c r="H584" i="4"/>
  <c r="I584" i="4"/>
  <c r="J584" i="4"/>
  <c r="K584" i="4"/>
  <c r="L584" i="4"/>
  <c r="N584" i="4"/>
  <c r="O584" i="4"/>
  <c r="P584" i="4"/>
  <c r="Q584" i="4"/>
  <c r="R584" i="4"/>
  <c r="B585" i="4"/>
  <c r="C585" i="4"/>
  <c r="D585" i="4"/>
  <c r="E585" i="4"/>
  <c r="F585" i="4"/>
  <c r="G585" i="4"/>
  <c r="H585" i="4"/>
  <c r="I585" i="4"/>
  <c r="J585" i="4"/>
  <c r="K585" i="4"/>
  <c r="L585" i="4"/>
  <c r="N585" i="4"/>
  <c r="O585" i="4"/>
  <c r="P585" i="4"/>
  <c r="Q585" i="4"/>
  <c r="R585" i="4"/>
  <c r="B586" i="4"/>
  <c r="C586" i="4"/>
  <c r="D586" i="4"/>
  <c r="E586" i="4"/>
  <c r="F586" i="4"/>
  <c r="G586" i="4"/>
  <c r="H586" i="4"/>
  <c r="I586" i="4"/>
  <c r="J586" i="4"/>
  <c r="K586" i="4"/>
  <c r="L586" i="4"/>
  <c r="M586" i="4"/>
  <c r="N586" i="4"/>
  <c r="O586" i="4"/>
  <c r="P586" i="4"/>
  <c r="Q586" i="4"/>
  <c r="R586" i="4"/>
  <c r="B587" i="4"/>
  <c r="C587" i="4"/>
  <c r="D587" i="4"/>
  <c r="E587" i="4"/>
  <c r="F587" i="4"/>
  <c r="G587" i="4"/>
  <c r="H587" i="4"/>
  <c r="I587" i="4"/>
  <c r="J587" i="4"/>
  <c r="K587" i="4"/>
  <c r="L587" i="4"/>
  <c r="M587" i="4"/>
  <c r="N587" i="4"/>
  <c r="O587" i="4"/>
  <c r="P587" i="4"/>
  <c r="Q587" i="4"/>
  <c r="R587" i="4"/>
  <c r="B588" i="4"/>
  <c r="C588" i="4"/>
  <c r="D588" i="4"/>
  <c r="E588" i="4"/>
  <c r="F588" i="4"/>
  <c r="G588" i="4"/>
  <c r="H588" i="4"/>
  <c r="I588" i="4"/>
  <c r="J588" i="4"/>
  <c r="K588" i="4"/>
  <c r="L588" i="4"/>
  <c r="M588" i="4"/>
  <c r="N588" i="4"/>
  <c r="O588" i="4"/>
  <c r="P588" i="4"/>
  <c r="Q588" i="4"/>
  <c r="R588" i="4"/>
  <c r="B589" i="4"/>
  <c r="C589" i="4"/>
  <c r="D589" i="4"/>
  <c r="E589" i="4"/>
  <c r="F589" i="4"/>
  <c r="G589" i="4"/>
  <c r="H589" i="4"/>
  <c r="I589" i="4"/>
  <c r="J589" i="4"/>
  <c r="K589" i="4"/>
  <c r="L589" i="4"/>
  <c r="M589" i="4"/>
  <c r="N589" i="4"/>
  <c r="O589" i="4"/>
  <c r="P589" i="4"/>
  <c r="Q589" i="4"/>
  <c r="R589" i="4"/>
  <c r="B590" i="4"/>
  <c r="C590" i="4"/>
  <c r="D590" i="4"/>
  <c r="E590" i="4"/>
  <c r="F590" i="4"/>
  <c r="G590" i="4"/>
  <c r="H590" i="4"/>
  <c r="I590" i="4"/>
  <c r="J590" i="4"/>
  <c r="K590" i="4"/>
  <c r="L590" i="4"/>
  <c r="M590" i="4"/>
  <c r="N590" i="4"/>
  <c r="O590" i="4"/>
  <c r="P590" i="4"/>
  <c r="Q590" i="4"/>
  <c r="R590" i="4"/>
  <c r="B591" i="4"/>
  <c r="C591" i="4"/>
  <c r="D591" i="4"/>
  <c r="E591" i="4"/>
  <c r="F591" i="4"/>
  <c r="G591" i="4"/>
  <c r="H591" i="4"/>
  <c r="I591" i="4"/>
  <c r="J591" i="4"/>
  <c r="K591" i="4"/>
  <c r="L591" i="4"/>
  <c r="M591" i="4"/>
  <c r="N591" i="4"/>
  <c r="O591" i="4"/>
  <c r="P591" i="4"/>
  <c r="Q591" i="4"/>
  <c r="R591" i="4"/>
  <c r="B592" i="4"/>
  <c r="C592" i="4"/>
  <c r="D592" i="4"/>
  <c r="E592" i="4"/>
  <c r="F592" i="4"/>
  <c r="G592" i="4"/>
  <c r="H592" i="4"/>
  <c r="I592" i="4"/>
  <c r="J592" i="4"/>
  <c r="K592" i="4"/>
  <c r="L592" i="4"/>
  <c r="M592" i="4"/>
  <c r="N592" i="4"/>
  <c r="O592" i="4"/>
  <c r="P592" i="4"/>
  <c r="Q592" i="4"/>
  <c r="R592" i="4"/>
  <c r="B593" i="4"/>
  <c r="C593" i="4"/>
  <c r="D593" i="4"/>
  <c r="E593" i="4"/>
  <c r="F593" i="4"/>
  <c r="G593" i="4"/>
  <c r="H593" i="4"/>
  <c r="I593" i="4"/>
  <c r="J593" i="4"/>
  <c r="K593" i="4"/>
  <c r="L593" i="4"/>
  <c r="M593" i="4"/>
  <c r="N593" i="4"/>
  <c r="O593" i="4"/>
  <c r="P593" i="4"/>
  <c r="Q593" i="4"/>
  <c r="R593" i="4"/>
  <c r="B594" i="4"/>
  <c r="C594" i="4"/>
  <c r="D594" i="4"/>
  <c r="E594" i="4"/>
  <c r="F594" i="4"/>
  <c r="G594" i="4"/>
  <c r="H594" i="4"/>
  <c r="I594" i="4"/>
  <c r="J594" i="4"/>
  <c r="K594" i="4"/>
  <c r="L594" i="4"/>
  <c r="M594" i="4"/>
  <c r="N594" i="4"/>
  <c r="O594" i="4"/>
  <c r="P594" i="4"/>
  <c r="Q594" i="4"/>
  <c r="R594" i="4"/>
  <c r="B595" i="4"/>
  <c r="C595" i="4"/>
  <c r="D595" i="4"/>
  <c r="E595" i="4"/>
  <c r="F595" i="4"/>
  <c r="G595" i="4"/>
  <c r="H595" i="4"/>
  <c r="I595" i="4"/>
  <c r="J595" i="4"/>
  <c r="K595" i="4"/>
  <c r="L595" i="4"/>
  <c r="M595" i="4"/>
  <c r="N595" i="4"/>
  <c r="O595" i="4"/>
  <c r="P595" i="4"/>
  <c r="Q595" i="4"/>
  <c r="R595" i="4"/>
  <c r="B596" i="4"/>
  <c r="C596" i="4"/>
  <c r="D596" i="4"/>
  <c r="E596" i="4"/>
  <c r="F596" i="4"/>
  <c r="G596" i="4"/>
  <c r="H596" i="4"/>
  <c r="I596" i="4"/>
  <c r="J596" i="4"/>
  <c r="K596" i="4"/>
  <c r="L596" i="4"/>
  <c r="M596" i="4"/>
  <c r="N596" i="4"/>
  <c r="O596" i="4"/>
  <c r="P596" i="4"/>
  <c r="Q596" i="4"/>
  <c r="R596" i="4"/>
  <c r="B597" i="4"/>
  <c r="C597" i="4"/>
  <c r="D597" i="4"/>
  <c r="E597" i="4"/>
  <c r="F597" i="4"/>
  <c r="G597" i="4"/>
  <c r="H597" i="4"/>
  <c r="I597" i="4"/>
  <c r="J597" i="4"/>
  <c r="K597" i="4"/>
  <c r="L597" i="4"/>
  <c r="M597" i="4"/>
  <c r="N597" i="4"/>
  <c r="O597" i="4"/>
  <c r="P597" i="4"/>
  <c r="Q597" i="4"/>
  <c r="R597" i="4"/>
  <c r="B598" i="4"/>
  <c r="C598" i="4"/>
  <c r="D598" i="4"/>
  <c r="E598" i="4"/>
  <c r="F598" i="4"/>
  <c r="G598" i="4"/>
  <c r="H598" i="4"/>
  <c r="I598" i="4"/>
  <c r="J598" i="4"/>
  <c r="K598" i="4"/>
  <c r="L598" i="4"/>
  <c r="M598" i="4"/>
  <c r="N598" i="4"/>
  <c r="O598" i="4"/>
  <c r="P598" i="4"/>
  <c r="Q598" i="4"/>
  <c r="R598" i="4"/>
  <c r="B599" i="4"/>
  <c r="C599" i="4"/>
  <c r="D599" i="4"/>
  <c r="E599" i="4"/>
  <c r="F599" i="4"/>
  <c r="G599" i="4"/>
  <c r="H599" i="4"/>
  <c r="I599" i="4"/>
  <c r="J599" i="4"/>
  <c r="K599" i="4"/>
  <c r="L599" i="4"/>
  <c r="M599" i="4"/>
  <c r="N599" i="4"/>
  <c r="O599" i="4"/>
  <c r="P599" i="4"/>
  <c r="Q599" i="4"/>
  <c r="R599" i="4"/>
  <c r="B600" i="4"/>
  <c r="C600" i="4"/>
  <c r="D600" i="4"/>
  <c r="E600" i="4"/>
  <c r="F600" i="4"/>
  <c r="G600" i="4"/>
  <c r="H600" i="4"/>
  <c r="I600" i="4"/>
  <c r="J600" i="4"/>
  <c r="K600" i="4"/>
  <c r="L600" i="4"/>
  <c r="M600" i="4"/>
  <c r="N600" i="4"/>
  <c r="O600" i="4"/>
  <c r="P600" i="4"/>
  <c r="Q600" i="4"/>
  <c r="R600" i="4"/>
  <c r="B601" i="4"/>
  <c r="C601" i="4"/>
  <c r="D601" i="4"/>
  <c r="E601" i="4"/>
  <c r="F601" i="4"/>
  <c r="G601" i="4"/>
  <c r="H601" i="4"/>
  <c r="I601" i="4"/>
  <c r="J601" i="4"/>
  <c r="K601" i="4"/>
  <c r="L601" i="4"/>
  <c r="M601" i="4"/>
  <c r="N601" i="4"/>
  <c r="O601" i="4"/>
  <c r="P601" i="4"/>
  <c r="Q601" i="4"/>
  <c r="R601" i="4"/>
  <c r="B602" i="4"/>
  <c r="C602" i="4"/>
  <c r="D602" i="4"/>
  <c r="E602" i="4"/>
  <c r="F602" i="4"/>
  <c r="G602" i="4"/>
  <c r="H602" i="4"/>
  <c r="I602" i="4"/>
  <c r="J602" i="4"/>
  <c r="K602" i="4"/>
  <c r="L602" i="4"/>
  <c r="M602" i="4"/>
  <c r="N602" i="4"/>
  <c r="O602" i="4"/>
  <c r="P602" i="4"/>
  <c r="Q602" i="4"/>
  <c r="R602" i="4"/>
  <c r="B603" i="4"/>
  <c r="C603" i="4"/>
  <c r="D603" i="4"/>
  <c r="E603" i="4"/>
  <c r="F603" i="4"/>
  <c r="G603" i="4"/>
  <c r="H603" i="4"/>
  <c r="I603" i="4"/>
  <c r="J603" i="4"/>
  <c r="K603" i="4"/>
  <c r="L603" i="4"/>
  <c r="M603" i="4"/>
  <c r="N603" i="4"/>
  <c r="O603" i="4"/>
  <c r="P603" i="4"/>
  <c r="Q603" i="4"/>
  <c r="R603" i="4"/>
  <c r="B604" i="4"/>
  <c r="C604" i="4"/>
  <c r="D604" i="4"/>
  <c r="E604" i="4"/>
  <c r="F604" i="4"/>
  <c r="G604" i="4"/>
  <c r="H604" i="4"/>
  <c r="I604" i="4"/>
  <c r="J604" i="4"/>
  <c r="K604" i="4"/>
  <c r="L604" i="4"/>
  <c r="M604" i="4"/>
  <c r="N604" i="4"/>
  <c r="O604" i="4"/>
  <c r="P604" i="4"/>
  <c r="Q604" i="4"/>
  <c r="R604" i="4"/>
  <c r="B605" i="4"/>
  <c r="C605" i="4"/>
  <c r="D605" i="4"/>
  <c r="E605" i="4"/>
  <c r="F605" i="4"/>
  <c r="G605" i="4"/>
  <c r="H605" i="4"/>
  <c r="I605" i="4"/>
  <c r="J605" i="4"/>
  <c r="K605" i="4"/>
  <c r="L605" i="4"/>
  <c r="M605" i="4"/>
  <c r="N605" i="4"/>
  <c r="O605" i="4"/>
  <c r="P605" i="4"/>
  <c r="Q605" i="4"/>
  <c r="R605" i="4"/>
  <c r="B606" i="4"/>
  <c r="C606" i="4"/>
  <c r="D606" i="4"/>
  <c r="E606" i="4"/>
  <c r="F606" i="4"/>
  <c r="G606" i="4"/>
  <c r="H606" i="4"/>
  <c r="I606" i="4"/>
  <c r="J606" i="4"/>
  <c r="K606" i="4"/>
  <c r="L606" i="4"/>
  <c r="M606" i="4"/>
  <c r="N606" i="4"/>
  <c r="O606" i="4"/>
  <c r="P606" i="4"/>
  <c r="Q606" i="4"/>
  <c r="R606" i="4"/>
  <c r="B607" i="4"/>
  <c r="C607" i="4"/>
  <c r="D607" i="4"/>
  <c r="E607" i="4"/>
  <c r="F607" i="4"/>
  <c r="G607" i="4"/>
  <c r="H607" i="4"/>
  <c r="I607" i="4"/>
  <c r="J607" i="4"/>
  <c r="K607" i="4"/>
  <c r="L607" i="4"/>
  <c r="M607" i="4"/>
  <c r="N607" i="4"/>
  <c r="O607" i="4"/>
  <c r="P607" i="4"/>
  <c r="Q607" i="4"/>
  <c r="R607" i="4"/>
  <c r="B608" i="4"/>
  <c r="C608" i="4"/>
  <c r="D608" i="4"/>
  <c r="E608" i="4"/>
  <c r="F608" i="4"/>
  <c r="G608" i="4"/>
  <c r="H608" i="4"/>
  <c r="I608" i="4"/>
  <c r="J608" i="4"/>
  <c r="K608" i="4"/>
  <c r="L608" i="4"/>
  <c r="M608" i="4"/>
  <c r="N608" i="4"/>
  <c r="O608" i="4"/>
  <c r="P608" i="4"/>
  <c r="Q608" i="4"/>
  <c r="R608" i="4"/>
  <c r="B609" i="4"/>
  <c r="C609" i="4"/>
  <c r="D609" i="4"/>
  <c r="E609" i="4"/>
  <c r="F609" i="4"/>
  <c r="G609" i="4"/>
  <c r="H609" i="4"/>
  <c r="I609" i="4"/>
  <c r="J609" i="4"/>
  <c r="K609" i="4"/>
  <c r="L609" i="4"/>
  <c r="M609" i="4"/>
  <c r="N609" i="4"/>
  <c r="O609" i="4"/>
  <c r="P609" i="4"/>
  <c r="Q609" i="4"/>
  <c r="R609" i="4"/>
  <c r="B610" i="4"/>
  <c r="C610" i="4"/>
  <c r="D610" i="4"/>
  <c r="E610" i="4"/>
  <c r="F610" i="4"/>
  <c r="G610" i="4"/>
  <c r="H610" i="4"/>
  <c r="I610" i="4"/>
  <c r="J610" i="4"/>
  <c r="K610" i="4"/>
  <c r="L610" i="4"/>
  <c r="M610" i="4"/>
  <c r="N610" i="4"/>
  <c r="O610" i="4"/>
  <c r="P610" i="4"/>
  <c r="Q610" i="4"/>
  <c r="R610" i="4"/>
  <c r="B611" i="4"/>
  <c r="C611" i="4"/>
  <c r="D611" i="4"/>
  <c r="E611" i="4"/>
  <c r="F611" i="4"/>
  <c r="G611" i="4"/>
  <c r="H611" i="4"/>
  <c r="I611" i="4"/>
  <c r="J611" i="4"/>
  <c r="K611" i="4"/>
  <c r="L611" i="4"/>
  <c r="M611" i="4"/>
  <c r="N611" i="4"/>
  <c r="O611" i="4"/>
  <c r="P611" i="4"/>
  <c r="Q611" i="4"/>
  <c r="R611" i="4"/>
  <c r="B612" i="4"/>
  <c r="C612" i="4"/>
  <c r="D612" i="4"/>
  <c r="E612" i="4"/>
  <c r="F612" i="4"/>
  <c r="G612" i="4"/>
  <c r="H612" i="4"/>
  <c r="I612" i="4"/>
  <c r="J612" i="4"/>
  <c r="K612" i="4"/>
  <c r="L612" i="4"/>
  <c r="M612" i="4"/>
  <c r="N612" i="4"/>
  <c r="O612" i="4"/>
  <c r="P612" i="4"/>
  <c r="Q612" i="4"/>
  <c r="R612" i="4"/>
  <c r="B613" i="4"/>
  <c r="C613" i="4"/>
  <c r="D613" i="4"/>
  <c r="E613" i="4"/>
  <c r="F613" i="4"/>
  <c r="G613" i="4"/>
  <c r="H613" i="4"/>
  <c r="I613" i="4"/>
  <c r="J613" i="4"/>
  <c r="K613" i="4"/>
  <c r="L613" i="4"/>
  <c r="M613" i="4"/>
  <c r="N613" i="4"/>
  <c r="O613" i="4"/>
  <c r="P613" i="4"/>
  <c r="Q613" i="4"/>
  <c r="R613" i="4"/>
  <c r="B614" i="4"/>
  <c r="C614" i="4"/>
  <c r="D614" i="4"/>
  <c r="E614" i="4"/>
  <c r="F614" i="4"/>
  <c r="G614" i="4"/>
  <c r="H614" i="4"/>
  <c r="I614" i="4"/>
  <c r="J614" i="4"/>
  <c r="K614" i="4"/>
  <c r="L614" i="4"/>
  <c r="M614" i="4"/>
  <c r="N614" i="4"/>
  <c r="O614" i="4"/>
  <c r="P614" i="4"/>
  <c r="Q614" i="4"/>
  <c r="R614" i="4"/>
  <c r="B615" i="4"/>
  <c r="C615" i="4"/>
  <c r="D615" i="4"/>
  <c r="E615" i="4"/>
  <c r="F615" i="4"/>
  <c r="G615" i="4"/>
  <c r="H615" i="4"/>
  <c r="I615" i="4"/>
  <c r="J615" i="4"/>
  <c r="K615" i="4"/>
  <c r="L615" i="4"/>
  <c r="M615" i="4"/>
  <c r="N615" i="4"/>
  <c r="O615" i="4"/>
  <c r="P615" i="4"/>
  <c r="Q615" i="4"/>
  <c r="R615" i="4"/>
  <c r="B616" i="4"/>
  <c r="C616" i="4"/>
  <c r="D616" i="4"/>
  <c r="E616" i="4"/>
  <c r="F616" i="4"/>
  <c r="G616" i="4"/>
  <c r="H616" i="4"/>
  <c r="I616" i="4"/>
  <c r="J616" i="4"/>
  <c r="K616" i="4"/>
  <c r="L616" i="4"/>
  <c r="M616" i="4"/>
  <c r="N616" i="4"/>
  <c r="O616" i="4"/>
  <c r="P616" i="4"/>
  <c r="Q616" i="4"/>
  <c r="R616" i="4"/>
  <c r="B617" i="4"/>
  <c r="C617" i="4"/>
  <c r="D617" i="4"/>
  <c r="E617" i="4"/>
  <c r="F617" i="4"/>
  <c r="G617" i="4"/>
  <c r="H617" i="4"/>
  <c r="I617" i="4"/>
  <c r="J617" i="4"/>
  <c r="K617" i="4"/>
  <c r="L617" i="4"/>
  <c r="M617" i="4"/>
  <c r="N617" i="4"/>
  <c r="O617" i="4"/>
  <c r="P617" i="4"/>
  <c r="Q617" i="4"/>
  <c r="R617" i="4"/>
  <c r="B618" i="4"/>
  <c r="C618" i="4"/>
  <c r="D618" i="4"/>
  <c r="E618" i="4"/>
  <c r="F618" i="4"/>
  <c r="G618" i="4"/>
  <c r="H618" i="4"/>
  <c r="I618" i="4"/>
  <c r="J618" i="4"/>
  <c r="K618" i="4"/>
  <c r="L618" i="4"/>
  <c r="M618" i="4"/>
  <c r="N618" i="4"/>
  <c r="O618" i="4"/>
  <c r="P618" i="4"/>
  <c r="Q618" i="4"/>
  <c r="R618" i="4"/>
  <c r="B619" i="4"/>
  <c r="C619" i="4"/>
  <c r="D619" i="4"/>
  <c r="E619" i="4"/>
  <c r="F619" i="4"/>
  <c r="G619" i="4"/>
  <c r="H619" i="4"/>
  <c r="I619" i="4"/>
  <c r="J619" i="4"/>
  <c r="K619" i="4"/>
  <c r="L619" i="4"/>
  <c r="M619" i="4"/>
  <c r="N619" i="4"/>
  <c r="O619" i="4"/>
  <c r="P619" i="4"/>
  <c r="Q619" i="4"/>
  <c r="R619" i="4"/>
  <c r="B620" i="4"/>
  <c r="C620" i="4"/>
  <c r="D620" i="4"/>
  <c r="E620" i="4"/>
  <c r="F620" i="4"/>
  <c r="G620" i="4"/>
  <c r="H620" i="4"/>
  <c r="I620" i="4"/>
  <c r="J620" i="4"/>
  <c r="K620" i="4"/>
  <c r="L620" i="4"/>
  <c r="M620" i="4"/>
  <c r="N620" i="4"/>
  <c r="O620" i="4"/>
  <c r="P620" i="4"/>
  <c r="Q620" i="4"/>
  <c r="R620" i="4"/>
  <c r="B621" i="4"/>
  <c r="C621" i="4"/>
  <c r="D621" i="4"/>
  <c r="E621" i="4"/>
  <c r="F621" i="4"/>
  <c r="G621" i="4"/>
  <c r="H621" i="4"/>
  <c r="I621" i="4"/>
  <c r="J621" i="4"/>
  <c r="K621" i="4"/>
  <c r="L621" i="4"/>
  <c r="M621" i="4"/>
  <c r="N621" i="4"/>
  <c r="O621" i="4"/>
  <c r="P621" i="4"/>
  <c r="Q621" i="4"/>
  <c r="R621" i="4"/>
  <c r="B622" i="4"/>
  <c r="C622" i="4"/>
  <c r="D622" i="4"/>
  <c r="E622" i="4"/>
  <c r="F622" i="4"/>
  <c r="G622" i="4"/>
  <c r="H622" i="4"/>
  <c r="I622" i="4"/>
  <c r="J622" i="4"/>
  <c r="K622" i="4"/>
  <c r="L622" i="4"/>
  <c r="M622" i="4"/>
  <c r="N622" i="4"/>
  <c r="O622" i="4"/>
  <c r="P622" i="4"/>
  <c r="Q622" i="4"/>
  <c r="R622" i="4"/>
  <c r="B623" i="4"/>
  <c r="C623" i="4"/>
  <c r="D623" i="4"/>
  <c r="E623" i="4"/>
  <c r="F623" i="4"/>
  <c r="G623" i="4"/>
  <c r="H623" i="4"/>
  <c r="I623" i="4"/>
  <c r="J623" i="4"/>
  <c r="K623" i="4"/>
  <c r="L623" i="4"/>
  <c r="M623" i="4"/>
  <c r="N623" i="4"/>
  <c r="O623" i="4"/>
  <c r="P623" i="4"/>
  <c r="Q623" i="4"/>
  <c r="R623" i="4"/>
  <c r="B624" i="4"/>
  <c r="C624" i="4"/>
  <c r="D624" i="4"/>
  <c r="E624" i="4"/>
  <c r="F624" i="4"/>
  <c r="G624" i="4"/>
  <c r="H624" i="4"/>
  <c r="I624" i="4"/>
  <c r="J624" i="4"/>
  <c r="K624" i="4"/>
  <c r="L624" i="4"/>
  <c r="M624" i="4"/>
  <c r="N624" i="4"/>
  <c r="O624" i="4"/>
  <c r="P624" i="4"/>
  <c r="Q624" i="4"/>
  <c r="R624" i="4"/>
  <c r="B625" i="4"/>
  <c r="C625" i="4"/>
  <c r="D625" i="4"/>
  <c r="E625" i="4"/>
  <c r="F625" i="4"/>
  <c r="G625" i="4"/>
  <c r="H625" i="4"/>
  <c r="I625" i="4"/>
  <c r="J625" i="4"/>
  <c r="K625" i="4"/>
  <c r="L625" i="4"/>
  <c r="M625" i="4"/>
  <c r="N625" i="4"/>
  <c r="O625" i="4"/>
  <c r="P625" i="4"/>
  <c r="Q625" i="4"/>
  <c r="R625" i="4"/>
  <c r="B626" i="4"/>
  <c r="C626" i="4"/>
  <c r="D626" i="4"/>
  <c r="E626" i="4"/>
  <c r="F626" i="4"/>
  <c r="G626" i="4"/>
  <c r="H626" i="4"/>
  <c r="I626" i="4"/>
  <c r="J626" i="4"/>
  <c r="K626" i="4"/>
  <c r="L626" i="4"/>
  <c r="M626" i="4"/>
  <c r="N626" i="4"/>
  <c r="O626" i="4"/>
  <c r="P626" i="4"/>
  <c r="Q626" i="4"/>
  <c r="R626" i="4"/>
  <c r="B627" i="4"/>
  <c r="C627" i="4"/>
  <c r="D627" i="4"/>
  <c r="E627" i="4"/>
  <c r="F627" i="4"/>
  <c r="G627" i="4"/>
  <c r="H627" i="4"/>
  <c r="I627" i="4"/>
  <c r="J627" i="4"/>
  <c r="K627" i="4"/>
  <c r="L627" i="4"/>
  <c r="M627" i="4"/>
  <c r="N627" i="4"/>
  <c r="O627" i="4"/>
  <c r="P627" i="4"/>
  <c r="Q627" i="4"/>
  <c r="R627" i="4"/>
  <c r="B628" i="4"/>
  <c r="C628" i="4"/>
  <c r="D628" i="4"/>
  <c r="E628" i="4"/>
  <c r="F628" i="4"/>
  <c r="G628" i="4"/>
  <c r="H628" i="4"/>
  <c r="I628" i="4"/>
  <c r="J628" i="4"/>
  <c r="K628" i="4"/>
  <c r="L628" i="4"/>
  <c r="M628" i="4"/>
  <c r="N628" i="4"/>
  <c r="O628" i="4"/>
  <c r="P628" i="4"/>
  <c r="Q628" i="4"/>
  <c r="R628" i="4"/>
  <c r="B629" i="4"/>
  <c r="C629" i="4"/>
  <c r="D629" i="4"/>
  <c r="E629" i="4"/>
  <c r="F629" i="4"/>
  <c r="G629" i="4"/>
  <c r="H629" i="4"/>
  <c r="I629" i="4"/>
  <c r="J629" i="4"/>
  <c r="K629" i="4"/>
  <c r="L629" i="4"/>
  <c r="M629" i="4"/>
  <c r="N629" i="4"/>
  <c r="O629" i="4"/>
  <c r="P629" i="4"/>
  <c r="Q629" i="4"/>
  <c r="R629" i="4"/>
  <c r="B630" i="4"/>
  <c r="C630" i="4"/>
  <c r="D630" i="4"/>
  <c r="E630" i="4"/>
  <c r="F630" i="4"/>
  <c r="G630" i="4"/>
  <c r="H630" i="4"/>
  <c r="I630" i="4"/>
  <c r="J630" i="4"/>
  <c r="K630" i="4"/>
  <c r="L630" i="4"/>
  <c r="M630" i="4"/>
  <c r="N630" i="4"/>
  <c r="O630" i="4"/>
  <c r="P630" i="4"/>
  <c r="Q630" i="4"/>
  <c r="R630" i="4"/>
  <c r="B631" i="4"/>
  <c r="C631" i="4"/>
  <c r="D631" i="4"/>
  <c r="E631" i="4"/>
  <c r="F631" i="4"/>
  <c r="G631" i="4"/>
  <c r="H631" i="4"/>
  <c r="I631" i="4"/>
  <c r="J631" i="4"/>
  <c r="K631" i="4"/>
  <c r="L631" i="4"/>
  <c r="M631" i="4"/>
  <c r="N631" i="4"/>
  <c r="O631" i="4"/>
  <c r="P631" i="4"/>
  <c r="Q631" i="4"/>
  <c r="R631" i="4"/>
  <c r="B632" i="4"/>
  <c r="C632" i="4"/>
  <c r="D632" i="4"/>
  <c r="E632" i="4"/>
  <c r="F632" i="4"/>
  <c r="G632" i="4"/>
  <c r="H632" i="4"/>
  <c r="I632" i="4"/>
  <c r="J632" i="4"/>
  <c r="K632" i="4"/>
  <c r="L632" i="4"/>
  <c r="M632" i="4"/>
  <c r="N632" i="4"/>
  <c r="O632" i="4"/>
  <c r="P632" i="4"/>
  <c r="Q632" i="4"/>
  <c r="R632" i="4"/>
  <c r="B633" i="4"/>
  <c r="C633" i="4"/>
  <c r="D633" i="4"/>
  <c r="E633" i="4"/>
  <c r="F633" i="4"/>
  <c r="G633" i="4"/>
  <c r="H633" i="4"/>
  <c r="I633" i="4"/>
  <c r="J633" i="4"/>
  <c r="K633" i="4"/>
  <c r="L633" i="4"/>
  <c r="M633" i="4"/>
  <c r="N633" i="4"/>
  <c r="O633" i="4"/>
  <c r="P633" i="4"/>
  <c r="Q633" i="4"/>
  <c r="R633" i="4"/>
  <c r="B634" i="4"/>
  <c r="C634" i="4"/>
  <c r="D634" i="4"/>
  <c r="E634" i="4"/>
  <c r="F634" i="4"/>
  <c r="G634" i="4"/>
  <c r="H634" i="4"/>
  <c r="I634" i="4"/>
  <c r="J634" i="4"/>
  <c r="K634" i="4"/>
  <c r="L634" i="4"/>
  <c r="M634" i="4"/>
  <c r="N634" i="4"/>
  <c r="O634" i="4"/>
  <c r="P634" i="4"/>
  <c r="Q634" i="4"/>
  <c r="R634" i="4"/>
  <c r="B635" i="4"/>
  <c r="C635" i="4"/>
  <c r="D635" i="4"/>
  <c r="E635" i="4"/>
  <c r="F635" i="4"/>
  <c r="G635" i="4"/>
  <c r="H635" i="4"/>
  <c r="I635" i="4"/>
  <c r="J635" i="4"/>
  <c r="K635" i="4"/>
  <c r="L635" i="4"/>
  <c r="M635" i="4"/>
  <c r="N635" i="4"/>
  <c r="O635" i="4"/>
  <c r="P635" i="4"/>
  <c r="Q635" i="4"/>
  <c r="R635" i="4"/>
  <c r="B636" i="4"/>
  <c r="C636" i="4"/>
  <c r="D636" i="4"/>
  <c r="E636" i="4"/>
  <c r="F636" i="4"/>
  <c r="G636" i="4"/>
  <c r="H636" i="4"/>
  <c r="I636" i="4"/>
  <c r="J636" i="4"/>
  <c r="K636" i="4"/>
  <c r="L636" i="4"/>
  <c r="M636" i="4"/>
  <c r="N636" i="4"/>
  <c r="O636" i="4"/>
  <c r="P636" i="4"/>
  <c r="Q636" i="4"/>
  <c r="R636" i="4"/>
  <c r="B637" i="4"/>
  <c r="C637" i="4"/>
  <c r="D637" i="4"/>
  <c r="E637" i="4"/>
  <c r="F637" i="4"/>
  <c r="G637" i="4"/>
  <c r="H637" i="4"/>
  <c r="I637" i="4"/>
  <c r="J637" i="4"/>
  <c r="K637" i="4"/>
  <c r="L637" i="4"/>
  <c r="M637" i="4"/>
  <c r="N637" i="4"/>
  <c r="O637" i="4"/>
  <c r="P637" i="4"/>
  <c r="Q637" i="4"/>
  <c r="R637" i="4"/>
  <c r="B638" i="4"/>
  <c r="C638" i="4"/>
  <c r="D638" i="4"/>
  <c r="E638" i="4"/>
  <c r="F638" i="4"/>
  <c r="G638" i="4"/>
  <c r="H638" i="4"/>
  <c r="I638" i="4"/>
  <c r="J638" i="4"/>
  <c r="K638" i="4"/>
  <c r="L638" i="4"/>
  <c r="M638" i="4"/>
  <c r="N638" i="4"/>
  <c r="O638" i="4"/>
  <c r="P638" i="4"/>
  <c r="Q638" i="4"/>
  <c r="R638" i="4"/>
  <c r="B639" i="4"/>
  <c r="C639" i="4"/>
  <c r="D639" i="4"/>
  <c r="E639" i="4"/>
  <c r="F639" i="4"/>
  <c r="G639" i="4"/>
  <c r="H639" i="4"/>
  <c r="I639" i="4"/>
  <c r="J639" i="4"/>
  <c r="K639" i="4"/>
  <c r="L639" i="4"/>
  <c r="M639" i="4"/>
  <c r="N639" i="4"/>
  <c r="O639" i="4"/>
  <c r="P639" i="4"/>
  <c r="Q639" i="4"/>
  <c r="R639" i="4"/>
  <c r="B640" i="4"/>
  <c r="C640" i="4"/>
  <c r="D640" i="4"/>
  <c r="E640" i="4"/>
  <c r="F640" i="4"/>
  <c r="G640" i="4"/>
  <c r="H640" i="4"/>
  <c r="I640" i="4"/>
  <c r="J640" i="4"/>
  <c r="K640" i="4"/>
  <c r="L640" i="4"/>
  <c r="M640" i="4"/>
  <c r="N640" i="4"/>
  <c r="O640" i="4"/>
  <c r="P640" i="4"/>
  <c r="Q640" i="4"/>
  <c r="R640" i="4"/>
  <c r="B641" i="4"/>
  <c r="C641" i="4"/>
  <c r="D641" i="4"/>
  <c r="E641" i="4"/>
  <c r="F641" i="4"/>
  <c r="G641" i="4"/>
  <c r="H641" i="4"/>
  <c r="I641" i="4"/>
  <c r="J641" i="4"/>
  <c r="K641" i="4"/>
  <c r="L641" i="4"/>
  <c r="M641" i="4"/>
  <c r="N641" i="4"/>
  <c r="O641" i="4"/>
  <c r="P641" i="4"/>
  <c r="Q641" i="4"/>
  <c r="R641" i="4"/>
  <c r="B642" i="4"/>
  <c r="C642" i="4"/>
  <c r="D642" i="4"/>
  <c r="E642" i="4"/>
  <c r="F642" i="4"/>
  <c r="G642" i="4"/>
  <c r="H642" i="4"/>
  <c r="I642" i="4"/>
  <c r="J642" i="4"/>
  <c r="K642" i="4"/>
  <c r="L642" i="4"/>
  <c r="M642" i="4"/>
  <c r="N642" i="4"/>
  <c r="O642" i="4"/>
  <c r="P642" i="4"/>
  <c r="Q642" i="4"/>
  <c r="R642" i="4"/>
  <c r="B643" i="4"/>
  <c r="C643" i="4"/>
  <c r="D643" i="4"/>
  <c r="E643" i="4"/>
  <c r="F643" i="4"/>
  <c r="G643" i="4"/>
  <c r="H643" i="4"/>
  <c r="I643" i="4"/>
  <c r="J643" i="4"/>
  <c r="K643" i="4"/>
  <c r="L643" i="4"/>
  <c r="M643" i="4"/>
  <c r="N643" i="4"/>
  <c r="O643" i="4"/>
  <c r="P643" i="4"/>
  <c r="Q643" i="4"/>
  <c r="R643" i="4"/>
  <c r="B644" i="4"/>
  <c r="C644" i="4"/>
  <c r="D644" i="4"/>
  <c r="E644" i="4"/>
  <c r="F644" i="4"/>
  <c r="G644" i="4"/>
  <c r="H644" i="4"/>
  <c r="I644" i="4"/>
  <c r="J644" i="4"/>
  <c r="K644" i="4"/>
  <c r="L644" i="4"/>
  <c r="M644" i="4"/>
  <c r="N644" i="4"/>
  <c r="O644" i="4"/>
  <c r="P644" i="4"/>
  <c r="Q644" i="4"/>
  <c r="R644" i="4"/>
  <c r="B645" i="4"/>
  <c r="C645" i="4"/>
  <c r="D645" i="4"/>
  <c r="E645" i="4"/>
  <c r="F645" i="4"/>
  <c r="G645" i="4"/>
  <c r="H645" i="4"/>
  <c r="I645" i="4"/>
  <c r="J645" i="4"/>
  <c r="K645" i="4"/>
  <c r="L645" i="4"/>
  <c r="M645" i="4"/>
  <c r="N645" i="4"/>
  <c r="O645" i="4"/>
  <c r="P645" i="4"/>
  <c r="Q645" i="4"/>
  <c r="R645" i="4"/>
  <c r="B646" i="4"/>
  <c r="C646" i="4"/>
  <c r="D646" i="4"/>
  <c r="E646" i="4"/>
  <c r="F646" i="4"/>
  <c r="G646" i="4"/>
  <c r="H646" i="4"/>
  <c r="I646" i="4"/>
  <c r="J646" i="4"/>
  <c r="K646" i="4"/>
  <c r="L646" i="4"/>
  <c r="M646" i="4"/>
  <c r="N646" i="4"/>
  <c r="O646" i="4"/>
  <c r="P646" i="4"/>
  <c r="Q646" i="4"/>
  <c r="R646" i="4"/>
  <c r="B647" i="4"/>
  <c r="C647" i="4"/>
  <c r="D647" i="4"/>
  <c r="E647" i="4"/>
  <c r="F647" i="4"/>
  <c r="G647" i="4"/>
  <c r="H647" i="4"/>
  <c r="I647" i="4"/>
  <c r="J647" i="4"/>
  <c r="K647" i="4"/>
  <c r="L647" i="4"/>
  <c r="M647" i="4"/>
  <c r="N647" i="4"/>
  <c r="O647" i="4"/>
  <c r="P647" i="4"/>
  <c r="Q647" i="4"/>
  <c r="R647" i="4"/>
  <c r="B648" i="4"/>
  <c r="C648" i="4"/>
  <c r="D648" i="4"/>
  <c r="E648" i="4"/>
  <c r="F648" i="4"/>
  <c r="G648" i="4"/>
  <c r="H648" i="4"/>
  <c r="I648" i="4"/>
  <c r="J648" i="4"/>
  <c r="K648" i="4"/>
  <c r="L648" i="4"/>
  <c r="M648" i="4"/>
  <c r="N648" i="4"/>
  <c r="O648" i="4"/>
  <c r="P648" i="4"/>
  <c r="Q648" i="4"/>
  <c r="R648" i="4"/>
  <c r="B649" i="4"/>
  <c r="C649" i="4"/>
  <c r="D649" i="4"/>
  <c r="E649" i="4"/>
  <c r="F649" i="4"/>
  <c r="G649" i="4"/>
  <c r="H649" i="4"/>
  <c r="I649" i="4"/>
  <c r="J649" i="4"/>
  <c r="K649" i="4"/>
  <c r="L649" i="4"/>
  <c r="M649" i="4"/>
  <c r="N649" i="4"/>
  <c r="O649" i="4"/>
  <c r="P649" i="4"/>
  <c r="Q649" i="4"/>
  <c r="R649" i="4"/>
  <c r="B650" i="4"/>
  <c r="C650" i="4"/>
  <c r="D650" i="4"/>
  <c r="E650" i="4"/>
  <c r="F650" i="4"/>
  <c r="G650" i="4"/>
  <c r="H650" i="4"/>
  <c r="I650" i="4"/>
  <c r="J650" i="4"/>
  <c r="K650" i="4"/>
  <c r="L650" i="4"/>
  <c r="M650" i="4"/>
  <c r="N650" i="4"/>
  <c r="O650" i="4"/>
  <c r="P650" i="4"/>
  <c r="Q650" i="4"/>
  <c r="R650" i="4"/>
  <c r="B651" i="4"/>
  <c r="C651" i="4"/>
  <c r="D651" i="4"/>
  <c r="E651" i="4"/>
  <c r="F651" i="4"/>
  <c r="G651" i="4"/>
  <c r="H651" i="4"/>
  <c r="I651" i="4"/>
  <c r="J651" i="4"/>
  <c r="K651" i="4"/>
  <c r="L651" i="4"/>
  <c r="M651" i="4"/>
  <c r="N651" i="4"/>
  <c r="O651" i="4"/>
  <c r="P651" i="4"/>
  <c r="Q651" i="4"/>
  <c r="R651" i="4"/>
  <c r="B652" i="4"/>
  <c r="C652" i="4"/>
  <c r="D652" i="4"/>
  <c r="E652" i="4"/>
  <c r="F652" i="4"/>
  <c r="G652" i="4"/>
  <c r="H652" i="4"/>
  <c r="I652" i="4"/>
  <c r="J652" i="4"/>
  <c r="K652" i="4"/>
  <c r="L652" i="4"/>
  <c r="M652" i="4"/>
  <c r="N652" i="4"/>
  <c r="O652" i="4"/>
  <c r="P652" i="4"/>
  <c r="Q652" i="4"/>
  <c r="R652" i="4"/>
  <c r="B653" i="4"/>
  <c r="C653" i="4"/>
  <c r="D653" i="4"/>
  <c r="E653" i="4"/>
  <c r="F653" i="4"/>
  <c r="G653" i="4"/>
  <c r="H653" i="4"/>
  <c r="I653" i="4"/>
  <c r="J653" i="4"/>
  <c r="K653" i="4"/>
  <c r="L653" i="4"/>
  <c r="M653" i="4"/>
  <c r="N653" i="4"/>
  <c r="O653" i="4"/>
  <c r="P653" i="4"/>
  <c r="Q653" i="4"/>
  <c r="R653" i="4"/>
  <c r="B654" i="4"/>
  <c r="C654" i="4"/>
  <c r="D654" i="4"/>
  <c r="E654" i="4"/>
  <c r="F654" i="4"/>
  <c r="G654" i="4"/>
  <c r="H654" i="4"/>
  <c r="I654" i="4"/>
  <c r="J654" i="4"/>
  <c r="K654" i="4"/>
  <c r="L654" i="4"/>
  <c r="M654" i="4"/>
  <c r="N654" i="4"/>
  <c r="O654" i="4"/>
  <c r="P654" i="4"/>
  <c r="Q654" i="4"/>
  <c r="R654" i="4"/>
  <c r="B655" i="4"/>
  <c r="C655" i="4"/>
  <c r="D655" i="4"/>
  <c r="E655" i="4"/>
  <c r="F655" i="4"/>
  <c r="G655" i="4"/>
  <c r="H655" i="4"/>
  <c r="I655" i="4"/>
  <c r="J655" i="4"/>
  <c r="K655" i="4"/>
  <c r="L655" i="4"/>
  <c r="M655" i="4"/>
  <c r="N655" i="4"/>
  <c r="O655" i="4"/>
  <c r="P655" i="4"/>
  <c r="Q655" i="4"/>
  <c r="R655" i="4"/>
  <c r="B656" i="4"/>
  <c r="C656" i="4"/>
  <c r="D656" i="4"/>
  <c r="E656" i="4"/>
  <c r="F656" i="4"/>
  <c r="G656" i="4"/>
  <c r="H656" i="4"/>
  <c r="I656" i="4"/>
  <c r="J656" i="4"/>
  <c r="K656" i="4"/>
  <c r="L656" i="4"/>
  <c r="M656" i="4"/>
  <c r="N656" i="4"/>
  <c r="O656" i="4"/>
  <c r="P656" i="4"/>
  <c r="Q656" i="4"/>
  <c r="R656" i="4"/>
  <c r="B657" i="4"/>
  <c r="C657" i="4"/>
  <c r="D657" i="4"/>
  <c r="E657" i="4"/>
  <c r="F657" i="4"/>
  <c r="G657" i="4"/>
  <c r="H657" i="4"/>
  <c r="I657" i="4"/>
  <c r="J657" i="4"/>
  <c r="K657" i="4"/>
  <c r="L657" i="4"/>
  <c r="M657" i="4"/>
  <c r="N657" i="4"/>
  <c r="O657" i="4"/>
  <c r="P657" i="4"/>
  <c r="Q657" i="4"/>
  <c r="R657" i="4"/>
  <c r="B658" i="4"/>
  <c r="C658" i="4"/>
  <c r="D658" i="4"/>
  <c r="E658" i="4"/>
  <c r="F658" i="4"/>
  <c r="G658" i="4"/>
  <c r="H658" i="4"/>
  <c r="I658" i="4"/>
  <c r="J658" i="4"/>
  <c r="K658" i="4"/>
  <c r="L658" i="4"/>
  <c r="M658" i="4"/>
  <c r="N658" i="4"/>
  <c r="O658" i="4"/>
  <c r="P658" i="4"/>
  <c r="Q658" i="4"/>
  <c r="R658" i="4"/>
  <c r="B659" i="4"/>
  <c r="C659" i="4"/>
  <c r="D659" i="4"/>
  <c r="E659" i="4"/>
  <c r="F659" i="4"/>
  <c r="G659" i="4"/>
  <c r="H659" i="4"/>
  <c r="I659" i="4"/>
  <c r="J659" i="4"/>
  <c r="K659" i="4"/>
  <c r="L659" i="4"/>
  <c r="M659" i="4"/>
  <c r="N659" i="4"/>
  <c r="O659" i="4"/>
  <c r="P659" i="4"/>
  <c r="Q659" i="4"/>
  <c r="R659" i="4"/>
  <c r="B660" i="4"/>
  <c r="C660" i="4"/>
  <c r="D660" i="4"/>
  <c r="E660" i="4"/>
  <c r="F660" i="4"/>
  <c r="G660" i="4"/>
  <c r="H660" i="4"/>
  <c r="I660" i="4"/>
  <c r="J660" i="4"/>
  <c r="K660" i="4"/>
  <c r="L660" i="4"/>
  <c r="M660" i="4"/>
  <c r="N660" i="4"/>
  <c r="O660" i="4"/>
  <c r="P660" i="4"/>
  <c r="Q660" i="4"/>
  <c r="R660" i="4"/>
  <c r="B661" i="4"/>
  <c r="C661" i="4"/>
  <c r="D661" i="4"/>
  <c r="E661" i="4"/>
  <c r="F661" i="4"/>
  <c r="G661" i="4"/>
  <c r="H661" i="4"/>
  <c r="I661" i="4"/>
  <c r="J661" i="4"/>
  <c r="K661" i="4"/>
  <c r="L661" i="4"/>
  <c r="M661" i="4"/>
  <c r="N661" i="4"/>
  <c r="O661" i="4"/>
  <c r="P661" i="4"/>
  <c r="Q661" i="4"/>
  <c r="R661" i="4"/>
  <c r="B662" i="4"/>
  <c r="C662" i="4"/>
  <c r="D662" i="4"/>
  <c r="E662" i="4"/>
  <c r="F662" i="4"/>
  <c r="G662" i="4"/>
  <c r="H662" i="4"/>
  <c r="I662" i="4"/>
  <c r="J662" i="4"/>
  <c r="K662" i="4"/>
  <c r="L662" i="4"/>
  <c r="M662" i="4"/>
  <c r="N662" i="4"/>
  <c r="O662" i="4"/>
  <c r="P662" i="4"/>
  <c r="Q662" i="4"/>
  <c r="R662" i="4"/>
  <c r="B663" i="4"/>
  <c r="C663" i="4"/>
  <c r="D663" i="4"/>
  <c r="E663" i="4"/>
  <c r="F663" i="4"/>
  <c r="G663" i="4"/>
  <c r="H663" i="4"/>
  <c r="I663" i="4"/>
  <c r="J663" i="4"/>
  <c r="K663" i="4"/>
  <c r="L663" i="4"/>
  <c r="M663" i="4"/>
  <c r="N663" i="4"/>
  <c r="O663" i="4"/>
  <c r="P663" i="4"/>
  <c r="Q663" i="4"/>
  <c r="R663" i="4"/>
  <c r="B664" i="4"/>
  <c r="C664" i="4"/>
  <c r="D664" i="4"/>
  <c r="E664" i="4"/>
  <c r="F664" i="4"/>
  <c r="G664" i="4"/>
  <c r="H664" i="4"/>
  <c r="I664" i="4"/>
  <c r="J664" i="4"/>
  <c r="K664" i="4"/>
  <c r="L664" i="4"/>
  <c r="M664" i="4"/>
  <c r="N664" i="4"/>
  <c r="O664" i="4"/>
  <c r="P664" i="4"/>
  <c r="Q664" i="4"/>
  <c r="R664" i="4"/>
  <c r="B665" i="4"/>
  <c r="C665" i="4"/>
  <c r="D665" i="4"/>
  <c r="E665" i="4"/>
  <c r="F665" i="4"/>
  <c r="G665" i="4"/>
  <c r="H665" i="4"/>
  <c r="I665" i="4"/>
  <c r="J665" i="4"/>
  <c r="K665" i="4"/>
  <c r="L665" i="4"/>
  <c r="M665" i="4"/>
  <c r="N665" i="4"/>
  <c r="O665" i="4"/>
  <c r="P665" i="4"/>
  <c r="Q665" i="4"/>
  <c r="R665" i="4"/>
  <c r="B666" i="4"/>
  <c r="C666" i="4"/>
  <c r="D666" i="4"/>
  <c r="E666" i="4"/>
  <c r="F666" i="4"/>
  <c r="G666" i="4"/>
  <c r="H666" i="4"/>
  <c r="I666" i="4"/>
  <c r="J666" i="4"/>
  <c r="K666" i="4"/>
  <c r="L666" i="4"/>
  <c r="M666" i="4"/>
  <c r="N666" i="4"/>
  <c r="O666" i="4"/>
  <c r="P666" i="4"/>
  <c r="Q666" i="4"/>
  <c r="R666" i="4"/>
  <c r="B667" i="4"/>
  <c r="C667" i="4"/>
  <c r="D667" i="4"/>
  <c r="E667" i="4"/>
  <c r="F667" i="4"/>
  <c r="G667" i="4"/>
  <c r="H667" i="4"/>
  <c r="I667" i="4"/>
  <c r="J667" i="4"/>
  <c r="K667" i="4"/>
  <c r="L667" i="4"/>
  <c r="M667" i="4"/>
  <c r="N667" i="4"/>
  <c r="O667" i="4"/>
  <c r="P667" i="4"/>
  <c r="Q667" i="4"/>
  <c r="R667" i="4"/>
  <c r="B668" i="4"/>
  <c r="C668" i="4"/>
  <c r="D668" i="4"/>
  <c r="E668" i="4"/>
  <c r="F668" i="4"/>
  <c r="G668" i="4"/>
  <c r="H668" i="4"/>
  <c r="I668" i="4"/>
  <c r="J668" i="4"/>
  <c r="K668" i="4"/>
  <c r="L668" i="4"/>
  <c r="M668" i="4"/>
  <c r="N668" i="4"/>
  <c r="O668" i="4"/>
  <c r="P668" i="4"/>
  <c r="Q668" i="4"/>
  <c r="R668" i="4"/>
  <c r="B669" i="4"/>
  <c r="C669" i="4"/>
  <c r="D669" i="4"/>
  <c r="E669" i="4"/>
  <c r="F669" i="4"/>
  <c r="G669" i="4"/>
  <c r="H669" i="4"/>
  <c r="I669" i="4"/>
  <c r="J669" i="4"/>
  <c r="K669" i="4"/>
  <c r="L669" i="4"/>
  <c r="M669" i="4"/>
  <c r="N669" i="4"/>
  <c r="O669" i="4"/>
  <c r="P669" i="4"/>
  <c r="Q669" i="4"/>
  <c r="R669" i="4"/>
  <c r="B670" i="4"/>
  <c r="C670" i="4"/>
  <c r="D670" i="4"/>
  <c r="E670" i="4"/>
  <c r="F670" i="4"/>
  <c r="G670" i="4"/>
  <c r="H670" i="4"/>
  <c r="I670" i="4"/>
  <c r="J670" i="4"/>
  <c r="K670" i="4"/>
  <c r="L670" i="4"/>
  <c r="M670" i="4"/>
  <c r="N670" i="4"/>
  <c r="O670" i="4"/>
  <c r="P670" i="4"/>
  <c r="Q670" i="4"/>
  <c r="R670" i="4"/>
  <c r="B671" i="4"/>
  <c r="C671" i="4"/>
  <c r="D671" i="4"/>
  <c r="E671" i="4"/>
  <c r="F671" i="4"/>
  <c r="G671" i="4"/>
  <c r="H671" i="4"/>
  <c r="I671" i="4"/>
  <c r="J671" i="4"/>
  <c r="K671" i="4"/>
  <c r="L671" i="4"/>
  <c r="M671" i="4"/>
  <c r="N671" i="4"/>
  <c r="O671" i="4"/>
  <c r="P671" i="4"/>
  <c r="Q671" i="4"/>
  <c r="R671" i="4"/>
  <c r="B672" i="4"/>
  <c r="C672" i="4"/>
  <c r="D672" i="4"/>
  <c r="E672" i="4"/>
  <c r="F672" i="4"/>
  <c r="G672" i="4"/>
  <c r="H672" i="4"/>
  <c r="I672" i="4"/>
  <c r="J672" i="4"/>
  <c r="K672" i="4"/>
  <c r="L672" i="4"/>
  <c r="M672" i="4"/>
  <c r="N672" i="4"/>
  <c r="O672" i="4"/>
  <c r="P672" i="4"/>
  <c r="Q672" i="4"/>
  <c r="R672" i="4"/>
  <c r="B673" i="4"/>
  <c r="C673" i="4"/>
  <c r="D673" i="4"/>
  <c r="E673" i="4"/>
  <c r="F673" i="4"/>
  <c r="G673" i="4"/>
  <c r="H673" i="4"/>
  <c r="I673" i="4"/>
  <c r="J673" i="4"/>
  <c r="K673" i="4"/>
  <c r="L673" i="4"/>
  <c r="M673" i="4"/>
  <c r="N673" i="4"/>
  <c r="O673" i="4"/>
  <c r="P673" i="4"/>
  <c r="Q673" i="4"/>
  <c r="R673" i="4"/>
  <c r="B674" i="4"/>
  <c r="C674" i="4"/>
  <c r="D674" i="4"/>
  <c r="E674" i="4"/>
  <c r="F674" i="4"/>
  <c r="G674" i="4"/>
  <c r="H674" i="4"/>
  <c r="I674" i="4"/>
  <c r="J674" i="4"/>
  <c r="K674" i="4"/>
  <c r="L674" i="4"/>
  <c r="M674" i="4"/>
  <c r="N674" i="4"/>
  <c r="O674" i="4"/>
  <c r="P674" i="4"/>
  <c r="Q674" i="4"/>
  <c r="R674" i="4"/>
  <c r="B675" i="4"/>
  <c r="C675" i="4"/>
  <c r="D675" i="4"/>
  <c r="E675" i="4"/>
  <c r="F675" i="4"/>
  <c r="G675" i="4"/>
  <c r="H675" i="4"/>
  <c r="I675" i="4"/>
  <c r="J675" i="4"/>
  <c r="K675" i="4"/>
  <c r="L675" i="4"/>
  <c r="M675" i="4"/>
  <c r="N675" i="4"/>
  <c r="O675" i="4"/>
  <c r="P675" i="4"/>
  <c r="Q675" i="4"/>
  <c r="R675" i="4"/>
  <c r="B676" i="4"/>
  <c r="C676" i="4"/>
  <c r="D676" i="4"/>
  <c r="E676" i="4"/>
  <c r="F676" i="4"/>
  <c r="G676" i="4"/>
  <c r="H676" i="4"/>
  <c r="I676" i="4"/>
  <c r="J676" i="4"/>
  <c r="K676" i="4"/>
  <c r="L676" i="4"/>
  <c r="M676" i="4"/>
  <c r="N676" i="4"/>
  <c r="O676" i="4"/>
  <c r="P676" i="4"/>
  <c r="Q676" i="4"/>
  <c r="R676" i="4"/>
  <c r="B677" i="4"/>
  <c r="C677" i="4"/>
  <c r="D677" i="4"/>
  <c r="E677" i="4"/>
  <c r="F677" i="4"/>
  <c r="G677" i="4"/>
  <c r="H677" i="4"/>
  <c r="I677" i="4"/>
  <c r="J677" i="4"/>
  <c r="K677" i="4"/>
  <c r="L677" i="4"/>
  <c r="M677" i="4"/>
  <c r="N677" i="4"/>
  <c r="O677" i="4"/>
  <c r="P677" i="4"/>
  <c r="Q677" i="4"/>
  <c r="R677" i="4"/>
  <c r="B678" i="4"/>
  <c r="C678" i="4"/>
  <c r="D678" i="4"/>
  <c r="E678" i="4"/>
  <c r="F678" i="4"/>
  <c r="G678" i="4"/>
  <c r="H678" i="4"/>
  <c r="I678" i="4"/>
  <c r="J678" i="4"/>
  <c r="K678" i="4"/>
  <c r="L678" i="4"/>
  <c r="M678" i="4"/>
  <c r="N678" i="4"/>
  <c r="O678" i="4"/>
  <c r="P678" i="4"/>
  <c r="Q678" i="4"/>
  <c r="R678" i="4"/>
  <c r="B679" i="4"/>
  <c r="C679" i="4"/>
  <c r="D679" i="4"/>
  <c r="E679" i="4"/>
  <c r="F679" i="4"/>
  <c r="G679" i="4"/>
  <c r="H679" i="4"/>
  <c r="I679" i="4"/>
  <c r="J679" i="4"/>
  <c r="K679" i="4"/>
  <c r="L679" i="4"/>
  <c r="M679" i="4"/>
  <c r="N679" i="4"/>
  <c r="O679" i="4"/>
  <c r="P679" i="4"/>
  <c r="Q679" i="4"/>
  <c r="R679" i="4"/>
  <c r="B680" i="4"/>
  <c r="C680" i="4"/>
  <c r="D680" i="4"/>
  <c r="E680" i="4"/>
  <c r="F680" i="4"/>
  <c r="G680" i="4"/>
  <c r="H680" i="4"/>
  <c r="I680" i="4"/>
  <c r="J680" i="4"/>
  <c r="K680" i="4"/>
  <c r="L680" i="4"/>
  <c r="M680" i="4"/>
  <c r="N680" i="4"/>
  <c r="O680" i="4"/>
  <c r="P680" i="4"/>
  <c r="Q680" i="4"/>
  <c r="R680" i="4"/>
  <c r="B681" i="4"/>
  <c r="C681" i="4"/>
  <c r="D681" i="4"/>
  <c r="E681" i="4"/>
  <c r="F681" i="4"/>
  <c r="G681" i="4"/>
  <c r="H681" i="4"/>
  <c r="I681" i="4"/>
  <c r="J681" i="4"/>
  <c r="K681" i="4"/>
  <c r="L681" i="4"/>
  <c r="M681" i="4"/>
  <c r="N681" i="4"/>
  <c r="O681" i="4"/>
  <c r="P681" i="4"/>
  <c r="Q681" i="4"/>
  <c r="R681" i="4"/>
  <c r="B682" i="4"/>
  <c r="C682" i="4"/>
  <c r="D682" i="4"/>
  <c r="E682" i="4"/>
  <c r="F682" i="4"/>
  <c r="G682" i="4"/>
  <c r="H682" i="4"/>
  <c r="I682" i="4"/>
  <c r="J682" i="4"/>
  <c r="K682" i="4"/>
  <c r="L682" i="4"/>
  <c r="M682" i="4"/>
  <c r="N682" i="4"/>
  <c r="O682" i="4"/>
  <c r="P682" i="4"/>
  <c r="Q682" i="4"/>
  <c r="R682" i="4"/>
  <c r="B683" i="4"/>
  <c r="C683" i="4"/>
  <c r="D683" i="4"/>
  <c r="E683" i="4"/>
  <c r="F683" i="4"/>
  <c r="G683" i="4"/>
  <c r="H683" i="4"/>
  <c r="I683" i="4"/>
  <c r="J683" i="4"/>
  <c r="K683" i="4"/>
  <c r="L683" i="4"/>
  <c r="M683" i="4"/>
  <c r="N683" i="4"/>
  <c r="O683" i="4"/>
  <c r="P683" i="4"/>
  <c r="Q683" i="4"/>
  <c r="R683" i="4"/>
  <c r="B684" i="4"/>
  <c r="C684" i="4"/>
  <c r="D684" i="4"/>
  <c r="E684" i="4"/>
  <c r="F684" i="4"/>
  <c r="G684" i="4"/>
  <c r="H684" i="4"/>
  <c r="I684" i="4"/>
  <c r="J684" i="4"/>
  <c r="K684" i="4"/>
  <c r="L684" i="4"/>
  <c r="M684" i="4"/>
  <c r="N684" i="4"/>
  <c r="O684" i="4"/>
  <c r="P684" i="4"/>
  <c r="Q684" i="4"/>
  <c r="R684" i="4"/>
  <c r="B685" i="4"/>
  <c r="C685" i="4"/>
  <c r="D685" i="4"/>
  <c r="E685" i="4"/>
  <c r="F685" i="4"/>
  <c r="G685" i="4"/>
  <c r="H685" i="4"/>
  <c r="I685" i="4"/>
  <c r="J685" i="4"/>
  <c r="K685" i="4"/>
  <c r="L685" i="4"/>
  <c r="M685" i="4"/>
  <c r="N685" i="4"/>
  <c r="O685" i="4"/>
  <c r="P685" i="4"/>
  <c r="Q685" i="4"/>
  <c r="R685" i="4"/>
  <c r="B686" i="4"/>
  <c r="C686" i="4"/>
  <c r="D686" i="4"/>
  <c r="E686" i="4"/>
  <c r="F686" i="4"/>
  <c r="G686" i="4"/>
  <c r="H686" i="4"/>
  <c r="I686" i="4"/>
  <c r="J686" i="4"/>
  <c r="K686" i="4"/>
  <c r="L686" i="4"/>
  <c r="M686" i="4"/>
  <c r="N686" i="4"/>
  <c r="O686" i="4"/>
  <c r="P686" i="4"/>
  <c r="Q686" i="4"/>
  <c r="R686" i="4"/>
  <c r="B687" i="4"/>
  <c r="C687" i="4"/>
  <c r="D687" i="4"/>
  <c r="E687" i="4"/>
  <c r="F687" i="4"/>
  <c r="G687" i="4"/>
  <c r="H687" i="4"/>
  <c r="I687" i="4"/>
  <c r="J687" i="4"/>
  <c r="K687" i="4"/>
  <c r="L687" i="4"/>
  <c r="M687" i="4"/>
  <c r="N687" i="4"/>
  <c r="O687" i="4"/>
  <c r="P687" i="4"/>
  <c r="Q687" i="4"/>
  <c r="R687" i="4"/>
  <c r="B688" i="4"/>
  <c r="C688" i="4"/>
  <c r="D688" i="4"/>
  <c r="E688" i="4"/>
  <c r="F688" i="4"/>
  <c r="G688" i="4"/>
  <c r="H688" i="4"/>
  <c r="I688" i="4"/>
  <c r="J688" i="4"/>
  <c r="K688" i="4"/>
  <c r="L688" i="4"/>
  <c r="M688" i="4"/>
  <c r="N688" i="4"/>
  <c r="O688" i="4"/>
  <c r="P688" i="4"/>
  <c r="Q688" i="4"/>
  <c r="R688" i="4"/>
  <c r="B689" i="4"/>
  <c r="C689" i="4"/>
  <c r="D689" i="4"/>
  <c r="E689" i="4"/>
  <c r="F689" i="4"/>
  <c r="G689" i="4"/>
  <c r="H689" i="4"/>
  <c r="I689" i="4"/>
  <c r="J689" i="4"/>
  <c r="K689" i="4"/>
  <c r="L689" i="4"/>
  <c r="M689" i="4"/>
  <c r="N689" i="4"/>
  <c r="O689" i="4"/>
  <c r="P689" i="4"/>
  <c r="Q689" i="4"/>
  <c r="R689" i="4"/>
  <c r="B690" i="4"/>
  <c r="C690" i="4"/>
  <c r="D690" i="4"/>
  <c r="E690" i="4"/>
  <c r="F690" i="4"/>
  <c r="G690" i="4"/>
  <c r="H690" i="4"/>
  <c r="I690" i="4"/>
  <c r="J690" i="4"/>
  <c r="K690" i="4"/>
  <c r="L690" i="4"/>
  <c r="M690" i="4"/>
  <c r="N690" i="4"/>
  <c r="O690" i="4"/>
  <c r="P690" i="4"/>
  <c r="Q690" i="4"/>
  <c r="R690" i="4"/>
  <c r="B691" i="4"/>
  <c r="C691" i="4"/>
  <c r="D691" i="4"/>
  <c r="E691" i="4"/>
  <c r="F691" i="4"/>
  <c r="G691" i="4"/>
  <c r="H691" i="4"/>
  <c r="I691" i="4"/>
  <c r="J691" i="4"/>
  <c r="K691" i="4"/>
  <c r="L691" i="4"/>
  <c r="M691" i="4"/>
  <c r="N691" i="4"/>
  <c r="O691" i="4"/>
  <c r="P691" i="4"/>
  <c r="Q691" i="4"/>
  <c r="R691" i="4"/>
  <c r="B692" i="4"/>
  <c r="C692" i="4"/>
  <c r="D692" i="4"/>
  <c r="E692" i="4"/>
  <c r="F692" i="4"/>
  <c r="G692" i="4"/>
  <c r="H692" i="4"/>
  <c r="I692" i="4"/>
  <c r="J692" i="4"/>
  <c r="K692" i="4"/>
  <c r="L692" i="4"/>
  <c r="M692" i="4"/>
  <c r="N692" i="4"/>
  <c r="O692" i="4"/>
  <c r="P692" i="4"/>
  <c r="Q692" i="4"/>
  <c r="R692" i="4"/>
  <c r="B693" i="4"/>
  <c r="C693" i="4"/>
  <c r="D693" i="4"/>
  <c r="E693" i="4"/>
  <c r="F693" i="4"/>
  <c r="G693" i="4"/>
  <c r="H693" i="4"/>
  <c r="I693" i="4"/>
  <c r="J693" i="4"/>
  <c r="K693" i="4"/>
  <c r="L693" i="4"/>
  <c r="M693" i="4"/>
  <c r="N693" i="4"/>
  <c r="O693" i="4"/>
  <c r="P693" i="4"/>
  <c r="Q693" i="4"/>
  <c r="R693" i="4"/>
  <c r="B694" i="4"/>
  <c r="C694" i="4"/>
  <c r="D694" i="4"/>
  <c r="E694" i="4"/>
  <c r="F694" i="4"/>
  <c r="G694" i="4"/>
  <c r="H694" i="4"/>
  <c r="I694" i="4"/>
  <c r="J694" i="4"/>
  <c r="K694" i="4"/>
  <c r="L694" i="4"/>
  <c r="M694" i="4"/>
  <c r="N694" i="4"/>
  <c r="O694" i="4"/>
  <c r="P694" i="4"/>
  <c r="Q694" i="4"/>
  <c r="R694" i="4"/>
  <c r="B695" i="4"/>
  <c r="C695" i="4"/>
  <c r="D695" i="4"/>
  <c r="E695" i="4"/>
  <c r="F695" i="4"/>
  <c r="G695" i="4"/>
  <c r="H695" i="4"/>
  <c r="I695" i="4"/>
  <c r="J695" i="4"/>
  <c r="K695" i="4"/>
  <c r="L695" i="4"/>
  <c r="M695" i="4"/>
  <c r="N695" i="4"/>
  <c r="O695" i="4"/>
  <c r="P695" i="4"/>
  <c r="Q695" i="4"/>
  <c r="R695" i="4"/>
  <c r="B696" i="4"/>
  <c r="C696" i="4"/>
  <c r="D696" i="4"/>
  <c r="E696" i="4"/>
  <c r="F696" i="4"/>
  <c r="G696" i="4"/>
  <c r="H696" i="4"/>
  <c r="I696" i="4"/>
  <c r="J696" i="4"/>
  <c r="K696" i="4"/>
  <c r="L696" i="4"/>
  <c r="M696" i="4"/>
  <c r="N696" i="4"/>
  <c r="O696" i="4"/>
  <c r="P696" i="4"/>
  <c r="Q696" i="4"/>
  <c r="R696" i="4"/>
  <c r="B697" i="4"/>
  <c r="C697" i="4"/>
  <c r="D697" i="4"/>
  <c r="E697" i="4"/>
  <c r="F697" i="4"/>
  <c r="G697" i="4"/>
  <c r="H697" i="4"/>
  <c r="I697" i="4"/>
  <c r="J697" i="4"/>
  <c r="K697" i="4"/>
  <c r="L697" i="4"/>
  <c r="M697" i="4"/>
  <c r="N697" i="4"/>
  <c r="O697" i="4"/>
  <c r="P697" i="4"/>
  <c r="Q697" i="4"/>
  <c r="R697" i="4"/>
  <c r="B698" i="4"/>
  <c r="C698" i="4"/>
  <c r="D698" i="4"/>
  <c r="E698" i="4"/>
  <c r="F698" i="4"/>
  <c r="G698" i="4"/>
  <c r="H698" i="4"/>
  <c r="I698" i="4"/>
  <c r="J698" i="4"/>
  <c r="K698" i="4"/>
  <c r="L698" i="4"/>
  <c r="M698" i="4"/>
  <c r="N698" i="4"/>
  <c r="O698" i="4"/>
  <c r="P698" i="4"/>
  <c r="Q698" i="4"/>
  <c r="R698" i="4"/>
  <c r="B699" i="4"/>
  <c r="C699" i="4"/>
  <c r="D699" i="4"/>
  <c r="E699" i="4"/>
  <c r="F699" i="4"/>
  <c r="G699" i="4"/>
  <c r="H699" i="4"/>
  <c r="I699" i="4"/>
  <c r="J699" i="4"/>
  <c r="K699" i="4"/>
  <c r="L699" i="4"/>
  <c r="M699" i="4"/>
  <c r="N699" i="4"/>
  <c r="O699" i="4"/>
  <c r="P699" i="4"/>
  <c r="Q699" i="4"/>
  <c r="R699" i="4"/>
  <c r="B700" i="4"/>
  <c r="C700" i="4"/>
  <c r="D700" i="4"/>
  <c r="E700" i="4"/>
  <c r="F700" i="4"/>
  <c r="G700" i="4"/>
  <c r="H700" i="4"/>
  <c r="I700" i="4"/>
  <c r="J700" i="4"/>
  <c r="K700" i="4"/>
  <c r="L700" i="4"/>
  <c r="M700" i="4"/>
  <c r="N700" i="4"/>
  <c r="O700" i="4"/>
  <c r="P700" i="4"/>
  <c r="Q700" i="4"/>
  <c r="R700" i="4"/>
  <c r="B701" i="4"/>
  <c r="C701" i="4"/>
  <c r="D701" i="4"/>
  <c r="E701" i="4"/>
  <c r="F701" i="4"/>
  <c r="G701" i="4"/>
  <c r="H701" i="4"/>
  <c r="I701" i="4"/>
  <c r="J701" i="4"/>
  <c r="K701" i="4"/>
  <c r="L701" i="4"/>
  <c r="M701" i="4"/>
  <c r="N701" i="4"/>
  <c r="O701" i="4"/>
  <c r="P701" i="4"/>
  <c r="Q701" i="4"/>
  <c r="R701" i="4"/>
  <c r="B702" i="4"/>
  <c r="C702" i="4"/>
  <c r="D702" i="4"/>
  <c r="E702" i="4"/>
  <c r="F702" i="4"/>
  <c r="G702" i="4"/>
  <c r="H702" i="4"/>
  <c r="I702" i="4"/>
  <c r="J702" i="4"/>
  <c r="K702" i="4"/>
  <c r="L702" i="4"/>
  <c r="M702" i="4"/>
  <c r="N702" i="4"/>
  <c r="O702" i="4"/>
  <c r="P702" i="4"/>
  <c r="Q702" i="4"/>
  <c r="R702" i="4"/>
  <c r="B703" i="4"/>
  <c r="C703" i="4"/>
  <c r="D703" i="4"/>
  <c r="E703" i="4"/>
  <c r="F703" i="4"/>
  <c r="G703" i="4"/>
  <c r="H703" i="4"/>
  <c r="I703" i="4"/>
  <c r="J703" i="4"/>
  <c r="K703" i="4"/>
  <c r="L703" i="4"/>
  <c r="M703" i="4"/>
  <c r="N703" i="4"/>
  <c r="O703" i="4"/>
  <c r="P703" i="4"/>
  <c r="Q703" i="4"/>
  <c r="R703" i="4"/>
  <c r="B704" i="4"/>
  <c r="C704" i="4"/>
  <c r="D704" i="4"/>
  <c r="E704" i="4"/>
  <c r="F704" i="4"/>
  <c r="G704" i="4"/>
  <c r="H704" i="4"/>
  <c r="I704" i="4"/>
  <c r="J704" i="4"/>
  <c r="K704" i="4"/>
  <c r="L704" i="4"/>
  <c r="M704" i="4"/>
  <c r="N704" i="4"/>
  <c r="O704" i="4"/>
  <c r="P704" i="4"/>
  <c r="Q704" i="4"/>
  <c r="R704" i="4"/>
  <c r="B705" i="4"/>
  <c r="C705" i="4"/>
  <c r="D705" i="4"/>
  <c r="E705" i="4"/>
  <c r="F705" i="4"/>
  <c r="G705" i="4"/>
  <c r="H705" i="4"/>
  <c r="I705" i="4"/>
  <c r="J705" i="4"/>
  <c r="K705" i="4"/>
  <c r="L705" i="4"/>
  <c r="M705" i="4"/>
  <c r="N705" i="4"/>
  <c r="O705" i="4"/>
  <c r="P705" i="4"/>
  <c r="Q705" i="4"/>
  <c r="R705" i="4"/>
  <c r="B706" i="4"/>
  <c r="C706" i="4"/>
  <c r="D706" i="4"/>
  <c r="E706" i="4"/>
  <c r="F706" i="4"/>
  <c r="G706" i="4"/>
  <c r="H706" i="4"/>
  <c r="I706" i="4"/>
  <c r="J706" i="4"/>
  <c r="K706" i="4"/>
  <c r="L706" i="4"/>
  <c r="M706" i="4"/>
  <c r="N706" i="4"/>
  <c r="O706" i="4"/>
  <c r="P706" i="4"/>
  <c r="Q706" i="4"/>
  <c r="R706" i="4"/>
  <c r="B707" i="4"/>
  <c r="C707" i="4"/>
  <c r="D707" i="4"/>
  <c r="E707" i="4"/>
  <c r="F707" i="4"/>
  <c r="G707" i="4"/>
  <c r="H707" i="4"/>
  <c r="I707" i="4"/>
  <c r="J707" i="4"/>
  <c r="K707" i="4"/>
  <c r="L707" i="4"/>
  <c r="M707" i="4"/>
  <c r="N707" i="4"/>
  <c r="O707" i="4"/>
  <c r="P707" i="4"/>
  <c r="Q707" i="4"/>
  <c r="R707" i="4"/>
  <c r="B708" i="4"/>
  <c r="C708" i="4"/>
  <c r="D708" i="4"/>
  <c r="E708" i="4"/>
  <c r="F708" i="4"/>
  <c r="G708" i="4"/>
  <c r="H708" i="4"/>
  <c r="I708" i="4"/>
  <c r="J708" i="4"/>
  <c r="K708" i="4"/>
  <c r="L708" i="4"/>
  <c r="M708" i="4"/>
  <c r="N708" i="4"/>
  <c r="O708" i="4"/>
  <c r="P708" i="4"/>
  <c r="Q708" i="4"/>
  <c r="R708" i="4"/>
  <c r="B709" i="4"/>
  <c r="C709" i="4"/>
  <c r="D709" i="4"/>
  <c r="E709" i="4"/>
  <c r="F709" i="4"/>
  <c r="G709" i="4"/>
  <c r="H709" i="4"/>
  <c r="I709" i="4"/>
  <c r="J709" i="4"/>
  <c r="K709" i="4"/>
  <c r="L709" i="4"/>
  <c r="M709" i="4"/>
  <c r="N709" i="4"/>
  <c r="O709" i="4"/>
  <c r="P709" i="4"/>
  <c r="Q709" i="4"/>
  <c r="R709" i="4"/>
  <c r="B710" i="4"/>
  <c r="C710" i="4"/>
  <c r="D710" i="4"/>
  <c r="E710" i="4"/>
  <c r="F710" i="4"/>
  <c r="G710" i="4"/>
  <c r="H710" i="4"/>
  <c r="I710" i="4"/>
  <c r="J710" i="4"/>
  <c r="K710" i="4"/>
  <c r="L710" i="4"/>
  <c r="M710" i="4"/>
  <c r="N710" i="4"/>
  <c r="O710" i="4"/>
  <c r="P710" i="4"/>
  <c r="Q710" i="4"/>
  <c r="R710" i="4"/>
  <c r="B711" i="4"/>
  <c r="C711" i="4"/>
  <c r="D711" i="4"/>
  <c r="E711" i="4"/>
  <c r="F711" i="4"/>
  <c r="G711" i="4"/>
  <c r="H711" i="4"/>
  <c r="I711" i="4"/>
  <c r="J711" i="4"/>
  <c r="K711" i="4"/>
  <c r="L711" i="4"/>
  <c r="M711" i="4"/>
  <c r="N711" i="4"/>
  <c r="O711" i="4"/>
  <c r="P711" i="4"/>
  <c r="Q711" i="4"/>
  <c r="R711" i="4"/>
  <c r="B712" i="4"/>
  <c r="C712" i="4"/>
  <c r="D712" i="4"/>
  <c r="E712" i="4"/>
  <c r="F712" i="4"/>
  <c r="G712" i="4"/>
  <c r="H712" i="4"/>
  <c r="I712" i="4"/>
  <c r="J712" i="4"/>
  <c r="K712" i="4"/>
  <c r="L712" i="4"/>
  <c r="M712" i="4"/>
  <c r="N712" i="4"/>
  <c r="O712" i="4"/>
  <c r="P712" i="4"/>
  <c r="Q712" i="4"/>
  <c r="R712" i="4"/>
  <c r="B713" i="4"/>
  <c r="C713" i="4"/>
  <c r="D713" i="4"/>
  <c r="E713" i="4"/>
  <c r="F713" i="4"/>
  <c r="G713" i="4"/>
  <c r="H713" i="4"/>
  <c r="I713" i="4"/>
  <c r="J713" i="4"/>
  <c r="K713" i="4"/>
  <c r="L713" i="4"/>
  <c r="M713" i="4"/>
  <c r="N713" i="4"/>
  <c r="O713" i="4"/>
  <c r="P713" i="4"/>
  <c r="Q713" i="4"/>
  <c r="R713" i="4"/>
  <c r="B714" i="4"/>
  <c r="C714" i="4"/>
  <c r="D714" i="4"/>
  <c r="E714" i="4"/>
  <c r="F714" i="4"/>
  <c r="G714" i="4"/>
  <c r="H714" i="4"/>
  <c r="I714" i="4"/>
  <c r="J714" i="4"/>
  <c r="K714" i="4"/>
  <c r="L714" i="4"/>
  <c r="M714" i="4"/>
  <c r="N714" i="4"/>
  <c r="O714" i="4"/>
  <c r="P714" i="4"/>
  <c r="Q714" i="4"/>
  <c r="R714" i="4"/>
  <c r="B715" i="4"/>
  <c r="C715" i="4"/>
  <c r="D715" i="4"/>
  <c r="E715" i="4"/>
  <c r="F715" i="4"/>
  <c r="G715" i="4"/>
  <c r="H715" i="4"/>
  <c r="I715" i="4"/>
  <c r="J715" i="4"/>
  <c r="K715" i="4"/>
  <c r="L715" i="4"/>
  <c r="M715" i="4"/>
  <c r="N715" i="4"/>
  <c r="O715" i="4"/>
  <c r="P715" i="4"/>
  <c r="Q715" i="4"/>
  <c r="R715" i="4"/>
  <c r="B716" i="4"/>
  <c r="C716" i="4"/>
  <c r="D716" i="4"/>
  <c r="E716" i="4"/>
  <c r="F716" i="4"/>
  <c r="G716" i="4"/>
  <c r="H716" i="4"/>
  <c r="I716" i="4"/>
  <c r="J716" i="4"/>
  <c r="K716" i="4"/>
  <c r="L716" i="4"/>
  <c r="M716" i="4"/>
  <c r="N716" i="4"/>
  <c r="O716" i="4"/>
  <c r="P716" i="4"/>
  <c r="Q716" i="4"/>
  <c r="R716" i="4"/>
  <c r="B717" i="4"/>
  <c r="C717" i="4"/>
  <c r="D717" i="4"/>
  <c r="E717" i="4"/>
  <c r="F717" i="4"/>
  <c r="G717" i="4"/>
  <c r="H717" i="4"/>
  <c r="I717" i="4"/>
  <c r="J717" i="4"/>
  <c r="K717" i="4"/>
  <c r="L717" i="4"/>
  <c r="M717" i="4"/>
  <c r="N717" i="4"/>
  <c r="O717" i="4"/>
  <c r="P717" i="4"/>
  <c r="Q717" i="4"/>
  <c r="R717" i="4"/>
  <c r="B718" i="4"/>
  <c r="C718" i="4"/>
  <c r="D718" i="4"/>
  <c r="E718" i="4"/>
  <c r="F718" i="4"/>
  <c r="G718" i="4"/>
  <c r="H718" i="4"/>
  <c r="I718" i="4"/>
  <c r="J718" i="4"/>
  <c r="K718" i="4"/>
  <c r="L718" i="4"/>
  <c r="M718" i="4"/>
  <c r="N718" i="4"/>
  <c r="O718" i="4"/>
  <c r="P718" i="4"/>
  <c r="Q718" i="4"/>
  <c r="R718" i="4"/>
  <c r="B719" i="4"/>
  <c r="C719" i="4"/>
  <c r="D719" i="4"/>
  <c r="E719" i="4"/>
  <c r="F719" i="4"/>
  <c r="G719" i="4"/>
  <c r="H719" i="4"/>
  <c r="I719" i="4"/>
  <c r="J719" i="4"/>
  <c r="K719" i="4"/>
  <c r="L719" i="4"/>
  <c r="M719" i="4"/>
  <c r="N719" i="4"/>
  <c r="O719" i="4"/>
  <c r="P719" i="4"/>
  <c r="Q719" i="4"/>
  <c r="R719" i="4"/>
  <c r="B720" i="4"/>
  <c r="C720" i="4"/>
  <c r="D720" i="4"/>
  <c r="E720" i="4"/>
  <c r="F720" i="4"/>
  <c r="G720" i="4"/>
  <c r="H720" i="4"/>
  <c r="I720" i="4"/>
  <c r="J720" i="4"/>
  <c r="K720" i="4"/>
  <c r="L720" i="4"/>
  <c r="M720" i="4"/>
  <c r="N720" i="4"/>
  <c r="O720" i="4"/>
  <c r="P720" i="4"/>
  <c r="Q720" i="4"/>
  <c r="R720" i="4"/>
  <c r="B721" i="4"/>
  <c r="C721" i="4"/>
  <c r="D721" i="4"/>
  <c r="E721" i="4"/>
  <c r="F721" i="4"/>
  <c r="G721" i="4"/>
  <c r="H721" i="4"/>
  <c r="I721" i="4"/>
  <c r="J721" i="4"/>
  <c r="K721" i="4"/>
  <c r="L721" i="4"/>
  <c r="M721" i="4"/>
  <c r="N721" i="4"/>
  <c r="O721" i="4"/>
  <c r="P721" i="4"/>
  <c r="Q721" i="4"/>
  <c r="R721" i="4"/>
  <c r="B723" i="4"/>
  <c r="C723" i="4"/>
  <c r="D723" i="4"/>
  <c r="E723" i="4"/>
  <c r="F723" i="4"/>
  <c r="G723" i="4"/>
  <c r="H723" i="4"/>
  <c r="I723" i="4"/>
  <c r="J723" i="4"/>
  <c r="K723" i="4"/>
  <c r="L723" i="4"/>
  <c r="M723" i="4"/>
  <c r="N723" i="4"/>
  <c r="O723" i="4"/>
  <c r="P723" i="4"/>
  <c r="Q723" i="4"/>
  <c r="R723" i="4"/>
  <c r="B724" i="4"/>
  <c r="C724" i="4"/>
  <c r="D724" i="4"/>
  <c r="E724" i="4"/>
  <c r="F724" i="4"/>
  <c r="G724" i="4"/>
  <c r="H724" i="4"/>
  <c r="I724" i="4"/>
  <c r="J724" i="4"/>
  <c r="K724" i="4"/>
  <c r="L724" i="4"/>
  <c r="M724" i="4"/>
  <c r="N724" i="4"/>
  <c r="O724" i="4"/>
  <c r="P724" i="4"/>
  <c r="Q724" i="4"/>
  <c r="R724" i="4"/>
  <c r="B725" i="4"/>
  <c r="C725" i="4"/>
  <c r="D725" i="4"/>
  <c r="E725" i="4"/>
  <c r="F725" i="4"/>
  <c r="G725" i="4"/>
  <c r="H725" i="4"/>
  <c r="I725" i="4"/>
  <c r="J725" i="4"/>
  <c r="K725" i="4"/>
  <c r="L725" i="4"/>
  <c r="M725" i="4"/>
  <c r="N725" i="4"/>
  <c r="O725" i="4"/>
  <c r="P725" i="4"/>
  <c r="Q725" i="4"/>
  <c r="R725" i="4"/>
  <c r="B726" i="4"/>
  <c r="C726" i="4"/>
  <c r="D726" i="4"/>
  <c r="E726" i="4"/>
  <c r="F726" i="4"/>
  <c r="G726" i="4"/>
  <c r="H726" i="4"/>
  <c r="I726" i="4"/>
  <c r="J726" i="4"/>
  <c r="K726" i="4"/>
  <c r="L726" i="4"/>
  <c r="M726" i="4"/>
  <c r="N726" i="4"/>
  <c r="O726" i="4"/>
  <c r="P726" i="4"/>
  <c r="Q726" i="4"/>
  <c r="R726" i="4"/>
  <c r="B727" i="4"/>
  <c r="C727" i="4"/>
  <c r="D727" i="4"/>
  <c r="E727" i="4"/>
  <c r="F727" i="4"/>
  <c r="G727" i="4"/>
  <c r="H727" i="4"/>
  <c r="I727" i="4"/>
  <c r="J727" i="4"/>
  <c r="K727" i="4"/>
  <c r="L727" i="4"/>
  <c r="M727" i="4"/>
  <c r="N727" i="4"/>
  <c r="O727" i="4"/>
  <c r="P727" i="4"/>
  <c r="Q727" i="4"/>
  <c r="R727" i="4"/>
  <c r="B728" i="4"/>
  <c r="C728" i="4"/>
  <c r="D728" i="4"/>
  <c r="E728" i="4"/>
  <c r="F728" i="4"/>
  <c r="G728" i="4"/>
  <c r="H728" i="4"/>
  <c r="I728" i="4"/>
  <c r="J728" i="4"/>
  <c r="K728" i="4"/>
  <c r="L728" i="4"/>
  <c r="M728" i="4"/>
  <c r="N728" i="4"/>
  <c r="O728" i="4"/>
  <c r="P728" i="4"/>
  <c r="Q728" i="4"/>
  <c r="R728" i="4"/>
  <c r="B729" i="4"/>
  <c r="C729" i="4"/>
  <c r="D729" i="4"/>
  <c r="E729" i="4"/>
  <c r="F729" i="4"/>
  <c r="G729" i="4"/>
  <c r="H729" i="4"/>
  <c r="I729" i="4"/>
  <c r="J729" i="4"/>
  <c r="K729" i="4"/>
  <c r="L729" i="4"/>
  <c r="M729" i="4"/>
  <c r="N729" i="4"/>
  <c r="O729" i="4"/>
  <c r="P729" i="4"/>
  <c r="Q729" i="4"/>
  <c r="R729" i="4"/>
  <c r="B730" i="4"/>
  <c r="C730" i="4"/>
  <c r="D730" i="4"/>
  <c r="E730" i="4"/>
  <c r="F730" i="4"/>
  <c r="G730" i="4"/>
  <c r="H730" i="4"/>
  <c r="I730" i="4"/>
  <c r="J730" i="4"/>
  <c r="K730" i="4"/>
  <c r="L730" i="4"/>
  <c r="M730" i="4"/>
  <c r="N730" i="4"/>
  <c r="O730" i="4"/>
  <c r="P730" i="4"/>
  <c r="Q730" i="4"/>
  <c r="R730" i="4"/>
  <c r="B731" i="4"/>
  <c r="C731" i="4"/>
  <c r="D731" i="4"/>
  <c r="E731" i="4"/>
  <c r="F731" i="4"/>
  <c r="G731" i="4"/>
  <c r="H731" i="4"/>
  <c r="I731" i="4"/>
  <c r="J731" i="4"/>
  <c r="K731" i="4"/>
  <c r="L731" i="4"/>
  <c r="M731" i="4"/>
  <c r="N731" i="4"/>
  <c r="O731" i="4"/>
  <c r="P731" i="4"/>
  <c r="Q731" i="4"/>
  <c r="R731" i="4"/>
  <c r="B732" i="4"/>
  <c r="C732" i="4"/>
  <c r="D732" i="4"/>
  <c r="E732" i="4"/>
  <c r="F732" i="4"/>
  <c r="G732" i="4"/>
  <c r="H732" i="4"/>
  <c r="I732" i="4"/>
  <c r="J732" i="4"/>
  <c r="K732" i="4"/>
  <c r="L732" i="4"/>
  <c r="M732" i="4"/>
  <c r="N732" i="4"/>
  <c r="O732" i="4"/>
  <c r="P732" i="4"/>
  <c r="Q732" i="4"/>
  <c r="R732" i="4"/>
  <c r="B733" i="4"/>
  <c r="C733" i="4"/>
  <c r="D733" i="4"/>
  <c r="E733" i="4"/>
  <c r="F733" i="4"/>
  <c r="G733" i="4"/>
  <c r="H733" i="4"/>
  <c r="I733" i="4"/>
  <c r="J733" i="4"/>
  <c r="K733" i="4"/>
  <c r="L733" i="4"/>
  <c r="M733" i="4"/>
  <c r="N733" i="4"/>
  <c r="O733" i="4"/>
  <c r="P733" i="4"/>
  <c r="Q733" i="4"/>
  <c r="R733" i="4"/>
  <c r="B734" i="4"/>
  <c r="C734" i="4"/>
  <c r="D734" i="4"/>
  <c r="E734" i="4"/>
  <c r="F734" i="4"/>
  <c r="G734" i="4"/>
  <c r="H734" i="4"/>
  <c r="I734" i="4"/>
  <c r="J734" i="4"/>
  <c r="K734" i="4"/>
  <c r="L734" i="4"/>
  <c r="M734" i="4"/>
  <c r="N734" i="4"/>
  <c r="O734" i="4"/>
  <c r="P734" i="4"/>
  <c r="Q734" i="4"/>
  <c r="R734" i="4"/>
  <c r="B735" i="4"/>
  <c r="C735" i="4"/>
  <c r="D735" i="4"/>
  <c r="E735" i="4"/>
  <c r="F735" i="4"/>
  <c r="G735" i="4"/>
  <c r="H735" i="4"/>
  <c r="I735" i="4"/>
  <c r="J735" i="4"/>
  <c r="K735" i="4"/>
  <c r="L735" i="4"/>
  <c r="M735" i="4"/>
  <c r="N735" i="4"/>
  <c r="O735" i="4"/>
  <c r="P735" i="4"/>
  <c r="Q735" i="4"/>
  <c r="R735" i="4"/>
  <c r="B736" i="4"/>
  <c r="C736" i="4"/>
  <c r="D736" i="4"/>
  <c r="E736" i="4"/>
  <c r="F736" i="4"/>
  <c r="G736" i="4"/>
  <c r="H736" i="4"/>
  <c r="I736" i="4"/>
  <c r="J736" i="4"/>
  <c r="K736" i="4"/>
  <c r="L736" i="4"/>
  <c r="M736" i="4"/>
  <c r="N736" i="4"/>
  <c r="O736" i="4"/>
  <c r="P736" i="4"/>
  <c r="Q736" i="4"/>
  <c r="R736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B2" i="4"/>
</calcChain>
</file>

<file path=xl/sharedStrings.xml><?xml version="1.0" encoding="utf-8"?>
<sst xmlns="http://schemas.openxmlformats.org/spreadsheetml/2006/main" count="176" uniqueCount="41">
  <si>
    <t>山口大学工学部中央電気室</t>
  </si>
  <si>
    <t>Time(60)</t>
  </si>
  <si>
    <t>中央電気室</t>
  </si>
  <si>
    <t>B-MPX24</t>
  </si>
  <si>
    <t>中央電気室:高圧受電盤 電力量</t>
  </si>
  <si>
    <t>kWh</t>
  </si>
  <si>
    <t>中央電気室:管理棟 電力量</t>
  </si>
  <si>
    <t>中央電気室:電気工学科棟 電力量</t>
  </si>
  <si>
    <t>中央電気室:資源工学科棟 電力量</t>
  </si>
  <si>
    <t>中央電気室:化学工学科棟 電力量</t>
  </si>
  <si>
    <t>中央電気室:建築工学科棟 電力量</t>
  </si>
  <si>
    <t>中央電気室:講義棟(D) 電力量</t>
  </si>
  <si>
    <t>中央電気室:電気電子工学科棟 電力量</t>
  </si>
  <si>
    <t>中央電気室:所内 電力量</t>
  </si>
  <si>
    <t>中央電気室:図書館 電力量</t>
  </si>
  <si>
    <t>中央電気室:電子工学科棟 電力量</t>
  </si>
  <si>
    <t>中央電気室:SVBL 電力量</t>
  </si>
  <si>
    <t>中央電気室:電子計算機室 電力量</t>
  </si>
  <si>
    <t>中央電気室:福利施設棟 電力量</t>
  </si>
  <si>
    <t>社会実習棟:連携盤T148_1</t>
  </si>
  <si>
    <t>社会実習棟:連携盤T148_2</t>
  </si>
  <si>
    <t>ﾒﾃﾞｨｱ基盤ｾﾝﾀｰ</t>
  </si>
  <si>
    <t>ﾒﾃﾞｨｱ基盤ｾﾝﾀｰ:屋上ｷｭｰﾋﾞｸﾙ 電力量</t>
  </si>
  <si>
    <t>timestamp</t>
  </si>
  <si>
    <t>0: 高圧受電盤(kWh)</t>
  </si>
  <si>
    <t>1: 工学部本館(kWh)</t>
  </si>
  <si>
    <t>2: 総合研究棟2号館(kWh)</t>
  </si>
  <si>
    <t>3: 予備(kWh)</t>
  </si>
  <si>
    <t>4: 環境共生系専攻課棟(kWh)</t>
  </si>
  <si>
    <t>5: 社建実習棟(kWh)</t>
  </si>
  <si>
    <t>6: D講義棟(kWh)</t>
  </si>
  <si>
    <t>7: 電気電子棟(kWh)</t>
  </si>
  <si>
    <t>8: 変電棟所内(kWh)</t>
  </si>
  <si>
    <t>9: 図書館(kWh)</t>
  </si>
  <si>
    <t>10: 知能情報棟(kWh)</t>
  </si>
  <si>
    <t>11: 先端研究棟(kWh)</t>
  </si>
  <si>
    <t>12: メディア基盤センター(kWh)</t>
  </si>
  <si>
    <t>13: 福利厚生棟(kWh)</t>
  </si>
  <si>
    <t>社会実習棟:連携盤T148_1(kWh)</t>
    <phoneticPr fontId="1"/>
  </si>
  <si>
    <t>社会実習棟:連携盤T148_2(kWh)</t>
    <phoneticPr fontId="1"/>
  </si>
  <si>
    <t>ﾒﾃﾞｨｱ基盤ｾﾝﾀｰ:屋上ｷｭｰﾋﾞｸﾙ 電力量(kWh)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</si>
</sst>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20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20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V18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AX18" sqref="F2:AAX18"/>
    </sheetView>
  </sheetViews>
  <sheetFormatPr defaultRowHeight="18.75"/>
  <sheetData>
    <row r="1" spans="1:750">
      <c r="A1" s="1" t="s">
        <v>0</v>
      </c>
      <c r="B1" s="1" t="s">
        <v>1</v>
      </c>
      <c r="C1" s="1"/>
      <c r="D1" s="1"/>
      <c r="E1" s="1"/>
      <c r="F1" s="2">
        <v>0</v>
      </c>
      <c r="G1" s="2">
        <v>4.1666666666666664E-2</v>
      </c>
      <c r="H1" s="2">
        <v>8.3333333333333329E-2</v>
      </c>
      <c r="I1" s="2">
        <v>0.125</v>
      </c>
      <c r="J1" s="2">
        <v>0.16666666666666666</v>
      </c>
      <c r="K1" s="2">
        <v>0.20833333333333334</v>
      </c>
      <c r="L1" s="2">
        <v>0.25</v>
      </c>
      <c r="M1" s="2">
        <v>0.29166666666666669</v>
      </c>
      <c r="N1" s="2">
        <v>0.33333333333333331</v>
      </c>
      <c r="O1" s="2">
        <v>0.375</v>
      </c>
      <c r="P1" s="2">
        <v>0.41666666666666669</v>
      </c>
      <c r="Q1" s="2">
        <v>0.45833333333333331</v>
      </c>
      <c r="R1" s="2">
        <v>0.5</v>
      </c>
      <c r="S1" s="2">
        <v>0.54166666666666663</v>
      </c>
      <c r="T1" s="2">
        <v>0.58333333333333337</v>
      </c>
      <c r="U1" s="2">
        <v>0.625</v>
      </c>
      <c r="V1" s="2">
        <v>0.66666666666666663</v>
      </c>
      <c r="W1" s="2">
        <v>0.70833333333333337</v>
      </c>
      <c r="X1" s="2">
        <v>0.75</v>
      </c>
      <c r="Y1" s="2">
        <v>0.79166666666666663</v>
      </c>
      <c r="Z1" s="2">
        <v>0.83333333333333337</v>
      </c>
      <c r="AA1" s="2">
        <v>0.875</v>
      </c>
      <c r="AB1" s="2">
        <v>0.91666666666666663</v>
      </c>
      <c r="AC1" s="2">
        <v>0.95833333333333337</v>
      </c>
      <c r="AD1" s="2">
        <v>0</v>
      </c>
      <c r="AE1" s="2">
        <v>4.1666666666666664E-2</v>
      </c>
      <c r="AF1" s="2">
        <v>8.3333333333333329E-2</v>
      </c>
      <c r="AG1" s="2">
        <v>0.125</v>
      </c>
      <c r="AH1" s="2">
        <v>0.16666666666666666</v>
      </c>
      <c r="AI1" s="2">
        <v>0.20833333333333334</v>
      </c>
      <c r="AJ1" s="2">
        <v>0.25</v>
      </c>
      <c r="AK1" s="2">
        <v>0.29166666666666669</v>
      </c>
      <c r="AL1" s="2">
        <v>0.33333333333333331</v>
      </c>
      <c r="AM1" s="2">
        <v>0.375</v>
      </c>
      <c r="AN1" s="2">
        <v>0.41666666666666669</v>
      </c>
      <c r="AO1" s="2">
        <v>0.45833333333333331</v>
      </c>
      <c r="AP1" s="2">
        <v>0.5</v>
      </c>
      <c r="AQ1" s="2">
        <v>0.54166666666666663</v>
      </c>
      <c r="AR1" s="2">
        <v>0.58333333333333337</v>
      </c>
      <c r="AS1" s="2">
        <v>0.625</v>
      </c>
      <c r="AT1" s="2">
        <v>0.66666666666666663</v>
      </c>
      <c r="AU1" s="2">
        <v>0.70833333333333337</v>
      </c>
      <c r="AV1" s="2">
        <v>0.75</v>
      </c>
      <c r="AW1" s="2">
        <v>0.79166666666666663</v>
      </c>
      <c r="AX1" s="2">
        <v>0.83333333333333337</v>
      </c>
      <c r="AY1" s="2">
        <v>0.875</v>
      </c>
      <c r="AZ1" s="2">
        <v>0.91666666666666663</v>
      </c>
      <c r="BA1" s="2">
        <v>0.95833333333333337</v>
      </c>
      <c r="BB1" s="2">
        <v>0</v>
      </c>
      <c r="BC1" s="2">
        <v>4.1666666666666664E-2</v>
      </c>
      <c r="BD1" s="2">
        <v>8.3333333333333329E-2</v>
      </c>
      <c r="BE1" s="2">
        <v>0.125</v>
      </c>
      <c r="BF1" s="2">
        <v>0.16666666666666666</v>
      </c>
      <c r="BG1" s="2">
        <v>0.20833333333333334</v>
      </c>
      <c r="BH1" s="2">
        <v>0.25</v>
      </c>
      <c r="BI1" s="2">
        <v>0.29166666666666669</v>
      </c>
      <c r="BJ1" s="2">
        <v>0.33333333333333331</v>
      </c>
      <c r="BK1" s="2">
        <v>0.375</v>
      </c>
      <c r="BL1" s="2">
        <v>0.41666666666666669</v>
      </c>
      <c r="BM1" s="2">
        <v>0.45833333333333331</v>
      </c>
      <c r="BN1" s="2">
        <v>0.5</v>
      </c>
      <c r="BO1" s="2">
        <v>0.54166666666666663</v>
      </c>
      <c r="BP1" s="2">
        <v>0.58333333333333337</v>
      </c>
      <c r="BQ1" s="2">
        <v>0.625</v>
      </c>
      <c r="BR1" s="2">
        <v>0.66666666666666663</v>
      </c>
      <c r="BS1" s="2">
        <v>0.70833333333333337</v>
      </c>
      <c r="BT1" s="2">
        <v>0.75</v>
      </c>
      <c r="BU1" s="2">
        <v>0.79166666666666663</v>
      </c>
      <c r="BV1" s="2">
        <v>0.83333333333333337</v>
      </c>
      <c r="BW1" s="2">
        <v>0.875</v>
      </c>
      <c r="BX1" s="2">
        <v>0.91666666666666663</v>
      </c>
      <c r="BY1" s="2">
        <v>0.95833333333333337</v>
      </c>
      <c r="BZ1" s="2">
        <v>0</v>
      </c>
      <c r="CA1" s="2">
        <v>4.1666666666666664E-2</v>
      </c>
      <c r="CB1" s="2">
        <v>8.3333333333333329E-2</v>
      </c>
      <c r="CC1" s="2">
        <v>0.125</v>
      </c>
      <c r="CD1" s="2">
        <v>0.16666666666666666</v>
      </c>
      <c r="CE1" s="2">
        <v>0.20833333333333334</v>
      </c>
      <c r="CF1" s="2">
        <v>0.25</v>
      </c>
      <c r="CG1" s="2">
        <v>0.29166666666666669</v>
      </c>
      <c r="CH1" s="2">
        <v>0.33333333333333331</v>
      </c>
      <c r="CI1" s="2">
        <v>0.375</v>
      </c>
      <c r="CJ1" s="2">
        <v>0.41666666666666669</v>
      </c>
      <c r="CK1" s="2">
        <v>0.45833333333333331</v>
      </c>
      <c r="CL1" s="2">
        <v>0.5</v>
      </c>
      <c r="CM1" s="2">
        <v>0.54166666666666663</v>
      </c>
      <c r="CN1" s="2">
        <v>0.58333333333333337</v>
      </c>
      <c r="CO1" s="2">
        <v>0.625</v>
      </c>
      <c r="CP1" s="2">
        <v>0.66666666666666663</v>
      </c>
      <c r="CQ1" s="2">
        <v>0.70833333333333337</v>
      </c>
      <c r="CR1" s="2">
        <v>0.75</v>
      </c>
      <c r="CS1" s="2">
        <v>0.79166666666666663</v>
      </c>
      <c r="CT1" s="2">
        <v>0.83333333333333337</v>
      </c>
      <c r="CU1" s="2">
        <v>0.875</v>
      </c>
      <c r="CV1" s="2">
        <v>0.91666666666666663</v>
      </c>
      <c r="CW1" s="2">
        <v>0.95833333333333337</v>
      </c>
      <c r="CX1" s="2">
        <v>0</v>
      </c>
      <c r="CY1" s="2">
        <v>4.1666666666666664E-2</v>
      </c>
      <c r="CZ1" s="2">
        <v>8.3333333333333329E-2</v>
      </c>
      <c r="DA1" s="2">
        <v>0.125</v>
      </c>
      <c r="DB1" s="2">
        <v>0.16666666666666666</v>
      </c>
      <c r="DC1" s="2">
        <v>0.20833333333333334</v>
      </c>
      <c r="DD1" s="2">
        <v>0.25</v>
      </c>
      <c r="DE1" s="2">
        <v>0.29166666666666669</v>
      </c>
      <c r="DF1" s="2">
        <v>0.33333333333333331</v>
      </c>
      <c r="DG1" s="2">
        <v>0.375</v>
      </c>
      <c r="DH1" s="2">
        <v>0.41666666666666669</v>
      </c>
      <c r="DI1" s="2">
        <v>0.45833333333333331</v>
      </c>
      <c r="DJ1" s="2">
        <v>0.5</v>
      </c>
      <c r="DK1" s="2">
        <v>0.54166666666666663</v>
      </c>
      <c r="DL1" s="2">
        <v>0.58333333333333337</v>
      </c>
      <c r="DM1" s="2">
        <v>0.625</v>
      </c>
      <c r="DN1" s="2">
        <v>0.66666666666666663</v>
      </c>
      <c r="DO1" s="2">
        <v>0.70833333333333337</v>
      </c>
      <c r="DP1" s="2">
        <v>0.75</v>
      </c>
      <c r="DQ1" s="2">
        <v>0.79166666666666663</v>
      </c>
      <c r="DR1" s="2">
        <v>0.83333333333333337</v>
      </c>
      <c r="DS1" s="2">
        <v>0.875</v>
      </c>
      <c r="DT1" s="2">
        <v>0.91666666666666663</v>
      </c>
      <c r="DU1" s="2">
        <v>0.95833333333333337</v>
      </c>
      <c r="DV1" s="2">
        <v>0</v>
      </c>
      <c r="DW1" s="2">
        <v>4.1666666666666664E-2</v>
      </c>
      <c r="DX1" s="2">
        <v>8.3333333333333329E-2</v>
      </c>
      <c r="DY1" s="2">
        <v>0.125</v>
      </c>
      <c r="DZ1" s="2">
        <v>0.16666666666666666</v>
      </c>
      <c r="EA1" s="2">
        <v>0.20833333333333334</v>
      </c>
      <c r="EB1" s="2">
        <v>0.25</v>
      </c>
      <c r="EC1" s="2">
        <v>0.29166666666666669</v>
      </c>
      <c r="ED1" s="2">
        <v>0.33333333333333331</v>
      </c>
      <c r="EE1" s="2">
        <v>0.375</v>
      </c>
      <c r="EF1" s="2">
        <v>0.41666666666666669</v>
      </c>
      <c r="EG1" s="2">
        <v>0.45833333333333331</v>
      </c>
      <c r="EH1" s="2">
        <v>0.5</v>
      </c>
      <c r="EI1" s="2">
        <v>0.54166666666666663</v>
      </c>
      <c r="EJ1" s="2">
        <v>0.58333333333333337</v>
      </c>
      <c r="EK1" s="2">
        <v>0.625</v>
      </c>
      <c r="EL1" s="2">
        <v>0.66666666666666663</v>
      </c>
      <c r="EM1" s="2">
        <v>0.70833333333333337</v>
      </c>
      <c r="EN1" s="2">
        <v>0.75</v>
      </c>
      <c r="EO1" s="2">
        <v>0.79166666666666663</v>
      </c>
      <c r="EP1" s="2">
        <v>0.83333333333333337</v>
      </c>
      <c r="EQ1" s="2">
        <v>0.875</v>
      </c>
      <c r="ER1" s="2">
        <v>0.91666666666666663</v>
      </c>
      <c r="ES1" s="2">
        <v>0.95833333333333337</v>
      </c>
      <c r="ET1" s="2">
        <v>0</v>
      </c>
      <c r="EU1" s="2">
        <v>4.1666666666666664E-2</v>
      </c>
      <c r="EV1" s="2">
        <v>8.3333333333333329E-2</v>
      </c>
      <c r="EW1" s="2">
        <v>0.125</v>
      </c>
      <c r="EX1" s="2">
        <v>0.16666666666666666</v>
      </c>
      <c r="EY1" s="2">
        <v>0.20833333333333334</v>
      </c>
      <c r="EZ1" s="2">
        <v>0.25</v>
      </c>
      <c r="FA1" s="2">
        <v>0.29166666666666669</v>
      </c>
      <c r="FB1" s="2">
        <v>0.33333333333333331</v>
      </c>
      <c r="FC1" s="2">
        <v>0.375</v>
      </c>
      <c r="FD1" s="2">
        <v>0.41666666666666669</v>
      </c>
      <c r="FE1" s="2">
        <v>0.45833333333333331</v>
      </c>
      <c r="FF1" s="2">
        <v>0.5</v>
      </c>
      <c r="FG1" s="2">
        <v>0.54166666666666663</v>
      </c>
      <c r="FH1" s="2">
        <v>0.58333333333333337</v>
      </c>
      <c r="FI1" s="2">
        <v>0.625</v>
      </c>
      <c r="FJ1" s="2">
        <v>0.66666666666666663</v>
      </c>
      <c r="FK1" s="2">
        <v>0.70833333333333337</v>
      </c>
      <c r="FL1" s="2">
        <v>0.75</v>
      </c>
      <c r="FM1" s="2">
        <v>0.79166666666666663</v>
      </c>
      <c r="FN1" s="2">
        <v>0.83333333333333337</v>
      </c>
      <c r="FO1" s="2">
        <v>0.875</v>
      </c>
      <c r="FP1" s="2">
        <v>0.91666666666666663</v>
      </c>
      <c r="FQ1" s="2">
        <v>0.95833333333333337</v>
      </c>
      <c r="FR1" s="2">
        <v>0</v>
      </c>
      <c r="FS1" s="2">
        <v>4.1666666666666664E-2</v>
      </c>
      <c r="FT1" s="2">
        <v>8.3333333333333329E-2</v>
      </c>
      <c r="FU1" s="2">
        <v>0.125</v>
      </c>
      <c r="FV1" s="2">
        <v>0.16666666666666666</v>
      </c>
      <c r="FW1" s="2">
        <v>0.20833333333333334</v>
      </c>
      <c r="FX1" s="2">
        <v>0.25</v>
      </c>
      <c r="FY1" s="2">
        <v>0.29166666666666669</v>
      </c>
      <c r="FZ1" s="2">
        <v>0.33333333333333331</v>
      </c>
      <c r="GA1" s="2">
        <v>0.375</v>
      </c>
      <c r="GB1" s="2">
        <v>0.41666666666666669</v>
      </c>
      <c r="GC1" s="2">
        <v>0.45833333333333331</v>
      </c>
      <c r="GD1" s="2">
        <v>0.5</v>
      </c>
      <c r="GE1" s="2">
        <v>0.54166666666666663</v>
      </c>
      <c r="GF1" s="2">
        <v>0.58333333333333337</v>
      </c>
      <c r="GG1" s="2">
        <v>0.625</v>
      </c>
      <c r="GH1" s="2">
        <v>0.66666666666666663</v>
      </c>
      <c r="GI1" s="2">
        <v>0.70833333333333337</v>
      </c>
      <c r="GJ1" s="2">
        <v>0.75</v>
      </c>
      <c r="GK1" s="2">
        <v>0.79166666666666663</v>
      </c>
      <c r="GL1" s="2">
        <v>0.83333333333333337</v>
      </c>
      <c r="GM1" s="2">
        <v>0.875</v>
      </c>
      <c r="GN1" s="2">
        <v>0.91666666666666663</v>
      </c>
      <c r="GO1" s="2">
        <v>0.95833333333333337</v>
      </c>
      <c r="GP1" s="2">
        <v>0</v>
      </c>
      <c r="GQ1" s="2">
        <v>4.1666666666666664E-2</v>
      </c>
      <c r="GR1" s="2">
        <v>8.3333333333333329E-2</v>
      </c>
      <c r="GS1" s="2">
        <v>0.125</v>
      </c>
      <c r="GT1" s="2">
        <v>0.16666666666666666</v>
      </c>
      <c r="GU1" s="2">
        <v>0.20833333333333334</v>
      </c>
      <c r="GV1" s="2">
        <v>0.25</v>
      </c>
      <c r="GW1" s="2">
        <v>0.29166666666666669</v>
      </c>
      <c r="GX1" s="2">
        <v>0.33333333333333331</v>
      </c>
      <c r="GY1" s="2">
        <v>0.375</v>
      </c>
      <c r="GZ1" s="2">
        <v>0.41666666666666669</v>
      </c>
      <c r="HA1" s="2">
        <v>0.45833333333333331</v>
      </c>
      <c r="HB1" s="2">
        <v>0.5</v>
      </c>
      <c r="HC1" s="2">
        <v>0.54166666666666663</v>
      </c>
      <c r="HD1" s="2">
        <v>0.58333333333333337</v>
      </c>
      <c r="HE1" s="2">
        <v>0.625</v>
      </c>
      <c r="HF1" s="2">
        <v>0.66666666666666663</v>
      </c>
      <c r="HG1" s="2">
        <v>0.70833333333333337</v>
      </c>
      <c r="HH1" s="2">
        <v>0.75</v>
      </c>
      <c r="HI1" s="2">
        <v>0.79166666666666663</v>
      </c>
      <c r="HJ1" s="2">
        <v>0.83333333333333337</v>
      </c>
      <c r="HK1" s="2">
        <v>0.875</v>
      </c>
      <c r="HL1" s="2">
        <v>0.91666666666666663</v>
      </c>
      <c r="HM1" s="2">
        <v>0.95833333333333337</v>
      </c>
      <c r="HN1" s="2">
        <v>0</v>
      </c>
      <c r="HO1" s="2">
        <v>4.1666666666666664E-2</v>
      </c>
      <c r="HP1" s="2">
        <v>8.3333333333333329E-2</v>
      </c>
      <c r="HQ1" s="2">
        <v>0.125</v>
      </c>
      <c r="HR1" s="2">
        <v>0.16666666666666666</v>
      </c>
      <c r="HS1" s="2">
        <v>0.20833333333333334</v>
      </c>
      <c r="HT1" s="2">
        <v>0.25</v>
      </c>
      <c r="HU1" s="2">
        <v>0.29166666666666669</v>
      </c>
      <c r="HV1" s="2">
        <v>0.33333333333333331</v>
      </c>
      <c r="HW1" s="2">
        <v>0.375</v>
      </c>
      <c r="HX1" s="2">
        <v>0.41666666666666669</v>
      </c>
      <c r="HY1" s="2">
        <v>0.45833333333333331</v>
      </c>
      <c r="HZ1" s="2">
        <v>0.5</v>
      </c>
      <c r="IA1" s="2">
        <v>0.54166666666666663</v>
      </c>
      <c r="IB1" s="2">
        <v>0.58333333333333337</v>
      </c>
      <c r="IC1" s="2">
        <v>0.625</v>
      </c>
      <c r="ID1" s="2">
        <v>0.66666666666666663</v>
      </c>
      <c r="IE1" s="2">
        <v>0.70833333333333337</v>
      </c>
      <c r="IF1" s="2">
        <v>0.75</v>
      </c>
      <c r="IG1" s="2">
        <v>0.79166666666666663</v>
      </c>
      <c r="IH1" s="2">
        <v>0.83333333333333337</v>
      </c>
      <c r="II1" s="2">
        <v>0.875</v>
      </c>
      <c r="IJ1" s="2">
        <v>0.91666666666666663</v>
      </c>
      <c r="IK1" s="2">
        <v>0.95833333333333337</v>
      </c>
      <c r="IL1" s="2">
        <v>0</v>
      </c>
      <c r="IM1" s="2">
        <v>4.1666666666666664E-2</v>
      </c>
      <c r="IN1" s="2">
        <v>8.3333333333333329E-2</v>
      </c>
      <c r="IO1" s="2">
        <v>0.125</v>
      </c>
      <c r="IP1" s="2">
        <v>0.16666666666666666</v>
      </c>
      <c r="IQ1" s="2">
        <v>0.20833333333333334</v>
      </c>
      <c r="IR1" s="2">
        <v>0.25</v>
      </c>
      <c r="IS1" s="2">
        <v>0.29166666666666669</v>
      </c>
      <c r="IT1" s="2">
        <v>0.33333333333333331</v>
      </c>
      <c r="IU1" s="2">
        <v>0.375</v>
      </c>
      <c r="IV1" s="2">
        <v>0.41666666666666669</v>
      </c>
      <c r="IW1" s="2">
        <v>0.45833333333333331</v>
      </c>
      <c r="IX1" s="2">
        <v>0.5</v>
      </c>
      <c r="IY1" s="2">
        <v>0.54166666666666663</v>
      </c>
      <c r="IZ1" s="2">
        <v>0.58333333333333337</v>
      </c>
      <c r="JA1" s="2">
        <v>0.625</v>
      </c>
      <c r="JB1" s="2">
        <v>0.66666666666666663</v>
      </c>
      <c r="JC1" s="2">
        <v>0.70833333333333337</v>
      </c>
      <c r="JD1" s="2">
        <v>0.75</v>
      </c>
      <c r="JE1" s="2">
        <v>0.79166666666666663</v>
      </c>
      <c r="JF1" s="2">
        <v>0.83333333333333337</v>
      </c>
      <c r="JG1" s="2">
        <v>0.875</v>
      </c>
      <c r="JH1" s="2">
        <v>0.91666666666666663</v>
      </c>
      <c r="JI1" s="2">
        <v>0.95833333333333337</v>
      </c>
      <c r="JJ1" s="2">
        <v>0</v>
      </c>
      <c r="JK1" s="2">
        <v>4.1666666666666664E-2</v>
      </c>
      <c r="JL1" s="2">
        <v>8.3333333333333329E-2</v>
      </c>
      <c r="JM1" s="2">
        <v>0.125</v>
      </c>
      <c r="JN1" s="2">
        <v>0.16666666666666666</v>
      </c>
      <c r="JO1" s="2">
        <v>0.20833333333333334</v>
      </c>
      <c r="JP1" s="2">
        <v>0.25</v>
      </c>
      <c r="JQ1" s="2">
        <v>0.29166666666666669</v>
      </c>
      <c r="JR1" s="2">
        <v>0.33333333333333331</v>
      </c>
      <c r="JS1" s="2">
        <v>0.375</v>
      </c>
      <c r="JT1" s="2">
        <v>0.41666666666666669</v>
      </c>
      <c r="JU1" s="2">
        <v>0.45833333333333331</v>
      </c>
      <c r="JV1" s="2">
        <v>0.5</v>
      </c>
      <c r="JW1" s="2">
        <v>0.54166666666666663</v>
      </c>
      <c r="JX1" s="2">
        <v>0.58333333333333337</v>
      </c>
      <c r="JY1" s="2">
        <v>0.625</v>
      </c>
      <c r="JZ1" s="2">
        <v>0.66666666666666663</v>
      </c>
      <c r="KA1" s="2">
        <v>0.70833333333333337</v>
      </c>
      <c r="KB1" s="2">
        <v>0.75</v>
      </c>
      <c r="KC1" s="2">
        <v>0.79166666666666663</v>
      </c>
      <c r="KD1" s="2">
        <v>0.83333333333333337</v>
      </c>
      <c r="KE1" s="2">
        <v>0.875</v>
      </c>
      <c r="KF1" s="2">
        <v>0.91666666666666663</v>
      </c>
      <c r="KG1" s="2">
        <v>0.95833333333333337</v>
      </c>
      <c r="KH1" s="2">
        <v>0</v>
      </c>
      <c r="KI1" s="2">
        <v>4.1666666666666664E-2</v>
      </c>
      <c r="KJ1" s="2">
        <v>8.3333333333333329E-2</v>
      </c>
      <c r="KK1" s="2">
        <v>0.125</v>
      </c>
      <c r="KL1" s="2">
        <v>0.16666666666666666</v>
      </c>
      <c r="KM1" s="2">
        <v>0.20833333333333334</v>
      </c>
      <c r="KN1" s="2">
        <v>0.25</v>
      </c>
      <c r="KO1" s="2">
        <v>0.29166666666666669</v>
      </c>
      <c r="KP1" s="2">
        <v>0.33333333333333331</v>
      </c>
      <c r="KQ1" s="2">
        <v>0.375</v>
      </c>
      <c r="KR1" s="2">
        <v>0.41666666666666669</v>
      </c>
      <c r="KS1" s="2">
        <v>0.45833333333333331</v>
      </c>
      <c r="KT1" s="2">
        <v>0.5</v>
      </c>
      <c r="KU1" s="2">
        <v>0.54166666666666663</v>
      </c>
      <c r="KV1" s="2">
        <v>0.58333333333333337</v>
      </c>
      <c r="KW1" s="2">
        <v>0.625</v>
      </c>
      <c r="KX1" s="2">
        <v>0.66666666666666663</v>
      </c>
      <c r="KY1" s="2">
        <v>0.70833333333333337</v>
      </c>
      <c r="KZ1" s="2">
        <v>0.75</v>
      </c>
      <c r="LA1" s="2">
        <v>0.79166666666666663</v>
      </c>
      <c r="LB1" s="2">
        <v>0.83333333333333337</v>
      </c>
      <c r="LC1" s="2">
        <v>0.875</v>
      </c>
      <c r="LD1" s="2">
        <v>0.91666666666666663</v>
      </c>
      <c r="LE1" s="2">
        <v>0.95833333333333337</v>
      </c>
      <c r="LF1" s="2">
        <v>0</v>
      </c>
      <c r="LG1" s="2">
        <v>4.1666666666666664E-2</v>
      </c>
      <c r="LH1" s="2">
        <v>8.3333333333333329E-2</v>
      </c>
      <c r="LI1" s="2">
        <v>0.125</v>
      </c>
      <c r="LJ1" s="2">
        <v>0.16666666666666666</v>
      </c>
      <c r="LK1" s="2">
        <v>0.20833333333333334</v>
      </c>
      <c r="LL1" s="2">
        <v>0.25</v>
      </c>
      <c r="LM1" s="2">
        <v>0.29166666666666669</v>
      </c>
      <c r="LN1" s="2">
        <v>0.33333333333333331</v>
      </c>
      <c r="LO1" s="2">
        <v>0.375</v>
      </c>
      <c r="LP1" s="2">
        <v>0.41666666666666669</v>
      </c>
      <c r="LQ1" s="2">
        <v>0.45833333333333331</v>
      </c>
      <c r="LR1" s="2">
        <v>0.5</v>
      </c>
      <c r="LS1" s="2">
        <v>0.54166666666666663</v>
      </c>
      <c r="LT1" s="2">
        <v>0.58333333333333337</v>
      </c>
      <c r="LU1" s="2">
        <v>0.625</v>
      </c>
      <c r="LV1" s="2">
        <v>0.66666666666666663</v>
      </c>
      <c r="LW1" s="2">
        <v>0.70833333333333337</v>
      </c>
      <c r="LX1" s="2">
        <v>0.75</v>
      </c>
      <c r="LY1" s="2">
        <v>0.79166666666666663</v>
      </c>
      <c r="LZ1" s="2">
        <v>0.83333333333333337</v>
      </c>
      <c r="MA1" s="2">
        <v>0.875</v>
      </c>
      <c r="MB1" s="2">
        <v>0.91666666666666663</v>
      </c>
      <c r="MC1" s="2">
        <v>0.95833333333333337</v>
      </c>
      <c r="MD1" s="2">
        <v>0</v>
      </c>
      <c r="ME1" s="2">
        <v>4.1666666666666664E-2</v>
      </c>
      <c r="MF1" s="2">
        <v>8.3333333333333329E-2</v>
      </c>
      <c r="MG1" s="2">
        <v>0.125</v>
      </c>
      <c r="MH1" s="2">
        <v>0.16666666666666666</v>
      </c>
      <c r="MI1" s="2">
        <v>0.20833333333333334</v>
      </c>
      <c r="MJ1" s="2">
        <v>0.25</v>
      </c>
      <c r="MK1" s="2">
        <v>0.29166666666666669</v>
      </c>
      <c r="ML1" s="2">
        <v>0.33333333333333331</v>
      </c>
      <c r="MM1" s="2">
        <v>0.375</v>
      </c>
      <c r="MN1" s="2">
        <v>0.41666666666666669</v>
      </c>
      <c r="MO1" s="2">
        <v>0.45833333333333331</v>
      </c>
      <c r="MP1" s="2">
        <v>0.5</v>
      </c>
      <c r="MQ1" s="2">
        <v>0.54166666666666663</v>
      </c>
      <c r="MR1" s="2">
        <v>0.58333333333333337</v>
      </c>
      <c r="MS1" s="2">
        <v>0.625</v>
      </c>
      <c r="MT1" s="2">
        <v>0.66666666666666663</v>
      </c>
      <c r="MU1" s="2">
        <v>0.70833333333333337</v>
      </c>
      <c r="MV1" s="2">
        <v>0.75</v>
      </c>
      <c r="MW1" s="2">
        <v>0.79166666666666663</v>
      </c>
      <c r="MX1" s="2">
        <v>0.83333333333333337</v>
      </c>
      <c r="MY1" s="2">
        <v>0.875</v>
      </c>
      <c r="MZ1" s="2">
        <v>0.91666666666666663</v>
      </c>
      <c r="NA1" s="2">
        <v>0.95833333333333337</v>
      </c>
      <c r="NB1" s="2">
        <v>0</v>
      </c>
      <c r="NC1" s="2">
        <v>4.1666666666666664E-2</v>
      </c>
      <c r="ND1" s="2">
        <v>8.3333333333333329E-2</v>
      </c>
      <c r="NE1" s="2">
        <v>0.125</v>
      </c>
      <c r="NF1" s="2">
        <v>0.16666666666666666</v>
      </c>
      <c r="NG1" s="2">
        <v>0.20833333333333334</v>
      </c>
      <c r="NH1" s="2">
        <v>0.25</v>
      </c>
      <c r="NI1" s="2">
        <v>0.29166666666666669</v>
      </c>
      <c r="NJ1" s="2">
        <v>0.33333333333333331</v>
      </c>
      <c r="NK1" s="2">
        <v>0.375</v>
      </c>
      <c r="NL1" s="2">
        <v>0.41666666666666669</v>
      </c>
      <c r="NM1" s="2">
        <v>0.45833333333333331</v>
      </c>
      <c r="NN1" s="2">
        <v>0.5</v>
      </c>
      <c r="NO1" s="2">
        <v>0.54166666666666663</v>
      </c>
      <c r="NP1" s="2">
        <v>0.58333333333333337</v>
      </c>
      <c r="NQ1" s="2">
        <v>0.625</v>
      </c>
      <c r="NR1" s="2">
        <v>0.66666666666666663</v>
      </c>
      <c r="NS1" s="2">
        <v>0.70833333333333337</v>
      </c>
      <c r="NT1" s="2">
        <v>0.75</v>
      </c>
      <c r="NU1" s="2">
        <v>0.79166666666666663</v>
      </c>
      <c r="NV1" s="2">
        <v>0.83333333333333337</v>
      </c>
      <c r="NW1" s="2">
        <v>0.875</v>
      </c>
      <c r="NX1" s="2">
        <v>0.91666666666666663</v>
      </c>
      <c r="NY1" s="2">
        <v>0.95833333333333337</v>
      </c>
      <c r="NZ1" s="2">
        <v>0</v>
      </c>
      <c r="OA1" s="2">
        <v>4.1666666666666664E-2</v>
      </c>
      <c r="OB1" s="2">
        <v>8.3333333333333329E-2</v>
      </c>
      <c r="OC1" s="2">
        <v>0.125</v>
      </c>
      <c r="OD1" s="2">
        <v>0.16666666666666666</v>
      </c>
      <c r="OE1" s="2">
        <v>0.20833333333333334</v>
      </c>
      <c r="OF1" s="2">
        <v>0.25</v>
      </c>
      <c r="OG1" s="2">
        <v>0.29166666666666669</v>
      </c>
      <c r="OH1" s="2">
        <v>0.33333333333333331</v>
      </c>
      <c r="OI1" s="2">
        <v>0.375</v>
      </c>
      <c r="OJ1" s="2">
        <v>0.41666666666666669</v>
      </c>
      <c r="OK1" s="2">
        <v>0.45833333333333331</v>
      </c>
      <c r="OL1" s="2">
        <v>0.5</v>
      </c>
      <c r="OM1" s="2">
        <v>0.54166666666666663</v>
      </c>
      <c r="ON1" s="2">
        <v>0.58333333333333337</v>
      </c>
      <c r="OO1" s="2">
        <v>0.625</v>
      </c>
      <c r="OP1" s="2">
        <v>0.66666666666666663</v>
      </c>
      <c r="OQ1" s="2">
        <v>0.70833333333333337</v>
      </c>
      <c r="OR1" s="2">
        <v>0.75</v>
      </c>
      <c r="OS1" s="2">
        <v>0.79166666666666663</v>
      </c>
      <c r="OT1" s="2">
        <v>0.83333333333333337</v>
      </c>
      <c r="OU1" s="2">
        <v>0.875</v>
      </c>
      <c r="OV1" s="2">
        <v>0.91666666666666663</v>
      </c>
      <c r="OW1" s="2">
        <v>0.95833333333333337</v>
      </c>
      <c r="OX1" s="2">
        <v>0</v>
      </c>
      <c r="OY1" s="2">
        <v>4.1666666666666664E-2</v>
      </c>
      <c r="OZ1" s="2">
        <v>8.3333333333333329E-2</v>
      </c>
      <c r="PA1" s="2">
        <v>0.125</v>
      </c>
      <c r="PB1" s="2">
        <v>0.16666666666666666</v>
      </c>
      <c r="PC1" s="2">
        <v>0.20833333333333334</v>
      </c>
      <c r="PD1" s="2">
        <v>0.25</v>
      </c>
      <c r="PE1" s="2">
        <v>0.29166666666666669</v>
      </c>
      <c r="PF1" s="2">
        <v>0.33333333333333331</v>
      </c>
      <c r="PG1" s="2">
        <v>0.375</v>
      </c>
      <c r="PH1" s="2">
        <v>0.41666666666666669</v>
      </c>
      <c r="PI1" s="2">
        <v>0.45833333333333331</v>
      </c>
      <c r="PJ1" s="2">
        <v>0.5</v>
      </c>
      <c r="PK1" s="2">
        <v>0.54166666666666663</v>
      </c>
      <c r="PL1" s="2">
        <v>0.58333333333333337</v>
      </c>
      <c r="PM1" s="2">
        <v>0.625</v>
      </c>
      <c r="PN1" s="2">
        <v>0.66666666666666663</v>
      </c>
      <c r="PO1" s="2">
        <v>0.70833333333333337</v>
      </c>
      <c r="PP1" s="2">
        <v>0.75</v>
      </c>
      <c r="PQ1" s="2">
        <v>0.79166666666666663</v>
      </c>
      <c r="PR1" s="2">
        <v>0.83333333333333337</v>
      </c>
      <c r="PS1" s="2">
        <v>0.875</v>
      </c>
      <c r="PT1" s="2">
        <v>0.91666666666666663</v>
      </c>
      <c r="PU1" s="2">
        <v>0.95833333333333337</v>
      </c>
      <c r="PV1" s="2">
        <v>0</v>
      </c>
      <c r="PW1" s="2">
        <v>4.1666666666666664E-2</v>
      </c>
      <c r="PX1" s="2">
        <v>8.3333333333333329E-2</v>
      </c>
      <c r="PY1" s="2">
        <v>0.125</v>
      </c>
      <c r="PZ1" s="2">
        <v>0.16666666666666666</v>
      </c>
      <c r="QA1" s="2">
        <v>0.20833333333333334</v>
      </c>
      <c r="QB1" s="2">
        <v>0.25</v>
      </c>
      <c r="QC1" s="2">
        <v>0.29166666666666669</v>
      </c>
      <c r="QD1" s="2">
        <v>0.33333333333333331</v>
      </c>
      <c r="QE1" s="2">
        <v>0.375</v>
      </c>
      <c r="QF1" s="2">
        <v>0.41666666666666669</v>
      </c>
      <c r="QG1" s="2">
        <v>0.45833333333333331</v>
      </c>
      <c r="QH1" s="2">
        <v>0.5</v>
      </c>
      <c r="QI1" s="2">
        <v>0.54166666666666663</v>
      </c>
      <c r="QJ1" s="2">
        <v>0.58333333333333337</v>
      </c>
      <c r="QK1" s="2">
        <v>0.625</v>
      </c>
      <c r="QL1" s="2">
        <v>0.66666666666666663</v>
      </c>
      <c r="QM1" s="2">
        <v>0.70833333333333337</v>
      </c>
      <c r="QN1" s="2">
        <v>0.75</v>
      </c>
      <c r="QO1" s="2">
        <v>0.79166666666666663</v>
      </c>
      <c r="QP1" s="2">
        <v>0.83333333333333337</v>
      </c>
      <c r="QQ1" s="2">
        <v>0.875</v>
      </c>
      <c r="QR1" s="2">
        <v>0.91666666666666663</v>
      </c>
      <c r="QS1" s="2">
        <v>0.95833333333333337</v>
      </c>
      <c r="QT1" s="2">
        <v>0</v>
      </c>
      <c r="QU1" s="2">
        <v>4.1666666666666664E-2</v>
      </c>
      <c r="QV1" s="2">
        <v>8.3333333333333329E-2</v>
      </c>
      <c r="QW1" s="2">
        <v>0.125</v>
      </c>
      <c r="QX1" s="2">
        <v>0.16666666666666666</v>
      </c>
      <c r="QY1" s="2">
        <v>0.20833333333333334</v>
      </c>
      <c r="QZ1" s="2">
        <v>0.25</v>
      </c>
      <c r="RA1" s="2">
        <v>0.29166666666666669</v>
      </c>
      <c r="RB1" s="2">
        <v>0.33333333333333331</v>
      </c>
      <c r="RC1" s="2">
        <v>0.375</v>
      </c>
      <c r="RD1" s="2">
        <v>0.41666666666666669</v>
      </c>
      <c r="RE1" s="2">
        <v>0.45833333333333331</v>
      </c>
      <c r="RF1" s="2">
        <v>0.5</v>
      </c>
      <c r="RG1" s="2">
        <v>0.54166666666666663</v>
      </c>
      <c r="RH1" s="2">
        <v>0.58333333333333337</v>
      </c>
      <c r="RI1" s="2">
        <v>0.625</v>
      </c>
      <c r="RJ1" s="2">
        <v>0.66666666666666663</v>
      </c>
      <c r="RK1" s="2">
        <v>0.70833333333333337</v>
      </c>
      <c r="RL1" s="2">
        <v>0.75</v>
      </c>
      <c r="RM1" s="2">
        <v>0.79166666666666663</v>
      </c>
      <c r="RN1" s="2">
        <v>0.83333333333333337</v>
      </c>
      <c r="RO1" s="2">
        <v>0.875</v>
      </c>
      <c r="RP1" s="2">
        <v>0.91666666666666663</v>
      </c>
      <c r="RQ1" s="2">
        <v>0.95833333333333337</v>
      </c>
      <c r="RR1" s="2">
        <v>0</v>
      </c>
      <c r="RS1" s="2">
        <v>4.1666666666666664E-2</v>
      </c>
      <c r="RT1" s="2">
        <v>8.3333333333333329E-2</v>
      </c>
      <c r="RU1" s="2">
        <v>0.125</v>
      </c>
      <c r="RV1" s="2">
        <v>0.16666666666666666</v>
      </c>
      <c r="RW1" s="2">
        <v>0.20833333333333334</v>
      </c>
      <c r="RX1" s="2">
        <v>0.25</v>
      </c>
      <c r="RY1" s="2">
        <v>0.29166666666666669</v>
      </c>
      <c r="RZ1" s="2">
        <v>0.33333333333333331</v>
      </c>
      <c r="SA1" s="2">
        <v>0.375</v>
      </c>
      <c r="SB1" s="2">
        <v>0.41666666666666669</v>
      </c>
      <c r="SC1" s="2">
        <v>0.45833333333333331</v>
      </c>
      <c r="SD1" s="2">
        <v>0.5</v>
      </c>
      <c r="SE1" s="2">
        <v>0.54166666666666663</v>
      </c>
      <c r="SF1" s="2">
        <v>0.58333333333333337</v>
      </c>
      <c r="SG1" s="2">
        <v>0.625</v>
      </c>
      <c r="SH1" s="2">
        <v>0.66666666666666663</v>
      </c>
      <c r="SI1" s="2">
        <v>0.70833333333333337</v>
      </c>
      <c r="SJ1" s="2">
        <v>0.75</v>
      </c>
      <c r="SK1" s="2">
        <v>0.79166666666666663</v>
      </c>
      <c r="SL1" s="2">
        <v>0.83333333333333337</v>
      </c>
      <c r="SM1" s="2">
        <v>0.875</v>
      </c>
      <c r="SN1" s="2">
        <v>0.91666666666666663</v>
      </c>
      <c r="SO1" s="2">
        <v>0.95833333333333337</v>
      </c>
      <c r="SP1" s="2">
        <v>0</v>
      </c>
      <c r="SQ1" s="2">
        <v>4.1666666666666664E-2</v>
      </c>
      <c r="SR1" s="2">
        <v>8.3333333333333329E-2</v>
      </c>
      <c r="SS1" s="2">
        <v>0.125</v>
      </c>
      <c r="ST1" s="2">
        <v>0.16666666666666666</v>
      </c>
      <c r="SU1" s="2">
        <v>0.20833333333333334</v>
      </c>
      <c r="SV1" s="2">
        <v>0.25</v>
      </c>
      <c r="SW1" s="2">
        <v>0.29166666666666669</v>
      </c>
      <c r="SX1" s="2">
        <v>0.33333333333333331</v>
      </c>
      <c r="SY1" s="2">
        <v>0.375</v>
      </c>
      <c r="SZ1" s="2">
        <v>0.41666666666666669</v>
      </c>
      <c r="TA1" s="2">
        <v>0.45833333333333331</v>
      </c>
      <c r="TB1" s="2">
        <v>0.5</v>
      </c>
      <c r="TC1" s="2">
        <v>0.54166666666666663</v>
      </c>
      <c r="TD1" s="2">
        <v>0.58333333333333337</v>
      </c>
      <c r="TE1" s="2">
        <v>0.625</v>
      </c>
      <c r="TF1" s="2">
        <v>0.66666666666666663</v>
      </c>
      <c r="TG1" s="2">
        <v>0.70833333333333337</v>
      </c>
      <c r="TH1" s="2">
        <v>0.75</v>
      </c>
      <c r="TI1" s="2">
        <v>0.79166666666666663</v>
      </c>
      <c r="TJ1" s="2">
        <v>0.83333333333333337</v>
      </c>
      <c r="TK1" s="2">
        <v>0.875</v>
      </c>
      <c r="TL1" s="2">
        <v>0.91666666666666663</v>
      </c>
      <c r="TM1" s="2">
        <v>0.95833333333333337</v>
      </c>
      <c r="TN1" s="2">
        <v>0</v>
      </c>
      <c r="TO1" s="2">
        <v>4.1666666666666664E-2</v>
      </c>
      <c r="TP1" s="2">
        <v>8.3333333333333329E-2</v>
      </c>
      <c r="TQ1" s="2">
        <v>0.125</v>
      </c>
      <c r="TR1" s="2">
        <v>0.16666666666666666</v>
      </c>
      <c r="TS1" s="2">
        <v>0.20833333333333334</v>
      </c>
      <c r="TT1" s="2">
        <v>0.25</v>
      </c>
      <c r="TU1" s="2">
        <v>0.29166666666666669</v>
      </c>
      <c r="TV1" s="2">
        <v>0.33333333333333331</v>
      </c>
      <c r="TW1" s="2">
        <v>0.375</v>
      </c>
      <c r="TX1" s="2">
        <v>0.41666666666666669</v>
      </c>
      <c r="TY1" s="2">
        <v>0.45833333333333331</v>
      </c>
      <c r="TZ1" s="2">
        <v>0.5</v>
      </c>
      <c r="UA1" s="2">
        <v>0.54166666666666663</v>
      </c>
      <c r="UB1" s="2">
        <v>0.58333333333333337</v>
      </c>
      <c r="UC1" s="2">
        <v>0.625</v>
      </c>
      <c r="UD1" s="2">
        <v>0.66666666666666663</v>
      </c>
      <c r="UE1" s="2">
        <v>0.70833333333333337</v>
      </c>
      <c r="UF1" s="2">
        <v>0.75</v>
      </c>
      <c r="UG1" s="2">
        <v>0.79166666666666663</v>
      </c>
      <c r="UH1" s="2">
        <v>0.83333333333333337</v>
      </c>
      <c r="UI1" s="2">
        <v>0.875</v>
      </c>
      <c r="UJ1" s="2">
        <v>0.91666666666666663</v>
      </c>
      <c r="UK1" s="2">
        <v>0.95833333333333337</v>
      </c>
      <c r="UL1" s="2">
        <v>0</v>
      </c>
      <c r="UM1" s="2">
        <v>4.1666666666666664E-2</v>
      </c>
      <c r="UN1" s="2">
        <v>8.3333333333333329E-2</v>
      </c>
      <c r="UO1" s="2">
        <v>0.125</v>
      </c>
      <c r="UP1" s="2">
        <v>0.16666666666666666</v>
      </c>
      <c r="UQ1" s="2">
        <v>0.20833333333333334</v>
      </c>
      <c r="UR1" s="2">
        <v>0.25</v>
      </c>
      <c r="US1" s="2">
        <v>0.29166666666666669</v>
      </c>
      <c r="UT1" s="2">
        <v>0.33333333333333331</v>
      </c>
      <c r="UU1" s="2">
        <v>0.375</v>
      </c>
      <c r="UV1" s="2">
        <v>0.41666666666666669</v>
      </c>
      <c r="UW1" s="2">
        <v>0.45833333333333331</v>
      </c>
      <c r="UX1" s="2">
        <v>0.5</v>
      </c>
      <c r="UY1" s="2">
        <v>0.54166666666666663</v>
      </c>
      <c r="UZ1" s="2">
        <v>0.58333333333333337</v>
      </c>
      <c r="VA1" s="2">
        <v>0.625</v>
      </c>
      <c r="VB1" s="2">
        <v>0.66666666666666663</v>
      </c>
      <c r="VC1" s="2">
        <v>0.70833333333333337</v>
      </c>
      <c r="VD1" s="2">
        <v>0.75</v>
      </c>
      <c r="VE1" s="2">
        <v>0.79166666666666663</v>
      </c>
      <c r="VF1" s="2">
        <v>0.83333333333333337</v>
      </c>
      <c r="VG1" s="2">
        <v>0.875</v>
      </c>
      <c r="VH1" s="2">
        <v>0.91666666666666663</v>
      </c>
      <c r="VI1" s="2">
        <v>0.95833333333333337</v>
      </c>
      <c r="VJ1" s="2">
        <v>0</v>
      </c>
      <c r="VK1" s="2">
        <v>4.1666666666666664E-2</v>
      </c>
      <c r="VL1" s="2">
        <v>8.3333333333333329E-2</v>
      </c>
      <c r="VM1" s="2">
        <v>0.125</v>
      </c>
      <c r="VN1" s="2">
        <v>0.16666666666666666</v>
      </c>
      <c r="VO1" s="2">
        <v>0.20833333333333334</v>
      </c>
      <c r="VP1" s="2">
        <v>0.25</v>
      </c>
      <c r="VQ1" s="2">
        <v>0.29166666666666669</v>
      </c>
      <c r="VR1" s="2">
        <v>0.33333333333333331</v>
      </c>
      <c r="VS1" s="2">
        <v>0.375</v>
      </c>
      <c r="VT1" s="2">
        <v>0.41666666666666669</v>
      </c>
      <c r="VU1" s="2">
        <v>0.45833333333333331</v>
      </c>
      <c r="VV1" s="2">
        <v>0.5</v>
      </c>
      <c r="VW1" s="2">
        <v>0.54166666666666663</v>
      </c>
      <c r="VX1" s="2">
        <v>0.58333333333333337</v>
      </c>
      <c r="VY1" s="2">
        <v>0.625</v>
      </c>
      <c r="VZ1" s="2">
        <v>0.66666666666666663</v>
      </c>
      <c r="WA1" s="2">
        <v>0.70833333333333337</v>
      </c>
      <c r="WB1" s="2">
        <v>0.75</v>
      </c>
      <c r="WC1" s="2">
        <v>0.79166666666666663</v>
      </c>
      <c r="WD1" s="2">
        <v>0.83333333333333337</v>
      </c>
      <c r="WE1" s="2">
        <v>0.875</v>
      </c>
      <c r="WF1" s="2">
        <v>0.91666666666666663</v>
      </c>
      <c r="WG1" s="2">
        <v>0.95833333333333337</v>
      </c>
      <c r="WH1" s="2">
        <v>0</v>
      </c>
      <c r="WI1" s="2">
        <v>4.1666666666666664E-2</v>
      </c>
      <c r="WJ1" s="2">
        <v>8.3333333333333329E-2</v>
      </c>
      <c r="WK1" s="2">
        <v>0.125</v>
      </c>
      <c r="WL1" s="2">
        <v>0.16666666666666666</v>
      </c>
      <c r="WM1" s="2">
        <v>0.20833333333333334</v>
      </c>
      <c r="WN1" s="2">
        <v>0.25</v>
      </c>
      <c r="WO1" s="2">
        <v>0.29166666666666669</v>
      </c>
      <c r="WP1" s="2">
        <v>0.33333333333333331</v>
      </c>
      <c r="WQ1" s="2">
        <v>0.375</v>
      </c>
      <c r="WR1" s="2">
        <v>0.41666666666666669</v>
      </c>
      <c r="WS1" s="2">
        <v>0.45833333333333331</v>
      </c>
      <c r="WT1" s="2">
        <v>0.5</v>
      </c>
      <c r="WU1" s="2">
        <v>0.54166666666666663</v>
      </c>
      <c r="WV1" s="2">
        <v>0.58333333333333337</v>
      </c>
      <c r="WW1" s="2">
        <v>0.625</v>
      </c>
      <c r="WX1" s="2">
        <v>0.66666666666666663</v>
      </c>
      <c r="WY1" s="2">
        <v>0.70833333333333337</v>
      </c>
      <c r="WZ1" s="2">
        <v>0.75</v>
      </c>
      <c r="XA1" s="2">
        <v>0.79166666666666663</v>
      </c>
      <c r="XB1" s="2">
        <v>0.83333333333333337</v>
      </c>
      <c r="XC1" s="2">
        <v>0.875</v>
      </c>
      <c r="XD1" s="2">
        <v>0.91666666666666663</v>
      </c>
      <c r="XE1" s="2">
        <v>0.95833333333333337</v>
      </c>
      <c r="XF1" s="2">
        <v>0</v>
      </c>
      <c r="XG1" s="2">
        <v>4.1666666666666664E-2</v>
      </c>
      <c r="XH1" s="2">
        <v>8.3333333333333329E-2</v>
      </c>
      <c r="XI1" s="2">
        <v>0.125</v>
      </c>
      <c r="XJ1" s="2">
        <v>0.16666666666666666</v>
      </c>
      <c r="XK1" s="2">
        <v>0.20833333333333334</v>
      </c>
      <c r="XL1" s="2">
        <v>0.25</v>
      </c>
      <c r="XM1" s="2">
        <v>0.29166666666666669</v>
      </c>
      <c r="XN1" s="2">
        <v>0.33333333333333331</v>
      </c>
      <c r="XO1" s="2">
        <v>0.375</v>
      </c>
      <c r="XP1" s="2">
        <v>0.41666666666666669</v>
      </c>
      <c r="XQ1" s="2">
        <v>0.45833333333333331</v>
      </c>
      <c r="XR1" s="2">
        <v>0.5</v>
      </c>
      <c r="XS1" s="2">
        <v>0.54166666666666663</v>
      </c>
      <c r="XT1" s="2">
        <v>0.58333333333333337</v>
      </c>
      <c r="XU1" s="2">
        <v>0.625</v>
      </c>
      <c r="XV1" s="2">
        <v>0.66666666666666663</v>
      </c>
      <c r="XW1" s="2">
        <v>0.70833333333333337</v>
      </c>
      <c r="XX1" s="2">
        <v>0.75</v>
      </c>
      <c r="XY1" s="2">
        <v>0.79166666666666663</v>
      </c>
      <c r="XZ1" s="2">
        <v>0.83333333333333337</v>
      </c>
      <c r="YA1" s="2">
        <v>0.875</v>
      </c>
      <c r="YB1" s="2">
        <v>0.91666666666666663</v>
      </c>
      <c r="YC1" s="2">
        <v>0.95833333333333337</v>
      </c>
      <c r="YD1" s="2">
        <v>0</v>
      </c>
      <c r="YE1" s="2">
        <v>4.1666666666666664E-2</v>
      </c>
      <c r="YF1" s="2">
        <v>8.3333333333333329E-2</v>
      </c>
      <c r="YG1" s="2">
        <v>0.125</v>
      </c>
      <c r="YH1" s="2">
        <v>0.16666666666666666</v>
      </c>
      <c r="YI1" s="2">
        <v>0.20833333333333334</v>
      </c>
      <c r="YJ1" s="2">
        <v>0.25</v>
      </c>
      <c r="YK1" s="2">
        <v>0.29166666666666669</v>
      </c>
      <c r="YL1" s="2">
        <v>0.33333333333333331</v>
      </c>
      <c r="YM1" s="2">
        <v>0.375</v>
      </c>
      <c r="YN1" s="2">
        <v>0.41666666666666669</v>
      </c>
      <c r="YO1" s="2">
        <v>0.45833333333333331</v>
      </c>
      <c r="YP1" s="2">
        <v>0.5</v>
      </c>
      <c r="YQ1" s="2">
        <v>0.54166666666666663</v>
      </c>
      <c r="YR1" s="2">
        <v>0.58333333333333337</v>
      </c>
      <c r="YS1" s="2">
        <v>0.625</v>
      </c>
      <c r="YT1" s="2">
        <v>0.66666666666666663</v>
      </c>
      <c r="YU1" s="2">
        <v>0.70833333333333337</v>
      </c>
      <c r="YV1" s="2">
        <v>0.75</v>
      </c>
      <c r="YW1" s="2">
        <v>0.79166666666666663</v>
      </c>
      <c r="YX1" s="2">
        <v>0.83333333333333337</v>
      </c>
      <c r="YY1" s="2">
        <v>0.875</v>
      </c>
      <c r="YZ1" s="2">
        <v>0.91666666666666663</v>
      </c>
      <c r="ZA1" s="2">
        <v>0.95833333333333337</v>
      </c>
      <c r="ZB1" s="2">
        <v>0</v>
      </c>
      <c r="ZC1" s="2">
        <v>4.1666666666666664E-2</v>
      </c>
      <c r="ZD1" s="2">
        <v>8.3333333333333329E-2</v>
      </c>
      <c r="ZE1" s="2">
        <v>0.125</v>
      </c>
      <c r="ZF1" s="2">
        <v>0.16666666666666666</v>
      </c>
      <c r="ZG1" s="2">
        <v>0.20833333333333334</v>
      </c>
      <c r="ZH1" s="2">
        <v>0.25</v>
      </c>
      <c r="ZI1" s="2">
        <v>0.29166666666666669</v>
      </c>
      <c r="ZJ1" s="2">
        <v>0.33333333333333331</v>
      </c>
      <c r="ZK1" s="2">
        <v>0.375</v>
      </c>
      <c r="ZL1" s="2">
        <v>0.41666666666666669</v>
      </c>
      <c r="ZM1" s="2">
        <v>0.45833333333333331</v>
      </c>
      <c r="ZN1" s="2">
        <v>0.5</v>
      </c>
      <c r="ZO1" s="2">
        <v>0.54166666666666663</v>
      </c>
      <c r="ZP1" s="2">
        <v>0.58333333333333337</v>
      </c>
      <c r="ZQ1" s="2">
        <v>0.625</v>
      </c>
      <c r="ZR1" s="2">
        <v>0.66666666666666663</v>
      </c>
      <c r="ZS1" s="2">
        <v>0.70833333333333337</v>
      </c>
      <c r="ZT1" s="2">
        <v>0.75</v>
      </c>
      <c r="ZU1" s="2">
        <v>0.79166666666666663</v>
      </c>
      <c r="ZV1" s="2">
        <v>0.83333333333333337</v>
      </c>
      <c r="ZW1" s="2">
        <v>0.875</v>
      </c>
      <c r="ZX1" s="2">
        <v>0.91666666666666663</v>
      </c>
      <c r="ZY1" s="2">
        <v>0.95833333333333337</v>
      </c>
      <c r="ZZ1" s="2">
        <v>0</v>
      </c>
      <c r="AAA1" s="2">
        <v>4.1666666666666664E-2</v>
      </c>
      <c r="AAB1" s="2">
        <v>8.3333333333333329E-2</v>
      </c>
      <c r="AAC1" s="2">
        <v>0.125</v>
      </c>
      <c r="AAD1" s="2">
        <v>0.16666666666666666</v>
      </c>
      <c r="AAE1" s="2">
        <v>0.20833333333333334</v>
      </c>
      <c r="AAF1" s="2">
        <v>0.25</v>
      </c>
      <c r="AAG1" s="2">
        <v>0.29166666666666669</v>
      </c>
      <c r="AAH1" s="2">
        <v>0.33333333333333331</v>
      </c>
      <c r="AAI1" s="2">
        <v>0.375</v>
      </c>
      <c r="AAJ1" s="2">
        <v>0.41666666666666669</v>
      </c>
      <c r="AAK1" s="2">
        <v>0.45833333333333331</v>
      </c>
      <c r="AAL1" s="2">
        <v>0.5</v>
      </c>
      <c r="AAM1" s="2">
        <v>0.54166666666666663</v>
      </c>
      <c r="AAN1" s="2">
        <v>0.58333333333333337</v>
      </c>
      <c r="AAO1" s="2">
        <v>0.625</v>
      </c>
      <c r="AAP1" s="2">
        <v>0.66666666666666663</v>
      </c>
      <c r="AAQ1" s="2">
        <v>0.70833333333333337</v>
      </c>
      <c r="AAR1" s="2">
        <v>0.75</v>
      </c>
      <c r="AAS1" s="2">
        <v>0.79166666666666663</v>
      </c>
      <c r="AAT1" s="2">
        <v>0.83333333333333337</v>
      </c>
      <c r="AAU1" s="2">
        <v>0.875</v>
      </c>
      <c r="AAV1" s="2">
        <v>0.91666666666666663</v>
      </c>
      <c r="AAW1" s="2">
        <v>0.95833333333333337</v>
      </c>
      <c r="AAX1" s="2">
        <v>0</v>
      </c>
      <c r="AAY1" s="2">
        <v>4.1666666666666664E-2</v>
      </c>
      <c r="AAZ1" s="2">
        <v>8.3333333333333329E-2</v>
      </c>
      <c r="ABA1" s="2">
        <v>0.125</v>
      </c>
      <c r="ABB1" s="2">
        <v>0.16666666666666666</v>
      </c>
      <c r="ABC1" s="2">
        <v>0.20833333333333334</v>
      </c>
      <c r="ABD1" s="2">
        <v>0.25</v>
      </c>
      <c r="ABE1" s="2">
        <v>0.29166666666666669</v>
      </c>
      <c r="ABF1" s="2">
        <v>0.33333333333333331</v>
      </c>
      <c r="ABG1" s="2">
        <v>0.375</v>
      </c>
      <c r="ABH1" s="2">
        <v>0.41666666666666669</v>
      </c>
      <c r="ABI1" s="2">
        <v>0.45833333333333331</v>
      </c>
      <c r="ABJ1" s="2">
        <v>0.5</v>
      </c>
      <c r="ABK1" s="2">
        <v>0.54166666666666663</v>
      </c>
      <c r="ABL1" s="2">
        <v>0.58333333333333337</v>
      </c>
      <c r="ABM1" s="2">
        <v>0.625</v>
      </c>
      <c r="ABN1" s="2">
        <v>0.66666666666666663</v>
      </c>
      <c r="ABO1" s="2">
        <v>0.70833333333333337</v>
      </c>
      <c r="ABP1" s="2">
        <v>0.75</v>
      </c>
      <c r="ABQ1" s="2">
        <v>0.79166666666666663</v>
      </c>
      <c r="ABR1" s="2">
        <v>0.83333333333333337</v>
      </c>
      <c r="ABS1" s="2">
        <v>0.875</v>
      </c>
      <c r="ABT1" s="2">
        <v>0.91666666666666663</v>
      </c>
      <c r="ABU1" s="2">
        <v>0.95833333333333337</v>
      </c>
      <c r="ABV1" s="2"/>
    </row>
    <row r="2" spans="1:750">
      <c r="A2" s="1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>
        <v>952866</v>
      </c>
      <c r="G2" s="1">
        <v>953589</v>
      </c>
      <c r="H2" s="1">
        <v>954281</v>
      </c>
      <c r="I2" s="1">
        <v>954953</v>
      </c>
      <c r="J2" s="1">
        <v>955615</v>
      </c>
      <c r="K2" s="1">
        <v>956267</v>
      </c>
      <c r="L2" s="1">
        <v>956894</v>
      </c>
      <c r="M2" s="1">
        <v>957532</v>
      </c>
      <c r="N2" s="1">
        <v>958193</v>
      </c>
      <c r="O2" s="1">
        <v>958875</v>
      </c>
      <c r="P2" s="1">
        <v>959565</v>
      </c>
      <c r="Q2" s="1">
        <v>960302</v>
      </c>
      <c r="R2" s="1">
        <v>961074</v>
      </c>
      <c r="S2" s="1">
        <v>961883</v>
      </c>
      <c r="T2" s="1">
        <v>962710</v>
      </c>
      <c r="U2" s="1">
        <v>963571</v>
      </c>
      <c r="V2" s="1">
        <v>964468</v>
      </c>
      <c r="W2" s="1">
        <v>965404</v>
      </c>
      <c r="X2" s="1">
        <v>966337</v>
      </c>
      <c r="Y2" s="1">
        <v>967240</v>
      </c>
      <c r="Z2" s="1">
        <v>968097</v>
      </c>
      <c r="AA2" s="1">
        <v>968883</v>
      </c>
      <c r="AB2" s="1">
        <v>969650</v>
      </c>
      <c r="AC2" s="1">
        <v>970408</v>
      </c>
      <c r="AD2" s="1">
        <v>971169</v>
      </c>
      <c r="AE2" s="1">
        <v>971919</v>
      </c>
      <c r="AF2" s="1">
        <v>972661</v>
      </c>
      <c r="AG2" s="1">
        <v>973382</v>
      </c>
      <c r="AH2" s="1">
        <v>974103</v>
      </c>
      <c r="AI2" s="1">
        <v>974828</v>
      </c>
      <c r="AJ2" s="1">
        <v>975536</v>
      </c>
      <c r="AK2" s="1">
        <v>976269</v>
      </c>
      <c r="AL2" s="1">
        <v>977058</v>
      </c>
      <c r="AM2" s="1">
        <v>978033</v>
      </c>
      <c r="AN2" s="1">
        <v>979301</v>
      </c>
      <c r="AO2" s="1">
        <v>980745</v>
      </c>
      <c r="AP2" s="1">
        <v>982227</v>
      </c>
      <c r="AQ2" s="1">
        <v>983715</v>
      </c>
      <c r="AR2" s="1">
        <v>985215</v>
      </c>
      <c r="AS2" s="1">
        <v>986744</v>
      </c>
      <c r="AT2" s="1">
        <v>988289</v>
      </c>
      <c r="AU2" s="1">
        <v>989709</v>
      </c>
      <c r="AV2" s="1">
        <v>991011</v>
      </c>
      <c r="AW2" s="1">
        <v>992171</v>
      </c>
      <c r="AX2" s="1">
        <v>993242</v>
      </c>
      <c r="AY2" s="1">
        <v>994238</v>
      </c>
      <c r="AZ2" s="1">
        <v>995136</v>
      </c>
      <c r="BA2" s="1">
        <v>995989</v>
      </c>
      <c r="BB2" s="1">
        <v>996807</v>
      </c>
      <c r="BC2" s="1">
        <v>997601</v>
      </c>
      <c r="BD2" s="1">
        <v>998373</v>
      </c>
      <c r="BE2" s="1">
        <v>999126</v>
      </c>
      <c r="BF2" s="1">
        <v>999860</v>
      </c>
      <c r="BG2" s="1">
        <v>584</v>
      </c>
      <c r="BH2" s="1">
        <v>1293</v>
      </c>
      <c r="BI2" s="1">
        <v>2023</v>
      </c>
      <c r="BJ2" s="1">
        <v>2822</v>
      </c>
      <c r="BK2" s="1">
        <v>3767</v>
      </c>
      <c r="BL2" s="1">
        <v>5072</v>
      </c>
      <c r="BM2" s="1">
        <v>6586</v>
      </c>
      <c r="BN2" s="1">
        <v>8062</v>
      </c>
      <c r="BO2" s="1">
        <v>9539</v>
      </c>
      <c r="BP2" s="1">
        <v>11037</v>
      </c>
      <c r="BQ2" s="1">
        <v>12546</v>
      </c>
      <c r="BR2" s="1">
        <v>14040</v>
      </c>
      <c r="BS2" s="1">
        <v>15498</v>
      </c>
      <c r="BT2" s="1">
        <v>16713</v>
      </c>
      <c r="BU2" s="1">
        <v>17777</v>
      </c>
      <c r="BV2" s="1">
        <v>18757</v>
      </c>
      <c r="BW2" s="1">
        <v>19646</v>
      </c>
      <c r="BX2" s="1">
        <v>20478</v>
      </c>
      <c r="BY2" s="1">
        <v>21279</v>
      </c>
      <c r="BZ2" s="1">
        <v>22065</v>
      </c>
      <c r="CA2" s="1">
        <v>22820</v>
      </c>
      <c r="CB2" s="1">
        <v>23554</v>
      </c>
      <c r="CC2" s="1">
        <v>24282</v>
      </c>
      <c r="CD2" s="1">
        <v>24996</v>
      </c>
      <c r="CE2" s="1">
        <v>25700</v>
      </c>
      <c r="CF2" s="1">
        <v>26407</v>
      </c>
      <c r="CG2" s="1">
        <v>27138</v>
      </c>
      <c r="CH2" s="1">
        <v>27920</v>
      </c>
      <c r="CI2" s="1">
        <v>29023</v>
      </c>
      <c r="CJ2" s="1">
        <v>30360</v>
      </c>
      <c r="CK2" s="1">
        <v>31872</v>
      </c>
      <c r="CL2" s="1">
        <v>33440</v>
      </c>
      <c r="CM2" s="1">
        <v>35007</v>
      </c>
      <c r="CN2" s="1">
        <v>36662</v>
      </c>
      <c r="CO2" s="1">
        <v>38294</v>
      </c>
      <c r="CP2" s="1">
        <v>39877</v>
      </c>
      <c r="CQ2" s="1">
        <v>41437</v>
      </c>
      <c r="CR2" s="1">
        <v>42790</v>
      </c>
      <c r="CS2" s="1">
        <v>43922</v>
      </c>
      <c r="CT2" s="1">
        <v>44914</v>
      </c>
      <c r="CU2" s="1">
        <v>45828</v>
      </c>
      <c r="CV2" s="1">
        <v>46688</v>
      </c>
      <c r="CW2" s="1">
        <v>47545</v>
      </c>
      <c r="CX2" s="1">
        <v>48384</v>
      </c>
      <c r="CY2" s="1">
        <v>49196</v>
      </c>
      <c r="CZ2" s="1">
        <v>49993</v>
      </c>
      <c r="DA2" s="1">
        <v>50768</v>
      </c>
      <c r="DB2" s="1">
        <v>51540</v>
      </c>
      <c r="DC2" s="1">
        <v>52294</v>
      </c>
      <c r="DD2" s="1">
        <v>53026</v>
      </c>
      <c r="DE2" s="1">
        <v>53752</v>
      </c>
      <c r="DF2" s="1">
        <v>54513</v>
      </c>
      <c r="DG2" s="1">
        <v>55425</v>
      </c>
      <c r="DH2" s="1">
        <v>56593</v>
      </c>
      <c r="DI2" s="1">
        <v>57971</v>
      </c>
      <c r="DJ2" s="1">
        <v>59352</v>
      </c>
      <c r="DK2" s="1">
        <v>60774</v>
      </c>
      <c r="DL2" s="1">
        <v>62224</v>
      </c>
      <c r="DM2" s="1">
        <v>63738</v>
      </c>
      <c r="DN2" s="1">
        <v>65217</v>
      </c>
      <c r="DO2" s="1">
        <v>66574</v>
      </c>
      <c r="DP2" s="1">
        <v>67782</v>
      </c>
      <c r="DQ2" s="1">
        <v>68819</v>
      </c>
      <c r="DR2" s="1">
        <v>69774</v>
      </c>
      <c r="DS2" s="1">
        <v>70655</v>
      </c>
      <c r="DT2" s="1">
        <v>71525</v>
      </c>
      <c r="DU2" s="1">
        <v>72381</v>
      </c>
      <c r="DV2" s="1">
        <v>73216</v>
      </c>
      <c r="DW2" s="1">
        <v>74012</v>
      </c>
      <c r="DX2" s="1">
        <v>74791</v>
      </c>
      <c r="DY2" s="1">
        <v>75539</v>
      </c>
      <c r="DZ2" s="1">
        <v>76265</v>
      </c>
      <c r="EA2" s="1">
        <v>76993</v>
      </c>
      <c r="EB2" s="1">
        <v>77703</v>
      </c>
      <c r="EC2" s="1">
        <v>78418</v>
      </c>
      <c r="ED2" s="1">
        <v>79176</v>
      </c>
      <c r="EE2" s="1">
        <v>80041</v>
      </c>
      <c r="EF2" s="1">
        <v>81149</v>
      </c>
      <c r="EG2" s="1">
        <v>82430</v>
      </c>
      <c r="EH2" s="1">
        <v>83747</v>
      </c>
      <c r="EI2" s="1">
        <v>85061</v>
      </c>
      <c r="EJ2" s="1">
        <v>86523</v>
      </c>
      <c r="EK2" s="1">
        <v>87969</v>
      </c>
      <c r="EL2" s="1">
        <v>89347</v>
      </c>
      <c r="EM2" s="1">
        <v>90702</v>
      </c>
      <c r="EN2" s="1">
        <v>91846</v>
      </c>
      <c r="EO2" s="1">
        <v>92833</v>
      </c>
      <c r="EP2" s="1">
        <v>93725</v>
      </c>
      <c r="EQ2" s="1">
        <v>94548</v>
      </c>
      <c r="ER2" s="1">
        <v>95321</v>
      </c>
      <c r="ES2" s="1">
        <v>96054</v>
      </c>
      <c r="ET2" s="1">
        <v>96772</v>
      </c>
      <c r="EU2" s="1">
        <v>97461</v>
      </c>
      <c r="EV2" s="1">
        <v>98121</v>
      </c>
      <c r="EW2" s="1">
        <v>98771</v>
      </c>
      <c r="EX2" s="1">
        <v>99409</v>
      </c>
      <c r="EY2" s="1">
        <v>100045</v>
      </c>
      <c r="EZ2" s="1">
        <v>100681</v>
      </c>
      <c r="FA2" s="1">
        <v>101312</v>
      </c>
      <c r="FB2" s="1">
        <v>101956</v>
      </c>
      <c r="FC2" s="1">
        <v>102793</v>
      </c>
      <c r="FD2" s="1">
        <v>103856</v>
      </c>
      <c r="FE2" s="1">
        <v>104982</v>
      </c>
      <c r="FF2" s="1">
        <v>106097</v>
      </c>
      <c r="FG2" s="1">
        <v>107202</v>
      </c>
      <c r="FH2" s="1">
        <v>108273</v>
      </c>
      <c r="FI2" s="1">
        <v>109263</v>
      </c>
      <c r="FJ2" s="1">
        <v>110190</v>
      </c>
      <c r="FK2" s="1">
        <v>111012</v>
      </c>
      <c r="FL2" s="1">
        <v>111720</v>
      </c>
      <c r="FM2" s="1">
        <v>112380</v>
      </c>
      <c r="FN2" s="1">
        <v>113041</v>
      </c>
      <c r="FO2" s="1">
        <v>113703</v>
      </c>
      <c r="FP2" s="1">
        <v>114351</v>
      </c>
      <c r="FQ2" s="1">
        <v>114993</v>
      </c>
      <c r="FR2" s="1">
        <v>115618</v>
      </c>
      <c r="FS2" s="1">
        <v>116245</v>
      </c>
      <c r="FT2" s="1">
        <v>116865</v>
      </c>
      <c r="FU2" s="1">
        <v>117484</v>
      </c>
      <c r="FV2" s="1">
        <v>118095</v>
      </c>
      <c r="FW2" s="1">
        <v>118705</v>
      </c>
      <c r="FX2" s="1">
        <v>119312</v>
      </c>
      <c r="FY2" s="1">
        <v>119920</v>
      </c>
      <c r="FZ2" s="1">
        <v>120522</v>
      </c>
      <c r="GA2" s="1">
        <v>121134</v>
      </c>
      <c r="GB2" s="1">
        <v>121750</v>
      </c>
      <c r="GC2" s="1">
        <v>122382</v>
      </c>
      <c r="GD2" s="1">
        <v>123012</v>
      </c>
      <c r="GE2" s="1">
        <v>123630</v>
      </c>
      <c r="GF2" s="1">
        <v>124254</v>
      </c>
      <c r="GG2" s="1">
        <v>124862</v>
      </c>
      <c r="GH2" s="1">
        <v>125465</v>
      </c>
      <c r="GI2" s="1">
        <v>126090</v>
      </c>
      <c r="GJ2" s="1">
        <v>126724</v>
      </c>
      <c r="GK2" s="1">
        <v>127380</v>
      </c>
      <c r="GL2" s="1">
        <v>128031</v>
      </c>
      <c r="GM2" s="1">
        <v>128674</v>
      </c>
      <c r="GN2" s="1">
        <v>129308</v>
      </c>
      <c r="GO2" s="1">
        <v>129939</v>
      </c>
      <c r="GP2" s="1">
        <v>130568</v>
      </c>
      <c r="GQ2" s="1">
        <v>131197</v>
      </c>
      <c r="GR2" s="1">
        <v>131812</v>
      </c>
      <c r="GS2" s="1">
        <v>132422</v>
      </c>
      <c r="GT2" s="1">
        <v>133029</v>
      </c>
      <c r="GU2" s="1">
        <v>133635</v>
      </c>
      <c r="GV2" s="1">
        <v>134236</v>
      </c>
      <c r="GW2" s="1">
        <v>134846</v>
      </c>
      <c r="GX2" s="1">
        <v>135440</v>
      </c>
      <c r="GY2" s="1">
        <v>136048</v>
      </c>
      <c r="GZ2" s="1">
        <v>136700</v>
      </c>
      <c r="HA2" s="1">
        <v>137364</v>
      </c>
      <c r="HB2" s="1">
        <v>138043</v>
      </c>
      <c r="HC2" s="1">
        <v>138724</v>
      </c>
      <c r="HD2" s="1">
        <v>139448</v>
      </c>
      <c r="HE2" s="1">
        <v>140149</v>
      </c>
      <c r="HF2" s="1">
        <v>140834</v>
      </c>
      <c r="HG2" s="1">
        <v>141492</v>
      </c>
      <c r="HH2" s="1">
        <v>142141</v>
      </c>
      <c r="HI2" s="1">
        <v>142791</v>
      </c>
      <c r="HJ2" s="1">
        <v>143420</v>
      </c>
      <c r="HK2" s="1">
        <v>144050</v>
      </c>
      <c r="HL2" s="1">
        <v>144680</v>
      </c>
      <c r="HM2" s="1">
        <v>145314</v>
      </c>
      <c r="HN2" s="1">
        <v>145946</v>
      </c>
      <c r="HO2" s="1">
        <v>146565</v>
      </c>
      <c r="HP2" s="1">
        <v>147175</v>
      </c>
      <c r="HQ2" s="1">
        <v>147782</v>
      </c>
      <c r="HR2" s="1">
        <v>148379</v>
      </c>
      <c r="HS2" s="1">
        <v>148981</v>
      </c>
      <c r="HT2" s="1">
        <v>149567</v>
      </c>
      <c r="HU2" s="1">
        <v>150148</v>
      </c>
      <c r="HV2" s="1">
        <v>150727</v>
      </c>
      <c r="HW2" s="1">
        <v>151332</v>
      </c>
      <c r="HX2" s="1">
        <v>151969</v>
      </c>
      <c r="HY2" s="1">
        <v>152640</v>
      </c>
      <c r="HZ2" s="1">
        <v>153315</v>
      </c>
      <c r="IA2" s="1">
        <v>154004</v>
      </c>
      <c r="IB2" s="1">
        <v>154756</v>
      </c>
      <c r="IC2" s="1">
        <v>155521</v>
      </c>
      <c r="ID2" s="1">
        <v>156292</v>
      </c>
      <c r="IE2" s="1">
        <v>157055</v>
      </c>
      <c r="IF2" s="1">
        <v>157791</v>
      </c>
      <c r="IG2" s="1">
        <v>158490</v>
      </c>
      <c r="IH2" s="1">
        <v>159179</v>
      </c>
      <c r="II2" s="1">
        <v>159850</v>
      </c>
      <c r="IJ2" s="1">
        <v>160514</v>
      </c>
      <c r="IK2" s="1">
        <v>161170</v>
      </c>
      <c r="IL2" s="1">
        <v>161818</v>
      </c>
      <c r="IM2" s="1">
        <v>162455</v>
      </c>
      <c r="IN2" s="1">
        <v>163081</v>
      </c>
      <c r="IO2" s="1">
        <v>163699</v>
      </c>
      <c r="IP2" s="1">
        <v>164309</v>
      </c>
      <c r="IQ2" s="1">
        <v>164918</v>
      </c>
      <c r="IR2" s="1">
        <v>165520</v>
      </c>
      <c r="IS2" s="1">
        <v>166125</v>
      </c>
      <c r="IT2" s="1">
        <v>166751</v>
      </c>
      <c r="IU2" s="1">
        <v>167391</v>
      </c>
      <c r="IV2" s="1">
        <v>168055</v>
      </c>
      <c r="IW2" s="1">
        <v>168751</v>
      </c>
      <c r="IX2" s="1">
        <v>169441</v>
      </c>
      <c r="IY2" s="1">
        <v>170137</v>
      </c>
      <c r="IZ2" s="1">
        <v>170880</v>
      </c>
      <c r="JA2" s="1">
        <v>171647</v>
      </c>
      <c r="JB2" s="1">
        <v>172418</v>
      </c>
      <c r="JC2" s="1">
        <v>173192</v>
      </c>
      <c r="JD2" s="1">
        <v>173956</v>
      </c>
      <c r="JE2" s="1">
        <v>174679</v>
      </c>
      <c r="JF2" s="1">
        <v>175382</v>
      </c>
      <c r="JG2" s="1">
        <v>176072</v>
      </c>
      <c r="JH2" s="1">
        <v>176750</v>
      </c>
      <c r="JI2" s="1">
        <v>177419</v>
      </c>
      <c r="JJ2" s="1">
        <v>178077</v>
      </c>
      <c r="JK2" s="1">
        <v>178721</v>
      </c>
      <c r="JL2" s="1">
        <v>179359</v>
      </c>
      <c r="JM2" s="1">
        <v>179987</v>
      </c>
      <c r="JN2" s="1">
        <v>180611</v>
      </c>
      <c r="JO2" s="1">
        <v>181227</v>
      </c>
      <c r="JP2" s="1">
        <v>181837</v>
      </c>
      <c r="JQ2" s="1">
        <v>182446</v>
      </c>
      <c r="JR2" s="1">
        <v>183080</v>
      </c>
      <c r="JS2" s="1">
        <v>183735</v>
      </c>
      <c r="JT2" s="1">
        <v>184393</v>
      </c>
      <c r="JU2" s="1">
        <v>185076</v>
      </c>
      <c r="JV2" s="1">
        <v>185778</v>
      </c>
      <c r="JW2" s="1">
        <v>186501</v>
      </c>
      <c r="JX2" s="1">
        <v>187274</v>
      </c>
      <c r="JY2" s="1">
        <v>188085</v>
      </c>
      <c r="JZ2" s="1">
        <v>188925</v>
      </c>
      <c r="KA2" s="1">
        <v>189760</v>
      </c>
      <c r="KB2" s="1">
        <v>190571</v>
      </c>
      <c r="KC2" s="1">
        <v>191336</v>
      </c>
      <c r="KD2" s="1">
        <v>192057</v>
      </c>
      <c r="KE2" s="1">
        <v>192756</v>
      </c>
      <c r="KF2" s="1">
        <v>193438</v>
      </c>
      <c r="KG2" s="1">
        <v>194102</v>
      </c>
      <c r="KH2" s="1">
        <v>194760</v>
      </c>
      <c r="KI2" s="1">
        <v>195413</v>
      </c>
      <c r="KJ2" s="1">
        <v>196063</v>
      </c>
      <c r="KK2" s="1">
        <v>196704</v>
      </c>
      <c r="KL2" s="1">
        <v>197332</v>
      </c>
      <c r="KM2" s="1">
        <v>197963</v>
      </c>
      <c r="KN2" s="1">
        <v>198588</v>
      </c>
      <c r="KO2" s="1">
        <v>199224</v>
      </c>
      <c r="KP2" s="1">
        <v>199885</v>
      </c>
      <c r="KQ2" s="1">
        <v>200572</v>
      </c>
      <c r="KR2" s="1">
        <v>201270</v>
      </c>
      <c r="KS2" s="1">
        <v>202000</v>
      </c>
      <c r="KT2" s="1">
        <v>202743</v>
      </c>
      <c r="KU2" s="1">
        <v>203498</v>
      </c>
      <c r="KV2" s="1">
        <v>204291</v>
      </c>
      <c r="KW2" s="1">
        <v>205085</v>
      </c>
      <c r="KX2" s="1">
        <v>205924</v>
      </c>
      <c r="KY2" s="1">
        <v>206755</v>
      </c>
      <c r="KZ2" s="1">
        <v>207569</v>
      </c>
      <c r="LA2" s="1">
        <v>208348</v>
      </c>
      <c r="LB2" s="1">
        <v>209086</v>
      </c>
      <c r="LC2" s="1">
        <v>209810</v>
      </c>
      <c r="LD2" s="1">
        <v>210509</v>
      </c>
      <c r="LE2" s="1">
        <v>211193</v>
      </c>
      <c r="LF2" s="1">
        <v>211867</v>
      </c>
      <c r="LG2" s="1">
        <v>212538</v>
      </c>
      <c r="LH2" s="1">
        <v>213190</v>
      </c>
      <c r="LI2" s="1">
        <v>213827</v>
      </c>
      <c r="LJ2" s="1">
        <v>214459</v>
      </c>
      <c r="LK2" s="1">
        <v>215088</v>
      </c>
      <c r="LL2" s="1">
        <v>215707</v>
      </c>
      <c r="LM2" s="1">
        <v>216331</v>
      </c>
      <c r="LN2" s="1">
        <v>216978</v>
      </c>
      <c r="LO2" s="1">
        <v>217633</v>
      </c>
      <c r="LP2" s="1">
        <v>218299</v>
      </c>
      <c r="LQ2" s="1">
        <v>218974</v>
      </c>
      <c r="LR2" s="1">
        <v>219656</v>
      </c>
      <c r="LS2" s="1">
        <v>220350</v>
      </c>
      <c r="LT2" s="1">
        <v>221086</v>
      </c>
      <c r="LU2" s="1">
        <v>221854</v>
      </c>
      <c r="LV2" s="1">
        <v>222646</v>
      </c>
      <c r="LW2" s="1">
        <v>223466</v>
      </c>
      <c r="LX2" s="1">
        <v>224263</v>
      </c>
      <c r="LY2" s="1">
        <v>225045</v>
      </c>
      <c r="LZ2" s="1">
        <v>225795</v>
      </c>
      <c r="MA2" s="1">
        <v>226519</v>
      </c>
      <c r="MB2" s="1">
        <v>227225</v>
      </c>
      <c r="MC2" s="1">
        <v>227928</v>
      </c>
      <c r="MD2" s="1">
        <v>228618</v>
      </c>
      <c r="ME2" s="1">
        <v>229302</v>
      </c>
      <c r="MF2" s="1">
        <v>229968</v>
      </c>
      <c r="MG2" s="1">
        <v>230620</v>
      </c>
      <c r="MH2" s="1">
        <v>231263</v>
      </c>
      <c r="MI2" s="1">
        <v>231906</v>
      </c>
      <c r="MJ2" s="1">
        <v>232545</v>
      </c>
      <c r="MK2" s="1">
        <v>233189</v>
      </c>
      <c r="ML2" s="1">
        <v>233849</v>
      </c>
      <c r="MM2" s="1">
        <v>234513</v>
      </c>
      <c r="MN2" s="1">
        <v>235190</v>
      </c>
      <c r="MO2" s="1">
        <v>235893</v>
      </c>
      <c r="MP2" s="1">
        <v>236588</v>
      </c>
      <c r="MQ2" s="1">
        <v>237279</v>
      </c>
      <c r="MR2" s="1">
        <v>238032</v>
      </c>
      <c r="MS2" s="1">
        <v>238808</v>
      </c>
      <c r="MT2" s="1">
        <v>239620</v>
      </c>
      <c r="MU2" s="1">
        <v>240448</v>
      </c>
      <c r="MV2" s="1">
        <v>241264</v>
      </c>
      <c r="MW2" s="1">
        <v>242049</v>
      </c>
      <c r="MX2" s="1">
        <v>242804</v>
      </c>
      <c r="MY2" s="1">
        <v>243524</v>
      </c>
      <c r="MZ2" s="1">
        <v>244228</v>
      </c>
      <c r="NA2" s="1">
        <v>244926</v>
      </c>
      <c r="NB2" s="1">
        <v>245618</v>
      </c>
      <c r="NC2" s="1">
        <v>246282</v>
      </c>
      <c r="ND2" s="1">
        <v>246940</v>
      </c>
      <c r="NE2" s="1">
        <v>247582</v>
      </c>
      <c r="NF2" s="1">
        <v>248219</v>
      </c>
      <c r="NG2" s="1">
        <v>248855</v>
      </c>
      <c r="NH2" s="1">
        <v>249483</v>
      </c>
      <c r="NI2" s="1">
        <v>250135</v>
      </c>
      <c r="NJ2" s="1">
        <v>250810</v>
      </c>
      <c r="NK2" s="1">
        <v>251532</v>
      </c>
      <c r="NL2" s="1">
        <v>252337</v>
      </c>
      <c r="NM2" s="1">
        <v>253235</v>
      </c>
      <c r="NN2" s="1">
        <v>254178</v>
      </c>
      <c r="NO2" s="1">
        <v>255156</v>
      </c>
      <c r="NP2" s="1">
        <v>256177</v>
      </c>
      <c r="NQ2" s="1">
        <v>257255</v>
      </c>
      <c r="NR2" s="1">
        <v>258318</v>
      </c>
      <c r="NS2" s="1">
        <v>259389</v>
      </c>
      <c r="NT2" s="1">
        <v>260420</v>
      </c>
      <c r="NU2" s="1">
        <v>261376</v>
      </c>
      <c r="NV2" s="1">
        <v>262245</v>
      </c>
      <c r="NW2" s="1">
        <v>263068</v>
      </c>
      <c r="NX2" s="1">
        <v>263857</v>
      </c>
      <c r="NY2" s="1">
        <v>264624</v>
      </c>
      <c r="NZ2" s="1">
        <v>265381</v>
      </c>
      <c r="OA2" s="1">
        <v>266120</v>
      </c>
      <c r="OB2" s="1">
        <v>266834</v>
      </c>
      <c r="OC2" s="1">
        <v>267530</v>
      </c>
      <c r="OD2" s="1">
        <v>268227</v>
      </c>
      <c r="OE2" s="1">
        <v>268910</v>
      </c>
      <c r="OF2" s="1">
        <v>269593</v>
      </c>
      <c r="OG2" s="1">
        <v>270267</v>
      </c>
      <c r="OH2" s="1">
        <v>270986</v>
      </c>
      <c r="OI2" s="1">
        <v>271832</v>
      </c>
      <c r="OJ2" s="1">
        <v>272869</v>
      </c>
      <c r="OK2" s="1">
        <v>274030</v>
      </c>
      <c r="OL2" s="1">
        <v>275220</v>
      </c>
      <c r="OM2" s="1">
        <v>276427</v>
      </c>
      <c r="ON2" s="1">
        <v>277726</v>
      </c>
      <c r="OO2" s="1">
        <v>279070</v>
      </c>
      <c r="OP2" s="1">
        <v>280362</v>
      </c>
      <c r="OQ2" s="1">
        <v>281594</v>
      </c>
      <c r="OR2" s="1">
        <v>282732</v>
      </c>
      <c r="OS2" s="1">
        <v>283750</v>
      </c>
      <c r="OT2" s="1">
        <v>284671</v>
      </c>
      <c r="OU2" s="1">
        <v>285535</v>
      </c>
      <c r="OV2" s="1">
        <v>286366</v>
      </c>
      <c r="OW2" s="1">
        <v>287159</v>
      </c>
      <c r="OX2" s="1">
        <v>287940</v>
      </c>
      <c r="OY2" s="1">
        <v>288690</v>
      </c>
      <c r="OZ2" s="1">
        <v>289421</v>
      </c>
      <c r="PA2" s="1">
        <v>290134</v>
      </c>
      <c r="PB2" s="1">
        <v>290835</v>
      </c>
      <c r="PC2" s="1">
        <v>291537</v>
      </c>
      <c r="PD2" s="1">
        <v>292231</v>
      </c>
      <c r="PE2" s="1">
        <v>292927</v>
      </c>
      <c r="PF2" s="1">
        <v>293640</v>
      </c>
      <c r="PG2" s="1">
        <v>294512</v>
      </c>
      <c r="PH2" s="1">
        <v>295594</v>
      </c>
      <c r="PI2" s="1">
        <v>296862</v>
      </c>
      <c r="PJ2" s="1">
        <v>298186</v>
      </c>
      <c r="PK2" s="1">
        <v>299522</v>
      </c>
      <c r="PL2" s="1">
        <v>301002</v>
      </c>
      <c r="PM2" s="1">
        <v>302421</v>
      </c>
      <c r="PN2" s="1">
        <v>303799</v>
      </c>
      <c r="PO2" s="1">
        <v>305112</v>
      </c>
      <c r="PP2" s="1">
        <v>306260</v>
      </c>
      <c r="PQ2" s="1">
        <v>307248</v>
      </c>
      <c r="PR2" s="1">
        <v>308157</v>
      </c>
      <c r="PS2" s="1">
        <v>309015</v>
      </c>
      <c r="PT2" s="1">
        <v>309834</v>
      </c>
      <c r="PU2" s="1">
        <v>310623</v>
      </c>
      <c r="PV2" s="1">
        <v>311391</v>
      </c>
      <c r="PW2" s="1">
        <v>312132</v>
      </c>
      <c r="PX2" s="1">
        <v>312861</v>
      </c>
      <c r="PY2" s="1">
        <v>313561</v>
      </c>
      <c r="PZ2" s="1">
        <v>314245</v>
      </c>
      <c r="QA2" s="1">
        <v>314927</v>
      </c>
      <c r="QB2" s="1">
        <v>315610</v>
      </c>
      <c r="QC2" s="1">
        <v>316308</v>
      </c>
      <c r="QD2" s="1">
        <v>317044</v>
      </c>
      <c r="QE2" s="1">
        <v>317900</v>
      </c>
      <c r="QF2" s="1">
        <v>319069</v>
      </c>
      <c r="QG2" s="1">
        <v>320386</v>
      </c>
      <c r="QH2" s="1">
        <v>321714</v>
      </c>
      <c r="QI2" s="1">
        <v>323035</v>
      </c>
      <c r="QJ2" s="1">
        <v>324417</v>
      </c>
      <c r="QK2" s="1">
        <v>325804</v>
      </c>
      <c r="QL2" s="1">
        <v>327152</v>
      </c>
      <c r="QM2" s="1">
        <v>328507</v>
      </c>
      <c r="QN2" s="1">
        <v>329740</v>
      </c>
      <c r="QO2" s="1">
        <v>330814</v>
      </c>
      <c r="QP2" s="1">
        <v>331763</v>
      </c>
      <c r="QQ2" s="1">
        <v>332643</v>
      </c>
      <c r="QR2" s="1">
        <v>333482</v>
      </c>
      <c r="QS2" s="1">
        <v>334272</v>
      </c>
      <c r="QT2" s="1">
        <v>335031</v>
      </c>
      <c r="QU2" s="1">
        <v>335787</v>
      </c>
      <c r="QV2" s="1">
        <v>336537</v>
      </c>
      <c r="QW2" s="1">
        <v>337276</v>
      </c>
      <c r="QX2" s="1">
        <v>337992</v>
      </c>
      <c r="QY2" s="1">
        <v>338702</v>
      </c>
      <c r="QZ2" s="1">
        <v>339414</v>
      </c>
      <c r="RA2" s="1">
        <v>340131</v>
      </c>
      <c r="RB2" s="1">
        <v>340871</v>
      </c>
      <c r="RC2" s="1">
        <v>341723</v>
      </c>
      <c r="RD2" s="1">
        <v>342813</v>
      </c>
      <c r="RE2" s="1">
        <v>344001</v>
      </c>
      <c r="RF2" s="1">
        <v>345233</v>
      </c>
      <c r="RG2" s="1">
        <v>346488</v>
      </c>
      <c r="RH2" s="1">
        <v>347776</v>
      </c>
      <c r="RI2" s="1">
        <v>349089</v>
      </c>
      <c r="RJ2" s="1">
        <v>350367</v>
      </c>
      <c r="RK2" s="1">
        <v>351599</v>
      </c>
      <c r="RL2" s="1">
        <v>352736</v>
      </c>
      <c r="RM2" s="1">
        <v>353749</v>
      </c>
      <c r="RN2" s="1">
        <v>354654</v>
      </c>
      <c r="RO2" s="1">
        <v>355488</v>
      </c>
      <c r="RP2" s="1">
        <v>356286</v>
      </c>
      <c r="RQ2" s="1">
        <v>357062</v>
      </c>
      <c r="RR2" s="1">
        <v>357813</v>
      </c>
      <c r="RS2" s="1">
        <v>358550</v>
      </c>
      <c r="RT2" s="1">
        <v>359266</v>
      </c>
      <c r="RU2" s="1">
        <v>359970</v>
      </c>
      <c r="RV2" s="1">
        <v>360676</v>
      </c>
      <c r="RW2" s="1">
        <v>361376</v>
      </c>
      <c r="RX2" s="1">
        <v>362073</v>
      </c>
      <c r="RY2" s="1">
        <v>362775</v>
      </c>
      <c r="RZ2" s="1">
        <v>363484</v>
      </c>
      <c r="SA2" s="1">
        <v>364201</v>
      </c>
      <c r="SB2" s="1">
        <v>364923</v>
      </c>
      <c r="SC2" s="1">
        <v>365689</v>
      </c>
      <c r="SD2" s="1">
        <v>366467</v>
      </c>
      <c r="SE2" s="1">
        <v>367274</v>
      </c>
      <c r="SF2" s="1">
        <v>368105</v>
      </c>
      <c r="SG2" s="1">
        <v>368983</v>
      </c>
      <c r="SH2" s="1">
        <v>369890</v>
      </c>
      <c r="SI2" s="1">
        <v>370799</v>
      </c>
      <c r="SJ2" s="1">
        <v>371698</v>
      </c>
      <c r="SK2" s="1">
        <v>372550</v>
      </c>
      <c r="SL2" s="1">
        <v>373375</v>
      </c>
      <c r="SM2" s="1">
        <v>374161</v>
      </c>
      <c r="SN2" s="1">
        <v>374943</v>
      </c>
      <c r="SO2" s="1">
        <v>375716</v>
      </c>
      <c r="SP2" s="1">
        <v>376482</v>
      </c>
      <c r="SQ2" s="1">
        <v>377228</v>
      </c>
      <c r="SR2" s="1">
        <v>377956</v>
      </c>
      <c r="SS2" s="1">
        <v>378675</v>
      </c>
      <c r="ST2" s="1">
        <v>379386</v>
      </c>
      <c r="SU2" s="1">
        <v>380089</v>
      </c>
      <c r="SV2" s="1">
        <v>380784</v>
      </c>
      <c r="SW2" s="1">
        <v>381469</v>
      </c>
      <c r="SX2" s="1">
        <v>382164</v>
      </c>
      <c r="SY2" s="1">
        <v>382874</v>
      </c>
      <c r="SZ2" s="1">
        <v>383593</v>
      </c>
      <c r="TA2" s="1">
        <v>384317</v>
      </c>
      <c r="TB2" s="1">
        <v>385045</v>
      </c>
      <c r="TC2" s="1">
        <v>385802</v>
      </c>
      <c r="TD2" s="1">
        <v>386624</v>
      </c>
      <c r="TE2" s="1">
        <v>387471</v>
      </c>
      <c r="TF2" s="1">
        <v>388355</v>
      </c>
      <c r="TG2" s="1">
        <v>389246</v>
      </c>
      <c r="TH2" s="1">
        <v>390112</v>
      </c>
      <c r="TI2" s="1">
        <v>390959</v>
      </c>
      <c r="TJ2" s="1">
        <v>391783</v>
      </c>
      <c r="TK2" s="1">
        <v>392584</v>
      </c>
      <c r="TL2" s="1">
        <v>393373</v>
      </c>
      <c r="TM2" s="1">
        <v>394153</v>
      </c>
      <c r="TN2" s="1">
        <v>394916</v>
      </c>
      <c r="TO2" s="1">
        <v>395655</v>
      </c>
      <c r="TP2" s="1">
        <v>396391</v>
      </c>
      <c r="TQ2" s="1">
        <v>397108</v>
      </c>
      <c r="TR2" s="1">
        <v>397814</v>
      </c>
      <c r="TS2" s="1">
        <v>398524</v>
      </c>
      <c r="TT2" s="1">
        <v>399225</v>
      </c>
      <c r="TU2" s="1">
        <v>399935</v>
      </c>
      <c r="TV2" s="1">
        <v>400691</v>
      </c>
      <c r="TW2" s="1">
        <v>401614</v>
      </c>
      <c r="TX2" s="1">
        <v>402839</v>
      </c>
      <c r="TY2" s="1">
        <v>404224</v>
      </c>
      <c r="TZ2" s="1">
        <v>405637</v>
      </c>
      <c r="UA2" s="1">
        <v>407074</v>
      </c>
      <c r="UB2" s="1">
        <v>408586</v>
      </c>
      <c r="UC2" s="1">
        <v>410139</v>
      </c>
      <c r="UD2" s="1">
        <v>411673</v>
      </c>
      <c r="UE2" s="1">
        <v>413135</v>
      </c>
      <c r="UF2" s="1">
        <v>414403</v>
      </c>
      <c r="UG2" s="1">
        <v>415476</v>
      </c>
      <c r="UH2" s="1">
        <v>416439</v>
      </c>
      <c r="UI2" s="1">
        <v>417332</v>
      </c>
      <c r="UJ2" s="1">
        <v>418183</v>
      </c>
      <c r="UK2" s="1">
        <v>419014</v>
      </c>
      <c r="UL2" s="1">
        <v>419826</v>
      </c>
      <c r="UM2" s="1">
        <v>420616</v>
      </c>
      <c r="UN2" s="1">
        <v>421382</v>
      </c>
      <c r="UO2" s="1">
        <v>422119</v>
      </c>
      <c r="UP2" s="1">
        <v>422846</v>
      </c>
      <c r="UQ2" s="1">
        <v>423576</v>
      </c>
      <c r="UR2" s="1">
        <v>424290</v>
      </c>
      <c r="US2" s="1">
        <v>425008</v>
      </c>
      <c r="UT2" s="1">
        <v>425777</v>
      </c>
      <c r="UU2" s="1">
        <v>426696</v>
      </c>
      <c r="UV2" s="1">
        <v>427879</v>
      </c>
      <c r="UW2" s="1">
        <v>429187</v>
      </c>
      <c r="UX2" s="1">
        <v>430576</v>
      </c>
      <c r="UY2" s="1">
        <v>432014</v>
      </c>
      <c r="UZ2" s="1">
        <v>433531</v>
      </c>
      <c r="VA2" s="1">
        <v>435082</v>
      </c>
      <c r="VB2" s="1">
        <v>436615</v>
      </c>
      <c r="VC2" s="1">
        <v>438033</v>
      </c>
      <c r="VD2" s="1">
        <v>439287</v>
      </c>
      <c r="VE2" s="1">
        <v>440385</v>
      </c>
      <c r="VF2" s="1">
        <v>441399</v>
      </c>
      <c r="VG2" s="1">
        <v>442332</v>
      </c>
      <c r="VH2" s="1">
        <v>443202</v>
      </c>
      <c r="VI2" s="1">
        <v>443999</v>
      </c>
      <c r="VJ2" s="1">
        <v>444769</v>
      </c>
      <c r="VK2" s="1">
        <v>445522</v>
      </c>
      <c r="VL2" s="1">
        <v>446256</v>
      </c>
      <c r="VM2" s="1">
        <v>446988</v>
      </c>
      <c r="VN2" s="1">
        <v>447719</v>
      </c>
      <c r="VO2" s="1">
        <v>448448</v>
      </c>
      <c r="VP2" s="1">
        <v>449170</v>
      </c>
      <c r="VQ2" s="1">
        <v>449879</v>
      </c>
      <c r="VR2" s="1">
        <v>450603</v>
      </c>
      <c r="VS2" s="1">
        <v>451448</v>
      </c>
      <c r="VT2" s="1">
        <v>452517</v>
      </c>
      <c r="VU2" s="1">
        <v>453763</v>
      </c>
      <c r="VV2" s="1">
        <v>455064</v>
      </c>
      <c r="VW2" s="1">
        <v>456376</v>
      </c>
      <c r="VX2" s="1">
        <v>457772</v>
      </c>
      <c r="VY2" s="1">
        <v>459207</v>
      </c>
      <c r="VZ2" s="1">
        <v>460593</v>
      </c>
      <c r="WA2" s="1">
        <v>461916</v>
      </c>
      <c r="WB2" s="1">
        <v>463135</v>
      </c>
      <c r="WC2" s="1">
        <v>464202</v>
      </c>
      <c r="WD2" s="1">
        <v>465163</v>
      </c>
      <c r="WE2" s="1">
        <v>466044</v>
      </c>
      <c r="WF2" s="1">
        <v>466909</v>
      </c>
      <c r="WG2" s="1">
        <v>467741</v>
      </c>
      <c r="WH2" s="1">
        <v>468533</v>
      </c>
      <c r="WI2" s="1">
        <v>469289</v>
      </c>
      <c r="WJ2" s="1">
        <v>470019</v>
      </c>
      <c r="WK2" s="1">
        <v>470739</v>
      </c>
      <c r="WL2" s="1">
        <v>471452</v>
      </c>
      <c r="WM2" s="1">
        <v>472162</v>
      </c>
      <c r="WN2" s="1">
        <v>472861</v>
      </c>
      <c r="WO2" s="1">
        <v>473560</v>
      </c>
      <c r="WP2" s="1">
        <v>474284</v>
      </c>
      <c r="WQ2" s="1">
        <v>475149</v>
      </c>
      <c r="WR2" s="1">
        <v>476231</v>
      </c>
      <c r="WS2" s="1">
        <v>477479</v>
      </c>
      <c r="WT2" s="1">
        <v>478756</v>
      </c>
      <c r="WU2" s="1">
        <v>480070</v>
      </c>
      <c r="WV2" s="1">
        <v>481468</v>
      </c>
      <c r="WW2" s="1">
        <v>482914</v>
      </c>
      <c r="WX2" s="1">
        <v>484306</v>
      </c>
      <c r="WY2" s="1">
        <v>485643</v>
      </c>
      <c r="WZ2" s="1">
        <v>486869</v>
      </c>
      <c r="XA2" s="1">
        <v>487943</v>
      </c>
      <c r="XB2" s="1">
        <v>488879</v>
      </c>
      <c r="XC2" s="1">
        <v>489722</v>
      </c>
      <c r="XD2" s="1">
        <v>490515</v>
      </c>
      <c r="XE2" s="1">
        <v>491301</v>
      </c>
      <c r="XF2" s="1">
        <v>492059</v>
      </c>
      <c r="XG2" s="1">
        <v>492796</v>
      </c>
      <c r="XH2" s="1">
        <v>493508</v>
      </c>
      <c r="XI2" s="1">
        <v>494209</v>
      </c>
      <c r="XJ2" s="1">
        <v>494889</v>
      </c>
      <c r="XK2" s="1">
        <v>495562</v>
      </c>
      <c r="XL2" s="1">
        <v>496234</v>
      </c>
      <c r="XM2" s="1">
        <v>496907</v>
      </c>
      <c r="XN2" s="1">
        <v>497621</v>
      </c>
      <c r="XO2" s="1">
        <v>498460</v>
      </c>
      <c r="XP2" s="1">
        <v>499526</v>
      </c>
      <c r="XQ2" s="1">
        <v>500750</v>
      </c>
      <c r="XR2" s="1">
        <v>502017</v>
      </c>
      <c r="XS2" s="1">
        <v>503314</v>
      </c>
      <c r="XT2" s="1">
        <v>504660</v>
      </c>
      <c r="XU2" s="1">
        <v>506049</v>
      </c>
      <c r="XV2" s="1">
        <v>507409</v>
      </c>
      <c r="XW2" s="1">
        <v>508721</v>
      </c>
      <c r="XX2" s="1">
        <v>509905</v>
      </c>
      <c r="XY2" s="1">
        <v>510942</v>
      </c>
      <c r="XZ2" s="1">
        <v>511863</v>
      </c>
      <c r="YA2" s="1">
        <v>512704</v>
      </c>
      <c r="YB2" s="1">
        <v>513488</v>
      </c>
      <c r="YC2" s="1">
        <v>514244</v>
      </c>
      <c r="YD2" s="1">
        <v>514984</v>
      </c>
      <c r="YE2" s="1">
        <v>515698</v>
      </c>
      <c r="YF2" s="1">
        <v>516400</v>
      </c>
      <c r="YG2" s="1">
        <v>517090</v>
      </c>
      <c r="YH2" s="1">
        <v>517773</v>
      </c>
      <c r="YI2" s="1">
        <v>518446</v>
      </c>
      <c r="YJ2" s="1">
        <v>519115</v>
      </c>
      <c r="YK2" s="1">
        <v>519789</v>
      </c>
      <c r="YL2" s="1">
        <v>520464</v>
      </c>
      <c r="YM2" s="1">
        <v>521158</v>
      </c>
      <c r="YN2" s="1">
        <v>521857</v>
      </c>
      <c r="YO2" s="1">
        <v>522568</v>
      </c>
      <c r="YP2" s="1">
        <v>523295</v>
      </c>
      <c r="YQ2" s="1">
        <v>524065</v>
      </c>
      <c r="YR2" s="1">
        <v>524881</v>
      </c>
      <c r="YS2" s="1">
        <v>525725</v>
      </c>
      <c r="YT2" s="1">
        <v>526603</v>
      </c>
      <c r="YU2" s="1">
        <v>527464</v>
      </c>
      <c r="YV2" s="1">
        <v>528276</v>
      </c>
      <c r="YW2" s="1">
        <v>529048</v>
      </c>
      <c r="YX2" s="1">
        <v>529809</v>
      </c>
      <c r="YY2" s="1">
        <v>530556</v>
      </c>
      <c r="YZ2" s="1">
        <v>531303</v>
      </c>
      <c r="ZA2" s="1">
        <v>532038</v>
      </c>
      <c r="ZB2" s="1">
        <v>532760</v>
      </c>
      <c r="ZC2" s="1">
        <v>533479</v>
      </c>
      <c r="ZD2" s="1">
        <v>534179</v>
      </c>
      <c r="ZE2" s="1">
        <v>534877</v>
      </c>
      <c r="ZF2" s="1">
        <v>535561</v>
      </c>
      <c r="ZG2" s="1">
        <v>536233</v>
      </c>
      <c r="ZH2" s="1">
        <v>536898</v>
      </c>
      <c r="ZI2" s="1">
        <v>537552</v>
      </c>
      <c r="ZJ2" s="1">
        <v>538229</v>
      </c>
      <c r="ZK2" s="1">
        <v>538909</v>
      </c>
      <c r="ZL2" s="1">
        <v>539590</v>
      </c>
      <c r="ZM2" s="1">
        <v>540280</v>
      </c>
      <c r="ZN2" s="1">
        <v>540973</v>
      </c>
      <c r="ZO2" s="1">
        <v>541700</v>
      </c>
      <c r="ZP2" s="1">
        <v>542478</v>
      </c>
      <c r="ZQ2" s="1">
        <v>543301</v>
      </c>
      <c r="ZR2" s="1">
        <v>544152</v>
      </c>
      <c r="ZS2" s="1">
        <v>544974</v>
      </c>
      <c r="ZT2" s="1">
        <v>545759</v>
      </c>
      <c r="ZU2" s="1">
        <v>546511</v>
      </c>
      <c r="ZV2" s="1">
        <v>547248</v>
      </c>
      <c r="ZW2" s="1">
        <v>547976</v>
      </c>
      <c r="ZX2" s="1">
        <v>548705</v>
      </c>
      <c r="ZY2" s="1">
        <v>549427</v>
      </c>
      <c r="ZZ2" s="1">
        <v>550147</v>
      </c>
      <c r="AAA2" s="1">
        <v>550856</v>
      </c>
      <c r="AAB2" s="1">
        <v>551532</v>
      </c>
      <c r="AAC2" s="1">
        <v>552210</v>
      </c>
      <c r="AAD2" s="1">
        <v>552891</v>
      </c>
      <c r="AAE2" s="1">
        <v>553566</v>
      </c>
      <c r="AAF2" s="1">
        <v>554244</v>
      </c>
      <c r="AAG2" s="1">
        <v>554934</v>
      </c>
      <c r="AAH2" s="1">
        <v>555664</v>
      </c>
      <c r="AAI2" s="1">
        <v>556539</v>
      </c>
      <c r="AAJ2" s="1">
        <v>557664</v>
      </c>
      <c r="AAK2" s="1">
        <v>558982</v>
      </c>
      <c r="AAL2" s="1">
        <v>560331</v>
      </c>
      <c r="AAM2" s="1">
        <v>561717</v>
      </c>
      <c r="AAN2" s="1">
        <v>563175</v>
      </c>
      <c r="AAO2" s="1">
        <v>564639</v>
      </c>
      <c r="AAP2" s="1">
        <v>566055</v>
      </c>
      <c r="AAQ2" s="1">
        <v>567393</v>
      </c>
      <c r="AAR2" s="1">
        <v>568588</v>
      </c>
      <c r="AAS2" s="1">
        <v>569623</v>
      </c>
      <c r="AAT2" s="1">
        <v>570571</v>
      </c>
      <c r="AAU2" s="1">
        <v>571459</v>
      </c>
      <c r="AAV2" s="1">
        <v>572307</v>
      </c>
      <c r="AAW2" s="1">
        <v>573127</v>
      </c>
      <c r="AAX2" s="1">
        <v>573911</v>
      </c>
    </row>
    <row r="3" spans="1:750">
      <c r="A3" s="1">
        <v>2</v>
      </c>
      <c r="B3" s="1" t="s">
        <v>2</v>
      </c>
      <c r="C3" s="1" t="s">
        <v>3</v>
      </c>
      <c r="D3" s="1" t="s">
        <v>6</v>
      </c>
      <c r="E3" s="1" t="s">
        <v>5</v>
      </c>
      <c r="F3" s="1">
        <v>956504</v>
      </c>
      <c r="G3" s="1">
        <v>956691</v>
      </c>
      <c r="H3" s="1">
        <v>956865</v>
      </c>
      <c r="I3" s="1">
        <v>957035</v>
      </c>
      <c r="J3" s="1">
        <v>957197</v>
      </c>
      <c r="K3" s="1">
        <v>957356</v>
      </c>
      <c r="L3" s="1">
        <v>957511</v>
      </c>
      <c r="M3" s="1">
        <v>957670</v>
      </c>
      <c r="N3" s="1">
        <v>957835</v>
      </c>
      <c r="O3" s="1">
        <v>958017</v>
      </c>
      <c r="P3" s="1">
        <v>958205</v>
      </c>
      <c r="Q3" s="1">
        <v>958402</v>
      </c>
      <c r="R3" s="1">
        <v>958615</v>
      </c>
      <c r="S3" s="1">
        <v>958839</v>
      </c>
      <c r="T3" s="1">
        <v>959070</v>
      </c>
      <c r="U3" s="1">
        <v>959309</v>
      </c>
      <c r="V3" s="1">
        <v>959548</v>
      </c>
      <c r="W3" s="1">
        <v>959785</v>
      </c>
      <c r="X3" s="1">
        <v>960026</v>
      </c>
      <c r="Y3" s="1">
        <v>960256</v>
      </c>
      <c r="Z3" s="1">
        <v>960468</v>
      </c>
      <c r="AA3" s="1">
        <v>960663</v>
      </c>
      <c r="AB3" s="1">
        <v>960857</v>
      </c>
      <c r="AC3" s="1">
        <v>961054</v>
      </c>
      <c r="AD3" s="1">
        <v>961254</v>
      </c>
      <c r="AE3" s="1">
        <v>961453</v>
      </c>
      <c r="AF3" s="1">
        <v>961647</v>
      </c>
      <c r="AG3" s="1">
        <v>961836</v>
      </c>
      <c r="AH3" s="1">
        <v>962027</v>
      </c>
      <c r="AI3" s="1">
        <v>962218</v>
      </c>
      <c r="AJ3" s="1">
        <v>962406</v>
      </c>
      <c r="AK3" s="1">
        <v>962593</v>
      </c>
      <c r="AL3" s="1">
        <v>962790</v>
      </c>
      <c r="AM3" s="1">
        <v>963036</v>
      </c>
      <c r="AN3" s="1">
        <v>963377</v>
      </c>
      <c r="AO3" s="1">
        <v>963761</v>
      </c>
      <c r="AP3" s="1">
        <v>964147</v>
      </c>
      <c r="AQ3" s="1">
        <v>964512</v>
      </c>
      <c r="AR3" s="1">
        <v>964895</v>
      </c>
      <c r="AS3" s="1">
        <v>965303</v>
      </c>
      <c r="AT3" s="1">
        <v>965723</v>
      </c>
      <c r="AU3" s="1">
        <v>966113</v>
      </c>
      <c r="AV3" s="1">
        <v>966470</v>
      </c>
      <c r="AW3" s="1">
        <v>966758</v>
      </c>
      <c r="AX3" s="1">
        <v>967028</v>
      </c>
      <c r="AY3" s="1">
        <v>967279</v>
      </c>
      <c r="AZ3" s="1">
        <v>967508</v>
      </c>
      <c r="BA3" s="1">
        <v>967737</v>
      </c>
      <c r="BB3" s="1">
        <v>967949</v>
      </c>
      <c r="BC3" s="1">
        <v>968155</v>
      </c>
      <c r="BD3" s="1">
        <v>968355</v>
      </c>
      <c r="BE3" s="1">
        <v>968550</v>
      </c>
      <c r="BF3" s="1">
        <v>968740</v>
      </c>
      <c r="BG3" s="1">
        <v>968926</v>
      </c>
      <c r="BH3" s="1">
        <v>969109</v>
      </c>
      <c r="BI3" s="1">
        <v>969298</v>
      </c>
      <c r="BJ3" s="1">
        <v>969511</v>
      </c>
      <c r="BK3" s="1">
        <v>969768</v>
      </c>
      <c r="BL3" s="1">
        <v>970111</v>
      </c>
      <c r="BM3" s="1">
        <v>970509</v>
      </c>
      <c r="BN3" s="1">
        <v>970901</v>
      </c>
      <c r="BO3" s="1">
        <v>971290</v>
      </c>
      <c r="BP3" s="1">
        <v>971668</v>
      </c>
      <c r="BQ3" s="1">
        <v>972058</v>
      </c>
      <c r="BR3" s="1">
        <v>972439</v>
      </c>
      <c r="BS3" s="1">
        <v>972812</v>
      </c>
      <c r="BT3" s="1">
        <v>973128</v>
      </c>
      <c r="BU3" s="1">
        <v>973402</v>
      </c>
      <c r="BV3" s="1">
        <v>973660</v>
      </c>
      <c r="BW3" s="1">
        <v>973891</v>
      </c>
      <c r="BX3" s="1">
        <v>974101</v>
      </c>
      <c r="BY3" s="1">
        <v>974303</v>
      </c>
      <c r="BZ3" s="1">
        <v>974499</v>
      </c>
      <c r="CA3" s="1">
        <v>974694</v>
      </c>
      <c r="CB3" s="1">
        <v>974880</v>
      </c>
      <c r="CC3" s="1">
        <v>975059</v>
      </c>
      <c r="CD3" s="1">
        <v>975233</v>
      </c>
      <c r="CE3" s="1">
        <v>975406</v>
      </c>
      <c r="CF3" s="1">
        <v>975580</v>
      </c>
      <c r="CG3" s="1">
        <v>975762</v>
      </c>
      <c r="CH3" s="1">
        <v>975960</v>
      </c>
      <c r="CI3" s="1">
        <v>976233</v>
      </c>
      <c r="CJ3" s="1">
        <v>976555</v>
      </c>
      <c r="CK3" s="1">
        <v>976941</v>
      </c>
      <c r="CL3" s="1">
        <v>977359</v>
      </c>
      <c r="CM3" s="1">
        <v>977741</v>
      </c>
      <c r="CN3" s="1">
        <v>978145</v>
      </c>
      <c r="CO3" s="1">
        <v>978543</v>
      </c>
      <c r="CP3" s="1">
        <v>978950</v>
      </c>
      <c r="CQ3" s="1">
        <v>979345</v>
      </c>
      <c r="CR3" s="1">
        <v>979689</v>
      </c>
      <c r="CS3" s="1">
        <v>979990</v>
      </c>
      <c r="CT3" s="1">
        <v>980252</v>
      </c>
      <c r="CU3" s="1">
        <v>980484</v>
      </c>
      <c r="CV3" s="1">
        <v>980703</v>
      </c>
      <c r="CW3" s="1">
        <v>980913</v>
      </c>
      <c r="CX3" s="1">
        <v>981123</v>
      </c>
      <c r="CY3" s="1">
        <v>981329</v>
      </c>
      <c r="CZ3" s="1">
        <v>981531</v>
      </c>
      <c r="DA3" s="1">
        <v>981731</v>
      </c>
      <c r="DB3" s="1">
        <v>981928</v>
      </c>
      <c r="DC3" s="1">
        <v>982122</v>
      </c>
      <c r="DD3" s="1">
        <v>982305</v>
      </c>
      <c r="DE3" s="1">
        <v>982488</v>
      </c>
      <c r="DF3" s="1">
        <v>982684</v>
      </c>
      <c r="DG3" s="1">
        <v>982929</v>
      </c>
      <c r="DH3" s="1">
        <v>983245</v>
      </c>
      <c r="DI3" s="1">
        <v>983617</v>
      </c>
      <c r="DJ3" s="1">
        <v>983983</v>
      </c>
      <c r="DK3" s="1">
        <v>984344</v>
      </c>
      <c r="DL3" s="1">
        <v>984704</v>
      </c>
      <c r="DM3" s="1">
        <v>985074</v>
      </c>
      <c r="DN3" s="1">
        <v>985453</v>
      </c>
      <c r="DO3" s="1">
        <v>985803</v>
      </c>
      <c r="DP3" s="1">
        <v>986123</v>
      </c>
      <c r="DQ3" s="1">
        <v>986398</v>
      </c>
      <c r="DR3" s="1">
        <v>986649</v>
      </c>
      <c r="DS3" s="1">
        <v>986871</v>
      </c>
      <c r="DT3" s="1">
        <v>987087</v>
      </c>
      <c r="DU3" s="1">
        <v>987302</v>
      </c>
      <c r="DV3" s="1">
        <v>987505</v>
      </c>
      <c r="DW3" s="1">
        <v>987706</v>
      </c>
      <c r="DX3" s="1">
        <v>987909</v>
      </c>
      <c r="DY3" s="1">
        <v>988107</v>
      </c>
      <c r="DZ3" s="1">
        <v>988296</v>
      </c>
      <c r="EA3" s="1">
        <v>988483</v>
      </c>
      <c r="EB3" s="1">
        <v>988665</v>
      </c>
      <c r="EC3" s="1">
        <v>988849</v>
      </c>
      <c r="ED3" s="1">
        <v>989056</v>
      </c>
      <c r="EE3" s="1">
        <v>989287</v>
      </c>
      <c r="EF3" s="1">
        <v>989592</v>
      </c>
      <c r="EG3" s="1">
        <v>989963</v>
      </c>
      <c r="EH3" s="1">
        <v>990314</v>
      </c>
      <c r="EI3" s="1">
        <v>990665</v>
      </c>
      <c r="EJ3" s="1">
        <v>991052</v>
      </c>
      <c r="EK3" s="1">
        <v>991432</v>
      </c>
      <c r="EL3" s="1">
        <v>991791</v>
      </c>
      <c r="EM3" s="1">
        <v>992127</v>
      </c>
      <c r="EN3" s="1">
        <v>992415</v>
      </c>
      <c r="EO3" s="1">
        <v>992675</v>
      </c>
      <c r="EP3" s="1">
        <v>992917</v>
      </c>
      <c r="EQ3" s="1">
        <v>993134</v>
      </c>
      <c r="ER3" s="1">
        <v>993330</v>
      </c>
      <c r="ES3" s="1">
        <v>993517</v>
      </c>
      <c r="ET3" s="1">
        <v>993696</v>
      </c>
      <c r="EU3" s="1">
        <v>993865</v>
      </c>
      <c r="EV3" s="1">
        <v>994029</v>
      </c>
      <c r="EW3" s="1">
        <v>994190</v>
      </c>
      <c r="EX3" s="1">
        <v>994346</v>
      </c>
      <c r="EY3" s="1">
        <v>994501</v>
      </c>
      <c r="EZ3" s="1">
        <v>994651</v>
      </c>
      <c r="FA3" s="1">
        <v>994806</v>
      </c>
      <c r="FB3" s="1">
        <v>994967</v>
      </c>
      <c r="FC3" s="1">
        <v>995147</v>
      </c>
      <c r="FD3" s="1">
        <v>995370</v>
      </c>
      <c r="FE3" s="1">
        <v>995598</v>
      </c>
      <c r="FF3" s="1">
        <v>995826</v>
      </c>
      <c r="FG3" s="1">
        <v>996044</v>
      </c>
      <c r="FH3" s="1">
        <v>996253</v>
      </c>
      <c r="FI3" s="1">
        <v>996454</v>
      </c>
      <c r="FJ3" s="1">
        <v>996661</v>
      </c>
      <c r="FK3" s="1">
        <v>996857</v>
      </c>
      <c r="FL3" s="1">
        <v>997034</v>
      </c>
      <c r="FM3" s="1">
        <v>997193</v>
      </c>
      <c r="FN3" s="1">
        <v>997354</v>
      </c>
      <c r="FO3" s="1">
        <v>997517</v>
      </c>
      <c r="FP3" s="1">
        <v>997676</v>
      </c>
      <c r="FQ3" s="1">
        <v>997833</v>
      </c>
      <c r="FR3" s="1">
        <v>997983</v>
      </c>
      <c r="FS3" s="1">
        <v>998134</v>
      </c>
      <c r="FT3" s="1">
        <v>998285</v>
      </c>
      <c r="FU3" s="1">
        <v>998434</v>
      </c>
      <c r="FV3" s="1">
        <v>998584</v>
      </c>
      <c r="FW3" s="1">
        <v>998732</v>
      </c>
      <c r="FX3" s="1">
        <v>998881</v>
      </c>
      <c r="FY3" s="1">
        <v>999028</v>
      </c>
      <c r="FZ3" s="1">
        <v>999173</v>
      </c>
      <c r="GA3" s="1">
        <v>999321</v>
      </c>
      <c r="GB3" s="1">
        <v>999471</v>
      </c>
      <c r="GC3" s="1">
        <v>999626</v>
      </c>
      <c r="GD3" s="1">
        <v>999782</v>
      </c>
      <c r="GE3" s="1">
        <v>999934</v>
      </c>
      <c r="GF3" s="1">
        <v>84</v>
      </c>
      <c r="GG3" s="1">
        <v>233</v>
      </c>
      <c r="GH3" s="1">
        <v>379</v>
      </c>
      <c r="GI3" s="1">
        <v>528</v>
      </c>
      <c r="GJ3" s="1">
        <v>679</v>
      </c>
      <c r="GK3" s="1">
        <v>843</v>
      </c>
      <c r="GL3" s="1">
        <v>1009</v>
      </c>
      <c r="GM3" s="1">
        <v>1165</v>
      </c>
      <c r="GN3" s="1">
        <v>1322</v>
      </c>
      <c r="GO3" s="1">
        <v>1475</v>
      </c>
      <c r="GP3" s="1">
        <v>1628</v>
      </c>
      <c r="GQ3" s="1">
        <v>1781</v>
      </c>
      <c r="GR3" s="1">
        <v>1928</v>
      </c>
      <c r="GS3" s="1">
        <v>2073</v>
      </c>
      <c r="GT3" s="1">
        <v>2218</v>
      </c>
      <c r="GU3" s="1">
        <v>2362</v>
      </c>
      <c r="GV3" s="1">
        <v>2506</v>
      </c>
      <c r="GW3" s="1">
        <v>2655</v>
      </c>
      <c r="GX3" s="1">
        <v>2798</v>
      </c>
      <c r="GY3" s="1">
        <v>2941</v>
      </c>
      <c r="GZ3" s="1">
        <v>3086</v>
      </c>
      <c r="HA3" s="1">
        <v>3233</v>
      </c>
      <c r="HB3" s="1">
        <v>3384</v>
      </c>
      <c r="HC3" s="1">
        <v>3542</v>
      </c>
      <c r="HD3" s="1">
        <v>3700</v>
      </c>
      <c r="HE3" s="1">
        <v>3856</v>
      </c>
      <c r="HF3" s="1">
        <v>4015</v>
      </c>
      <c r="HG3" s="1">
        <v>4173</v>
      </c>
      <c r="HH3" s="1">
        <v>4332</v>
      </c>
      <c r="HI3" s="1">
        <v>4493</v>
      </c>
      <c r="HJ3" s="1">
        <v>4647</v>
      </c>
      <c r="HK3" s="1">
        <v>4804</v>
      </c>
      <c r="HL3" s="1">
        <v>4963</v>
      </c>
      <c r="HM3" s="1">
        <v>5125</v>
      </c>
      <c r="HN3" s="1">
        <v>5285</v>
      </c>
      <c r="HO3" s="1">
        <v>5438</v>
      </c>
      <c r="HP3" s="1">
        <v>5586</v>
      </c>
      <c r="HQ3" s="1">
        <v>5734</v>
      </c>
      <c r="HR3" s="1">
        <v>5880</v>
      </c>
      <c r="HS3" s="1">
        <v>6026</v>
      </c>
      <c r="HT3" s="1">
        <v>6167</v>
      </c>
      <c r="HU3" s="1">
        <v>6306</v>
      </c>
      <c r="HV3" s="1">
        <v>6447</v>
      </c>
      <c r="HW3" s="1">
        <v>6597</v>
      </c>
      <c r="HX3" s="1">
        <v>6768</v>
      </c>
      <c r="HY3" s="1">
        <v>6940</v>
      </c>
      <c r="HZ3" s="1">
        <v>7114</v>
      </c>
      <c r="IA3" s="1">
        <v>7295</v>
      </c>
      <c r="IB3" s="1">
        <v>7478</v>
      </c>
      <c r="IC3" s="1">
        <v>7674</v>
      </c>
      <c r="ID3" s="1">
        <v>7865</v>
      </c>
      <c r="IE3" s="1">
        <v>8055</v>
      </c>
      <c r="IF3" s="1">
        <v>8228</v>
      </c>
      <c r="IG3" s="1">
        <v>8391</v>
      </c>
      <c r="IH3" s="1">
        <v>8554</v>
      </c>
      <c r="II3" s="1">
        <v>8713</v>
      </c>
      <c r="IJ3" s="1">
        <v>8868</v>
      </c>
      <c r="IK3" s="1">
        <v>9019</v>
      </c>
      <c r="IL3" s="1">
        <v>9171</v>
      </c>
      <c r="IM3" s="1">
        <v>9320</v>
      </c>
      <c r="IN3" s="1">
        <v>9467</v>
      </c>
      <c r="IO3" s="1">
        <v>9614</v>
      </c>
      <c r="IP3" s="1">
        <v>9759</v>
      </c>
      <c r="IQ3" s="1">
        <v>9902</v>
      </c>
      <c r="IR3" s="1">
        <v>10045</v>
      </c>
      <c r="IS3" s="1">
        <v>10192</v>
      </c>
      <c r="IT3" s="1">
        <v>10349</v>
      </c>
      <c r="IU3" s="1">
        <v>10509</v>
      </c>
      <c r="IV3" s="1">
        <v>10680</v>
      </c>
      <c r="IW3" s="1">
        <v>10863</v>
      </c>
      <c r="IX3" s="1">
        <v>11046</v>
      </c>
      <c r="IY3" s="1">
        <v>11238</v>
      </c>
      <c r="IZ3" s="1">
        <v>11435</v>
      </c>
      <c r="JA3" s="1">
        <v>11633</v>
      </c>
      <c r="JB3" s="1">
        <v>11834</v>
      </c>
      <c r="JC3" s="1">
        <v>12031</v>
      </c>
      <c r="JD3" s="1">
        <v>12225</v>
      </c>
      <c r="JE3" s="1">
        <v>12406</v>
      </c>
      <c r="JF3" s="1">
        <v>12576</v>
      </c>
      <c r="JG3" s="1">
        <v>12744</v>
      </c>
      <c r="JH3" s="1">
        <v>12908</v>
      </c>
      <c r="JI3" s="1">
        <v>13072</v>
      </c>
      <c r="JJ3" s="1">
        <v>13235</v>
      </c>
      <c r="JK3" s="1">
        <v>13388</v>
      </c>
      <c r="JL3" s="1">
        <v>13541</v>
      </c>
      <c r="JM3" s="1">
        <v>13691</v>
      </c>
      <c r="JN3" s="1">
        <v>13840</v>
      </c>
      <c r="JO3" s="1">
        <v>13986</v>
      </c>
      <c r="JP3" s="1">
        <v>14132</v>
      </c>
      <c r="JQ3" s="1">
        <v>14278</v>
      </c>
      <c r="JR3" s="1">
        <v>14435</v>
      </c>
      <c r="JS3" s="1">
        <v>14596</v>
      </c>
      <c r="JT3" s="1">
        <v>14762</v>
      </c>
      <c r="JU3" s="1">
        <v>14933</v>
      </c>
      <c r="JV3" s="1">
        <v>15118</v>
      </c>
      <c r="JW3" s="1">
        <v>15305</v>
      </c>
      <c r="JX3" s="1">
        <v>15508</v>
      </c>
      <c r="JY3" s="1">
        <v>15729</v>
      </c>
      <c r="JZ3" s="1">
        <v>15952</v>
      </c>
      <c r="KA3" s="1">
        <v>16166</v>
      </c>
      <c r="KB3" s="1">
        <v>16373</v>
      </c>
      <c r="KC3" s="1">
        <v>16565</v>
      </c>
      <c r="KD3" s="1">
        <v>16743</v>
      </c>
      <c r="KE3" s="1">
        <v>16915</v>
      </c>
      <c r="KF3" s="1">
        <v>17083</v>
      </c>
      <c r="KG3" s="1">
        <v>17247</v>
      </c>
      <c r="KH3" s="1">
        <v>17408</v>
      </c>
      <c r="KI3" s="1">
        <v>17567</v>
      </c>
      <c r="KJ3" s="1">
        <v>17728</v>
      </c>
      <c r="KK3" s="1">
        <v>17886</v>
      </c>
      <c r="KL3" s="1">
        <v>18039</v>
      </c>
      <c r="KM3" s="1">
        <v>18193</v>
      </c>
      <c r="KN3" s="1">
        <v>18347</v>
      </c>
      <c r="KO3" s="1">
        <v>18503</v>
      </c>
      <c r="KP3" s="1">
        <v>18670</v>
      </c>
      <c r="KQ3" s="1">
        <v>18840</v>
      </c>
      <c r="KR3" s="1">
        <v>19016</v>
      </c>
      <c r="KS3" s="1">
        <v>19198</v>
      </c>
      <c r="KT3" s="1">
        <v>19391</v>
      </c>
      <c r="KU3" s="1">
        <v>19590</v>
      </c>
      <c r="KV3" s="1">
        <v>19804</v>
      </c>
      <c r="KW3" s="1">
        <v>20020</v>
      </c>
      <c r="KX3" s="1">
        <v>20244</v>
      </c>
      <c r="KY3" s="1">
        <v>20461</v>
      </c>
      <c r="KZ3" s="1">
        <v>20670</v>
      </c>
      <c r="LA3" s="1">
        <v>20865</v>
      </c>
      <c r="LB3" s="1">
        <v>21048</v>
      </c>
      <c r="LC3" s="1">
        <v>21219</v>
      </c>
      <c r="LD3" s="1">
        <v>21386</v>
      </c>
      <c r="LE3" s="1">
        <v>21551</v>
      </c>
      <c r="LF3" s="1">
        <v>21712</v>
      </c>
      <c r="LG3" s="1">
        <v>21872</v>
      </c>
      <c r="LH3" s="1">
        <v>22031</v>
      </c>
      <c r="LI3" s="1">
        <v>22184</v>
      </c>
      <c r="LJ3" s="1">
        <v>22334</v>
      </c>
      <c r="LK3" s="1">
        <v>22482</v>
      </c>
      <c r="LL3" s="1">
        <v>22630</v>
      </c>
      <c r="LM3" s="1">
        <v>22780</v>
      </c>
      <c r="LN3" s="1">
        <v>22936</v>
      </c>
      <c r="LO3" s="1">
        <v>23102</v>
      </c>
      <c r="LP3" s="1">
        <v>23273</v>
      </c>
      <c r="LQ3" s="1">
        <v>23443</v>
      </c>
      <c r="LR3" s="1">
        <v>23620</v>
      </c>
      <c r="LS3" s="1">
        <v>23803</v>
      </c>
      <c r="LT3" s="1">
        <v>23994</v>
      </c>
      <c r="LU3" s="1">
        <v>24194</v>
      </c>
      <c r="LV3" s="1">
        <v>24404</v>
      </c>
      <c r="LW3" s="1">
        <v>24615</v>
      </c>
      <c r="LX3" s="1">
        <v>24817</v>
      </c>
      <c r="LY3" s="1">
        <v>25013</v>
      </c>
      <c r="LZ3" s="1">
        <v>25197</v>
      </c>
      <c r="MA3" s="1">
        <v>25376</v>
      </c>
      <c r="MB3" s="1">
        <v>25550</v>
      </c>
      <c r="MC3" s="1">
        <v>25721</v>
      </c>
      <c r="MD3" s="1">
        <v>25891</v>
      </c>
      <c r="ME3" s="1">
        <v>26059</v>
      </c>
      <c r="MF3" s="1">
        <v>26224</v>
      </c>
      <c r="MG3" s="1">
        <v>26384</v>
      </c>
      <c r="MH3" s="1">
        <v>26541</v>
      </c>
      <c r="MI3" s="1">
        <v>26699</v>
      </c>
      <c r="MJ3" s="1">
        <v>26857</v>
      </c>
      <c r="MK3" s="1">
        <v>27018</v>
      </c>
      <c r="ML3" s="1">
        <v>27185</v>
      </c>
      <c r="MM3" s="1">
        <v>27355</v>
      </c>
      <c r="MN3" s="1">
        <v>27535</v>
      </c>
      <c r="MO3" s="1">
        <v>27734</v>
      </c>
      <c r="MP3" s="1">
        <v>27938</v>
      </c>
      <c r="MQ3" s="1">
        <v>28138</v>
      </c>
      <c r="MR3" s="1">
        <v>28345</v>
      </c>
      <c r="MS3" s="1">
        <v>28571</v>
      </c>
      <c r="MT3" s="1">
        <v>28807</v>
      </c>
      <c r="MU3" s="1">
        <v>29029</v>
      </c>
      <c r="MV3" s="1">
        <v>29240</v>
      </c>
      <c r="MW3" s="1">
        <v>29445</v>
      </c>
      <c r="MX3" s="1">
        <v>29644</v>
      </c>
      <c r="MY3" s="1">
        <v>29826</v>
      </c>
      <c r="MZ3" s="1">
        <v>30001</v>
      </c>
      <c r="NA3" s="1">
        <v>30172</v>
      </c>
      <c r="NB3" s="1">
        <v>30345</v>
      </c>
      <c r="NC3" s="1">
        <v>30509</v>
      </c>
      <c r="ND3" s="1">
        <v>30669</v>
      </c>
      <c r="NE3" s="1">
        <v>30824</v>
      </c>
      <c r="NF3" s="1">
        <v>30977</v>
      </c>
      <c r="NG3" s="1">
        <v>31132</v>
      </c>
      <c r="NH3" s="1">
        <v>31287</v>
      </c>
      <c r="NI3" s="1">
        <v>31450</v>
      </c>
      <c r="NJ3" s="1">
        <v>31629</v>
      </c>
      <c r="NK3" s="1">
        <v>31821</v>
      </c>
      <c r="NL3" s="1">
        <v>32038</v>
      </c>
      <c r="NM3" s="1">
        <v>32276</v>
      </c>
      <c r="NN3" s="1">
        <v>32518</v>
      </c>
      <c r="NO3" s="1">
        <v>32777</v>
      </c>
      <c r="NP3" s="1">
        <v>33042</v>
      </c>
      <c r="NQ3" s="1">
        <v>33314</v>
      </c>
      <c r="NR3" s="1">
        <v>33583</v>
      </c>
      <c r="NS3" s="1">
        <v>33862</v>
      </c>
      <c r="NT3" s="1">
        <v>34130</v>
      </c>
      <c r="NU3" s="1">
        <v>34380</v>
      </c>
      <c r="NV3" s="1">
        <v>34610</v>
      </c>
      <c r="NW3" s="1">
        <v>34834</v>
      </c>
      <c r="NX3" s="1">
        <v>35048</v>
      </c>
      <c r="NY3" s="1">
        <v>35249</v>
      </c>
      <c r="NZ3" s="1">
        <v>35446</v>
      </c>
      <c r="OA3" s="1">
        <v>35638</v>
      </c>
      <c r="OB3" s="1">
        <v>35829</v>
      </c>
      <c r="OC3" s="1">
        <v>36010</v>
      </c>
      <c r="OD3" s="1">
        <v>36192</v>
      </c>
      <c r="OE3" s="1">
        <v>36372</v>
      </c>
      <c r="OF3" s="1">
        <v>36552</v>
      </c>
      <c r="OG3" s="1">
        <v>36730</v>
      </c>
      <c r="OH3" s="1">
        <v>36923</v>
      </c>
      <c r="OI3" s="1">
        <v>37146</v>
      </c>
      <c r="OJ3" s="1">
        <v>37413</v>
      </c>
      <c r="OK3" s="1">
        <v>37716</v>
      </c>
      <c r="OL3" s="1">
        <v>38030</v>
      </c>
      <c r="OM3" s="1">
        <v>38329</v>
      </c>
      <c r="ON3" s="1">
        <v>38649</v>
      </c>
      <c r="OO3" s="1">
        <v>38985</v>
      </c>
      <c r="OP3" s="1">
        <v>39309</v>
      </c>
      <c r="OQ3" s="1">
        <v>39616</v>
      </c>
      <c r="OR3" s="1">
        <v>39901</v>
      </c>
      <c r="OS3" s="1">
        <v>40162</v>
      </c>
      <c r="OT3" s="1">
        <v>40392</v>
      </c>
      <c r="OU3" s="1">
        <v>40617</v>
      </c>
      <c r="OV3" s="1">
        <v>40831</v>
      </c>
      <c r="OW3" s="1">
        <v>41030</v>
      </c>
      <c r="OX3" s="1">
        <v>41224</v>
      </c>
      <c r="OY3" s="1">
        <v>41418</v>
      </c>
      <c r="OZ3" s="1">
        <v>41605</v>
      </c>
      <c r="PA3" s="1">
        <v>41785</v>
      </c>
      <c r="PB3" s="1">
        <v>41962</v>
      </c>
      <c r="PC3" s="1">
        <v>42139</v>
      </c>
      <c r="PD3" s="1">
        <v>42317</v>
      </c>
      <c r="PE3" s="1">
        <v>42498</v>
      </c>
      <c r="PF3" s="1">
        <v>42687</v>
      </c>
      <c r="PG3" s="1">
        <v>42927</v>
      </c>
      <c r="PH3" s="1">
        <v>43223</v>
      </c>
      <c r="PI3" s="1">
        <v>43572</v>
      </c>
      <c r="PJ3" s="1">
        <v>43932</v>
      </c>
      <c r="PK3" s="1">
        <v>44280</v>
      </c>
      <c r="PL3" s="1">
        <v>44643</v>
      </c>
      <c r="PM3" s="1">
        <v>45007</v>
      </c>
      <c r="PN3" s="1">
        <v>45382</v>
      </c>
      <c r="PO3" s="1">
        <v>45743</v>
      </c>
      <c r="PP3" s="1">
        <v>46057</v>
      </c>
      <c r="PQ3" s="1">
        <v>46317</v>
      </c>
      <c r="PR3" s="1">
        <v>46555</v>
      </c>
      <c r="PS3" s="1">
        <v>46774</v>
      </c>
      <c r="PT3" s="1">
        <v>46990</v>
      </c>
      <c r="PU3" s="1">
        <v>47194</v>
      </c>
      <c r="PV3" s="1">
        <v>47392</v>
      </c>
      <c r="PW3" s="1">
        <v>47584</v>
      </c>
      <c r="PX3" s="1">
        <v>47774</v>
      </c>
      <c r="PY3" s="1">
        <v>47958</v>
      </c>
      <c r="PZ3" s="1">
        <v>48138</v>
      </c>
      <c r="QA3" s="1">
        <v>48317</v>
      </c>
      <c r="QB3" s="1">
        <v>48494</v>
      </c>
      <c r="QC3" s="1">
        <v>48678</v>
      </c>
      <c r="QD3" s="1">
        <v>48880</v>
      </c>
      <c r="QE3" s="1">
        <v>49112</v>
      </c>
      <c r="QF3" s="1">
        <v>49397</v>
      </c>
      <c r="QG3" s="1">
        <v>49719</v>
      </c>
      <c r="QH3" s="1">
        <v>50052</v>
      </c>
      <c r="QI3" s="1">
        <v>50382</v>
      </c>
      <c r="QJ3" s="1">
        <v>50735</v>
      </c>
      <c r="QK3" s="1">
        <v>51101</v>
      </c>
      <c r="QL3" s="1">
        <v>51450</v>
      </c>
      <c r="QM3" s="1">
        <v>51784</v>
      </c>
      <c r="QN3" s="1">
        <v>52096</v>
      </c>
      <c r="QO3" s="1">
        <v>52365</v>
      </c>
      <c r="QP3" s="1">
        <v>52611</v>
      </c>
      <c r="QQ3" s="1">
        <v>52832</v>
      </c>
      <c r="QR3" s="1">
        <v>53039</v>
      </c>
      <c r="QS3" s="1">
        <v>53242</v>
      </c>
      <c r="QT3" s="1">
        <v>53440</v>
      </c>
      <c r="QU3" s="1">
        <v>53638</v>
      </c>
      <c r="QV3" s="1">
        <v>53834</v>
      </c>
      <c r="QW3" s="1">
        <v>54029</v>
      </c>
      <c r="QX3" s="1">
        <v>54216</v>
      </c>
      <c r="QY3" s="1">
        <v>54403</v>
      </c>
      <c r="QZ3" s="1">
        <v>54592</v>
      </c>
      <c r="RA3" s="1">
        <v>54784</v>
      </c>
      <c r="RB3" s="1">
        <v>54990</v>
      </c>
      <c r="RC3" s="1">
        <v>55222</v>
      </c>
      <c r="RD3" s="1">
        <v>55531</v>
      </c>
      <c r="RE3" s="1">
        <v>55870</v>
      </c>
      <c r="RF3" s="1">
        <v>56193</v>
      </c>
      <c r="RG3" s="1">
        <v>56517</v>
      </c>
      <c r="RH3" s="1">
        <v>56851</v>
      </c>
      <c r="RI3" s="1">
        <v>57204</v>
      </c>
      <c r="RJ3" s="1">
        <v>57553</v>
      </c>
      <c r="RK3" s="1">
        <v>57897</v>
      </c>
      <c r="RL3" s="1">
        <v>58218</v>
      </c>
      <c r="RM3" s="1">
        <v>58489</v>
      </c>
      <c r="RN3" s="1">
        <v>58734</v>
      </c>
      <c r="RO3" s="1">
        <v>58956</v>
      </c>
      <c r="RP3" s="1">
        <v>59166</v>
      </c>
      <c r="RQ3" s="1">
        <v>59370</v>
      </c>
      <c r="RR3" s="1">
        <v>59568</v>
      </c>
      <c r="RS3" s="1">
        <v>59761</v>
      </c>
      <c r="RT3" s="1">
        <v>59949</v>
      </c>
      <c r="RU3" s="1">
        <v>60135</v>
      </c>
      <c r="RV3" s="1">
        <v>60322</v>
      </c>
      <c r="RW3" s="1">
        <v>60508</v>
      </c>
      <c r="RX3" s="1">
        <v>60695</v>
      </c>
      <c r="RY3" s="1">
        <v>60886</v>
      </c>
      <c r="RZ3" s="1">
        <v>61084</v>
      </c>
      <c r="SA3" s="1">
        <v>61285</v>
      </c>
      <c r="SB3" s="1">
        <v>61487</v>
      </c>
      <c r="SC3" s="1">
        <v>61698</v>
      </c>
      <c r="SD3" s="1">
        <v>61920</v>
      </c>
      <c r="SE3" s="1">
        <v>62150</v>
      </c>
      <c r="SF3" s="1">
        <v>62387</v>
      </c>
      <c r="SG3" s="1">
        <v>62630</v>
      </c>
      <c r="SH3" s="1">
        <v>62888</v>
      </c>
      <c r="SI3" s="1">
        <v>63144</v>
      </c>
      <c r="SJ3" s="1">
        <v>63403</v>
      </c>
      <c r="SK3" s="1">
        <v>63648</v>
      </c>
      <c r="SL3" s="1">
        <v>63890</v>
      </c>
      <c r="SM3" s="1">
        <v>64116</v>
      </c>
      <c r="SN3" s="1">
        <v>64328</v>
      </c>
      <c r="SO3" s="1">
        <v>64533</v>
      </c>
      <c r="SP3" s="1">
        <v>64741</v>
      </c>
      <c r="SQ3" s="1">
        <v>64948</v>
      </c>
      <c r="SR3" s="1">
        <v>65150</v>
      </c>
      <c r="SS3" s="1">
        <v>65351</v>
      </c>
      <c r="ST3" s="1">
        <v>65547</v>
      </c>
      <c r="SU3" s="1">
        <v>65740</v>
      </c>
      <c r="SV3" s="1">
        <v>65932</v>
      </c>
      <c r="SW3" s="1">
        <v>66125</v>
      </c>
      <c r="SX3" s="1">
        <v>66325</v>
      </c>
      <c r="SY3" s="1">
        <v>66526</v>
      </c>
      <c r="SZ3" s="1">
        <v>66734</v>
      </c>
      <c r="TA3" s="1">
        <v>66948</v>
      </c>
      <c r="TB3" s="1">
        <v>67166</v>
      </c>
      <c r="TC3" s="1">
        <v>67397</v>
      </c>
      <c r="TD3" s="1">
        <v>67637</v>
      </c>
      <c r="TE3" s="1">
        <v>67880</v>
      </c>
      <c r="TF3" s="1">
        <v>68132</v>
      </c>
      <c r="TG3" s="1">
        <v>68384</v>
      </c>
      <c r="TH3" s="1">
        <v>68626</v>
      </c>
      <c r="TI3" s="1">
        <v>68861</v>
      </c>
      <c r="TJ3" s="1">
        <v>69079</v>
      </c>
      <c r="TK3" s="1">
        <v>69289</v>
      </c>
      <c r="TL3" s="1">
        <v>69493</v>
      </c>
      <c r="TM3" s="1">
        <v>69694</v>
      </c>
      <c r="TN3" s="1">
        <v>69894</v>
      </c>
      <c r="TO3" s="1">
        <v>70092</v>
      </c>
      <c r="TP3" s="1">
        <v>70294</v>
      </c>
      <c r="TQ3" s="1">
        <v>70492</v>
      </c>
      <c r="TR3" s="1">
        <v>70686</v>
      </c>
      <c r="TS3" s="1">
        <v>70879</v>
      </c>
      <c r="TT3" s="1">
        <v>71067</v>
      </c>
      <c r="TU3" s="1">
        <v>71263</v>
      </c>
      <c r="TV3" s="1">
        <v>71482</v>
      </c>
      <c r="TW3" s="1">
        <v>71746</v>
      </c>
      <c r="TX3" s="1">
        <v>72088</v>
      </c>
      <c r="TY3" s="1">
        <v>72475</v>
      </c>
      <c r="TZ3" s="1">
        <v>72863</v>
      </c>
      <c r="UA3" s="1">
        <v>73254</v>
      </c>
      <c r="UB3" s="1">
        <v>73650</v>
      </c>
      <c r="UC3" s="1">
        <v>74064</v>
      </c>
      <c r="UD3" s="1">
        <v>74482</v>
      </c>
      <c r="UE3" s="1">
        <v>74881</v>
      </c>
      <c r="UF3" s="1">
        <v>75234</v>
      </c>
      <c r="UG3" s="1">
        <v>75521</v>
      </c>
      <c r="UH3" s="1">
        <v>75785</v>
      </c>
      <c r="UI3" s="1">
        <v>76044</v>
      </c>
      <c r="UJ3" s="1">
        <v>76281</v>
      </c>
      <c r="UK3" s="1">
        <v>76511</v>
      </c>
      <c r="UL3" s="1">
        <v>76728</v>
      </c>
      <c r="UM3" s="1">
        <v>76940</v>
      </c>
      <c r="UN3" s="1">
        <v>77147</v>
      </c>
      <c r="UO3" s="1">
        <v>77351</v>
      </c>
      <c r="UP3" s="1">
        <v>77548</v>
      </c>
      <c r="UQ3" s="1">
        <v>77744</v>
      </c>
      <c r="UR3" s="1">
        <v>77933</v>
      </c>
      <c r="US3" s="1">
        <v>78128</v>
      </c>
      <c r="UT3" s="1">
        <v>78334</v>
      </c>
      <c r="UU3" s="1">
        <v>78584</v>
      </c>
      <c r="UV3" s="1">
        <v>78916</v>
      </c>
      <c r="UW3" s="1">
        <v>79280</v>
      </c>
      <c r="UX3" s="1">
        <v>79668</v>
      </c>
      <c r="UY3" s="1">
        <v>80060</v>
      </c>
      <c r="UZ3" s="1">
        <v>80459</v>
      </c>
      <c r="VA3" s="1">
        <v>80882</v>
      </c>
      <c r="VB3" s="1">
        <v>81311</v>
      </c>
      <c r="VC3" s="1">
        <v>81697</v>
      </c>
      <c r="VD3" s="1">
        <v>82062</v>
      </c>
      <c r="VE3" s="1">
        <v>82365</v>
      </c>
      <c r="VF3" s="1">
        <v>82645</v>
      </c>
      <c r="VG3" s="1">
        <v>82902</v>
      </c>
      <c r="VH3" s="1">
        <v>83139</v>
      </c>
      <c r="VI3" s="1">
        <v>83340</v>
      </c>
      <c r="VJ3" s="1">
        <v>83534</v>
      </c>
      <c r="VK3" s="1">
        <v>83728</v>
      </c>
      <c r="VL3" s="1">
        <v>83917</v>
      </c>
      <c r="VM3" s="1">
        <v>84103</v>
      </c>
      <c r="VN3" s="1">
        <v>84292</v>
      </c>
      <c r="VO3" s="1">
        <v>84482</v>
      </c>
      <c r="VP3" s="1">
        <v>84671</v>
      </c>
      <c r="VQ3" s="1">
        <v>84862</v>
      </c>
      <c r="VR3" s="1">
        <v>85060</v>
      </c>
      <c r="VS3" s="1">
        <v>85291</v>
      </c>
      <c r="VT3" s="1">
        <v>85582</v>
      </c>
      <c r="VU3" s="1">
        <v>85928</v>
      </c>
      <c r="VV3" s="1">
        <v>86275</v>
      </c>
      <c r="VW3" s="1">
        <v>86628</v>
      </c>
      <c r="VX3" s="1">
        <v>86999</v>
      </c>
      <c r="VY3" s="1">
        <v>87386</v>
      </c>
      <c r="VZ3" s="1">
        <v>87785</v>
      </c>
      <c r="WA3" s="1">
        <v>88163</v>
      </c>
      <c r="WB3" s="1">
        <v>88512</v>
      </c>
      <c r="WC3" s="1">
        <v>88800</v>
      </c>
      <c r="WD3" s="1">
        <v>89060</v>
      </c>
      <c r="WE3" s="1">
        <v>89297</v>
      </c>
      <c r="WF3" s="1">
        <v>89532</v>
      </c>
      <c r="WG3" s="1">
        <v>89752</v>
      </c>
      <c r="WH3" s="1">
        <v>89961</v>
      </c>
      <c r="WI3" s="1">
        <v>90161</v>
      </c>
      <c r="WJ3" s="1">
        <v>90353</v>
      </c>
      <c r="WK3" s="1">
        <v>90544</v>
      </c>
      <c r="WL3" s="1">
        <v>90730</v>
      </c>
      <c r="WM3" s="1">
        <v>90915</v>
      </c>
      <c r="WN3" s="1">
        <v>91097</v>
      </c>
      <c r="WO3" s="1">
        <v>91280</v>
      </c>
      <c r="WP3" s="1">
        <v>91479</v>
      </c>
      <c r="WQ3" s="1">
        <v>91715</v>
      </c>
      <c r="WR3" s="1">
        <v>92013</v>
      </c>
      <c r="WS3" s="1">
        <v>92350</v>
      </c>
      <c r="WT3" s="1">
        <v>92719</v>
      </c>
      <c r="WU3" s="1">
        <v>93091</v>
      </c>
      <c r="WV3" s="1">
        <v>93495</v>
      </c>
      <c r="WW3" s="1">
        <v>93920</v>
      </c>
      <c r="WX3" s="1">
        <v>94316</v>
      </c>
      <c r="WY3" s="1">
        <v>94689</v>
      </c>
      <c r="WZ3" s="1">
        <v>95032</v>
      </c>
      <c r="XA3" s="1">
        <v>95323</v>
      </c>
      <c r="XB3" s="1">
        <v>95576</v>
      </c>
      <c r="XC3" s="1">
        <v>95798</v>
      </c>
      <c r="XD3" s="1">
        <v>96004</v>
      </c>
      <c r="XE3" s="1">
        <v>96204</v>
      </c>
      <c r="XF3" s="1">
        <v>96395</v>
      </c>
      <c r="XG3" s="1">
        <v>96581</v>
      </c>
      <c r="XH3" s="1">
        <v>96758</v>
      </c>
      <c r="XI3" s="1">
        <v>96930</v>
      </c>
      <c r="XJ3" s="1">
        <v>97099</v>
      </c>
      <c r="XK3" s="1">
        <v>97265</v>
      </c>
      <c r="XL3" s="1">
        <v>97434</v>
      </c>
      <c r="XM3" s="1">
        <v>97605</v>
      </c>
      <c r="XN3" s="1">
        <v>97789</v>
      </c>
      <c r="XO3" s="1">
        <v>98007</v>
      </c>
      <c r="XP3" s="1">
        <v>98281</v>
      </c>
      <c r="XQ3" s="1">
        <v>98612</v>
      </c>
      <c r="XR3" s="1">
        <v>98959</v>
      </c>
      <c r="XS3" s="1">
        <v>99311</v>
      </c>
      <c r="XT3" s="1">
        <v>99677</v>
      </c>
      <c r="XU3" s="1">
        <v>100064</v>
      </c>
      <c r="XV3" s="1">
        <v>100448</v>
      </c>
      <c r="XW3" s="1">
        <v>100823</v>
      </c>
      <c r="XX3" s="1">
        <v>101169</v>
      </c>
      <c r="XY3" s="1">
        <v>101461</v>
      </c>
      <c r="XZ3" s="1">
        <v>101708</v>
      </c>
      <c r="YA3" s="1">
        <v>101926</v>
      </c>
      <c r="YB3" s="1">
        <v>102130</v>
      </c>
      <c r="YC3" s="1">
        <v>102331</v>
      </c>
      <c r="YD3" s="1">
        <v>102527</v>
      </c>
      <c r="YE3" s="1">
        <v>102715</v>
      </c>
      <c r="YF3" s="1">
        <v>102899</v>
      </c>
      <c r="YG3" s="1">
        <v>103082</v>
      </c>
      <c r="YH3" s="1">
        <v>103263</v>
      </c>
      <c r="YI3" s="1">
        <v>103443</v>
      </c>
      <c r="YJ3" s="1">
        <v>103625</v>
      </c>
      <c r="YK3" s="1">
        <v>103807</v>
      </c>
      <c r="YL3" s="1">
        <v>103990</v>
      </c>
      <c r="YM3" s="1">
        <v>104176</v>
      </c>
      <c r="YN3" s="1">
        <v>104367</v>
      </c>
      <c r="YO3" s="1">
        <v>104567</v>
      </c>
      <c r="YP3" s="1">
        <v>104771</v>
      </c>
      <c r="YQ3" s="1">
        <v>104990</v>
      </c>
      <c r="YR3" s="1">
        <v>105216</v>
      </c>
      <c r="YS3" s="1">
        <v>105450</v>
      </c>
      <c r="YT3" s="1">
        <v>105684</v>
      </c>
      <c r="YU3" s="1">
        <v>105905</v>
      </c>
      <c r="YV3" s="1">
        <v>106109</v>
      </c>
      <c r="YW3" s="1">
        <v>106312</v>
      </c>
      <c r="YX3" s="1">
        <v>106515</v>
      </c>
      <c r="YY3" s="1">
        <v>106712</v>
      </c>
      <c r="YZ3" s="1">
        <v>106907</v>
      </c>
      <c r="ZA3" s="1">
        <v>107097</v>
      </c>
      <c r="ZB3" s="1">
        <v>107287</v>
      </c>
      <c r="ZC3" s="1">
        <v>107477</v>
      </c>
      <c r="ZD3" s="1">
        <v>107663</v>
      </c>
      <c r="ZE3" s="1">
        <v>107844</v>
      </c>
      <c r="ZF3" s="1">
        <v>108018</v>
      </c>
      <c r="ZG3" s="1">
        <v>108186</v>
      </c>
      <c r="ZH3" s="1">
        <v>108354</v>
      </c>
      <c r="ZI3" s="1">
        <v>108521</v>
      </c>
      <c r="ZJ3" s="1">
        <v>108696</v>
      </c>
      <c r="ZK3" s="1">
        <v>108872</v>
      </c>
      <c r="ZL3" s="1">
        <v>109053</v>
      </c>
      <c r="ZM3" s="1">
        <v>109235</v>
      </c>
      <c r="ZN3" s="1">
        <v>109420</v>
      </c>
      <c r="ZO3" s="1">
        <v>109614</v>
      </c>
      <c r="ZP3" s="1">
        <v>109819</v>
      </c>
      <c r="ZQ3" s="1">
        <v>110044</v>
      </c>
      <c r="ZR3" s="1">
        <v>110270</v>
      </c>
      <c r="ZS3" s="1">
        <v>110486</v>
      </c>
      <c r="ZT3" s="1">
        <v>110683</v>
      </c>
      <c r="ZU3" s="1">
        <v>110873</v>
      </c>
      <c r="ZV3" s="1">
        <v>111059</v>
      </c>
      <c r="ZW3" s="1">
        <v>111242</v>
      </c>
      <c r="ZX3" s="1">
        <v>111429</v>
      </c>
      <c r="ZY3" s="1">
        <v>111610</v>
      </c>
      <c r="ZZ3" s="1">
        <v>111792</v>
      </c>
      <c r="AAA3" s="1">
        <v>111969</v>
      </c>
      <c r="AAB3" s="1">
        <v>112129</v>
      </c>
      <c r="AAC3" s="1">
        <v>112303</v>
      </c>
      <c r="AAD3" s="1">
        <v>112480</v>
      </c>
      <c r="AAE3" s="1">
        <v>112657</v>
      </c>
      <c r="AAF3" s="1">
        <v>112834</v>
      </c>
      <c r="AAG3" s="1">
        <v>113015</v>
      </c>
      <c r="AAH3" s="1">
        <v>113208</v>
      </c>
      <c r="AAI3" s="1">
        <v>113451</v>
      </c>
      <c r="AAJ3" s="1">
        <v>113790</v>
      </c>
      <c r="AAK3" s="1">
        <v>114163</v>
      </c>
      <c r="AAL3" s="1">
        <v>114540</v>
      </c>
      <c r="AAM3" s="1">
        <v>114921</v>
      </c>
      <c r="AAN3" s="1">
        <v>115312</v>
      </c>
      <c r="AAO3" s="1">
        <v>115729</v>
      </c>
      <c r="AAP3" s="1">
        <v>116141</v>
      </c>
      <c r="AAQ3" s="1">
        <v>116525</v>
      </c>
      <c r="AAR3" s="1">
        <v>116867</v>
      </c>
      <c r="AAS3" s="1">
        <v>117160</v>
      </c>
      <c r="AAT3" s="1">
        <v>117414</v>
      </c>
      <c r="AAU3" s="1">
        <v>117644</v>
      </c>
      <c r="AAV3" s="1">
        <v>117872</v>
      </c>
      <c r="AAW3" s="1">
        <v>118093</v>
      </c>
      <c r="AAX3" s="1">
        <v>118299</v>
      </c>
    </row>
    <row r="4" spans="1:750">
      <c r="A4" s="1">
        <v>3</v>
      </c>
      <c r="B4" s="1" t="s">
        <v>2</v>
      </c>
      <c r="C4" s="1" t="s">
        <v>3</v>
      </c>
      <c r="D4" s="1" t="s">
        <v>7</v>
      </c>
      <c r="E4" s="1" t="s">
        <v>5</v>
      </c>
      <c r="F4" s="1">
        <v>28648.6</v>
      </c>
      <c r="G4" s="1">
        <v>28666.3</v>
      </c>
      <c r="H4" s="1">
        <v>28682.3</v>
      </c>
      <c r="I4" s="1">
        <v>28695.3</v>
      </c>
      <c r="J4" s="1">
        <v>28708.5</v>
      </c>
      <c r="K4" s="1">
        <v>28721.599999999999</v>
      </c>
      <c r="L4" s="1">
        <v>28734.2</v>
      </c>
      <c r="M4" s="1">
        <v>28747.3</v>
      </c>
      <c r="N4" s="1">
        <v>28760.2</v>
      </c>
      <c r="O4" s="1">
        <v>28772.9</v>
      </c>
      <c r="P4" s="1">
        <v>28786.1</v>
      </c>
      <c r="Q4" s="1">
        <v>28806.7</v>
      </c>
      <c r="R4" s="1">
        <v>28827.4</v>
      </c>
      <c r="S4" s="1">
        <v>28852.9</v>
      </c>
      <c r="T4" s="1">
        <v>28876.7</v>
      </c>
      <c r="U4" s="1">
        <v>28906.799999999999</v>
      </c>
      <c r="V4" s="1">
        <v>28940.3</v>
      </c>
      <c r="W4" s="1">
        <v>28971</v>
      </c>
      <c r="X4" s="1">
        <v>29000.799999999999</v>
      </c>
      <c r="Y4" s="1">
        <v>29021.7</v>
      </c>
      <c r="Z4" s="1">
        <v>29038.2</v>
      </c>
      <c r="AA4" s="1">
        <v>29058.7</v>
      </c>
      <c r="AB4" s="1">
        <v>29076.3</v>
      </c>
      <c r="AC4" s="1">
        <v>29092.400000000001</v>
      </c>
      <c r="AD4" s="1">
        <v>29108.2</v>
      </c>
      <c r="AE4" s="1">
        <v>29127.200000000001</v>
      </c>
      <c r="AF4" s="1">
        <v>29144.3</v>
      </c>
      <c r="AG4" s="1">
        <v>29159.4</v>
      </c>
      <c r="AH4" s="1">
        <v>29173.5</v>
      </c>
      <c r="AI4" s="1">
        <v>29187.7</v>
      </c>
      <c r="AJ4" s="1">
        <v>29201.7</v>
      </c>
      <c r="AK4" s="1">
        <v>29215.599999999999</v>
      </c>
      <c r="AL4" s="1">
        <v>29231.7</v>
      </c>
      <c r="AM4" s="1">
        <v>29253.9</v>
      </c>
      <c r="AN4" s="1">
        <v>29282.799999999999</v>
      </c>
      <c r="AO4" s="1">
        <v>29325.3</v>
      </c>
      <c r="AP4" s="1">
        <v>29373.9</v>
      </c>
      <c r="AQ4" s="1">
        <v>29416.2</v>
      </c>
      <c r="AR4" s="1">
        <v>29454.7</v>
      </c>
      <c r="AS4" s="1">
        <v>29491.7</v>
      </c>
      <c r="AT4" s="1">
        <v>29529.200000000001</v>
      </c>
      <c r="AU4" s="1">
        <v>29568</v>
      </c>
      <c r="AV4" s="1">
        <v>29605.3</v>
      </c>
      <c r="AW4" s="1">
        <v>29638.5</v>
      </c>
      <c r="AX4" s="1">
        <v>29664</v>
      </c>
      <c r="AY4" s="1">
        <v>29684.5</v>
      </c>
      <c r="AZ4" s="1">
        <v>29704.1</v>
      </c>
      <c r="BA4" s="1">
        <v>29723.3</v>
      </c>
      <c r="BB4" s="1">
        <v>29740.3</v>
      </c>
      <c r="BC4" s="1">
        <v>29755.8</v>
      </c>
      <c r="BD4" s="1">
        <v>29770</v>
      </c>
      <c r="BE4" s="1">
        <v>29783.599999999999</v>
      </c>
      <c r="BF4" s="1">
        <v>29796.5</v>
      </c>
      <c r="BG4" s="1">
        <v>29810.2</v>
      </c>
      <c r="BH4" s="1">
        <v>29823.4</v>
      </c>
      <c r="BI4" s="1">
        <v>29837.1</v>
      </c>
      <c r="BJ4" s="1">
        <v>29850.5</v>
      </c>
      <c r="BK4" s="1">
        <v>29867.3</v>
      </c>
      <c r="BL4" s="1">
        <v>29903.599999999999</v>
      </c>
      <c r="BM4" s="1">
        <v>29945.1</v>
      </c>
      <c r="BN4" s="1">
        <v>29986.2</v>
      </c>
      <c r="BO4" s="1">
        <v>30034.6</v>
      </c>
      <c r="BP4" s="1">
        <v>30082.7</v>
      </c>
      <c r="BQ4" s="1">
        <v>30129.200000000001</v>
      </c>
      <c r="BR4" s="1">
        <v>30180.9</v>
      </c>
      <c r="BS4" s="1">
        <v>30232.1</v>
      </c>
      <c r="BT4" s="1">
        <v>30268.3</v>
      </c>
      <c r="BU4" s="1">
        <v>30296</v>
      </c>
      <c r="BV4" s="1">
        <v>30320.1</v>
      </c>
      <c r="BW4" s="1">
        <v>30341.8</v>
      </c>
      <c r="BX4" s="1">
        <v>30361.8</v>
      </c>
      <c r="BY4" s="1">
        <v>30383.599999999999</v>
      </c>
      <c r="BZ4" s="1">
        <v>30404.400000000001</v>
      </c>
      <c r="CA4" s="1">
        <v>30421.1</v>
      </c>
      <c r="CB4" s="1">
        <v>30436</v>
      </c>
      <c r="CC4" s="1">
        <v>30452.2</v>
      </c>
      <c r="CD4" s="1">
        <v>30466.5</v>
      </c>
      <c r="CE4" s="1">
        <v>30480.6</v>
      </c>
      <c r="CF4" s="1">
        <v>30494.799999999999</v>
      </c>
      <c r="CG4" s="1">
        <v>30509.4</v>
      </c>
      <c r="CH4" s="1">
        <v>30525.200000000001</v>
      </c>
      <c r="CI4" s="1">
        <v>30546.9</v>
      </c>
      <c r="CJ4" s="1">
        <v>30571.1</v>
      </c>
      <c r="CK4" s="1">
        <v>30604.3</v>
      </c>
      <c r="CL4" s="1">
        <v>30636.799999999999</v>
      </c>
      <c r="CM4" s="1">
        <v>30674.6</v>
      </c>
      <c r="CN4" s="1">
        <v>30718</v>
      </c>
      <c r="CO4" s="1">
        <v>30755.1</v>
      </c>
      <c r="CP4" s="1">
        <v>30793</v>
      </c>
      <c r="CQ4" s="1">
        <v>30830.400000000001</v>
      </c>
      <c r="CR4" s="1">
        <v>30864.1</v>
      </c>
      <c r="CS4" s="1">
        <v>30888.6</v>
      </c>
      <c r="CT4" s="1">
        <v>30910.3</v>
      </c>
      <c r="CU4" s="1">
        <v>30929.200000000001</v>
      </c>
      <c r="CV4" s="1">
        <v>30947.8</v>
      </c>
      <c r="CW4" s="1">
        <v>30964.3</v>
      </c>
      <c r="CX4" s="1">
        <v>30977.8</v>
      </c>
      <c r="CY4" s="1">
        <v>30990.3</v>
      </c>
      <c r="CZ4" s="1">
        <v>31003.599999999999</v>
      </c>
      <c r="DA4" s="1">
        <v>31016.3</v>
      </c>
      <c r="DB4" s="1">
        <v>31029.7</v>
      </c>
      <c r="DC4" s="1">
        <v>31042.5</v>
      </c>
      <c r="DD4" s="1">
        <v>31054.7</v>
      </c>
      <c r="DE4" s="1">
        <v>31067.1</v>
      </c>
      <c r="DF4" s="1">
        <v>31080.400000000001</v>
      </c>
      <c r="DG4" s="1">
        <v>31097.599999999999</v>
      </c>
      <c r="DH4" s="1">
        <v>31129.5</v>
      </c>
      <c r="DI4" s="1">
        <v>31176.5</v>
      </c>
      <c r="DJ4" s="1">
        <v>31215</v>
      </c>
      <c r="DK4" s="1">
        <v>31252.6</v>
      </c>
      <c r="DL4" s="1">
        <v>31290.9</v>
      </c>
      <c r="DM4" s="1">
        <v>31334.3</v>
      </c>
      <c r="DN4" s="1">
        <v>31377.5</v>
      </c>
      <c r="DO4" s="1">
        <v>31414.799999999999</v>
      </c>
      <c r="DP4" s="1">
        <v>31445.200000000001</v>
      </c>
      <c r="DQ4" s="1">
        <v>31470.5</v>
      </c>
      <c r="DR4" s="1">
        <v>31494.3</v>
      </c>
      <c r="DS4" s="1">
        <v>31516.3</v>
      </c>
      <c r="DT4" s="1">
        <v>31537.8</v>
      </c>
      <c r="DU4" s="1">
        <v>31558.799999999999</v>
      </c>
      <c r="DV4" s="1">
        <v>31583.1</v>
      </c>
      <c r="DW4" s="1">
        <v>31603</v>
      </c>
      <c r="DX4" s="1">
        <v>31621</v>
      </c>
      <c r="DY4" s="1">
        <v>31636.9</v>
      </c>
      <c r="DZ4" s="1">
        <v>31652.1</v>
      </c>
      <c r="EA4" s="1">
        <v>31668.6</v>
      </c>
      <c r="EB4" s="1">
        <v>31684.3</v>
      </c>
      <c r="EC4" s="1">
        <v>31700.400000000001</v>
      </c>
      <c r="ED4" s="1">
        <v>31716.6</v>
      </c>
      <c r="EE4" s="1">
        <v>31736.6</v>
      </c>
      <c r="EF4" s="1">
        <v>31769.8</v>
      </c>
      <c r="EG4" s="1">
        <v>31803.4</v>
      </c>
      <c r="EH4" s="1">
        <v>31836.1</v>
      </c>
      <c r="EI4" s="1">
        <v>31870.2</v>
      </c>
      <c r="EJ4" s="1">
        <v>31909.599999999999</v>
      </c>
      <c r="EK4" s="1">
        <v>31946.2</v>
      </c>
      <c r="EL4" s="1">
        <v>31983.9</v>
      </c>
      <c r="EM4" s="1">
        <v>32015.1</v>
      </c>
      <c r="EN4" s="1">
        <v>32043.1</v>
      </c>
      <c r="EO4" s="1">
        <v>32064.9</v>
      </c>
      <c r="EP4" s="1">
        <v>32084.5</v>
      </c>
      <c r="EQ4" s="1">
        <v>32106.5</v>
      </c>
      <c r="ER4" s="1">
        <v>32126.3</v>
      </c>
      <c r="ES4" s="1">
        <v>32143.1</v>
      </c>
      <c r="ET4" s="1">
        <v>32158.2</v>
      </c>
      <c r="EU4" s="1">
        <v>32172.400000000001</v>
      </c>
      <c r="EV4" s="1">
        <v>32186</v>
      </c>
      <c r="EW4" s="1">
        <v>32199.7</v>
      </c>
      <c r="EX4" s="1">
        <v>32212.5</v>
      </c>
      <c r="EY4" s="1">
        <v>32225.5</v>
      </c>
      <c r="EZ4" s="1">
        <v>32238.799999999999</v>
      </c>
      <c r="FA4" s="1">
        <v>32252.1</v>
      </c>
      <c r="FB4" s="1">
        <v>32265.3</v>
      </c>
      <c r="FC4" s="1">
        <v>32279.7</v>
      </c>
      <c r="FD4" s="1">
        <v>32296.5</v>
      </c>
      <c r="FE4" s="1">
        <v>32317</v>
      </c>
      <c r="FF4" s="1">
        <v>32334.7</v>
      </c>
      <c r="FG4" s="1">
        <v>32353.599999999999</v>
      </c>
      <c r="FH4" s="1">
        <v>32374.2</v>
      </c>
      <c r="FI4" s="1">
        <v>32393.5</v>
      </c>
      <c r="FJ4" s="1">
        <v>32411.5</v>
      </c>
      <c r="FK4" s="1">
        <v>32431</v>
      </c>
      <c r="FL4" s="1">
        <v>32447.3</v>
      </c>
      <c r="FM4" s="1">
        <v>32462.1</v>
      </c>
      <c r="FN4" s="1">
        <v>32477.4</v>
      </c>
      <c r="FO4" s="1">
        <v>32492.9</v>
      </c>
      <c r="FP4" s="1">
        <v>32507.1</v>
      </c>
      <c r="FQ4" s="1">
        <v>32520.5</v>
      </c>
      <c r="FR4" s="1">
        <v>32533.3</v>
      </c>
      <c r="FS4" s="1">
        <v>32546.6</v>
      </c>
      <c r="FT4" s="1">
        <v>32559.9</v>
      </c>
      <c r="FU4" s="1">
        <v>32572.400000000001</v>
      </c>
      <c r="FV4" s="1">
        <v>32585.9</v>
      </c>
      <c r="FW4" s="1">
        <v>32598.799999999999</v>
      </c>
      <c r="FX4" s="1">
        <v>32612.1</v>
      </c>
      <c r="FY4" s="1">
        <v>32625</v>
      </c>
      <c r="FZ4" s="1">
        <v>32637.8</v>
      </c>
      <c r="GA4" s="1">
        <v>32650.9</v>
      </c>
      <c r="GB4" s="1">
        <v>32663.5</v>
      </c>
      <c r="GC4" s="1">
        <v>32680</v>
      </c>
      <c r="GD4" s="1">
        <v>32695</v>
      </c>
      <c r="GE4" s="1">
        <v>32708</v>
      </c>
      <c r="GF4" s="1">
        <v>32721.7</v>
      </c>
      <c r="GG4" s="1">
        <v>32736.1</v>
      </c>
      <c r="GH4" s="1">
        <v>32750.400000000001</v>
      </c>
      <c r="GI4" s="1">
        <v>32765.5</v>
      </c>
      <c r="GJ4" s="1">
        <v>32780</v>
      </c>
      <c r="GK4" s="1">
        <v>32793.800000000003</v>
      </c>
      <c r="GL4" s="1">
        <v>32807.4</v>
      </c>
      <c r="GM4" s="1">
        <v>32823.199999999997</v>
      </c>
      <c r="GN4" s="1">
        <v>32836.5</v>
      </c>
      <c r="GO4" s="1">
        <v>32850.6</v>
      </c>
      <c r="GP4" s="1">
        <v>32864.300000000003</v>
      </c>
      <c r="GQ4" s="1">
        <v>32877.699999999997</v>
      </c>
      <c r="GR4" s="1">
        <v>32891.4</v>
      </c>
      <c r="GS4" s="1">
        <v>32904.5</v>
      </c>
      <c r="GT4" s="1">
        <v>32917.199999999997</v>
      </c>
      <c r="GU4" s="1">
        <v>32929.699999999997</v>
      </c>
      <c r="GV4" s="1">
        <v>32942.300000000003</v>
      </c>
      <c r="GW4" s="1">
        <v>32954.9</v>
      </c>
      <c r="GX4" s="1">
        <v>32966.699999999997</v>
      </c>
      <c r="GY4" s="1">
        <v>32979.9</v>
      </c>
      <c r="GZ4" s="1">
        <v>32993.300000000003</v>
      </c>
      <c r="HA4" s="1">
        <v>33010</v>
      </c>
      <c r="HB4" s="1">
        <v>33026.699999999997</v>
      </c>
      <c r="HC4" s="1">
        <v>33044.400000000001</v>
      </c>
      <c r="HD4" s="1">
        <v>33064.1</v>
      </c>
      <c r="HE4" s="1">
        <v>33081</v>
      </c>
      <c r="HF4" s="1">
        <v>33098.400000000001</v>
      </c>
      <c r="HG4" s="1">
        <v>33115.9</v>
      </c>
      <c r="HH4" s="1">
        <v>33129.800000000003</v>
      </c>
      <c r="HI4" s="1">
        <v>33144.400000000001</v>
      </c>
      <c r="HJ4" s="1">
        <v>33157.9</v>
      </c>
      <c r="HK4" s="1">
        <v>33172.5</v>
      </c>
      <c r="HL4" s="1">
        <v>33186.5</v>
      </c>
      <c r="HM4" s="1">
        <v>33200</v>
      </c>
      <c r="HN4" s="1">
        <v>33213.300000000003</v>
      </c>
      <c r="HO4" s="1">
        <v>33225.800000000003</v>
      </c>
      <c r="HP4" s="1">
        <v>33238.300000000003</v>
      </c>
      <c r="HQ4" s="1">
        <v>33250.800000000003</v>
      </c>
      <c r="HR4" s="1">
        <v>33263.5</v>
      </c>
      <c r="HS4" s="1">
        <v>33276</v>
      </c>
      <c r="HT4" s="1">
        <v>33288.199999999997</v>
      </c>
      <c r="HU4" s="1">
        <v>33300.699999999997</v>
      </c>
      <c r="HV4" s="1">
        <v>33313.4</v>
      </c>
      <c r="HW4" s="1">
        <v>33325.699999999997</v>
      </c>
      <c r="HX4" s="1">
        <v>33341.300000000003</v>
      </c>
      <c r="HY4" s="1">
        <v>33361.300000000003</v>
      </c>
      <c r="HZ4" s="1">
        <v>33381.800000000003</v>
      </c>
      <c r="IA4" s="1">
        <v>33402.400000000001</v>
      </c>
      <c r="IB4" s="1">
        <v>33425.800000000003</v>
      </c>
      <c r="IC4" s="1">
        <v>33450</v>
      </c>
      <c r="ID4" s="1">
        <v>33471.9</v>
      </c>
      <c r="IE4" s="1">
        <v>33496.1</v>
      </c>
      <c r="IF4" s="1">
        <v>33515.5</v>
      </c>
      <c r="IG4" s="1">
        <v>33532.800000000003</v>
      </c>
      <c r="IH4" s="1">
        <v>33548.400000000001</v>
      </c>
      <c r="II4" s="1">
        <v>33563.300000000003</v>
      </c>
      <c r="IJ4" s="1">
        <v>33577.300000000003</v>
      </c>
      <c r="IK4" s="1">
        <v>33592.1</v>
      </c>
      <c r="IL4" s="1">
        <v>33605.5</v>
      </c>
      <c r="IM4" s="1">
        <v>33617.9</v>
      </c>
      <c r="IN4" s="1">
        <v>33629.5</v>
      </c>
      <c r="IO4" s="1">
        <v>33641.599999999999</v>
      </c>
      <c r="IP4" s="1">
        <v>33653.9</v>
      </c>
      <c r="IQ4" s="1">
        <v>33666.5</v>
      </c>
      <c r="IR4" s="1">
        <v>33678.400000000001</v>
      </c>
      <c r="IS4" s="1">
        <v>33690.9</v>
      </c>
      <c r="IT4" s="1">
        <v>33703.199999999997</v>
      </c>
      <c r="IU4" s="1">
        <v>33715.199999999997</v>
      </c>
      <c r="IV4" s="1">
        <v>33727.5</v>
      </c>
      <c r="IW4" s="1">
        <v>33750.5</v>
      </c>
      <c r="IX4" s="1">
        <v>33769</v>
      </c>
      <c r="IY4" s="1">
        <v>33785.699999999997</v>
      </c>
      <c r="IZ4" s="1">
        <v>33803.4</v>
      </c>
      <c r="JA4" s="1">
        <v>33825.9</v>
      </c>
      <c r="JB4" s="1">
        <v>33849.1</v>
      </c>
      <c r="JC4" s="1">
        <v>33869</v>
      </c>
      <c r="JD4" s="1">
        <v>33883.5</v>
      </c>
      <c r="JE4" s="1">
        <v>33896.800000000003</v>
      </c>
      <c r="JF4" s="1">
        <v>33909.9</v>
      </c>
      <c r="JG4" s="1">
        <v>33923.4</v>
      </c>
      <c r="JH4" s="1">
        <v>33936.300000000003</v>
      </c>
      <c r="JI4" s="1">
        <v>33949.199999999997</v>
      </c>
      <c r="JJ4" s="1">
        <v>33961.699999999997</v>
      </c>
      <c r="JK4" s="1">
        <v>33974.5</v>
      </c>
      <c r="JL4" s="1">
        <v>33986.699999999997</v>
      </c>
      <c r="JM4" s="1">
        <v>33999.4</v>
      </c>
      <c r="JN4" s="1">
        <v>34012.199999999997</v>
      </c>
      <c r="JO4" s="1">
        <v>34025.5</v>
      </c>
      <c r="JP4" s="1">
        <v>34037.5</v>
      </c>
      <c r="JQ4" s="1">
        <v>34050</v>
      </c>
      <c r="JR4" s="1">
        <v>34062.1</v>
      </c>
      <c r="JS4" s="1">
        <v>34074.199999999997</v>
      </c>
      <c r="JT4" s="1">
        <v>34090.6</v>
      </c>
      <c r="JU4" s="1">
        <v>34111.4</v>
      </c>
      <c r="JV4" s="1">
        <v>34131</v>
      </c>
      <c r="JW4" s="1">
        <v>34153.5</v>
      </c>
      <c r="JX4" s="1">
        <v>34187.699999999997</v>
      </c>
      <c r="JY4" s="1">
        <v>34217.699999999997</v>
      </c>
      <c r="JZ4" s="1">
        <v>34250.5</v>
      </c>
      <c r="KA4" s="1">
        <v>34278.9</v>
      </c>
      <c r="KB4" s="1">
        <v>34302.699999999997</v>
      </c>
      <c r="KC4" s="1">
        <v>34318.800000000003</v>
      </c>
      <c r="KD4" s="1">
        <v>34333.1</v>
      </c>
      <c r="KE4" s="1">
        <v>34344.800000000003</v>
      </c>
      <c r="KF4" s="1">
        <v>34356.800000000003</v>
      </c>
      <c r="KG4" s="1">
        <v>34368.199999999997</v>
      </c>
      <c r="KH4" s="1">
        <v>34379.699999999997</v>
      </c>
      <c r="KI4" s="1">
        <v>34391.4</v>
      </c>
      <c r="KJ4" s="1">
        <v>34403.5</v>
      </c>
      <c r="KK4" s="1">
        <v>34415.699999999997</v>
      </c>
      <c r="KL4" s="1">
        <v>34427.4</v>
      </c>
      <c r="KM4" s="1">
        <v>34439.699999999997</v>
      </c>
      <c r="KN4" s="1">
        <v>34452.300000000003</v>
      </c>
      <c r="KO4" s="1">
        <v>34464.5</v>
      </c>
      <c r="KP4" s="1">
        <v>34476.300000000003</v>
      </c>
      <c r="KQ4" s="1">
        <v>34488.300000000003</v>
      </c>
      <c r="KR4" s="1">
        <v>34500.699999999997</v>
      </c>
      <c r="KS4" s="1">
        <v>34519.699999999997</v>
      </c>
      <c r="KT4" s="1">
        <v>34537</v>
      </c>
      <c r="KU4" s="1">
        <v>34555.5</v>
      </c>
      <c r="KV4" s="1">
        <v>34577.199999999997</v>
      </c>
      <c r="KW4" s="1">
        <v>34597.4</v>
      </c>
      <c r="KX4" s="1">
        <v>34617.800000000003</v>
      </c>
      <c r="KY4" s="1">
        <v>34637.1</v>
      </c>
      <c r="KZ4" s="1">
        <v>34654.400000000001</v>
      </c>
      <c r="LA4" s="1">
        <v>34670.300000000003</v>
      </c>
      <c r="LB4" s="1">
        <v>34683.800000000003</v>
      </c>
      <c r="LC4" s="1">
        <v>34697</v>
      </c>
      <c r="LD4" s="1">
        <v>34709.800000000003</v>
      </c>
      <c r="LE4" s="1">
        <v>34722</v>
      </c>
      <c r="LF4" s="1">
        <v>34734.6</v>
      </c>
      <c r="LG4" s="1">
        <v>34747</v>
      </c>
      <c r="LH4" s="1">
        <v>34759.800000000003</v>
      </c>
      <c r="LI4" s="1">
        <v>34772.199999999997</v>
      </c>
      <c r="LJ4" s="1">
        <v>34784.699999999997</v>
      </c>
      <c r="LK4" s="1">
        <v>34797.1</v>
      </c>
      <c r="LL4" s="1">
        <v>34810.1</v>
      </c>
      <c r="LM4" s="1">
        <v>34822.9</v>
      </c>
      <c r="LN4" s="1">
        <v>34835.199999999997</v>
      </c>
      <c r="LO4" s="1">
        <v>34847.699999999997</v>
      </c>
      <c r="LP4" s="1">
        <v>34861.1</v>
      </c>
      <c r="LQ4" s="1">
        <v>34880.400000000001</v>
      </c>
      <c r="LR4" s="1">
        <v>34897.1</v>
      </c>
      <c r="LS4" s="1">
        <v>34914.5</v>
      </c>
      <c r="LT4" s="1">
        <v>34936.6</v>
      </c>
      <c r="LU4" s="1">
        <v>34957.800000000003</v>
      </c>
      <c r="LV4" s="1">
        <v>34978.300000000003</v>
      </c>
      <c r="LW4" s="1">
        <v>34999.599999999999</v>
      </c>
      <c r="LX4" s="1">
        <v>35019</v>
      </c>
      <c r="LY4" s="1">
        <v>35037.5</v>
      </c>
      <c r="LZ4" s="1">
        <v>35053.300000000003</v>
      </c>
      <c r="MA4" s="1">
        <v>35067.800000000003</v>
      </c>
      <c r="MB4" s="1">
        <v>35081</v>
      </c>
      <c r="MC4" s="1">
        <v>35093.800000000003</v>
      </c>
      <c r="MD4" s="1">
        <v>35106.1</v>
      </c>
      <c r="ME4" s="1">
        <v>35118.800000000003</v>
      </c>
      <c r="MF4" s="1">
        <v>35131.599999999999</v>
      </c>
      <c r="MG4" s="1">
        <v>35144.9</v>
      </c>
      <c r="MH4" s="1">
        <v>35157.300000000003</v>
      </c>
      <c r="MI4" s="1">
        <v>35170.5</v>
      </c>
      <c r="MJ4" s="1">
        <v>35183.599999999999</v>
      </c>
      <c r="MK4" s="1">
        <v>35196.9</v>
      </c>
      <c r="ML4" s="1">
        <v>35209.599999999999</v>
      </c>
      <c r="MM4" s="1">
        <v>35222.400000000001</v>
      </c>
      <c r="MN4" s="1">
        <v>35235.4</v>
      </c>
      <c r="MO4" s="1">
        <v>35253.4</v>
      </c>
      <c r="MP4" s="1">
        <v>35269.199999999997</v>
      </c>
      <c r="MQ4" s="1">
        <v>35283.699999999997</v>
      </c>
      <c r="MR4" s="1">
        <v>35307.1</v>
      </c>
      <c r="MS4" s="1">
        <v>35335.199999999997</v>
      </c>
      <c r="MT4" s="1">
        <v>35365.9</v>
      </c>
      <c r="MU4" s="1">
        <v>35396</v>
      </c>
      <c r="MV4" s="1">
        <v>35414.9</v>
      </c>
      <c r="MW4" s="1">
        <v>35430.9</v>
      </c>
      <c r="MX4" s="1">
        <v>35446</v>
      </c>
      <c r="MY4" s="1">
        <v>35463.800000000003</v>
      </c>
      <c r="MZ4" s="1">
        <v>35480.1</v>
      </c>
      <c r="NA4" s="1">
        <v>35495.1</v>
      </c>
      <c r="NB4" s="1">
        <v>35509.199999999997</v>
      </c>
      <c r="NC4" s="1">
        <v>35522</v>
      </c>
      <c r="ND4" s="1">
        <v>35535.5</v>
      </c>
      <c r="NE4" s="1">
        <v>35548.699999999997</v>
      </c>
      <c r="NF4" s="1">
        <v>35562.199999999997</v>
      </c>
      <c r="NG4" s="1">
        <v>35575.1</v>
      </c>
      <c r="NH4" s="1">
        <v>35588.6</v>
      </c>
      <c r="NI4" s="1">
        <v>35601.699999999997</v>
      </c>
      <c r="NJ4" s="1">
        <v>35615.1</v>
      </c>
      <c r="NK4" s="1">
        <v>35628.6</v>
      </c>
      <c r="NL4" s="1">
        <v>35647.699999999997</v>
      </c>
      <c r="NM4" s="1">
        <v>35674.699999999997</v>
      </c>
      <c r="NN4" s="1">
        <v>35709.699999999997</v>
      </c>
      <c r="NO4" s="1">
        <v>35745.699999999997</v>
      </c>
      <c r="NP4" s="1">
        <v>35780.9</v>
      </c>
      <c r="NQ4" s="1">
        <v>35821.800000000003</v>
      </c>
      <c r="NR4" s="1">
        <v>35861.9</v>
      </c>
      <c r="NS4" s="1">
        <v>35895.1</v>
      </c>
      <c r="NT4" s="1">
        <v>35923.800000000003</v>
      </c>
      <c r="NU4" s="1">
        <v>35946.6</v>
      </c>
      <c r="NV4" s="1">
        <v>35963.300000000003</v>
      </c>
      <c r="NW4" s="1">
        <v>35981</v>
      </c>
      <c r="NX4" s="1">
        <v>35996.800000000003</v>
      </c>
      <c r="NY4" s="1">
        <v>36012.300000000003</v>
      </c>
      <c r="NZ4" s="1">
        <v>36027.4</v>
      </c>
      <c r="OA4" s="1">
        <v>36041.9</v>
      </c>
      <c r="OB4" s="1">
        <v>36056.300000000003</v>
      </c>
      <c r="OC4" s="1">
        <v>36070.1</v>
      </c>
      <c r="OD4" s="1">
        <v>36084.400000000001</v>
      </c>
      <c r="OE4" s="1">
        <v>36098.1</v>
      </c>
      <c r="OF4" s="1">
        <v>36114</v>
      </c>
      <c r="OG4" s="1">
        <v>36127.699999999997</v>
      </c>
      <c r="OH4" s="1">
        <v>36141.699999999997</v>
      </c>
      <c r="OI4" s="1">
        <v>36160</v>
      </c>
      <c r="OJ4" s="1">
        <v>36188.699999999997</v>
      </c>
      <c r="OK4" s="1">
        <v>36218.699999999997</v>
      </c>
      <c r="OL4" s="1">
        <v>36246.300000000003</v>
      </c>
      <c r="OM4" s="1">
        <v>36279.699999999997</v>
      </c>
      <c r="ON4" s="1">
        <v>36321.1</v>
      </c>
      <c r="OO4" s="1">
        <v>36363.5</v>
      </c>
      <c r="OP4" s="1">
        <v>36401.1</v>
      </c>
      <c r="OQ4" s="1">
        <v>36432.400000000001</v>
      </c>
      <c r="OR4" s="1">
        <v>36455.4</v>
      </c>
      <c r="OS4" s="1">
        <v>36474.9</v>
      </c>
      <c r="OT4" s="1">
        <v>36490.800000000003</v>
      </c>
      <c r="OU4" s="1">
        <v>36507.5</v>
      </c>
      <c r="OV4" s="1">
        <v>36524.400000000001</v>
      </c>
      <c r="OW4" s="1">
        <v>36540.699999999997</v>
      </c>
      <c r="OX4" s="1">
        <v>36556.800000000003</v>
      </c>
      <c r="OY4" s="1">
        <v>36572.5</v>
      </c>
      <c r="OZ4" s="1">
        <v>36586.9</v>
      </c>
      <c r="PA4" s="1">
        <v>36600.6</v>
      </c>
      <c r="PB4" s="1">
        <v>36613.1</v>
      </c>
      <c r="PC4" s="1">
        <v>36625.800000000003</v>
      </c>
      <c r="PD4" s="1">
        <v>36637.599999999999</v>
      </c>
      <c r="PE4" s="1">
        <v>36649.800000000003</v>
      </c>
      <c r="PF4" s="1">
        <v>36662.699999999997</v>
      </c>
      <c r="PG4" s="1">
        <v>36681.699999999997</v>
      </c>
      <c r="PH4" s="1">
        <v>36710.9</v>
      </c>
      <c r="PI4" s="1">
        <v>36740.400000000001</v>
      </c>
      <c r="PJ4" s="1">
        <v>36767.599999999999</v>
      </c>
      <c r="PK4" s="1">
        <v>36807.300000000003</v>
      </c>
      <c r="PL4" s="1">
        <v>36852</v>
      </c>
      <c r="PM4" s="1">
        <v>36896.400000000001</v>
      </c>
      <c r="PN4" s="1">
        <v>36937.1</v>
      </c>
      <c r="PO4" s="1">
        <v>36971.5</v>
      </c>
      <c r="PP4" s="1">
        <v>36997.9</v>
      </c>
      <c r="PQ4" s="1">
        <v>37020</v>
      </c>
      <c r="PR4" s="1">
        <v>37039.4</v>
      </c>
      <c r="PS4" s="1">
        <v>37064.5</v>
      </c>
      <c r="PT4" s="1">
        <v>37083.800000000003</v>
      </c>
      <c r="PU4" s="1">
        <v>37101.199999999997</v>
      </c>
      <c r="PV4" s="1">
        <v>37116.800000000003</v>
      </c>
      <c r="PW4" s="1">
        <v>37131.599999999999</v>
      </c>
      <c r="PX4" s="1">
        <v>37145.5</v>
      </c>
      <c r="PY4" s="1">
        <v>37158</v>
      </c>
      <c r="PZ4" s="1">
        <v>37170.5</v>
      </c>
      <c r="QA4" s="1">
        <v>37183.199999999997</v>
      </c>
      <c r="QB4" s="1">
        <v>37196.199999999997</v>
      </c>
      <c r="QC4" s="1">
        <v>37209.699999999997</v>
      </c>
      <c r="QD4" s="1">
        <v>37223.300000000003</v>
      </c>
      <c r="QE4" s="1">
        <v>37238.6</v>
      </c>
      <c r="QF4" s="1">
        <v>37258.6</v>
      </c>
      <c r="QG4" s="1">
        <v>37284.199999999997</v>
      </c>
      <c r="QH4" s="1">
        <v>37312</v>
      </c>
      <c r="QI4" s="1">
        <v>37347.800000000003</v>
      </c>
      <c r="QJ4" s="1">
        <v>37388.5</v>
      </c>
      <c r="QK4" s="1">
        <v>37431.300000000003</v>
      </c>
      <c r="QL4" s="1">
        <v>37469.699999999997</v>
      </c>
      <c r="QM4" s="1">
        <v>37504.9</v>
      </c>
      <c r="QN4" s="1">
        <v>37536.400000000001</v>
      </c>
      <c r="QO4" s="1">
        <v>37565.800000000003</v>
      </c>
      <c r="QP4" s="1">
        <v>37588</v>
      </c>
      <c r="QQ4" s="1">
        <v>37610.199999999997</v>
      </c>
      <c r="QR4" s="1">
        <v>37632.1</v>
      </c>
      <c r="QS4" s="1">
        <v>37649.599999999999</v>
      </c>
      <c r="QT4" s="1">
        <v>37664.400000000001</v>
      </c>
      <c r="QU4" s="1">
        <v>37679.599999999999</v>
      </c>
      <c r="QV4" s="1">
        <v>37694.1</v>
      </c>
      <c r="QW4" s="1">
        <v>37708.199999999997</v>
      </c>
      <c r="QX4" s="1">
        <v>37722</v>
      </c>
      <c r="QY4" s="1">
        <v>37736.1</v>
      </c>
      <c r="QZ4" s="1">
        <v>37749.300000000003</v>
      </c>
      <c r="RA4" s="1">
        <v>37763.199999999997</v>
      </c>
      <c r="RB4" s="1">
        <v>37776.6</v>
      </c>
      <c r="RC4" s="1">
        <v>37792.1</v>
      </c>
      <c r="RD4" s="1">
        <v>37817.9</v>
      </c>
      <c r="RE4" s="1">
        <v>37849</v>
      </c>
      <c r="RF4" s="1">
        <v>37877.4</v>
      </c>
      <c r="RG4" s="1">
        <v>37907.599999999999</v>
      </c>
      <c r="RH4" s="1">
        <v>37936.199999999997</v>
      </c>
      <c r="RI4" s="1">
        <v>37978.699999999997</v>
      </c>
      <c r="RJ4" s="1">
        <v>38021.9</v>
      </c>
      <c r="RK4" s="1">
        <v>38057.199999999997</v>
      </c>
      <c r="RL4" s="1">
        <v>38083.199999999997</v>
      </c>
      <c r="RM4" s="1">
        <v>38104.5</v>
      </c>
      <c r="RN4" s="1">
        <v>38122.9</v>
      </c>
      <c r="RO4" s="1">
        <v>38140</v>
      </c>
      <c r="RP4" s="1">
        <v>38153.9</v>
      </c>
      <c r="RQ4" s="1">
        <v>38167.699999999997</v>
      </c>
      <c r="RR4" s="1">
        <v>38182.6</v>
      </c>
      <c r="RS4" s="1">
        <v>38197.599999999999</v>
      </c>
      <c r="RT4" s="1">
        <v>38211.9</v>
      </c>
      <c r="RU4" s="1">
        <v>38225.699999999997</v>
      </c>
      <c r="RV4" s="1">
        <v>38240.6</v>
      </c>
      <c r="RW4" s="1">
        <v>38254.699999999997</v>
      </c>
      <c r="RX4" s="1">
        <v>38268.199999999997</v>
      </c>
      <c r="RY4" s="1">
        <v>38282.6</v>
      </c>
      <c r="RZ4" s="1">
        <v>38296.5</v>
      </c>
      <c r="SA4" s="1">
        <v>38310.699999999997</v>
      </c>
      <c r="SB4" s="1">
        <v>38326.199999999997</v>
      </c>
      <c r="SC4" s="1">
        <v>38347.5</v>
      </c>
      <c r="SD4" s="1">
        <v>38364.800000000003</v>
      </c>
      <c r="SE4" s="1">
        <v>38384.699999999997</v>
      </c>
      <c r="SF4" s="1">
        <v>38405</v>
      </c>
      <c r="SG4" s="1">
        <v>38437.199999999997</v>
      </c>
      <c r="SH4" s="1">
        <v>38467.5</v>
      </c>
      <c r="SI4" s="1">
        <v>38494</v>
      </c>
      <c r="SJ4" s="1">
        <v>38515.599999999999</v>
      </c>
      <c r="SK4" s="1">
        <v>38534.199999999997</v>
      </c>
      <c r="SL4" s="1">
        <v>38550.300000000003</v>
      </c>
      <c r="SM4" s="1">
        <v>38565.5</v>
      </c>
      <c r="SN4" s="1">
        <v>38580.699999999997</v>
      </c>
      <c r="SO4" s="1">
        <v>38598.1</v>
      </c>
      <c r="SP4" s="1">
        <v>38618</v>
      </c>
      <c r="SQ4" s="1">
        <v>38636.1</v>
      </c>
      <c r="SR4" s="1">
        <v>38652.400000000001</v>
      </c>
      <c r="SS4" s="1">
        <v>38666.5</v>
      </c>
      <c r="ST4" s="1">
        <v>38679.4</v>
      </c>
      <c r="SU4" s="1">
        <v>38692.800000000003</v>
      </c>
      <c r="SV4" s="1">
        <v>38705.4</v>
      </c>
      <c r="SW4" s="1">
        <v>38718.6</v>
      </c>
      <c r="SX4" s="1">
        <v>38731.800000000003</v>
      </c>
      <c r="SY4" s="1">
        <v>38745.199999999997</v>
      </c>
      <c r="SZ4" s="1">
        <v>38758.800000000003</v>
      </c>
      <c r="TA4" s="1">
        <v>38779.5</v>
      </c>
      <c r="TB4" s="1">
        <v>38797.9</v>
      </c>
      <c r="TC4" s="1">
        <v>38815.5</v>
      </c>
      <c r="TD4" s="1">
        <v>38833.9</v>
      </c>
      <c r="TE4" s="1">
        <v>38858.1</v>
      </c>
      <c r="TF4" s="1">
        <v>38881.699999999997</v>
      </c>
      <c r="TG4" s="1">
        <v>38906.300000000003</v>
      </c>
      <c r="TH4" s="1">
        <v>38925.599999999999</v>
      </c>
      <c r="TI4" s="1">
        <v>38943.1</v>
      </c>
      <c r="TJ4" s="1">
        <v>38958.6</v>
      </c>
      <c r="TK4" s="1">
        <v>38973.4</v>
      </c>
      <c r="TL4" s="1">
        <v>38987.800000000003</v>
      </c>
      <c r="TM4" s="1">
        <v>39004.199999999997</v>
      </c>
      <c r="TN4" s="1">
        <v>39021.199999999997</v>
      </c>
      <c r="TO4" s="1">
        <v>39035.5</v>
      </c>
      <c r="TP4" s="1">
        <v>39050.300000000003</v>
      </c>
      <c r="TQ4" s="1">
        <v>39064.1</v>
      </c>
      <c r="TR4" s="1">
        <v>39077.300000000003</v>
      </c>
      <c r="TS4" s="1">
        <v>39090.6</v>
      </c>
      <c r="TT4" s="1">
        <v>39104.199999999997</v>
      </c>
      <c r="TU4" s="1">
        <v>39117.300000000003</v>
      </c>
      <c r="TV4" s="1">
        <v>39131.699999999997</v>
      </c>
      <c r="TW4" s="1">
        <v>39149.699999999997</v>
      </c>
      <c r="TX4" s="1">
        <v>39178.1</v>
      </c>
      <c r="TY4" s="1">
        <v>39209.199999999997</v>
      </c>
      <c r="TZ4" s="1">
        <v>39245.199999999997</v>
      </c>
      <c r="UA4" s="1">
        <v>39285.9</v>
      </c>
      <c r="UB4" s="1">
        <v>39332.9</v>
      </c>
      <c r="UC4" s="1">
        <v>39383.800000000003</v>
      </c>
      <c r="UD4" s="1">
        <v>39430.300000000003</v>
      </c>
      <c r="UE4" s="1">
        <v>39476.5</v>
      </c>
      <c r="UF4" s="1">
        <v>39514.400000000001</v>
      </c>
      <c r="UG4" s="1">
        <v>39543.300000000003</v>
      </c>
      <c r="UH4" s="1">
        <v>39566.1</v>
      </c>
      <c r="UI4" s="1">
        <v>39585.199999999997</v>
      </c>
      <c r="UJ4" s="1">
        <v>39603.4</v>
      </c>
      <c r="UK4" s="1">
        <v>39620.300000000003</v>
      </c>
      <c r="UL4" s="1">
        <v>39636.400000000001</v>
      </c>
      <c r="UM4" s="1">
        <v>39650.300000000003</v>
      </c>
      <c r="UN4" s="1">
        <v>39664.5</v>
      </c>
      <c r="UO4" s="1">
        <v>39677.699999999997</v>
      </c>
      <c r="UP4" s="1">
        <v>39691.1</v>
      </c>
      <c r="UQ4" s="1">
        <v>39704.9</v>
      </c>
      <c r="UR4" s="1">
        <v>39718.199999999997</v>
      </c>
      <c r="US4" s="1">
        <v>39731.699999999997</v>
      </c>
      <c r="UT4" s="1">
        <v>39745.699999999997</v>
      </c>
      <c r="UU4" s="1">
        <v>39764.5</v>
      </c>
      <c r="UV4" s="1">
        <v>39793.1</v>
      </c>
      <c r="UW4" s="1">
        <v>39826.800000000003</v>
      </c>
      <c r="UX4" s="1">
        <v>39863.4</v>
      </c>
      <c r="UY4" s="1">
        <v>39905.5</v>
      </c>
      <c r="UZ4" s="1">
        <v>39956</v>
      </c>
      <c r="VA4" s="1">
        <v>40006.400000000001</v>
      </c>
      <c r="VB4" s="1">
        <v>40055.5</v>
      </c>
      <c r="VC4" s="1">
        <v>40097.800000000003</v>
      </c>
      <c r="VD4" s="1">
        <v>40133.599999999999</v>
      </c>
      <c r="VE4" s="1">
        <v>40162.400000000001</v>
      </c>
      <c r="VF4" s="1">
        <v>40182.300000000003</v>
      </c>
      <c r="VG4" s="1">
        <v>40202.199999999997</v>
      </c>
      <c r="VH4" s="1">
        <v>40221.4</v>
      </c>
      <c r="VI4" s="1">
        <v>40237.4</v>
      </c>
      <c r="VJ4" s="1">
        <v>40254.400000000001</v>
      </c>
      <c r="VK4" s="1">
        <v>40271.199999999997</v>
      </c>
      <c r="VL4" s="1">
        <v>40286.300000000003</v>
      </c>
      <c r="VM4" s="1">
        <v>40300.699999999997</v>
      </c>
      <c r="VN4" s="1">
        <v>40315.5</v>
      </c>
      <c r="VO4" s="1">
        <v>40329.1</v>
      </c>
      <c r="VP4" s="1">
        <v>40342.400000000001</v>
      </c>
      <c r="VQ4" s="1">
        <v>40355.5</v>
      </c>
      <c r="VR4" s="1">
        <v>40368.300000000003</v>
      </c>
      <c r="VS4" s="1">
        <v>40385.4</v>
      </c>
      <c r="VT4" s="1">
        <v>40407.4</v>
      </c>
      <c r="VU4" s="1">
        <v>40431.800000000003</v>
      </c>
      <c r="VV4" s="1">
        <v>40462.400000000001</v>
      </c>
      <c r="VW4" s="1">
        <v>40490.9</v>
      </c>
      <c r="VX4" s="1">
        <v>40524</v>
      </c>
      <c r="VY4" s="1">
        <v>40564.400000000001</v>
      </c>
      <c r="VZ4" s="1">
        <v>40601.699999999997</v>
      </c>
      <c r="WA4" s="1">
        <v>40636.800000000003</v>
      </c>
      <c r="WB4" s="1">
        <v>40665.699999999997</v>
      </c>
      <c r="WC4" s="1">
        <v>40682.5</v>
      </c>
      <c r="WD4" s="1">
        <v>40698.5</v>
      </c>
      <c r="WE4" s="1">
        <v>40713.5</v>
      </c>
      <c r="WF4" s="1">
        <v>40729.300000000003</v>
      </c>
      <c r="WG4" s="1">
        <v>40743.4</v>
      </c>
      <c r="WH4" s="1">
        <v>40756.800000000003</v>
      </c>
      <c r="WI4" s="1">
        <v>40770.6</v>
      </c>
      <c r="WJ4" s="1">
        <v>40783.199999999997</v>
      </c>
      <c r="WK4" s="1">
        <v>40796.6</v>
      </c>
      <c r="WL4" s="1">
        <v>40809.9</v>
      </c>
      <c r="WM4" s="1">
        <v>40823</v>
      </c>
      <c r="WN4" s="1">
        <v>40836.699999999997</v>
      </c>
      <c r="WO4" s="1">
        <v>40849.699999999997</v>
      </c>
      <c r="WP4" s="1">
        <v>40863.5</v>
      </c>
      <c r="WQ4" s="1">
        <v>40878.5</v>
      </c>
      <c r="WR4" s="1">
        <v>40901.5</v>
      </c>
      <c r="WS4" s="1">
        <v>40932.699999999997</v>
      </c>
      <c r="WT4" s="1">
        <v>40963.300000000003</v>
      </c>
      <c r="WU4" s="1">
        <v>40995</v>
      </c>
      <c r="WV4" s="1">
        <v>41036.400000000001</v>
      </c>
      <c r="WW4" s="1">
        <v>41078.199999999997</v>
      </c>
      <c r="WX4" s="1">
        <v>41119</v>
      </c>
      <c r="WY4" s="1">
        <v>41156</v>
      </c>
      <c r="WZ4" s="1">
        <v>41185.199999999997</v>
      </c>
      <c r="XA4" s="1">
        <v>41204.5</v>
      </c>
      <c r="XB4" s="1">
        <v>41222.1</v>
      </c>
      <c r="XC4" s="1">
        <v>41241.800000000003</v>
      </c>
      <c r="XD4" s="1">
        <v>41259.1</v>
      </c>
      <c r="XE4" s="1">
        <v>41276.5</v>
      </c>
      <c r="XF4" s="1">
        <v>41291.199999999997</v>
      </c>
      <c r="XG4" s="1">
        <v>41305.9</v>
      </c>
      <c r="XH4" s="1">
        <v>41319.800000000003</v>
      </c>
      <c r="XI4" s="1">
        <v>41333.9</v>
      </c>
      <c r="XJ4" s="1">
        <v>41348.5</v>
      </c>
      <c r="XK4" s="1">
        <v>41362.1</v>
      </c>
      <c r="XL4" s="1">
        <v>41376.1</v>
      </c>
      <c r="XM4" s="1">
        <v>41390.199999999997</v>
      </c>
      <c r="XN4" s="1">
        <v>41404.400000000001</v>
      </c>
      <c r="XO4" s="1">
        <v>41422</v>
      </c>
      <c r="XP4" s="1">
        <v>41448.300000000003</v>
      </c>
      <c r="XQ4" s="1">
        <v>41481.199999999997</v>
      </c>
      <c r="XR4" s="1">
        <v>41515.599999999999</v>
      </c>
      <c r="XS4" s="1">
        <v>41553.5</v>
      </c>
      <c r="XT4" s="1">
        <v>41592.699999999997</v>
      </c>
      <c r="XU4" s="1">
        <v>41635.9</v>
      </c>
      <c r="XV4" s="1">
        <v>41675.9</v>
      </c>
      <c r="XW4" s="1">
        <v>41712.300000000003</v>
      </c>
      <c r="XX4" s="1">
        <v>41739.199999999997</v>
      </c>
      <c r="XY4" s="1">
        <v>41758.9</v>
      </c>
      <c r="XZ4" s="1">
        <v>41777.199999999997</v>
      </c>
      <c r="YA4" s="1">
        <v>41794.1</v>
      </c>
      <c r="YB4" s="1">
        <v>41810.5</v>
      </c>
      <c r="YC4" s="1">
        <v>41825.4</v>
      </c>
      <c r="YD4" s="1">
        <v>41838.699999999997</v>
      </c>
      <c r="YE4" s="1">
        <v>41852.800000000003</v>
      </c>
      <c r="YF4" s="1">
        <v>41866.6</v>
      </c>
      <c r="YG4" s="1">
        <v>41880.6</v>
      </c>
      <c r="YH4" s="1">
        <v>41894.300000000003</v>
      </c>
      <c r="YI4" s="1">
        <v>41907.599999999999</v>
      </c>
      <c r="YJ4" s="1">
        <v>41921.699999999997</v>
      </c>
      <c r="YK4" s="1">
        <v>41935.5</v>
      </c>
      <c r="YL4" s="1">
        <v>41949.599999999999</v>
      </c>
      <c r="YM4" s="1">
        <v>41963.4</v>
      </c>
      <c r="YN4" s="1">
        <v>41978.6</v>
      </c>
      <c r="YO4" s="1">
        <v>41995.3</v>
      </c>
      <c r="YP4" s="1">
        <v>42011.5</v>
      </c>
      <c r="YQ4" s="1">
        <v>42032.5</v>
      </c>
      <c r="YR4" s="1">
        <v>42054.6</v>
      </c>
      <c r="YS4" s="1">
        <v>42077</v>
      </c>
      <c r="YT4" s="1">
        <v>42100.4</v>
      </c>
      <c r="YU4" s="1">
        <v>42123.7</v>
      </c>
      <c r="YV4" s="1">
        <v>42141.9</v>
      </c>
      <c r="YW4" s="1">
        <v>42157.4</v>
      </c>
      <c r="YX4" s="1">
        <v>42175.5</v>
      </c>
      <c r="YY4" s="1">
        <v>42192.800000000003</v>
      </c>
      <c r="YZ4" s="1">
        <v>42209.2</v>
      </c>
      <c r="ZA4" s="1">
        <v>42225.4</v>
      </c>
      <c r="ZB4" s="1">
        <v>42241</v>
      </c>
      <c r="ZC4" s="1">
        <v>42256.1</v>
      </c>
      <c r="ZD4" s="1">
        <v>42270.7</v>
      </c>
      <c r="ZE4" s="1">
        <v>42287.199999999997</v>
      </c>
      <c r="ZF4" s="1">
        <v>42301.7</v>
      </c>
      <c r="ZG4" s="1">
        <v>42315.9</v>
      </c>
      <c r="ZH4" s="1">
        <v>42330.1</v>
      </c>
      <c r="ZI4" s="1">
        <v>42344.9</v>
      </c>
      <c r="ZJ4" s="1">
        <v>42358.5</v>
      </c>
      <c r="ZK4" s="1">
        <v>42372.1</v>
      </c>
      <c r="ZL4" s="1">
        <v>42386.1</v>
      </c>
      <c r="ZM4" s="1">
        <v>42403.4</v>
      </c>
      <c r="ZN4" s="1">
        <v>42422.6</v>
      </c>
      <c r="ZO4" s="1">
        <v>42443.7</v>
      </c>
      <c r="ZP4" s="1">
        <v>42466.8</v>
      </c>
      <c r="ZQ4" s="1">
        <v>42489</v>
      </c>
      <c r="ZR4" s="1">
        <v>42516.1</v>
      </c>
      <c r="ZS4" s="1">
        <v>42538.1</v>
      </c>
      <c r="ZT4" s="1">
        <v>42555.1</v>
      </c>
      <c r="ZU4" s="1">
        <v>42571.199999999997</v>
      </c>
      <c r="ZV4" s="1">
        <v>42587</v>
      </c>
      <c r="ZW4" s="1">
        <v>42604.4</v>
      </c>
      <c r="ZX4" s="1">
        <v>42623.5</v>
      </c>
      <c r="ZY4" s="1">
        <v>42640.5</v>
      </c>
      <c r="ZZ4" s="1">
        <v>42657</v>
      </c>
      <c r="AAA4" s="1">
        <v>42675.9</v>
      </c>
      <c r="AAB4" s="1">
        <v>42691.4</v>
      </c>
      <c r="AAC4" s="1">
        <v>42705.2</v>
      </c>
      <c r="AAD4" s="1">
        <v>42719.8</v>
      </c>
      <c r="AAE4" s="1">
        <v>42734.2</v>
      </c>
      <c r="AAF4" s="1">
        <v>42750.7</v>
      </c>
      <c r="AAG4" s="1">
        <v>42767</v>
      </c>
      <c r="AAH4" s="1">
        <v>42784.7</v>
      </c>
      <c r="AAI4" s="1">
        <v>42804.4</v>
      </c>
      <c r="AAJ4" s="1">
        <v>42831.6</v>
      </c>
      <c r="AAK4" s="1">
        <v>42863.3</v>
      </c>
      <c r="AAL4" s="1">
        <v>42901.9</v>
      </c>
      <c r="AAM4" s="1">
        <v>42946.8</v>
      </c>
      <c r="AAN4" s="1">
        <v>42991.9</v>
      </c>
      <c r="AAO4" s="1">
        <v>43029.3</v>
      </c>
      <c r="AAP4" s="1">
        <v>43064.800000000003</v>
      </c>
      <c r="AAQ4" s="1">
        <v>43097.3</v>
      </c>
      <c r="AAR4" s="1">
        <v>43123.4</v>
      </c>
      <c r="AAS4" s="1">
        <v>43144.5</v>
      </c>
      <c r="AAT4" s="1">
        <v>43165.7</v>
      </c>
      <c r="AAU4" s="1">
        <v>43187.1</v>
      </c>
      <c r="AAV4" s="1">
        <v>43208.5</v>
      </c>
      <c r="AAW4" s="1">
        <v>43227.9</v>
      </c>
      <c r="AAX4" s="1">
        <v>43246.400000000001</v>
      </c>
    </row>
    <row r="5" spans="1:750">
      <c r="A5" s="1">
        <v>4</v>
      </c>
      <c r="B5" s="1" t="s">
        <v>2</v>
      </c>
      <c r="C5" s="1" t="s">
        <v>3</v>
      </c>
      <c r="D5" s="1" t="s">
        <v>8</v>
      </c>
      <c r="E5" s="1" t="s">
        <v>5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  <c r="FM5" s="1">
        <v>0</v>
      </c>
      <c r="FN5" s="1">
        <v>0</v>
      </c>
      <c r="FO5" s="1">
        <v>0</v>
      </c>
      <c r="FP5" s="1">
        <v>0</v>
      </c>
      <c r="FQ5" s="1">
        <v>0</v>
      </c>
      <c r="FR5" s="1">
        <v>0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  <c r="FY5" s="1">
        <v>0</v>
      </c>
      <c r="FZ5" s="1">
        <v>0</v>
      </c>
      <c r="GA5" s="1">
        <v>0</v>
      </c>
      <c r="GB5" s="1">
        <v>0</v>
      </c>
      <c r="GC5" s="1">
        <v>0</v>
      </c>
      <c r="GD5" s="1">
        <v>0</v>
      </c>
      <c r="GE5" s="1">
        <v>0</v>
      </c>
      <c r="GF5" s="1">
        <v>0</v>
      </c>
      <c r="GG5" s="1">
        <v>0</v>
      </c>
      <c r="GH5" s="1">
        <v>0</v>
      </c>
      <c r="GI5" s="1">
        <v>0</v>
      </c>
      <c r="GJ5" s="1">
        <v>0</v>
      </c>
      <c r="GK5" s="1">
        <v>0</v>
      </c>
      <c r="GL5" s="1">
        <v>0</v>
      </c>
      <c r="GM5" s="1">
        <v>0</v>
      </c>
      <c r="GN5" s="1">
        <v>0</v>
      </c>
      <c r="GO5" s="1">
        <v>0</v>
      </c>
      <c r="GP5" s="1">
        <v>0</v>
      </c>
      <c r="GQ5" s="1">
        <v>0</v>
      </c>
      <c r="GR5" s="1">
        <v>0</v>
      </c>
      <c r="GS5" s="1">
        <v>0</v>
      </c>
      <c r="GT5" s="1">
        <v>0</v>
      </c>
      <c r="GU5" s="1">
        <v>0</v>
      </c>
      <c r="GV5" s="1">
        <v>0</v>
      </c>
      <c r="GW5" s="1">
        <v>0</v>
      </c>
      <c r="GX5" s="1">
        <v>0</v>
      </c>
      <c r="GY5" s="1">
        <v>0</v>
      </c>
      <c r="GZ5" s="1">
        <v>0</v>
      </c>
      <c r="HA5" s="1">
        <v>0</v>
      </c>
      <c r="HB5" s="1">
        <v>0</v>
      </c>
      <c r="HC5" s="1">
        <v>0</v>
      </c>
      <c r="HD5" s="1">
        <v>0</v>
      </c>
      <c r="HE5" s="1">
        <v>0</v>
      </c>
      <c r="HF5" s="1">
        <v>0</v>
      </c>
      <c r="HG5" s="1">
        <v>0</v>
      </c>
      <c r="HH5" s="1">
        <v>0</v>
      </c>
      <c r="HI5" s="1">
        <v>0</v>
      </c>
      <c r="HJ5" s="1">
        <v>0</v>
      </c>
      <c r="HK5" s="1">
        <v>0</v>
      </c>
      <c r="HL5" s="1">
        <v>0</v>
      </c>
      <c r="HM5" s="1">
        <v>0</v>
      </c>
      <c r="HN5" s="1">
        <v>0</v>
      </c>
      <c r="HO5" s="1">
        <v>0</v>
      </c>
      <c r="HP5" s="1">
        <v>0</v>
      </c>
      <c r="HQ5" s="1">
        <v>0</v>
      </c>
      <c r="HR5" s="1">
        <v>0</v>
      </c>
      <c r="HS5" s="1">
        <v>0</v>
      </c>
      <c r="HT5" s="1">
        <v>0</v>
      </c>
      <c r="HU5" s="1">
        <v>0</v>
      </c>
      <c r="HV5" s="1">
        <v>0</v>
      </c>
      <c r="HW5" s="1">
        <v>0</v>
      </c>
      <c r="HX5" s="1">
        <v>0</v>
      </c>
      <c r="HY5" s="1">
        <v>0</v>
      </c>
      <c r="HZ5" s="1">
        <v>0</v>
      </c>
      <c r="IA5" s="1">
        <v>0</v>
      </c>
      <c r="IB5" s="1">
        <v>0</v>
      </c>
      <c r="IC5" s="1">
        <v>0</v>
      </c>
      <c r="ID5" s="1">
        <v>0</v>
      </c>
      <c r="IE5" s="1">
        <v>0</v>
      </c>
      <c r="IF5" s="1">
        <v>0</v>
      </c>
      <c r="IG5" s="1">
        <v>0</v>
      </c>
      <c r="IH5" s="1">
        <v>0</v>
      </c>
      <c r="II5" s="1">
        <v>0</v>
      </c>
      <c r="IJ5" s="1">
        <v>0</v>
      </c>
      <c r="IK5" s="1">
        <v>0</v>
      </c>
      <c r="IL5" s="1">
        <v>0</v>
      </c>
      <c r="IM5" s="1">
        <v>0</v>
      </c>
      <c r="IN5" s="1">
        <v>0</v>
      </c>
      <c r="IO5" s="1">
        <v>0</v>
      </c>
      <c r="IP5" s="1">
        <v>0</v>
      </c>
      <c r="IQ5" s="1">
        <v>0</v>
      </c>
      <c r="IR5" s="1">
        <v>0</v>
      </c>
      <c r="IS5" s="1">
        <v>0</v>
      </c>
      <c r="IT5" s="1">
        <v>0</v>
      </c>
      <c r="IU5" s="1">
        <v>0</v>
      </c>
      <c r="IV5" s="1">
        <v>0</v>
      </c>
      <c r="IW5" s="1">
        <v>0</v>
      </c>
      <c r="IX5" s="1">
        <v>0</v>
      </c>
      <c r="IY5" s="1">
        <v>0</v>
      </c>
      <c r="IZ5" s="1">
        <v>0</v>
      </c>
      <c r="JA5" s="1">
        <v>0</v>
      </c>
      <c r="JB5" s="1">
        <v>0</v>
      </c>
      <c r="JC5" s="1">
        <v>0</v>
      </c>
      <c r="JD5" s="1">
        <v>0</v>
      </c>
      <c r="JE5" s="1">
        <v>0</v>
      </c>
      <c r="JF5" s="1">
        <v>0</v>
      </c>
      <c r="JG5" s="1">
        <v>0</v>
      </c>
      <c r="JH5" s="1">
        <v>0</v>
      </c>
      <c r="JI5" s="1">
        <v>0</v>
      </c>
      <c r="JJ5" s="1">
        <v>0</v>
      </c>
      <c r="JK5" s="1">
        <v>0</v>
      </c>
      <c r="JL5" s="1">
        <v>0</v>
      </c>
      <c r="JM5" s="1">
        <v>0</v>
      </c>
      <c r="JN5" s="1">
        <v>0</v>
      </c>
      <c r="JO5" s="1">
        <v>0</v>
      </c>
      <c r="JP5" s="1">
        <v>0</v>
      </c>
      <c r="JQ5" s="1">
        <v>0</v>
      </c>
      <c r="JR5" s="1">
        <v>0</v>
      </c>
      <c r="JS5" s="1">
        <v>0</v>
      </c>
      <c r="JT5" s="1">
        <v>0</v>
      </c>
      <c r="JU5" s="1">
        <v>0</v>
      </c>
      <c r="JV5" s="1">
        <v>0</v>
      </c>
      <c r="JW5" s="1">
        <v>0</v>
      </c>
      <c r="JX5" s="1">
        <v>0</v>
      </c>
      <c r="JY5" s="1">
        <v>0</v>
      </c>
      <c r="JZ5" s="1">
        <v>0</v>
      </c>
      <c r="KA5" s="1">
        <v>0</v>
      </c>
      <c r="KB5" s="1">
        <v>0</v>
      </c>
      <c r="KC5" s="1">
        <v>0</v>
      </c>
      <c r="KD5" s="1">
        <v>0</v>
      </c>
      <c r="KE5" s="1">
        <v>0</v>
      </c>
      <c r="KF5" s="1">
        <v>0</v>
      </c>
      <c r="KG5" s="1">
        <v>0</v>
      </c>
      <c r="KH5" s="1">
        <v>0</v>
      </c>
      <c r="KI5" s="1">
        <v>0</v>
      </c>
      <c r="KJ5" s="1">
        <v>0</v>
      </c>
      <c r="KK5" s="1">
        <v>0</v>
      </c>
      <c r="KL5" s="1">
        <v>0</v>
      </c>
      <c r="KM5" s="1">
        <v>0</v>
      </c>
      <c r="KN5" s="1">
        <v>0</v>
      </c>
      <c r="KO5" s="1">
        <v>0</v>
      </c>
      <c r="KP5" s="1">
        <v>0</v>
      </c>
      <c r="KQ5" s="1">
        <v>0</v>
      </c>
      <c r="KR5" s="1">
        <v>0</v>
      </c>
      <c r="KS5" s="1">
        <v>0</v>
      </c>
      <c r="KT5" s="1">
        <v>0</v>
      </c>
      <c r="KU5" s="1">
        <v>0</v>
      </c>
      <c r="KV5" s="1">
        <v>0</v>
      </c>
      <c r="KW5" s="1">
        <v>0</v>
      </c>
      <c r="KX5" s="1">
        <v>0</v>
      </c>
      <c r="KY5" s="1">
        <v>0</v>
      </c>
      <c r="KZ5" s="1">
        <v>0</v>
      </c>
      <c r="LA5" s="1">
        <v>0</v>
      </c>
      <c r="LB5" s="1">
        <v>0</v>
      </c>
      <c r="LC5" s="1">
        <v>0</v>
      </c>
      <c r="LD5" s="1">
        <v>0</v>
      </c>
      <c r="LE5" s="1">
        <v>0</v>
      </c>
      <c r="LF5" s="1">
        <v>0</v>
      </c>
      <c r="LG5" s="1">
        <v>0</v>
      </c>
      <c r="LH5" s="1">
        <v>0</v>
      </c>
      <c r="LI5" s="1">
        <v>0</v>
      </c>
      <c r="LJ5" s="1">
        <v>0</v>
      </c>
      <c r="LK5" s="1">
        <v>0</v>
      </c>
      <c r="LL5" s="1">
        <v>0</v>
      </c>
      <c r="LM5" s="1">
        <v>0</v>
      </c>
      <c r="LN5" s="1">
        <v>0</v>
      </c>
      <c r="LO5" s="1">
        <v>0</v>
      </c>
      <c r="LP5" s="1">
        <v>0</v>
      </c>
      <c r="LQ5" s="1">
        <v>0</v>
      </c>
      <c r="LR5" s="1">
        <v>0</v>
      </c>
      <c r="LS5" s="1">
        <v>0</v>
      </c>
      <c r="LT5" s="1">
        <v>0</v>
      </c>
      <c r="LU5" s="1">
        <v>0</v>
      </c>
      <c r="LV5" s="1">
        <v>0</v>
      </c>
      <c r="LW5" s="1">
        <v>0</v>
      </c>
      <c r="LX5" s="1">
        <v>0</v>
      </c>
      <c r="LY5" s="1">
        <v>0</v>
      </c>
      <c r="LZ5" s="1">
        <v>0</v>
      </c>
      <c r="MA5" s="1">
        <v>0</v>
      </c>
      <c r="MB5" s="1">
        <v>0</v>
      </c>
      <c r="MC5" s="1">
        <v>0</v>
      </c>
      <c r="MD5" s="1">
        <v>0</v>
      </c>
      <c r="ME5" s="1">
        <v>0</v>
      </c>
      <c r="MF5" s="1">
        <v>0</v>
      </c>
      <c r="MG5" s="1">
        <v>0</v>
      </c>
      <c r="MH5" s="1">
        <v>0</v>
      </c>
      <c r="MI5" s="1">
        <v>0</v>
      </c>
      <c r="MJ5" s="1">
        <v>0</v>
      </c>
      <c r="MK5" s="1">
        <v>0</v>
      </c>
      <c r="ML5" s="1">
        <v>0</v>
      </c>
      <c r="MM5" s="1">
        <v>0</v>
      </c>
      <c r="MN5" s="1">
        <v>0</v>
      </c>
      <c r="MO5" s="1">
        <v>0</v>
      </c>
      <c r="MP5" s="1">
        <v>0</v>
      </c>
      <c r="MQ5" s="1">
        <v>0</v>
      </c>
      <c r="MR5" s="1">
        <v>0</v>
      </c>
      <c r="MS5" s="1">
        <v>0</v>
      </c>
      <c r="MT5" s="1">
        <v>0</v>
      </c>
      <c r="MU5" s="1">
        <v>0</v>
      </c>
      <c r="MV5" s="1">
        <v>0</v>
      </c>
      <c r="MW5" s="1">
        <v>0</v>
      </c>
      <c r="MX5" s="1">
        <v>0</v>
      </c>
      <c r="MY5" s="1">
        <v>0</v>
      </c>
      <c r="MZ5" s="1">
        <v>0</v>
      </c>
      <c r="NA5" s="1">
        <v>0</v>
      </c>
      <c r="NB5" s="1">
        <v>0</v>
      </c>
      <c r="NC5" s="1">
        <v>0</v>
      </c>
      <c r="ND5" s="1">
        <v>0</v>
      </c>
      <c r="NE5" s="1">
        <v>0</v>
      </c>
      <c r="NF5" s="1">
        <v>0</v>
      </c>
      <c r="NG5" s="1">
        <v>0</v>
      </c>
      <c r="NH5" s="1">
        <v>0</v>
      </c>
      <c r="NI5" s="1">
        <v>0</v>
      </c>
      <c r="NJ5" s="1">
        <v>0</v>
      </c>
      <c r="NK5" s="1">
        <v>0</v>
      </c>
      <c r="NL5" s="1">
        <v>0</v>
      </c>
      <c r="NM5" s="1">
        <v>0</v>
      </c>
      <c r="NN5" s="1">
        <v>0</v>
      </c>
      <c r="NO5" s="1">
        <v>0</v>
      </c>
      <c r="NP5" s="1">
        <v>0</v>
      </c>
      <c r="NQ5" s="1">
        <v>0</v>
      </c>
      <c r="NR5" s="1">
        <v>0</v>
      </c>
      <c r="NS5" s="1">
        <v>0</v>
      </c>
      <c r="NT5" s="1">
        <v>0</v>
      </c>
      <c r="NU5" s="1">
        <v>0</v>
      </c>
      <c r="NV5" s="1">
        <v>0</v>
      </c>
      <c r="NW5" s="1">
        <v>0</v>
      </c>
      <c r="NX5" s="1">
        <v>0</v>
      </c>
      <c r="NY5" s="1">
        <v>0</v>
      </c>
      <c r="NZ5" s="1">
        <v>0</v>
      </c>
      <c r="OA5" s="1">
        <v>0</v>
      </c>
      <c r="OB5" s="1">
        <v>0</v>
      </c>
      <c r="OC5" s="1">
        <v>0</v>
      </c>
      <c r="OD5" s="1">
        <v>0</v>
      </c>
      <c r="OE5" s="1">
        <v>0</v>
      </c>
      <c r="OF5" s="1">
        <v>0</v>
      </c>
      <c r="OG5" s="1">
        <v>0</v>
      </c>
      <c r="OH5" s="1">
        <v>0</v>
      </c>
      <c r="OI5" s="1">
        <v>0</v>
      </c>
      <c r="OJ5" s="1">
        <v>0</v>
      </c>
      <c r="OK5" s="1">
        <v>0</v>
      </c>
      <c r="OL5" s="1">
        <v>0</v>
      </c>
      <c r="OM5" s="1">
        <v>0</v>
      </c>
      <c r="ON5" s="1">
        <v>0</v>
      </c>
      <c r="OO5" s="1">
        <v>0</v>
      </c>
      <c r="OP5" s="1">
        <v>0</v>
      </c>
      <c r="OQ5" s="1">
        <v>0</v>
      </c>
      <c r="OR5" s="1">
        <v>0</v>
      </c>
      <c r="OS5" s="1">
        <v>0</v>
      </c>
      <c r="OT5" s="1">
        <v>0</v>
      </c>
      <c r="OU5" s="1">
        <v>0</v>
      </c>
      <c r="OV5" s="1">
        <v>0</v>
      </c>
      <c r="OW5" s="1">
        <v>0</v>
      </c>
      <c r="OX5" s="1">
        <v>0</v>
      </c>
      <c r="OY5" s="1">
        <v>0</v>
      </c>
      <c r="OZ5" s="1">
        <v>0</v>
      </c>
      <c r="PA5" s="1">
        <v>0</v>
      </c>
      <c r="PB5" s="1">
        <v>0</v>
      </c>
      <c r="PC5" s="1">
        <v>0</v>
      </c>
      <c r="PD5" s="1">
        <v>0</v>
      </c>
      <c r="PE5" s="1">
        <v>0</v>
      </c>
      <c r="PF5" s="1">
        <v>0</v>
      </c>
      <c r="PG5" s="1">
        <v>0</v>
      </c>
      <c r="PH5" s="1">
        <v>0</v>
      </c>
      <c r="PI5" s="1">
        <v>0</v>
      </c>
      <c r="PJ5" s="1">
        <v>0</v>
      </c>
      <c r="PK5" s="1">
        <v>0</v>
      </c>
      <c r="PL5" s="1">
        <v>0</v>
      </c>
      <c r="PM5" s="1">
        <v>0</v>
      </c>
      <c r="PN5" s="1">
        <v>0</v>
      </c>
      <c r="PO5" s="1">
        <v>0</v>
      </c>
      <c r="PP5" s="1">
        <v>0</v>
      </c>
      <c r="PQ5" s="1">
        <v>0</v>
      </c>
      <c r="PR5" s="1">
        <v>0</v>
      </c>
      <c r="PS5" s="1">
        <v>0</v>
      </c>
      <c r="PT5" s="1">
        <v>0</v>
      </c>
      <c r="PU5" s="1">
        <v>0</v>
      </c>
      <c r="PV5" s="1">
        <v>0</v>
      </c>
      <c r="PW5" s="1">
        <v>0</v>
      </c>
      <c r="PX5" s="1">
        <v>0</v>
      </c>
      <c r="PY5" s="1">
        <v>0</v>
      </c>
      <c r="PZ5" s="1">
        <v>0</v>
      </c>
      <c r="QA5" s="1">
        <v>0</v>
      </c>
      <c r="QB5" s="1">
        <v>0</v>
      </c>
      <c r="QC5" s="1">
        <v>0</v>
      </c>
      <c r="QD5" s="1">
        <v>0</v>
      </c>
      <c r="QE5" s="1">
        <v>0</v>
      </c>
      <c r="QF5" s="1">
        <v>0</v>
      </c>
      <c r="QG5" s="1">
        <v>0</v>
      </c>
      <c r="QH5" s="1">
        <v>0</v>
      </c>
      <c r="QI5" s="1">
        <v>0</v>
      </c>
      <c r="QJ5" s="1">
        <v>0</v>
      </c>
      <c r="QK5" s="1">
        <v>0</v>
      </c>
      <c r="QL5" s="1">
        <v>0</v>
      </c>
      <c r="QM5" s="1">
        <v>0</v>
      </c>
      <c r="QN5" s="1">
        <v>0</v>
      </c>
      <c r="QO5" s="1">
        <v>0</v>
      </c>
      <c r="QP5" s="1">
        <v>0</v>
      </c>
      <c r="QQ5" s="1">
        <v>0</v>
      </c>
      <c r="QR5" s="1">
        <v>0</v>
      </c>
      <c r="QS5" s="1">
        <v>0</v>
      </c>
      <c r="QT5" s="1">
        <v>0</v>
      </c>
      <c r="QU5" s="1">
        <v>0</v>
      </c>
      <c r="QV5" s="1">
        <v>0</v>
      </c>
      <c r="QW5" s="1">
        <v>0</v>
      </c>
      <c r="QX5" s="1">
        <v>0</v>
      </c>
      <c r="QY5" s="1">
        <v>0</v>
      </c>
      <c r="QZ5" s="1">
        <v>0</v>
      </c>
      <c r="RA5" s="1">
        <v>0</v>
      </c>
      <c r="RB5" s="1">
        <v>0</v>
      </c>
      <c r="RC5" s="1">
        <v>0</v>
      </c>
      <c r="RD5" s="1">
        <v>0</v>
      </c>
      <c r="RE5" s="1">
        <v>0</v>
      </c>
      <c r="RF5" s="1">
        <v>0</v>
      </c>
      <c r="RG5" s="1">
        <v>0</v>
      </c>
      <c r="RH5" s="1">
        <v>0</v>
      </c>
      <c r="RI5" s="1">
        <v>0</v>
      </c>
      <c r="RJ5" s="1">
        <v>0</v>
      </c>
      <c r="RK5" s="1">
        <v>0</v>
      </c>
      <c r="RL5" s="1">
        <v>0</v>
      </c>
      <c r="RM5" s="1">
        <v>0</v>
      </c>
      <c r="RN5" s="1">
        <v>0</v>
      </c>
      <c r="RO5" s="1">
        <v>0</v>
      </c>
      <c r="RP5" s="1">
        <v>0</v>
      </c>
      <c r="RQ5" s="1">
        <v>0</v>
      </c>
      <c r="RR5" s="1">
        <v>0</v>
      </c>
      <c r="RS5" s="1">
        <v>0</v>
      </c>
      <c r="RT5" s="1">
        <v>0</v>
      </c>
      <c r="RU5" s="1">
        <v>0</v>
      </c>
      <c r="RV5" s="1">
        <v>0</v>
      </c>
      <c r="RW5" s="1">
        <v>0</v>
      </c>
      <c r="RX5" s="1">
        <v>0</v>
      </c>
      <c r="RY5" s="1">
        <v>0</v>
      </c>
      <c r="RZ5" s="1">
        <v>0</v>
      </c>
      <c r="SA5" s="1">
        <v>0</v>
      </c>
      <c r="SB5" s="1">
        <v>0</v>
      </c>
      <c r="SC5" s="1">
        <v>0</v>
      </c>
      <c r="SD5" s="1">
        <v>0</v>
      </c>
      <c r="SE5" s="1">
        <v>0</v>
      </c>
      <c r="SF5" s="1">
        <v>0</v>
      </c>
      <c r="SG5" s="1">
        <v>0</v>
      </c>
      <c r="SH5" s="1">
        <v>0</v>
      </c>
      <c r="SI5" s="1">
        <v>0</v>
      </c>
      <c r="SJ5" s="1">
        <v>0</v>
      </c>
      <c r="SK5" s="1">
        <v>0</v>
      </c>
      <c r="SL5" s="1">
        <v>0</v>
      </c>
      <c r="SM5" s="1">
        <v>0</v>
      </c>
      <c r="SN5" s="1">
        <v>0</v>
      </c>
      <c r="SO5" s="1">
        <v>0</v>
      </c>
      <c r="SP5" s="1">
        <v>0</v>
      </c>
      <c r="SQ5" s="1">
        <v>0</v>
      </c>
      <c r="SR5" s="1">
        <v>0</v>
      </c>
      <c r="SS5" s="1">
        <v>0</v>
      </c>
      <c r="ST5" s="1">
        <v>0</v>
      </c>
      <c r="SU5" s="1">
        <v>0</v>
      </c>
      <c r="SV5" s="1">
        <v>0</v>
      </c>
      <c r="SW5" s="1">
        <v>0</v>
      </c>
      <c r="SX5" s="1">
        <v>0</v>
      </c>
      <c r="SY5" s="1">
        <v>0</v>
      </c>
      <c r="SZ5" s="1">
        <v>0</v>
      </c>
      <c r="TA5" s="1">
        <v>0</v>
      </c>
      <c r="TB5" s="1">
        <v>0</v>
      </c>
      <c r="TC5" s="1">
        <v>0</v>
      </c>
      <c r="TD5" s="1">
        <v>0</v>
      </c>
      <c r="TE5" s="1">
        <v>0</v>
      </c>
      <c r="TF5" s="1">
        <v>0</v>
      </c>
      <c r="TG5" s="1">
        <v>0</v>
      </c>
      <c r="TH5" s="1">
        <v>0</v>
      </c>
      <c r="TI5" s="1">
        <v>0</v>
      </c>
      <c r="TJ5" s="1">
        <v>0</v>
      </c>
      <c r="TK5" s="1">
        <v>0</v>
      </c>
      <c r="TL5" s="1">
        <v>0</v>
      </c>
      <c r="TM5" s="1">
        <v>0</v>
      </c>
      <c r="TN5" s="1">
        <v>0</v>
      </c>
      <c r="TO5" s="1">
        <v>0</v>
      </c>
      <c r="TP5" s="1">
        <v>0</v>
      </c>
      <c r="TQ5" s="1">
        <v>0</v>
      </c>
      <c r="TR5" s="1">
        <v>0</v>
      </c>
      <c r="TS5" s="1">
        <v>0</v>
      </c>
      <c r="TT5" s="1">
        <v>0</v>
      </c>
      <c r="TU5" s="1">
        <v>0</v>
      </c>
      <c r="TV5" s="1">
        <v>0</v>
      </c>
      <c r="TW5" s="1">
        <v>0</v>
      </c>
      <c r="TX5" s="1">
        <v>0</v>
      </c>
      <c r="TY5" s="1">
        <v>0</v>
      </c>
      <c r="TZ5" s="1">
        <v>0</v>
      </c>
      <c r="UA5" s="1">
        <v>0</v>
      </c>
      <c r="UB5" s="1">
        <v>0</v>
      </c>
      <c r="UC5" s="1">
        <v>0</v>
      </c>
      <c r="UD5" s="1">
        <v>0</v>
      </c>
      <c r="UE5" s="1">
        <v>0</v>
      </c>
      <c r="UF5" s="1">
        <v>0</v>
      </c>
      <c r="UG5" s="1">
        <v>0</v>
      </c>
      <c r="UH5" s="1">
        <v>0</v>
      </c>
      <c r="UI5" s="1">
        <v>0</v>
      </c>
      <c r="UJ5" s="1">
        <v>0</v>
      </c>
      <c r="UK5" s="1">
        <v>0</v>
      </c>
      <c r="UL5" s="1">
        <v>0</v>
      </c>
      <c r="UM5" s="1">
        <v>0</v>
      </c>
      <c r="UN5" s="1">
        <v>0</v>
      </c>
      <c r="UO5" s="1">
        <v>0</v>
      </c>
      <c r="UP5" s="1">
        <v>0</v>
      </c>
      <c r="UQ5" s="1">
        <v>0</v>
      </c>
      <c r="UR5" s="1">
        <v>0</v>
      </c>
      <c r="US5" s="1">
        <v>0</v>
      </c>
      <c r="UT5" s="1">
        <v>0</v>
      </c>
      <c r="UU5" s="1">
        <v>0</v>
      </c>
      <c r="UV5" s="1">
        <v>0</v>
      </c>
      <c r="UW5" s="1">
        <v>0</v>
      </c>
      <c r="UX5" s="1">
        <v>0</v>
      </c>
      <c r="UY5" s="1">
        <v>0</v>
      </c>
      <c r="UZ5" s="1">
        <v>0</v>
      </c>
      <c r="VA5" s="1">
        <v>0</v>
      </c>
      <c r="VB5" s="1">
        <v>0</v>
      </c>
      <c r="VC5" s="1">
        <v>0</v>
      </c>
      <c r="VD5" s="1">
        <v>0</v>
      </c>
      <c r="VE5" s="1">
        <v>0</v>
      </c>
      <c r="VF5" s="1">
        <v>0</v>
      </c>
      <c r="VG5" s="1">
        <v>0</v>
      </c>
      <c r="VH5" s="1">
        <v>0</v>
      </c>
      <c r="VI5" s="1">
        <v>0</v>
      </c>
      <c r="VJ5" s="1">
        <v>0</v>
      </c>
      <c r="VK5" s="1">
        <v>0</v>
      </c>
      <c r="VL5" s="1">
        <v>0</v>
      </c>
      <c r="VM5" s="1">
        <v>0</v>
      </c>
      <c r="VN5" s="1">
        <v>0</v>
      </c>
      <c r="VO5" s="1">
        <v>0</v>
      </c>
      <c r="VP5" s="1">
        <v>0</v>
      </c>
      <c r="VQ5" s="1">
        <v>0</v>
      </c>
      <c r="VR5" s="1">
        <v>0</v>
      </c>
      <c r="VS5" s="1">
        <v>0</v>
      </c>
      <c r="VT5" s="1">
        <v>0</v>
      </c>
      <c r="VU5" s="1">
        <v>0</v>
      </c>
      <c r="VV5" s="1">
        <v>0</v>
      </c>
      <c r="VW5" s="1">
        <v>0</v>
      </c>
      <c r="VX5" s="1">
        <v>0</v>
      </c>
      <c r="VY5" s="1">
        <v>0</v>
      </c>
      <c r="VZ5" s="1">
        <v>0</v>
      </c>
      <c r="WA5" s="1">
        <v>0</v>
      </c>
      <c r="WB5" s="1">
        <v>0</v>
      </c>
      <c r="WC5" s="1">
        <v>0</v>
      </c>
      <c r="WD5" s="1">
        <v>0</v>
      </c>
      <c r="WE5" s="1">
        <v>0</v>
      </c>
      <c r="WF5" s="1">
        <v>0</v>
      </c>
      <c r="WG5" s="1">
        <v>0</v>
      </c>
      <c r="WH5" s="1">
        <v>0</v>
      </c>
      <c r="WI5" s="1">
        <v>0</v>
      </c>
      <c r="WJ5" s="1">
        <v>0</v>
      </c>
      <c r="WK5" s="1">
        <v>0</v>
      </c>
      <c r="WL5" s="1">
        <v>0</v>
      </c>
      <c r="WM5" s="1">
        <v>0</v>
      </c>
      <c r="WN5" s="1">
        <v>0</v>
      </c>
      <c r="WO5" s="1">
        <v>0</v>
      </c>
      <c r="WP5" s="1">
        <v>0</v>
      </c>
      <c r="WQ5" s="1">
        <v>0</v>
      </c>
      <c r="WR5" s="1">
        <v>0</v>
      </c>
      <c r="WS5" s="1">
        <v>0</v>
      </c>
      <c r="WT5" s="1">
        <v>0</v>
      </c>
      <c r="WU5" s="1">
        <v>0</v>
      </c>
      <c r="WV5" s="1">
        <v>0</v>
      </c>
      <c r="WW5" s="1">
        <v>0</v>
      </c>
      <c r="WX5" s="1">
        <v>0</v>
      </c>
      <c r="WY5" s="1">
        <v>0</v>
      </c>
      <c r="WZ5" s="1">
        <v>0</v>
      </c>
      <c r="XA5" s="1">
        <v>0</v>
      </c>
      <c r="XB5" s="1">
        <v>0</v>
      </c>
      <c r="XC5" s="1">
        <v>0</v>
      </c>
      <c r="XD5" s="1">
        <v>0</v>
      </c>
      <c r="XE5" s="1">
        <v>0</v>
      </c>
      <c r="XF5" s="1">
        <v>0</v>
      </c>
      <c r="XG5" s="1">
        <v>0</v>
      </c>
      <c r="XH5" s="1">
        <v>0</v>
      </c>
      <c r="XI5" s="1">
        <v>0</v>
      </c>
      <c r="XJ5" s="1">
        <v>0</v>
      </c>
      <c r="XK5" s="1">
        <v>0</v>
      </c>
      <c r="XL5" s="1">
        <v>0</v>
      </c>
      <c r="XM5" s="1">
        <v>0</v>
      </c>
      <c r="XN5" s="1">
        <v>0</v>
      </c>
      <c r="XO5" s="1">
        <v>0</v>
      </c>
      <c r="XP5" s="1">
        <v>0</v>
      </c>
      <c r="XQ5" s="1">
        <v>0</v>
      </c>
      <c r="XR5" s="1">
        <v>0</v>
      </c>
      <c r="XS5" s="1">
        <v>0</v>
      </c>
      <c r="XT5" s="1">
        <v>0</v>
      </c>
      <c r="XU5" s="1">
        <v>0</v>
      </c>
      <c r="XV5" s="1">
        <v>0</v>
      </c>
      <c r="XW5" s="1">
        <v>0</v>
      </c>
      <c r="XX5" s="1">
        <v>0</v>
      </c>
      <c r="XY5" s="1">
        <v>0</v>
      </c>
      <c r="XZ5" s="1">
        <v>0</v>
      </c>
      <c r="YA5" s="1">
        <v>0</v>
      </c>
      <c r="YB5" s="1">
        <v>0</v>
      </c>
      <c r="YC5" s="1">
        <v>0</v>
      </c>
      <c r="YD5" s="1">
        <v>0</v>
      </c>
      <c r="YE5" s="1">
        <v>0</v>
      </c>
      <c r="YF5" s="1">
        <v>0</v>
      </c>
      <c r="YG5" s="1">
        <v>0</v>
      </c>
      <c r="YH5" s="1">
        <v>0</v>
      </c>
      <c r="YI5" s="1">
        <v>0</v>
      </c>
      <c r="YJ5" s="1">
        <v>0</v>
      </c>
      <c r="YK5" s="1">
        <v>0</v>
      </c>
      <c r="YL5" s="1">
        <v>0</v>
      </c>
      <c r="YM5" s="1">
        <v>0</v>
      </c>
      <c r="YN5" s="1">
        <v>0</v>
      </c>
      <c r="YO5" s="1">
        <v>0</v>
      </c>
      <c r="YP5" s="1">
        <v>0</v>
      </c>
      <c r="YQ5" s="1">
        <v>0</v>
      </c>
      <c r="YR5" s="1">
        <v>0</v>
      </c>
      <c r="YS5" s="1">
        <v>0</v>
      </c>
      <c r="YT5" s="1">
        <v>0</v>
      </c>
      <c r="YU5" s="1">
        <v>0</v>
      </c>
      <c r="YV5" s="1">
        <v>0</v>
      </c>
      <c r="YW5" s="1">
        <v>0</v>
      </c>
      <c r="YX5" s="1">
        <v>0</v>
      </c>
      <c r="YY5" s="1">
        <v>0</v>
      </c>
      <c r="YZ5" s="1">
        <v>0</v>
      </c>
      <c r="ZA5" s="1">
        <v>0</v>
      </c>
      <c r="ZB5" s="1">
        <v>0</v>
      </c>
      <c r="ZC5" s="1">
        <v>0</v>
      </c>
      <c r="ZD5" s="1">
        <v>0</v>
      </c>
      <c r="ZE5" s="1">
        <v>0</v>
      </c>
      <c r="ZF5" s="1">
        <v>0</v>
      </c>
      <c r="ZG5" s="1">
        <v>0</v>
      </c>
      <c r="ZH5" s="1">
        <v>0</v>
      </c>
      <c r="ZI5" s="1">
        <v>0</v>
      </c>
      <c r="ZJ5" s="1">
        <v>0</v>
      </c>
      <c r="ZK5" s="1">
        <v>0</v>
      </c>
      <c r="ZL5" s="1">
        <v>0</v>
      </c>
      <c r="ZM5" s="1">
        <v>0</v>
      </c>
      <c r="ZN5" s="1">
        <v>0</v>
      </c>
      <c r="ZO5" s="1">
        <v>0</v>
      </c>
      <c r="ZP5" s="1">
        <v>0</v>
      </c>
      <c r="ZQ5" s="1">
        <v>0</v>
      </c>
      <c r="ZR5" s="1">
        <v>0</v>
      </c>
      <c r="ZS5" s="1">
        <v>0</v>
      </c>
      <c r="ZT5" s="1">
        <v>0</v>
      </c>
      <c r="ZU5" s="1">
        <v>0</v>
      </c>
      <c r="ZV5" s="1">
        <v>0</v>
      </c>
      <c r="ZW5" s="1">
        <v>0</v>
      </c>
      <c r="ZX5" s="1">
        <v>0</v>
      </c>
      <c r="ZY5" s="1">
        <v>0</v>
      </c>
      <c r="ZZ5" s="1">
        <v>0</v>
      </c>
      <c r="AAA5" s="1">
        <v>0</v>
      </c>
      <c r="AAB5" s="1">
        <v>0</v>
      </c>
      <c r="AAC5" s="1">
        <v>0</v>
      </c>
      <c r="AAD5" s="1">
        <v>0</v>
      </c>
      <c r="AAE5" s="1">
        <v>0</v>
      </c>
      <c r="AAF5" s="1">
        <v>0</v>
      </c>
      <c r="AAG5" s="1">
        <v>0</v>
      </c>
      <c r="AAH5" s="1">
        <v>0</v>
      </c>
      <c r="AAI5" s="1">
        <v>0</v>
      </c>
      <c r="AAJ5" s="1">
        <v>0</v>
      </c>
      <c r="AAK5" s="1">
        <v>0</v>
      </c>
      <c r="AAL5" s="1">
        <v>0</v>
      </c>
      <c r="AAM5" s="1">
        <v>0</v>
      </c>
      <c r="AAN5" s="1">
        <v>0</v>
      </c>
      <c r="AAO5" s="1">
        <v>0</v>
      </c>
      <c r="AAP5" s="1">
        <v>0</v>
      </c>
      <c r="AAQ5" s="1">
        <v>0</v>
      </c>
      <c r="AAR5" s="1">
        <v>0</v>
      </c>
      <c r="AAS5" s="1">
        <v>0</v>
      </c>
      <c r="AAT5" s="1">
        <v>0</v>
      </c>
      <c r="AAU5" s="1">
        <v>0</v>
      </c>
      <c r="AAV5" s="1">
        <v>0</v>
      </c>
      <c r="AAW5" s="1">
        <v>0</v>
      </c>
      <c r="AAX5" s="1">
        <v>0</v>
      </c>
    </row>
    <row r="6" spans="1:750">
      <c r="A6" s="1">
        <v>5</v>
      </c>
      <c r="B6" s="1" t="s">
        <v>2</v>
      </c>
      <c r="C6" s="1" t="s">
        <v>3</v>
      </c>
      <c r="D6" s="1" t="s">
        <v>9</v>
      </c>
      <c r="E6" s="1" t="s">
        <v>5</v>
      </c>
      <c r="F6" s="1">
        <v>388788</v>
      </c>
      <c r="G6" s="1">
        <v>388803</v>
      </c>
      <c r="H6" s="1">
        <v>388817</v>
      </c>
      <c r="I6" s="1">
        <v>388832</v>
      </c>
      <c r="J6" s="1">
        <v>388847</v>
      </c>
      <c r="K6" s="1">
        <v>388862</v>
      </c>
      <c r="L6" s="1">
        <v>388875</v>
      </c>
      <c r="M6" s="1">
        <v>388889</v>
      </c>
      <c r="N6" s="1">
        <v>388903</v>
      </c>
      <c r="O6" s="1">
        <v>388918</v>
      </c>
      <c r="P6" s="1">
        <v>388933</v>
      </c>
      <c r="Q6" s="1">
        <v>388950</v>
      </c>
      <c r="R6" s="1">
        <v>388968</v>
      </c>
      <c r="S6" s="1">
        <v>388989</v>
      </c>
      <c r="T6" s="1">
        <v>389011</v>
      </c>
      <c r="U6" s="1">
        <v>389034</v>
      </c>
      <c r="V6" s="1">
        <v>389059</v>
      </c>
      <c r="W6" s="1">
        <v>389085</v>
      </c>
      <c r="X6" s="1">
        <v>389109</v>
      </c>
      <c r="Y6" s="1">
        <v>389130</v>
      </c>
      <c r="Z6" s="1">
        <v>389150</v>
      </c>
      <c r="AA6" s="1">
        <v>389170</v>
      </c>
      <c r="AB6" s="1">
        <v>389190</v>
      </c>
      <c r="AC6" s="1">
        <v>389207</v>
      </c>
      <c r="AD6" s="1">
        <v>389223</v>
      </c>
      <c r="AE6" s="1">
        <v>389240</v>
      </c>
      <c r="AF6" s="1">
        <v>389256</v>
      </c>
      <c r="AG6" s="1">
        <v>389271</v>
      </c>
      <c r="AH6" s="1">
        <v>389287</v>
      </c>
      <c r="AI6" s="1">
        <v>389303</v>
      </c>
      <c r="AJ6" s="1">
        <v>389318</v>
      </c>
      <c r="AK6" s="1">
        <v>389334</v>
      </c>
      <c r="AL6" s="1">
        <v>389351</v>
      </c>
      <c r="AM6" s="1">
        <v>389374</v>
      </c>
      <c r="AN6" s="1">
        <v>389406</v>
      </c>
      <c r="AO6" s="1">
        <v>389466</v>
      </c>
      <c r="AP6" s="1">
        <v>389522</v>
      </c>
      <c r="AQ6" s="1">
        <v>389574</v>
      </c>
      <c r="AR6" s="1">
        <v>389622</v>
      </c>
      <c r="AS6" s="1">
        <v>389668</v>
      </c>
      <c r="AT6" s="1">
        <v>389720</v>
      </c>
      <c r="AU6" s="1">
        <v>389768</v>
      </c>
      <c r="AV6" s="1">
        <v>389813</v>
      </c>
      <c r="AW6" s="1">
        <v>389849</v>
      </c>
      <c r="AX6" s="1">
        <v>389880</v>
      </c>
      <c r="AY6" s="1">
        <v>389911</v>
      </c>
      <c r="AZ6" s="1">
        <v>389940</v>
      </c>
      <c r="BA6" s="1">
        <v>389965</v>
      </c>
      <c r="BB6" s="1">
        <v>389991</v>
      </c>
      <c r="BC6" s="1">
        <v>390015</v>
      </c>
      <c r="BD6" s="1">
        <v>390038</v>
      </c>
      <c r="BE6" s="1">
        <v>390059</v>
      </c>
      <c r="BF6" s="1">
        <v>390081</v>
      </c>
      <c r="BG6" s="1">
        <v>390101</v>
      </c>
      <c r="BH6" s="1">
        <v>390120</v>
      </c>
      <c r="BI6" s="1">
        <v>390142</v>
      </c>
      <c r="BJ6" s="1">
        <v>390166</v>
      </c>
      <c r="BK6" s="1">
        <v>390193</v>
      </c>
      <c r="BL6" s="1">
        <v>390231</v>
      </c>
      <c r="BM6" s="1">
        <v>390297</v>
      </c>
      <c r="BN6" s="1">
        <v>390361</v>
      </c>
      <c r="BO6" s="1">
        <v>390426</v>
      </c>
      <c r="BP6" s="1">
        <v>390488</v>
      </c>
      <c r="BQ6" s="1">
        <v>390548</v>
      </c>
      <c r="BR6" s="1">
        <v>390608</v>
      </c>
      <c r="BS6" s="1">
        <v>390667</v>
      </c>
      <c r="BT6" s="1">
        <v>390711</v>
      </c>
      <c r="BU6" s="1">
        <v>390746</v>
      </c>
      <c r="BV6" s="1">
        <v>390776</v>
      </c>
      <c r="BW6" s="1">
        <v>390804</v>
      </c>
      <c r="BX6" s="1">
        <v>390830</v>
      </c>
      <c r="BY6" s="1">
        <v>390856</v>
      </c>
      <c r="BZ6" s="1">
        <v>390880</v>
      </c>
      <c r="CA6" s="1">
        <v>390903</v>
      </c>
      <c r="CB6" s="1">
        <v>390925</v>
      </c>
      <c r="CC6" s="1">
        <v>390947</v>
      </c>
      <c r="CD6" s="1">
        <v>390969</v>
      </c>
      <c r="CE6" s="1">
        <v>390988</v>
      </c>
      <c r="CF6" s="1">
        <v>391007</v>
      </c>
      <c r="CG6" s="1">
        <v>391028</v>
      </c>
      <c r="CH6" s="1">
        <v>391051</v>
      </c>
      <c r="CI6" s="1">
        <v>391081</v>
      </c>
      <c r="CJ6" s="1">
        <v>391113</v>
      </c>
      <c r="CK6" s="1">
        <v>391166</v>
      </c>
      <c r="CL6" s="1">
        <v>391223</v>
      </c>
      <c r="CM6" s="1">
        <v>391282</v>
      </c>
      <c r="CN6" s="1">
        <v>391343</v>
      </c>
      <c r="CO6" s="1">
        <v>391407</v>
      </c>
      <c r="CP6" s="1">
        <v>391471</v>
      </c>
      <c r="CQ6" s="1">
        <v>391529</v>
      </c>
      <c r="CR6" s="1">
        <v>391578</v>
      </c>
      <c r="CS6" s="1">
        <v>391620</v>
      </c>
      <c r="CT6" s="1">
        <v>391654</v>
      </c>
      <c r="CU6" s="1">
        <v>391684</v>
      </c>
      <c r="CV6" s="1">
        <v>391712</v>
      </c>
      <c r="CW6" s="1">
        <v>391741</v>
      </c>
      <c r="CX6" s="1">
        <v>391775</v>
      </c>
      <c r="CY6" s="1">
        <v>391805</v>
      </c>
      <c r="CZ6" s="1">
        <v>391834</v>
      </c>
      <c r="DA6" s="1">
        <v>391862</v>
      </c>
      <c r="DB6" s="1">
        <v>391891</v>
      </c>
      <c r="DC6" s="1">
        <v>391918</v>
      </c>
      <c r="DD6" s="1">
        <v>391945</v>
      </c>
      <c r="DE6" s="1">
        <v>391971</v>
      </c>
      <c r="DF6" s="1">
        <v>391999</v>
      </c>
      <c r="DG6" s="1">
        <v>392031</v>
      </c>
      <c r="DH6" s="1">
        <v>392065</v>
      </c>
      <c r="DI6" s="1">
        <v>392109</v>
      </c>
      <c r="DJ6" s="1">
        <v>392153</v>
      </c>
      <c r="DK6" s="1">
        <v>392196</v>
      </c>
      <c r="DL6" s="1">
        <v>392242</v>
      </c>
      <c r="DM6" s="1">
        <v>392291</v>
      </c>
      <c r="DN6" s="1">
        <v>392335</v>
      </c>
      <c r="DO6" s="1">
        <v>392373</v>
      </c>
      <c r="DP6" s="1">
        <v>392403</v>
      </c>
      <c r="DQ6" s="1">
        <v>392427</v>
      </c>
      <c r="DR6" s="1">
        <v>392450</v>
      </c>
      <c r="DS6" s="1">
        <v>392473</v>
      </c>
      <c r="DT6" s="1">
        <v>392504</v>
      </c>
      <c r="DU6" s="1">
        <v>392531</v>
      </c>
      <c r="DV6" s="1">
        <v>392556</v>
      </c>
      <c r="DW6" s="1">
        <v>392577</v>
      </c>
      <c r="DX6" s="1">
        <v>392596</v>
      </c>
      <c r="DY6" s="1">
        <v>392614</v>
      </c>
      <c r="DZ6" s="1">
        <v>392630</v>
      </c>
      <c r="EA6" s="1">
        <v>392647</v>
      </c>
      <c r="EB6" s="1">
        <v>392663</v>
      </c>
      <c r="EC6" s="1">
        <v>392679</v>
      </c>
      <c r="ED6" s="1">
        <v>392697</v>
      </c>
      <c r="EE6" s="1">
        <v>392718</v>
      </c>
      <c r="EF6" s="1">
        <v>392744</v>
      </c>
      <c r="EG6" s="1">
        <v>392784</v>
      </c>
      <c r="EH6" s="1">
        <v>392830</v>
      </c>
      <c r="EI6" s="1">
        <v>392873</v>
      </c>
      <c r="EJ6" s="1">
        <v>392924</v>
      </c>
      <c r="EK6" s="1">
        <v>392970</v>
      </c>
      <c r="EL6" s="1">
        <v>393010</v>
      </c>
      <c r="EM6" s="1">
        <v>393048</v>
      </c>
      <c r="EN6" s="1">
        <v>393080</v>
      </c>
      <c r="EO6" s="1">
        <v>393103</v>
      </c>
      <c r="EP6" s="1">
        <v>393123</v>
      </c>
      <c r="EQ6" s="1">
        <v>393142</v>
      </c>
      <c r="ER6" s="1">
        <v>393161</v>
      </c>
      <c r="ES6" s="1">
        <v>393178</v>
      </c>
      <c r="ET6" s="1">
        <v>393193</v>
      </c>
      <c r="EU6" s="1">
        <v>393209</v>
      </c>
      <c r="EV6" s="1">
        <v>393224</v>
      </c>
      <c r="EW6" s="1">
        <v>393240</v>
      </c>
      <c r="EX6" s="1">
        <v>393255</v>
      </c>
      <c r="EY6" s="1">
        <v>393270</v>
      </c>
      <c r="EZ6" s="1">
        <v>393285</v>
      </c>
      <c r="FA6" s="1">
        <v>393299</v>
      </c>
      <c r="FB6" s="1">
        <v>393313</v>
      </c>
      <c r="FC6" s="1">
        <v>393330</v>
      </c>
      <c r="FD6" s="1">
        <v>393347</v>
      </c>
      <c r="FE6" s="1">
        <v>393365</v>
      </c>
      <c r="FF6" s="1">
        <v>393382</v>
      </c>
      <c r="FG6" s="1">
        <v>393399</v>
      </c>
      <c r="FH6" s="1">
        <v>393419</v>
      </c>
      <c r="FI6" s="1">
        <v>393439</v>
      </c>
      <c r="FJ6" s="1">
        <v>393460</v>
      </c>
      <c r="FK6" s="1">
        <v>393479</v>
      </c>
      <c r="FL6" s="1">
        <v>393498</v>
      </c>
      <c r="FM6" s="1">
        <v>393515</v>
      </c>
      <c r="FN6" s="1">
        <v>393532</v>
      </c>
      <c r="FO6" s="1">
        <v>393549</v>
      </c>
      <c r="FP6" s="1">
        <v>393566</v>
      </c>
      <c r="FQ6" s="1">
        <v>393581</v>
      </c>
      <c r="FR6" s="1">
        <v>393595</v>
      </c>
      <c r="FS6" s="1">
        <v>393608</v>
      </c>
      <c r="FT6" s="1">
        <v>393621</v>
      </c>
      <c r="FU6" s="1">
        <v>393633</v>
      </c>
      <c r="FV6" s="1">
        <v>393645</v>
      </c>
      <c r="FW6" s="1">
        <v>393658</v>
      </c>
      <c r="FX6" s="1">
        <v>393670</v>
      </c>
      <c r="FY6" s="1">
        <v>393683</v>
      </c>
      <c r="FZ6" s="1">
        <v>393695</v>
      </c>
      <c r="GA6" s="1">
        <v>393707</v>
      </c>
      <c r="GB6" s="1">
        <v>393720</v>
      </c>
      <c r="GC6" s="1">
        <v>393733</v>
      </c>
      <c r="GD6" s="1">
        <v>393746</v>
      </c>
      <c r="GE6" s="1">
        <v>393758</v>
      </c>
      <c r="GF6" s="1">
        <v>393770</v>
      </c>
      <c r="GG6" s="1">
        <v>393783</v>
      </c>
      <c r="GH6" s="1">
        <v>393795</v>
      </c>
      <c r="GI6" s="1">
        <v>393808</v>
      </c>
      <c r="GJ6" s="1">
        <v>393821</v>
      </c>
      <c r="GK6" s="1">
        <v>393835</v>
      </c>
      <c r="GL6" s="1">
        <v>393849</v>
      </c>
      <c r="GM6" s="1">
        <v>393861</v>
      </c>
      <c r="GN6" s="1">
        <v>393875</v>
      </c>
      <c r="GO6" s="1">
        <v>393889</v>
      </c>
      <c r="GP6" s="1">
        <v>393901</v>
      </c>
      <c r="GQ6" s="1">
        <v>393914</v>
      </c>
      <c r="GR6" s="1">
        <v>393926</v>
      </c>
      <c r="GS6" s="1">
        <v>393938</v>
      </c>
      <c r="GT6" s="1">
        <v>393950</v>
      </c>
      <c r="GU6" s="1">
        <v>393962</v>
      </c>
      <c r="GV6" s="1">
        <v>393974</v>
      </c>
      <c r="GW6" s="1">
        <v>393986</v>
      </c>
      <c r="GX6" s="1">
        <v>393998</v>
      </c>
      <c r="GY6" s="1">
        <v>394010</v>
      </c>
      <c r="GZ6" s="1">
        <v>394023</v>
      </c>
      <c r="HA6" s="1">
        <v>394035</v>
      </c>
      <c r="HB6" s="1">
        <v>394048</v>
      </c>
      <c r="HC6" s="1">
        <v>394063</v>
      </c>
      <c r="HD6" s="1">
        <v>394077</v>
      </c>
      <c r="HE6" s="1">
        <v>394092</v>
      </c>
      <c r="HF6" s="1">
        <v>394107</v>
      </c>
      <c r="HG6" s="1">
        <v>394121</v>
      </c>
      <c r="HH6" s="1">
        <v>394135</v>
      </c>
      <c r="HI6" s="1">
        <v>394148</v>
      </c>
      <c r="HJ6" s="1">
        <v>394160</v>
      </c>
      <c r="HK6" s="1">
        <v>394174</v>
      </c>
      <c r="HL6" s="1">
        <v>394186</v>
      </c>
      <c r="HM6" s="1">
        <v>394200</v>
      </c>
      <c r="HN6" s="1">
        <v>394214</v>
      </c>
      <c r="HO6" s="1">
        <v>394227</v>
      </c>
      <c r="HP6" s="1">
        <v>394239</v>
      </c>
      <c r="HQ6" s="1">
        <v>394251</v>
      </c>
      <c r="HR6" s="1">
        <v>394263</v>
      </c>
      <c r="HS6" s="1">
        <v>394275</v>
      </c>
      <c r="HT6" s="1">
        <v>394287</v>
      </c>
      <c r="HU6" s="1">
        <v>394299</v>
      </c>
      <c r="HV6" s="1">
        <v>394311</v>
      </c>
      <c r="HW6" s="1">
        <v>394324</v>
      </c>
      <c r="HX6" s="1">
        <v>394339</v>
      </c>
      <c r="HY6" s="1">
        <v>394355</v>
      </c>
      <c r="HZ6" s="1">
        <v>394376</v>
      </c>
      <c r="IA6" s="1">
        <v>394401</v>
      </c>
      <c r="IB6" s="1">
        <v>394425</v>
      </c>
      <c r="IC6" s="1">
        <v>394451</v>
      </c>
      <c r="ID6" s="1">
        <v>394475</v>
      </c>
      <c r="IE6" s="1">
        <v>394497</v>
      </c>
      <c r="IF6" s="1">
        <v>394518</v>
      </c>
      <c r="IG6" s="1">
        <v>394536</v>
      </c>
      <c r="IH6" s="1">
        <v>394553</v>
      </c>
      <c r="II6" s="1">
        <v>394570</v>
      </c>
      <c r="IJ6" s="1">
        <v>394587</v>
      </c>
      <c r="IK6" s="1">
        <v>394603</v>
      </c>
      <c r="IL6" s="1">
        <v>394619</v>
      </c>
      <c r="IM6" s="1">
        <v>394635</v>
      </c>
      <c r="IN6" s="1">
        <v>394649</v>
      </c>
      <c r="IO6" s="1">
        <v>394663</v>
      </c>
      <c r="IP6" s="1">
        <v>394677</v>
      </c>
      <c r="IQ6" s="1">
        <v>394691</v>
      </c>
      <c r="IR6" s="1">
        <v>394705</v>
      </c>
      <c r="IS6" s="1">
        <v>394719</v>
      </c>
      <c r="IT6" s="1">
        <v>394734</v>
      </c>
      <c r="IU6" s="1">
        <v>394750</v>
      </c>
      <c r="IV6" s="1">
        <v>394770</v>
      </c>
      <c r="IW6" s="1">
        <v>394793</v>
      </c>
      <c r="IX6" s="1">
        <v>394818</v>
      </c>
      <c r="IY6" s="1">
        <v>394844</v>
      </c>
      <c r="IZ6" s="1">
        <v>394867</v>
      </c>
      <c r="JA6" s="1">
        <v>394890</v>
      </c>
      <c r="JB6" s="1">
        <v>394913</v>
      </c>
      <c r="JC6" s="1">
        <v>394940</v>
      </c>
      <c r="JD6" s="1">
        <v>394967</v>
      </c>
      <c r="JE6" s="1">
        <v>394989</v>
      </c>
      <c r="JF6" s="1">
        <v>395009</v>
      </c>
      <c r="JG6" s="1">
        <v>395029</v>
      </c>
      <c r="JH6" s="1">
        <v>395049</v>
      </c>
      <c r="JI6" s="1">
        <v>395068</v>
      </c>
      <c r="JJ6" s="1">
        <v>395086</v>
      </c>
      <c r="JK6" s="1">
        <v>395102</v>
      </c>
      <c r="JL6" s="1">
        <v>395119</v>
      </c>
      <c r="JM6" s="1">
        <v>395135</v>
      </c>
      <c r="JN6" s="1">
        <v>395150</v>
      </c>
      <c r="JO6" s="1">
        <v>395166</v>
      </c>
      <c r="JP6" s="1">
        <v>395182</v>
      </c>
      <c r="JQ6" s="1">
        <v>395198</v>
      </c>
      <c r="JR6" s="1">
        <v>395215</v>
      </c>
      <c r="JS6" s="1">
        <v>395234</v>
      </c>
      <c r="JT6" s="1">
        <v>395256</v>
      </c>
      <c r="JU6" s="1">
        <v>395280</v>
      </c>
      <c r="JV6" s="1">
        <v>395307</v>
      </c>
      <c r="JW6" s="1">
        <v>395333</v>
      </c>
      <c r="JX6" s="1">
        <v>395363</v>
      </c>
      <c r="JY6" s="1">
        <v>395393</v>
      </c>
      <c r="JZ6" s="1">
        <v>395423</v>
      </c>
      <c r="KA6" s="1">
        <v>395449</v>
      </c>
      <c r="KB6" s="1">
        <v>395474</v>
      </c>
      <c r="KC6" s="1">
        <v>395497</v>
      </c>
      <c r="KD6" s="1">
        <v>395517</v>
      </c>
      <c r="KE6" s="1">
        <v>395536</v>
      </c>
      <c r="KF6" s="1">
        <v>395555</v>
      </c>
      <c r="KG6" s="1">
        <v>395573</v>
      </c>
      <c r="KH6" s="1">
        <v>395591</v>
      </c>
      <c r="KI6" s="1">
        <v>395609</v>
      </c>
      <c r="KJ6" s="1">
        <v>395627</v>
      </c>
      <c r="KK6" s="1">
        <v>395645</v>
      </c>
      <c r="KL6" s="1">
        <v>395662</v>
      </c>
      <c r="KM6" s="1">
        <v>395680</v>
      </c>
      <c r="KN6" s="1">
        <v>395697</v>
      </c>
      <c r="KO6" s="1">
        <v>395714</v>
      </c>
      <c r="KP6" s="1">
        <v>395733</v>
      </c>
      <c r="KQ6" s="1">
        <v>395755</v>
      </c>
      <c r="KR6" s="1">
        <v>395780</v>
      </c>
      <c r="KS6" s="1">
        <v>395810</v>
      </c>
      <c r="KT6" s="1">
        <v>395844</v>
      </c>
      <c r="KU6" s="1">
        <v>395879</v>
      </c>
      <c r="KV6" s="1">
        <v>395916</v>
      </c>
      <c r="KW6" s="1">
        <v>395953</v>
      </c>
      <c r="KX6" s="1">
        <v>395989</v>
      </c>
      <c r="KY6" s="1">
        <v>396019</v>
      </c>
      <c r="KZ6" s="1">
        <v>396044</v>
      </c>
      <c r="LA6" s="1">
        <v>396065</v>
      </c>
      <c r="LB6" s="1">
        <v>396084</v>
      </c>
      <c r="LC6" s="1">
        <v>396103</v>
      </c>
      <c r="LD6" s="1">
        <v>396120</v>
      </c>
      <c r="LE6" s="1">
        <v>396137</v>
      </c>
      <c r="LF6" s="1">
        <v>396153</v>
      </c>
      <c r="LG6" s="1">
        <v>396170</v>
      </c>
      <c r="LH6" s="1">
        <v>396186</v>
      </c>
      <c r="LI6" s="1">
        <v>396202</v>
      </c>
      <c r="LJ6" s="1">
        <v>396218</v>
      </c>
      <c r="LK6" s="1">
        <v>396233</v>
      </c>
      <c r="LL6" s="1">
        <v>396250</v>
      </c>
      <c r="LM6" s="1">
        <v>396265</v>
      </c>
      <c r="LN6" s="1">
        <v>396282</v>
      </c>
      <c r="LO6" s="1">
        <v>396300</v>
      </c>
      <c r="LP6" s="1">
        <v>396317</v>
      </c>
      <c r="LQ6" s="1">
        <v>396335</v>
      </c>
      <c r="LR6" s="1">
        <v>396355</v>
      </c>
      <c r="LS6" s="1">
        <v>396377</v>
      </c>
      <c r="LT6" s="1">
        <v>396400</v>
      </c>
      <c r="LU6" s="1">
        <v>396423</v>
      </c>
      <c r="LV6" s="1">
        <v>396445</v>
      </c>
      <c r="LW6" s="1">
        <v>396466</v>
      </c>
      <c r="LX6" s="1">
        <v>396487</v>
      </c>
      <c r="LY6" s="1">
        <v>396505</v>
      </c>
      <c r="LZ6" s="1">
        <v>396522</v>
      </c>
      <c r="MA6" s="1">
        <v>396538</v>
      </c>
      <c r="MB6" s="1">
        <v>396555</v>
      </c>
      <c r="MC6" s="1">
        <v>396570</v>
      </c>
      <c r="MD6" s="1">
        <v>396586</v>
      </c>
      <c r="ME6" s="1">
        <v>396602</v>
      </c>
      <c r="MF6" s="1">
        <v>396617</v>
      </c>
      <c r="MG6" s="1">
        <v>396632</v>
      </c>
      <c r="MH6" s="1">
        <v>396647</v>
      </c>
      <c r="MI6" s="1">
        <v>396661</v>
      </c>
      <c r="MJ6" s="1">
        <v>396676</v>
      </c>
      <c r="MK6" s="1">
        <v>396691</v>
      </c>
      <c r="ML6" s="1">
        <v>396707</v>
      </c>
      <c r="MM6" s="1">
        <v>396724</v>
      </c>
      <c r="MN6" s="1">
        <v>396741</v>
      </c>
      <c r="MO6" s="1">
        <v>396758</v>
      </c>
      <c r="MP6" s="1">
        <v>396776</v>
      </c>
      <c r="MQ6" s="1">
        <v>396793</v>
      </c>
      <c r="MR6" s="1">
        <v>396811</v>
      </c>
      <c r="MS6" s="1">
        <v>396830</v>
      </c>
      <c r="MT6" s="1">
        <v>396849</v>
      </c>
      <c r="MU6" s="1">
        <v>396868</v>
      </c>
      <c r="MV6" s="1">
        <v>396886</v>
      </c>
      <c r="MW6" s="1">
        <v>396903</v>
      </c>
      <c r="MX6" s="1">
        <v>396919</v>
      </c>
      <c r="MY6" s="1">
        <v>396934</v>
      </c>
      <c r="MZ6" s="1">
        <v>396950</v>
      </c>
      <c r="NA6" s="1">
        <v>396965</v>
      </c>
      <c r="NB6" s="1">
        <v>396981</v>
      </c>
      <c r="NC6" s="1">
        <v>396995</v>
      </c>
      <c r="ND6" s="1">
        <v>397010</v>
      </c>
      <c r="NE6" s="1">
        <v>397025</v>
      </c>
      <c r="NF6" s="1">
        <v>397039</v>
      </c>
      <c r="NG6" s="1">
        <v>397053</v>
      </c>
      <c r="NH6" s="1">
        <v>397068</v>
      </c>
      <c r="NI6" s="1">
        <v>397082</v>
      </c>
      <c r="NJ6" s="1">
        <v>397099</v>
      </c>
      <c r="NK6" s="1">
        <v>397122</v>
      </c>
      <c r="NL6" s="1">
        <v>397144</v>
      </c>
      <c r="NM6" s="1">
        <v>397174</v>
      </c>
      <c r="NN6" s="1">
        <v>397208</v>
      </c>
      <c r="NO6" s="1">
        <v>397247</v>
      </c>
      <c r="NP6" s="1">
        <v>397288</v>
      </c>
      <c r="NQ6" s="1">
        <v>397335</v>
      </c>
      <c r="NR6" s="1">
        <v>397378</v>
      </c>
      <c r="NS6" s="1">
        <v>397427</v>
      </c>
      <c r="NT6" s="1">
        <v>397469</v>
      </c>
      <c r="NU6" s="1">
        <v>397504</v>
      </c>
      <c r="NV6" s="1">
        <v>397531</v>
      </c>
      <c r="NW6" s="1">
        <v>397554</v>
      </c>
      <c r="NX6" s="1">
        <v>397573</v>
      </c>
      <c r="NY6" s="1">
        <v>397594</v>
      </c>
      <c r="NZ6" s="1">
        <v>397613</v>
      </c>
      <c r="OA6" s="1">
        <v>397630</v>
      </c>
      <c r="OB6" s="1">
        <v>397647</v>
      </c>
      <c r="OC6" s="1">
        <v>397664</v>
      </c>
      <c r="OD6" s="1">
        <v>397682</v>
      </c>
      <c r="OE6" s="1">
        <v>397699</v>
      </c>
      <c r="OF6" s="1">
        <v>397716</v>
      </c>
      <c r="OG6" s="1">
        <v>397732</v>
      </c>
      <c r="OH6" s="1">
        <v>397750</v>
      </c>
      <c r="OI6" s="1">
        <v>397774</v>
      </c>
      <c r="OJ6" s="1">
        <v>397806</v>
      </c>
      <c r="OK6" s="1">
        <v>397857</v>
      </c>
      <c r="OL6" s="1">
        <v>397912</v>
      </c>
      <c r="OM6" s="1">
        <v>397961</v>
      </c>
      <c r="ON6" s="1">
        <v>398010</v>
      </c>
      <c r="OO6" s="1">
        <v>398058</v>
      </c>
      <c r="OP6" s="1">
        <v>398106</v>
      </c>
      <c r="OQ6" s="1">
        <v>398152</v>
      </c>
      <c r="OR6" s="1">
        <v>398191</v>
      </c>
      <c r="OS6" s="1">
        <v>398221</v>
      </c>
      <c r="OT6" s="1">
        <v>398248</v>
      </c>
      <c r="OU6" s="1">
        <v>398272</v>
      </c>
      <c r="OV6" s="1">
        <v>398294</v>
      </c>
      <c r="OW6" s="1">
        <v>398317</v>
      </c>
      <c r="OX6" s="1">
        <v>398338</v>
      </c>
      <c r="OY6" s="1">
        <v>398359</v>
      </c>
      <c r="OZ6" s="1">
        <v>398379</v>
      </c>
      <c r="PA6" s="1">
        <v>398400</v>
      </c>
      <c r="PB6" s="1">
        <v>398419</v>
      </c>
      <c r="PC6" s="1">
        <v>398439</v>
      </c>
      <c r="PD6" s="1">
        <v>398459</v>
      </c>
      <c r="PE6" s="1">
        <v>398478</v>
      </c>
      <c r="PF6" s="1">
        <v>398498</v>
      </c>
      <c r="PG6" s="1">
        <v>398527</v>
      </c>
      <c r="PH6" s="1">
        <v>398564</v>
      </c>
      <c r="PI6" s="1">
        <v>398606</v>
      </c>
      <c r="PJ6" s="1">
        <v>398653</v>
      </c>
      <c r="PK6" s="1">
        <v>398700</v>
      </c>
      <c r="PL6" s="1">
        <v>398750</v>
      </c>
      <c r="PM6" s="1">
        <v>398806</v>
      </c>
      <c r="PN6" s="1">
        <v>398862</v>
      </c>
      <c r="PO6" s="1">
        <v>398913</v>
      </c>
      <c r="PP6" s="1">
        <v>398952</v>
      </c>
      <c r="PQ6" s="1">
        <v>398985</v>
      </c>
      <c r="PR6" s="1">
        <v>399015</v>
      </c>
      <c r="PS6" s="1">
        <v>399040</v>
      </c>
      <c r="PT6" s="1">
        <v>399063</v>
      </c>
      <c r="PU6" s="1">
        <v>399086</v>
      </c>
      <c r="PV6" s="1">
        <v>399108</v>
      </c>
      <c r="PW6" s="1">
        <v>399130</v>
      </c>
      <c r="PX6" s="1">
        <v>399151</v>
      </c>
      <c r="PY6" s="1">
        <v>399173</v>
      </c>
      <c r="PZ6" s="1">
        <v>399194</v>
      </c>
      <c r="QA6" s="1">
        <v>399215</v>
      </c>
      <c r="QB6" s="1">
        <v>399236</v>
      </c>
      <c r="QC6" s="1">
        <v>399257</v>
      </c>
      <c r="QD6" s="1">
        <v>399280</v>
      </c>
      <c r="QE6" s="1">
        <v>399312</v>
      </c>
      <c r="QF6" s="1">
        <v>399360</v>
      </c>
      <c r="QG6" s="1">
        <v>399415</v>
      </c>
      <c r="QH6" s="1">
        <v>399470</v>
      </c>
      <c r="QI6" s="1">
        <v>399518</v>
      </c>
      <c r="QJ6" s="1">
        <v>399568</v>
      </c>
      <c r="QK6" s="1">
        <v>399617</v>
      </c>
      <c r="QL6" s="1">
        <v>399668</v>
      </c>
      <c r="QM6" s="1">
        <v>399732</v>
      </c>
      <c r="QN6" s="1">
        <v>399787</v>
      </c>
      <c r="QO6" s="1">
        <v>399828</v>
      </c>
      <c r="QP6" s="1">
        <v>399861</v>
      </c>
      <c r="QQ6" s="1">
        <v>399888</v>
      </c>
      <c r="QR6" s="1">
        <v>399913</v>
      </c>
      <c r="QS6" s="1">
        <v>399937</v>
      </c>
      <c r="QT6" s="1">
        <v>399961</v>
      </c>
      <c r="QU6" s="1">
        <v>399984</v>
      </c>
      <c r="QV6" s="1">
        <v>400007</v>
      </c>
      <c r="QW6" s="1">
        <v>400029</v>
      </c>
      <c r="QX6" s="1">
        <v>400051</v>
      </c>
      <c r="QY6" s="1">
        <v>400073</v>
      </c>
      <c r="QZ6" s="1">
        <v>400096</v>
      </c>
      <c r="RA6" s="1">
        <v>400118</v>
      </c>
      <c r="RB6" s="1">
        <v>400140</v>
      </c>
      <c r="RC6" s="1">
        <v>400169</v>
      </c>
      <c r="RD6" s="1">
        <v>400204</v>
      </c>
      <c r="RE6" s="1">
        <v>400247</v>
      </c>
      <c r="RF6" s="1">
        <v>400289</v>
      </c>
      <c r="RG6" s="1">
        <v>400339</v>
      </c>
      <c r="RH6" s="1">
        <v>400383</v>
      </c>
      <c r="RI6" s="1">
        <v>400429</v>
      </c>
      <c r="RJ6" s="1">
        <v>400476</v>
      </c>
      <c r="RK6" s="1">
        <v>400518</v>
      </c>
      <c r="RL6" s="1">
        <v>400555</v>
      </c>
      <c r="RM6" s="1">
        <v>400586</v>
      </c>
      <c r="RN6" s="1">
        <v>400612</v>
      </c>
      <c r="RO6" s="1">
        <v>400636</v>
      </c>
      <c r="RP6" s="1">
        <v>400660</v>
      </c>
      <c r="RQ6" s="1">
        <v>400684</v>
      </c>
      <c r="RR6" s="1">
        <v>400706</v>
      </c>
      <c r="RS6" s="1">
        <v>400729</v>
      </c>
      <c r="RT6" s="1">
        <v>400751</v>
      </c>
      <c r="RU6" s="1">
        <v>400773</v>
      </c>
      <c r="RV6" s="1">
        <v>400795</v>
      </c>
      <c r="RW6" s="1">
        <v>400817</v>
      </c>
      <c r="RX6" s="1">
        <v>400838</v>
      </c>
      <c r="RY6" s="1">
        <v>400860</v>
      </c>
      <c r="RZ6" s="1">
        <v>400884</v>
      </c>
      <c r="SA6" s="1">
        <v>400909</v>
      </c>
      <c r="SB6" s="1">
        <v>400934</v>
      </c>
      <c r="SC6" s="1">
        <v>400960</v>
      </c>
      <c r="SD6" s="1">
        <v>400988</v>
      </c>
      <c r="SE6" s="1">
        <v>401016</v>
      </c>
      <c r="SF6" s="1">
        <v>401045</v>
      </c>
      <c r="SG6" s="1">
        <v>401074</v>
      </c>
      <c r="SH6" s="1">
        <v>401104</v>
      </c>
      <c r="SI6" s="1">
        <v>401133</v>
      </c>
      <c r="SJ6" s="1">
        <v>401165</v>
      </c>
      <c r="SK6" s="1">
        <v>401195</v>
      </c>
      <c r="SL6" s="1">
        <v>401225</v>
      </c>
      <c r="SM6" s="1">
        <v>401251</v>
      </c>
      <c r="SN6" s="1">
        <v>401278</v>
      </c>
      <c r="SO6" s="1">
        <v>401305</v>
      </c>
      <c r="SP6" s="1">
        <v>401329</v>
      </c>
      <c r="SQ6" s="1">
        <v>401353</v>
      </c>
      <c r="SR6" s="1">
        <v>401376</v>
      </c>
      <c r="SS6" s="1">
        <v>401398</v>
      </c>
      <c r="ST6" s="1">
        <v>401419</v>
      </c>
      <c r="SU6" s="1">
        <v>401441</v>
      </c>
      <c r="SV6" s="1">
        <v>401461</v>
      </c>
      <c r="SW6" s="1">
        <v>401482</v>
      </c>
      <c r="SX6" s="1">
        <v>401504</v>
      </c>
      <c r="SY6" s="1">
        <v>401527</v>
      </c>
      <c r="SZ6" s="1">
        <v>401551</v>
      </c>
      <c r="TA6" s="1">
        <v>401577</v>
      </c>
      <c r="TB6" s="1">
        <v>401606</v>
      </c>
      <c r="TC6" s="1">
        <v>401641</v>
      </c>
      <c r="TD6" s="1">
        <v>401676</v>
      </c>
      <c r="TE6" s="1">
        <v>401712</v>
      </c>
      <c r="TF6" s="1">
        <v>401749</v>
      </c>
      <c r="TG6" s="1">
        <v>401785</v>
      </c>
      <c r="TH6" s="1">
        <v>401818</v>
      </c>
      <c r="TI6" s="1">
        <v>401850</v>
      </c>
      <c r="TJ6" s="1">
        <v>401880</v>
      </c>
      <c r="TK6" s="1">
        <v>401910</v>
      </c>
      <c r="TL6" s="1">
        <v>401942</v>
      </c>
      <c r="TM6" s="1">
        <v>401971</v>
      </c>
      <c r="TN6" s="1">
        <v>402000</v>
      </c>
      <c r="TO6" s="1">
        <v>402027</v>
      </c>
      <c r="TP6" s="1">
        <v>402052</v>
      </c>
      <c r="TQ6" s="1">
        <v>402074</v>
      </c>
      <c r="TR6" s="1">
        <v>402096</v>
      </c>
      <c r="TS6" s="1">
        <v>402118</v>
      </c>
      <c r="TT6" s="1">
        <v>402139</v>
      </c>
      <c r="TU6" s="1">
        <v>402162</v>
      </c>
      <c r="TV6" s="1">
        <v>402186</v>
      </c>
      <c r="TW6" s="1">
        <v>402220</v>
      </c>
      <c r="TX6" s="1">
        <v>402263</v>
      </c>
      <c r="TY6" s="1">
        <v>402325</v>
      </c>
      <c r="TZ6" s="1">
        <v>402390</v>
      </c>
      <c r="UA6" s="1">
        <v>402454</v>
      </c>
      <c r="UB6" s="1">
        <v>402519</v>
      </c>
      <c r="UC6" s="1">
        <v>402592</v>
      </c>
      <c r="UD6" s="1">
        <v>402661</v>
      </c>
      <c r="UE6" s="1">
        <v>402720</v>
      </c>
      <c r="UF6" s="1">
        <v>402773</v>
      </c>
      <c r="UG6" s="1">
        <v>402817</v>
      </c>
      <c r="UH6" s="1">
        <v>402851</v>
      </c>
      <c r="UI6" s="1">
        <v>402882</v>
      </c>
      <c r="UJ6" s="1">
        <v>402915</v>
      </c>
      <c r="UK6" s="1">
        <v>402947</v>
      </c>
      <c r="UL6" s="1">
        <v>402980</v>
      </c>
      <c r="UM6" s="1">
        <v>403010</v>
      </c>
      <c r="UN6" s="1">
        <v>403033</v>
      </c>
      <c r="UO6" s="1">
        <v>403054</v>
      </c>
      <c r="UP6" s="1">
        <v>403075</v>
      </c>
      <c r="UQ6" s="1">
        <v>403095</v>
      </c>
      <c r="UR6" s="1">
        <v>403116</v>
      </c>
      <c r="US6" s="1">
        <v>403137</v>
      </c>
      <c r="UT6" s="1">
        <v>403164</v>
      </c>
      <c r="UU6" s="1">
        <v>403195</v>
      </c>
      <c r="UV6" s="1">
        <v>403234</v>
      </c>
      <c r="UW6" s="1">
        <v>403283</v>
      </c>
      <c r="UX6" s="1">
        <v>403342</v>
      </c>
      <c r="UY6" s="1">
        <v>403402</v>
      </c>
      <c r="UZ6" s="1">
        <v>403472</v>
      </c>
      <c r="VA6" s="1">
        <v>403537</v>
      </c>
      <c r="VB6" s="1">
        <v>403602</v>
      </c>
      <c r="VC6" s="1">
        <v>403654</v>
      </c>
      <c r="VD6" s="1">
        <v>403698</v>
      </c>
      <c r="VE6" s="1">
        <v>403730</v>
      </c>
      <c r="VF6" s="1">
        <v>403754</v>
      </c>
      <c r="VG6" s="1">
        <v>403776</v>
      </c>
      <c r="VH6" s="1">
        <v>403796</v>
      </c>
      <c r="VI6" s="1">
        <v>403815</v>
      </c>
      <c r="VJ6" s="1">
        <v>403834</v>
      </c>
      <c r="VK6" s="1">
        <v>403853</v>
      </c>
      <c r="VL6" s="1">
        <v>403871</v>
      </c>
      <c r="VM6" s="1">
        <v>403889</v>
      </c>
      <c r="VN6" s="1">
        <v>403908</v>
      </c>
      <c r="VO6" s="1">
        <v>403926</v>
      </c>
      <c r="VP6" s="1">
        <v>403945</v>
      </c>
      <c r="VQ6" s="1">
        <v>403962</v>
      </c>
      <c r="VR6" s="1">
        <v>403979</v>
      </c>
      <c r="VS6" s="1">
        <v>404002</v>
      </c>
      <c r="VT6" s="1">
        <v>404041</v>
      </c>
      <c r="VU6" s="1">
        <v>404092</v>
      </c>
      <c r="VV6" s="1">
        <v>404145</v>
      </c>
      <c r="VW6" s="1">
        <v>404199</v>
      </c>
      <c r="VX6" s="1">
        <v>404256</v>
      </c>
      <c r="VY6" s="1">
        <v>404311</v>
      </c>
      <c r="VZ6" s="1">
        <v>404365</v>
      </c>
      <c r="WA6" s="1">
        <v>404414</v>
      </c>
      <c r="WB6" s="1">
        <v>404453</v>
      </c>
      <c r="WC6" s="1">
        <v>404487</v>
      </c>
      <c r="WD6" s="1">
        <v>404514</v>
      </c>
      <c r="WE6" s="1">
        <v>404539</v>
      </c>
      <c r="WF6" s="1">
        <v>404563</v>
      </c>
      <c r="WG6" s="1">
        <v>404587</v>
      </c>
      <c r="WH6" s="1">
        <v>404608</v>
      </c>
      <c r="WI6" s="1">
        <v>404629</v>
      </c>
      <c r="WJ6" s="1">
        <v>404649</v>
      </c>
      <c r="WK6" s="1">
        <v>404670</v>
      </c>
      <c r="WL6" s="1">
        <v>404691</v>
      </c>
      <c r="WM6" s="1">
        <v>404711</v>
      </c>
      <c r="WN6" s="1">
        <v>404730</v>
      </c>
      <c r="WO6" s="1">
        <v>404748</v>
      </c>
      <c r="WP6" s="1">
        <v>404767</v>
      </c>
      <c r="WQ6" s="1">
        <v>404792</v>
      </c>
      <c r="WR6" s="1">
        <v>404827</v>
      </c>
      <c r="WS6" s="1">
        <v>404877</v>
      </c>
      <c r="WT6" s="1">
        <v>404927</v>
      </c>
      <c r="WU6" s="1">
        <v>404987</v>
      </c>
      <c r="WV6" s="1">
        <v>405045</v>
      </c>
      <c r="WW6" s="1">
        <v>405108</v>
      </c>
      <c r="WX6" s="1">
        <v>405167</v>
      </c>
      <c r="WY6" s="1">
        <v>405222</v>
      </c>
      <c r="WZ6" s="1">
        <v>405264</v>
      </c>
      <c r="XA6" s="1">
        <v>405295</v>
      </c>
      <c r="XB6" s="1">
        <v>405320</v>
      </c>
      <c r="XC6" s="1">
        <v>405343</v>
      </c>
      <c r="XD6" s="1">
        <v>405366</v>
      </c>
      <c r="XE6" s="1">
        <v>405389</v>
      </c>
      <c r="XF6" s="1">
        <v>405410</v>
      </c>
      <c r="XG6" s="1">
        <v>405431</v>
      </c>
      <c r="XH6" s="1">
        <v>405451</v>
      </c>
      <c r="XI6" s="1">
        <v>405471</v>
      </c>
      <c r="XJ6" s="1">
        <v>405490</v>
      </c>
      <c r="XK6" s="1">
        <v>405510</v>
      </c>
      <c r="XL6" s="1">
        <v>405529</v>
      </c>
      <c r="XM6" s="1">
        <v>405548</v>
      </c>
      <c r="XN6" s="1">
        <v>405568</v>
      </c>
      <c r="XO6" s="1">
        <v>405599</v>
      </c>
      <c r="XP6" s="1">
        <v>405640</v>
      </c>
      <c r="XQ6" s="1">
        <v>405705</v>
      </c>
      <c r="XR6" s="1">
        <v>405776</v>
      </c>
      <c r="XS6" s="1">
        <v>405840</v>
      </c>
      <c r="XT6" s="1">
        <v>405896</v>
      </c>
      <c r="XU6" s="1">
        <v>405951</v>
      </c>
      <c r="XV6" s="1">
        <v>406003</v>
      </c>
      <c r="XW6" s="1">
        <v>406053</v>
      </c>
      <c r="XX6" s="1">
        <v>406096</v>
      </c>
      <c r="XY6" s="1">
        <v>406129</v>
      </c>
      <c r="XZ6" s="1">
        <v>406157</v>
      </c>
      <c r="YA6" s="1">
        <v>406184</v>
      </c>
      <c r="YB6" s="1">
        <v>406210</v>
      </c>
      <c r="YC6" s="1">
        <v>406236</v>
      </c>
      <c r="YD6" s="1">
        <v>406260</v>
      </c>
      <c r="YE6" s="1">
        <v>406281</v>
      </c>
      <c r="YF6" s="1">
        <v>406301</v>
      </c>
      <c r="YG6" s="1">
        <v>406320</v>
      </c>
      <c r="YH6" s="1">
        <v>406338</v>
      </c>
      <c r="YI6" s="1">
        <v>406356</v>
      </c>
      <c r="YJ6" s="1">
        <v>406374</v>
      </c>
      <c r="YK6" s="1">
        <v>406393</v>
      </c>
      <c r="YL6" s="1">
        <v>406413</v>
      </c>
      <c r="YM6" s="1">
        <v>406435</v>
      </c>
      <c r="YN6" s="1">
        <v>406458</v>
      </c>
      <c r="YO6" s="1">
        <v>406481</v>
      </c>
      <c r="YP6" s="1">
        <v>406510</v>
      </c>
      <c r="YQ6" s="1">
        <v>406541</v>
      </c>
      <c r="YR6" s="1">
        <v>406575</v>
      </c>
      <c r="YS6" s="1">
        <v>406611</v>
      </c>
      <c r="YT6" s="1">
        <v>406644</v>
      </c>
      <c r="YU6" s="1">
        <v>406673</v>
      </c>
      <c r="YV6" s="1">
        <v>406700</v>
      </c>
      <c r="YW6" s="1">
        <v>406724</v>
      </c>
      <c r="YX6" s="1">
        <v>406746</v>
      </c>
      <c r="YY6" s="1">
        <v>406769</v>
      </c>
      <c r="YZ6" s="1">
        <v>406791</v>
      </c>
      <c r="ZA6" s="1">
        <v>406812</v>
      </c>
      <c r="ZB6" s="1">
        <v>406834</v>
      </c>
      <c r="ZC6" s="1">
        <v>406856</v>
      </c>
      <c r="ZD6" s="1">
        <v>406877</v>
      </c>
      <c r="ZE6" s="1">
        <v>406898</v>
      </c>
      <c r="ZF6" s="1">
        <v>406919</v>
      </c>
      <c r="ZG6" s="1">
        <v>406939</v>
      </c>
      <c r="ZH6" s="1">
        <v>406959</v>
      </c>
      <c r="ZI6" s="1">
        <v>406980</v>
      </c>
      <c r="ZJ6" s="1">
        <v>407001</v>
      </c>
      <c r="ZK6" s="1">
        <v>407023</v>
      </c>
      <c r="ZL6" s="1">
        <v>407046</v>
      </c>
      <c r="ZM6" s="1">
        <v>407070</v>
      </c>
      <c r="ZN6" s="1">
        <v>407097</v>
      </c>
      <c r="ZO6" s="1">
        <v>407124</v>
      </c>
      <c r="ZP6" s="1">
        <v>407155</v>
      </c>
      <c r="ZQ6" s="1">
        <v>407187</v>
      </c>
      <c r="ZR6" s="1">
        <v>407217</v>
      </c>
      <c r="ZS6" s="1">
        <v>407245</v>
      </c>
      <c r="ZT6" s="1">
        <v>407268</v>
      </c>
      <c r="ZU6" s="1">
        <v>407291</v>
      </c>
      <c r="ZV6" s="1">
        <v>407314</v>
      </c>
      <c r="ZW6" s="1">
        <v>407339</v>
      </c>
      <c r="ZX6" s="1">
        <v>407366</v>
      </c>
      <c r="ZY6" s="1">
        <v>407390</v>
      </c>
      <c r="ZZ6" s="1">
        <v>407414</v>
      </c>
      <c r="AAA6" s="1">
        <v>407438</v>
      </c>
      <c r="AAB6" s="1">
        <v>407460</v>
      </c>
      <c r="AAC6" s="1">
        <v>407482</v>
      </c>
      <c r="AAD6" s="1">
        <v>407503</v>
      </c>
      <c r="AAE6" s="1">
        <v>407523</v>
      </c>
      <c r="AAF6" s="1">
        <v>407544</v>
      </c>
      <c r="AAG6" s="1">
        <v>407564</v>
      </c>
      <c r="AAH6" s="1">
        <v>407585</v>
      </c>
      <c r="AAI6" s="1">
        <v>407613</v>
      </c>
      <c r="AAJ6" s="1">
        <v>407647</v>
      </c>
      <c r="AAK6" s="1">
        <v>407702</v>
      </c>
      <c r="AAL6" s="1">
        <v>407755</v>
      </c>
      <c r="AAM6" s="1">
        <v>407811</v>
      </c>
      <c r="AAN6" s="1">
        <v>407864</v>
      </c>
      <c r="AAO6" s="1">
        <v>407917</v>
      </c>
      <c r="AAP6" s="1">
        <v>407968</v>
      </c>
      <c r="AAQ6" s="1">
        <v>408015</v>
      </c>
      <c r="AAR6" s="1">
        <v>408057</v>
      </c>
      <c r="AAS6" s="1">
        <v>408091</v>
      </c>
      <c r="AAT6" s="1">
        <v>408121</v>
      </c>
      <c r="AAU6" s="1">
        <v>408147</v>
      </c>
      <c r="AAV6" s="1">
        <v>408172</v>
      </c>
      <c r="AAW6" s="1">
        <v>408196</v>
      </c>
      <c r="AAX6" s="1">
        <v>408219</v>
      </c>
    </row>
    <row r="7" spans="1:750">
      <c r="A7" s="1">
        <v>6</v>
      </c>
      <c r="B7" s="1" t="s">
        <v>2</v>
      </c>
      <c r="C7" s="1" t="s">
        <v>3</v>
      </c>
      <c r="D7" s="1" t="s">
        <v>10</v>
      </c>
      <c r="E7" s="1" t="s">
        <v>5</v>
      </c>
      <c r="F7" s="1">
        <v>18424.099999999999</v>
      </c>
      <c r="G7" s="1">
        <v>18475.599999999999</v>
      </c>
      <c r="H7" s="1">
        <v>18526.900000000001</v>
      </c>
      <c r="I7" s="1">
        <v>18577.3</v>
      </c>
      <c r="J7" s="1">
        <v>18627</v>
      </c>
      <c r="K7" s="1">
        <v>18676.900000000001</v>
      </c>
      <c r="L7" s="1">
        <v>18724.8</v>
      </c>
      <c r="M7" s="1">
        <v>18772.599999999999</v>
      </c>
      <c r="N7" s="1">
        <v>18819.5</v>
      </c>
      <c r="O7" s="1">
        <v>18861.400000000001</v>
      </c>
      <c r="P7" s="1">
        <v>18896.400000000001</v>
      </c>
      <c r="Q7" s="1">
        <v>18927.900000000001</v>
      </c>
      <c r="R7" s="1">
        <v>18955</v>
      </c>
      <c r="S7" s="1">
        <v>18990.099999999999</v>
      </c>
      <c r="T7" s="1">
        <v>19021.7</v>
      </c>
      <c r="U7" s="1">
        <v>19061.8</v>
      </c>
      <c r="V7" s="1">
        <v>19107.3</v>
      </c>
      <c r="W7" s="1">
        <v>19161.400000000001</v>
      </c>
      <c r="X7" s="1">
        <v>19224.8</v>
      </c>
      <c r="Y7" s="1">
        <v>19297.599999999999</v>
      </c>
      <c r="Z7" s="1">
        <v>19369.8</v>
      </c>
      <c r="AA7" s="1">
        <v>19438.7</v>
      </c>
      <c r="AB7" s="1">
        <v>19503.400000000001</v>
      </c>
      <c r="AC7" s="1">
        <v>19566.5</v>
      </c>
      <c r="AD7" s="1">
        <v>19627.900000000001</v>
      </c>
      <c r="AE7" s="1">
        <v>19686.099999999999</v>
      </c>
      <c r="AF7" s="1">
        <v>19743.7</v>
      </c>
      <c r="AG7" s="1">
        <v>19800.2</v>
      </c>
      <c r="AH7" s="1">
        <v>19856.599999999999</v>
      </c>
      <c r="AI7" s="1">
        <v>19913.8</v>
      </c>
      <c r="AJ7" s="1">
        <v>19969.2</v>
      </c>
      <c r="AK7" s="1">
        <v>20024</v>
      </c>
      <c r="AL7" s="1">
        <v>20076.2</v>
      </c>
      <c r="AM7" s="1">
        <v>20139</v>
      </c>
      <c r="AN7" s="1">
        <v>20217.8</v>
      </c>
      <c r="AO7" s="1">
        <v>20306</v>
      </c>
      <c r="AP7" s="1">
        <v>20393.900000000001</v>
      </c>
      <c r="AQ7" s="1">
        <v>20487.5</v>
      </c>
      <c r="AR7" s="1">
        <v>20579.099999999999</v>
      </c>
      <c r="AS7" s="1">
        <v>20677.099999999999</v>
      </c>
      <c r="AT7" s="1">
        <v>20789.599999999999</v>
      </c>
      <c r="AU7" s="1">
        <v>20892.400000000001</v>
      </c>
      <c r="AV7" s="1">
        <v>20980.9</v>
      </c>
      <c r="AW7" s="1">
        <v>21059.3</v>
      </c>
      <c r="AX7" s="1">
        <v>21135.4</v>
      </c>
      <c r="AY7" s="1">
        <v>21209.3</v>
      </c>
      <c r="AZ7" s="1">
        <v>21284</v>
      </c>
      <c r="BA7" s="1">
        <v>21357.200000000001</v>
      </c>
      <c r="BB7" s="1">
        <v>21425.200000000001</v>
      </c>
      <c r="BC7" s="1">
        <v>21489.7</v>
      </c>
      <c r="BD7" s="1">
        <v>21551.9</v>
      </c>
      <c r="BE7" s="1">
        <v>21609.8</v>
      </c>
      <c r="BF7" s="1">
        <v>21667.9</v>
      </c>
      <c r="BG7" s="1">
        <v>21724.400000000001</v>
      </c>
      <c r="BH7" s="1">
        <v>21781.599999999999</v>
      </c>
      <c r="BI7" s="1">
        <v>21839.1</v>
      </c>
      <c r="BJ7" s="1">
        <v>21897.599999999999</v>
      </c>
      <c r="BK7" s="1">
        <v>21958.6</v>
      </c>
      <c r="BL7" s="1">
        <v>22044</v>
      </c>
      <c r="BM7" s="1">
        <v>22154.2</v>
      </c>
      <c r="BN7" s="1">
        <v>22271.5</v>
      </c>
      <c r="BO7" s="1">
        <v>22379.5</v>
      </c>
      <c r="BP7" s="1">
        <v>22497.9</v>
      </c>
      <c r="BQ7" s="1">
        <v>22626.3</v>
      </c>
      <c r="BR7" s="1">
        <v>22754</v>
      </c>
      <c r="BS7" s="1">
        <v>22871.8</v>
      </c>
      <c r="BT7" s="1">
        <v>22972.2</v>
      </c>
      <c r="BU7" s="1">
        <v>23055.5</v>
      </c>
      <c r="BV7" s="1">
        <v>23137</v>
      </c>
      <c r="BW7" s="1">
        <v>23213.4</v>
      </c>
      <c r="BX7" s="1">
        <v>23284.9</v>
      </c>
      <c r="BY7" s="1">
        <v>23353.4</v>
      </c>
      <c r="BZ7" s="1">
        <v>23421.8</v>
      </c>
      <c r="CA7" s="1">
        <v>23487.8</v>
      </c>
      <c r="CB7" s="1">
        <v>23552.799999999999</v>
      </c>
      <c r="CC7" s="1">
        <v>23616.1</v>
      </c>
      <c r="CD7" s="1">
        <v>23679.5</v>
      </c>
      <c r="CE7" s="1">
        <v>23740.799999999999</v>
      </c>
      <c r="CF7" s="1">
        <v>23802.3</v>
      </c>
      <c r="CG7" s="1">
        <v>23863.4</v>
      </c>
      <c r="CH7" s="1">
        <v>23926.6</v>
      </c>
      <c r="CI7" s="1">
        <v>24001.1</v>
      </c>
      <c r="CJ7" s="1">
        <v>24085.200000000001</v>
      </c>
      <c r="CK7" s="1">
        <v>24186.9</v>
      </c>
      <c r="CL7" s="1">
        <v>24282.1</v>
      </c>
      <c r="CM7" s="1">
        <v>24385.8</v>
      </c>
      <c r="CN7" s="1">
        <v>24495.9</v>
      </c>
      <c r="CO7" s="1">
        <v>24624.7</v>
      </c>
      <c r="CP7" s="1">
        <v>24749.4</v>
      </c>
      <c r="CQ7" s="1">
        <v>24879.7</v>
      </c>
      <c r="CR7" s="1">
        <v>24988.5</v>
      </c>
      <c r="CS7" s="1">
        <v>25078.5</v>
      </c>
      <c r="CT7" s="1">
        <v>25160.9</v>
      </c>
      <c r="CU7" s="1">
        <v>25236.2</v>
      </c>
      <c r="CV7" s="1">
        <v>25308.3</v>
      </c>
      <c r="CW7" s="1">
        <v>25379.4</v>
      </c>
      <c r="CX7" s="1">
        <v>25448.799999999999</v>
      </c>
      <c r="CY7" s="1">
        <v>25516.400000000001</v>
      </c>
      <c r="CZ7" s="1">
        <v>25583.5</v>
      </c>
      <c r="DA7" s="1">
        <v>25648.799999999999</v>
      </c>
      <c r="DB7" s="1">
        <v>25714.7</v>
      </c>
      <c r="DC7" s="1">
        <v>25780.3</v>
      </c>
      <c r="DD7" s="1">
        <v>25842.799999999999</v>
      </c>
      <c r="DE7" s="1">
        <v>25905</v>
      </c>
      <c r="DF7" s="1">
        <v>25964.5</v>
      </c>
      <c r="DG7" s="1">
        <v>26025.8</v>
      </c>
      <c r="DH7" s="1">
        <v>26101.599999999999</v>
      </c>
      <c r="DI7" s="1">
        <v>26200.3</v>
      </c>
      <c r="DJ7" s="1">
        <v>26298.5</v>
      </c>
      <c r="DK7" s="1">
        <v>26400.400000000001</v>
      </c>
      <c r="DL7" s="1">
        <v>26511.8</v>
      </c>
      <c r="DM7" s="1">
        <v>26623.599999999999</v>
      </c>
      <c r="DN7" s="1">
        <v>26739.1</v>
      </c>
      <c r="DO7" s="1">
        <v>26848.6</v>
      </c>
      <c r="DP7" s="1">
        <v>26942.5</v>
      </c>
      <c r="DQ7" s="1">
        <v>27023.8</v>
      </c>
      <c r="DR7" s="1">
        <v>27096.9</v>
      </c>
      <c r="DS7" s="1">
        <v>27170.2</v>
      </c>
      <c r="DT7" s="1">
        <v>27242.7</v>
      </c>
      <c r="DU7" s="1">
        <v>27315.3</v>
      </c>
      <c r="DV7" s="1">
        <v>27387.9</v>
      </c>
      <c r="DW7" s="1">
        <v>27459.5</v>
      </c>
      <c r="DX7" s="1">
        <v>27528.6</v>
      </c>
      <c r="DY7" s="1">
        <v>27593.1</v>
      </c>
      <c r="DZ7" s="1">
        <v>27652.9</v>
      </c>
      <c r="EA7" s="1">
        <v>27713.4</v>
      </c>
      <c r="EB7" s="1">
        <v>27772.3</v>
      </c>
      <c r="EC7" s="1">
        <v>27829.200000000001</v>
      </c>
      <c r="ED7" s="1">
        <v>27885.1</v>
      </c>
      <c r="EE7" s="1">
        <v>27944.1</v>
      </c>
      <c r="EF7" s="1">
        <v>28017.8</v>
      </c>
      <c r="EG7" s="1">
        <v>28104.7</v>
      </c>
      <c r="EH7" s="1">
        <v>28202.5</v>
      </c>
      <c r="EI7" s="1">
        <v>28292.400000000001</v>
      </c>
      <c r="EJ7" s="1">
        <v>28396.7</v>
      </c>
      <c r="EK7" s="1">
        <v>28504.7</v>
      </c>
      <c r="EL7" s="1">
        <v>28613</v>
      </c>
      <c r="EM7" s="1">
        <v>28719</v>
      </c>
      <c r="EN7" s="1">
        <v>28807.3</v>
      </c>
      <c r="EO7" s="1">
        <v>28880.2</v>
      </c>
      <c r="EP7" s="1">
        <v>28946.799999999999</v>
      </c>
      <c r="EQ7" s="1">
        <v>29010.2</v>
      </c>
      <c r="ER7" s="1">
        <v>29069.9</v>
      </c>
      <c r="ES7" s="1">
        <v>29129.1</v>
      </c>
      <c r="ET7" s="1">
        <v>29190.799999999999</v>
      </c>
      <c r="EU7" s="1">
        <v>29244.1</v>
      </c>
      <c r="EV7" s="1">
        <v>29298.400000000001</v>
      </c>
      <c r="EW7" s="1">
        <v>29350.400000000001</v>
      </c>
      <c r="EX7" s="1">
        <v>29401.9</v>
      </c>
      <c r="EY7" s="1">
        <v>29454.1</v>
      </c>
      <c r="EZ7" s="1">
        <v>29504.7</v>
      </c>
      <c r="FA7" s="1">
        <v>29554.400000000001</v>
      </c>
      <c r="FB7" s="1">
        <v>29602.7</v>
      </c>
      <c r="FC7" s="1">
        <v>29649.5</v>
      </c>
      <c r="FD7" s="1">
        <v>29700.6</v>
      </c>
      <c r="FE7" s="1">
        <v>29765.599999999999</v>
      </c>
      <c r="FF7" s="1">
        <v>29835.200000000001</v>
      </c>
      <c r="FG7" s="1">
        <v>29904</v>
      </c>
      <c r="FH7" s="1">
        <v>29968.9</v>
      </c>
      <c r="FI7" s="1">
        <v>30035.4</v>
      </c>
      <c r="FJ7" s="1">
        <v>30090.400000000001</v>
      </c>
      <c r="FK7" s="1">
        <v>30144.6</v>
      </c>
      <c r="FL7" s="1">
        <v>30197.1</v>
      </c>
      <c r="FM7" s="1">
        <v>30250.5</v>
      </c>
      <c r="FN7" s="1">
        <v>30303.7</v>
      </c>
      <c r="FO7" s="1">
        <v>30357.4</v>
      </c>
      <c r="FP7" s="1">
        <v>30411.9</v>
      </c>
      <c r="FQ7" s="1">
        <v>30467.3</v>
      </c>
      <c r="FR7" s="1">
        <v>30522.2</v>
      </c>
      <c r="FS7" s="1">
        <v>30577.3</v>
      </c>
      <c r="FT7" s="1">
        <v>30631.7</v>
      </c>
      <c r="FU7" s="1">
        <v>30686.7</v>
      </c>
      <c r="FV7" s="1">
        <v>30740.7</v>
      </c>
      <c r="FW7" s="1">
        <v>30794.1</v>
      </c>
      <c r="FX7" s="1">
        <v>30846.799999999999</v>
      </c>
      <c r="FY7" s="1">
        <v>30900.2</v>
      </c>
      <c r="FZ7" s="1">
        <v>30952.400000000001</v>
      </c>
      <c r="GA7" s="1">
        <v>31003.4</v>
      </c>
      <c r="GB7" s="1">
        <v>31054</v>
      </c>
      <c r="GC7" s="1">
        <v>31106.1</v>
      </c>
      <c r="GD7" s="1">
        <v>31158.7</v>
      </c>
      <c r="GE7" s="1">
        <v>31213</v>
      </c>
      <c r="GF7" s="1">
        <v>31268.400000000001</v>
      </c>
      <c r="GG7" s="1">
        <v>31322.799999999999</v>
      </c>
      <c r="GH7" s="1">
        <v>31376.400000000001</v>
      </c>
      <c r="GI7" s="1">
        <v>31430.2</v>
      </c>
      <c r="GJ7" s="1">
        <v>31482.5</v>
      </c>
      <c r="GK7" s="1">
        <v>31535</v>
      </c>
      <c r="GL7" s="1">
        <v>31587.8</v>
      </c>
      <c r="GM7" s="1">
        <v>31640.3</v>
      </c>
      <c r="GN7" s="1">
        <v>31692.799999999999</v>
      </c>
      <c r="GO7" s="1">
        <v>31744.7</v>
      </c>
      <c r="GP7" s="1">
        <v>31796.7</v>
      </c>
      <c r="GQ7" s="1">
        <v>31848</v>
      </c>
      <c r="GR7" s="1">
        <v>31899.8</v>
      </c>
      <c r="GS7" s="1">
        <v>31952</v>
      </c>
      <c r="GT7" s="1">
        <v>32003.3</v>
      </c>
      <c r="GU7" s="1">
        <v>32054.7</v>
      </c>
      <c r="GV7" s="1">
        <v>32106.5</v>
      </c>
      <c r="GW7" s="1">
        <v>32158.2</v>
      </c>
      <c r="GX7" s="1">
        <v>32209.4</v>
      </c>
      <c r="GY7" s="1">
        <v>32258.799999999999</v>
      </c>
      <c r="GZ7" s="1">
        <v>32307.1</v>
      </c>
      <c r="HA7" s="1">
        <v>32352.6</v>
      </c>
      <c r="HB7" s="1">
        <v>32399.200000000001</v>
      </c>
      <c r="HC7" s="1">
        <v>32450.799999999999</v>
      </c>
      <c r="HD7" s="1">
        <v>32506.1</v>
      </c>
      <c r="HE7" s="1">
        <v>32567.1</v>
      </c>
      <c r="HF7" s="1">
        <v>32626</v>
      </c>
      <c r="HG7" s="1">
        <v>32680.400000000001</v>
      </c>
      <c r="HH7" s="1">
        <v>32736.5</v>
      </c>
      <c r="HI7" s="1">
        <v>32791.199999999997</v>
      </c>
      <c r="HJ7" s="1">
        <v>32846.6</v>
      </c>
      <c r="HK7" s="1">
        <v>32900.9</v>
      </c>
      <c r="HL7" s="1">
        <v>32955.4</v>
      </c>
      <c r="HM7" s="1">
        <v>33009.1</v>
      </c>
      <c r="HN7" s="1">
        <v>33062.300000000003</v>
      </c>
      <c r="HO7" s="1">
        <v>33115.300000000003</v>
      </c>
      <c r="HP7" s="1">
        <v>33168.199999999997</v>
      </c>
      <c r="HQ7" s="1">
        <v>33219.800000000003</v>
      </c>
      <c r="HR7" s="1">
        <v>33271</v>
      </c>
      <c r="HS7" s="1">
        <v>33322.400000000001</v>
      </c>
      <c r="HT7" s="1">
        <v>33374.199999999997</v>
      </c>
      <c r="HU7" s="1">
        <v>33423.300000000003</v>
      </c>
      <c r="HV7" s="1">
        <v>33472.199999999997</v>
      </c>
      <c r="HW7" s="1">
        <v>33516.199999999997</v>
      </c>
      <c r="HX7" s="1">
        <v>33556.699999999997</v>
      </c>
      <c r="HY7" s="1">
        <v>33597.599999999999</v>
      </c>
      <c r="HZ7" s="1">
        <v>33630.199999999997</v>
      </c>
      <c r="IA7" s="1">
        <v>33662.6</v>
      </c>
      <c r="IB7" s="1">
        <v>33706.6</v>
      </c>
      <c r="IC7" s="1">
        <v>33754.400000000001</v>
      </c>
      <c r="ID7" s="1">
        <v>33808.400000000001</v>
      </c>
      <c r="IE7" s="1">
        <v>33865.800000000003</v>
      </c>
      <c r="IF7" s="1">
        <v>33929.4</v>
      </c>
      <c r="IG7" s="1">
        <v>33990.800000000003</v>
      </c>
      <c r="IH7" s="1">
        <v>34049</v>
      </c>
      <c r="II7" s="1">
        <v>34103.599999999999</v>
      </c>
      <c r="IJ7" s="1">
        <v>34157.5</v>
      </c>
      <c r="IK7" s="1">
        <v>34210.6</v>
      </c>
      <c r="IL7" s="1">
        <v>34264.400000000001</v>
      </c>
      <c r="IM7" s="1">
        <v>34316.199999999997</v>
      </c>
      <c r="IN7" s="1">
        <v>34367.199999999997</v>
      </c>
      <c r="IO7" s="1">
        <v>34417.599999999999</v>
      </c>
      <c r="IP7" s="1">
        <v>34467.800000000003</v>
      </c>
      <c r="IQ7" s="1">
        <v>34516.699999999997</v>
      </c>
      <c r="IR7" s="1">
        <v>34566.199999999997</v>
      </c>
      <c r="IS7" s="1">
        <v>34614.199999999997</v>
      </c>
      <c r="IT7" s="1">
        <v>34662.199999999997</v>
      </c>
      <c r="IU7" s="1">
        <v>34702.699999999997</v>
      </c>
      <c r="IV7" s="1">
        <v>34740.699999999997</v>
      </c>
      <c r="IW7" s="1">
        <v>34771.4</v>
      </c>
      <c r="IX7" s="1">
        <v>34801.599999999999</v>
      </c>
      <c r="IY7" s="1">
        <v>34831.800000000003</v>
      </c>
      <c r="IZ7" s="1">
        <v>34880.699999999997</v>
      </c>
      <c r="JA7" s="1">
        <v>34940</v>
      </c>
      <c r="JB7" s="1">
        <v>34999.199999999997</v>
      </c>
      <c r="JC7" s="1">
        <v>35063.1</v>
      </c>
      <c r="JD7" s="1">
        <v>35136.699999999997</v>
      </c>
      <c r="JE7" s="1">
        <v>35210.199999999997</v>
      </c>
      <c r="JF7" s="1">
        <v>35273.300000000003</v>
      </c>
      <c r="JG7" s="1">
        <v>35334.5</v>
      </c>
      <c r="JH7" s="1">
        <v>35394.800000000003</v>
      </c>
      <c r="JI7" s="1">
        <v>35453.800000000003</v>
      </c>
      <c r="JJ7" s="1">
        <v>35509.199999999997</v>
      </c>
      <c r="JK7" s="1">
        <v>35563.4</v>
      </c>
      <c r="JL7" s="1">
        <v>35617.4</v>
      </c>
      <c r="JM7" s="1">
        <v>35670.5</v>
      </c>
      <c r="JN7" s="1">
        <v>35723.699999999997</v>
      </c>
      <c r="JO7" s="1">
        <v>35775.800000000003</v>
      </c>
      <c r="JP7" s="1">
        <v>35828.300000000003</v>
      </c>
      <c r="JQ7" s="1">
        <v>35880.1</v>
      </c>
      <c r="JR7" s="1">
        <v>35931.800000000003</v>
      </c>
      <c r="JS7" s="1">
        <v>35978.5</v>
      </c>
      <c r="JT7" s="1">
        <v>36015.199999999997</v>
      </c>
      <c r="JU7" s="1">
        <v>36051.800000000003</v>
      </c>
      <c r="JV7" s="1">
        <v>36083</v>
      </c>
      <c r="JW7" s="1">
        <v>36115.699999999997</v>
      </c>
      <c r="JX7" s="1">
        <v>36156.400000000001</v>
      </c>
      <c r="JY7" s="1">
        <v>36206.400000000001</v>
      </c>
      <c r="JZ7" s="1">
        <v>36265.4</v>
      </c>
      <c r="KA7" s="1">
        <v>36328.9</v>
      </c>
      <c r="KB7" s="1">
        <v>36395.599999999999</v>
      </c>
      <c r="KC7" s="1">
        <v>36464.800000000003</v>
      </c>
      <c r="KD7" s="1">
        <v>36530.300000000003</v>
      </c>
      <c r="KE7" s="1">
        <v>36591.1</v>
      </c>
      <c r="KF7" s="1">
        <v>36649.800000000003</v>
      </c>
      <c r="KG7" s="1">
        <v>36706</v>
      </c>
      <c r="KH7" s="1">
        <v>36761.599999999999</v>
      </c>
      <c r="KI7" s="1">
        <v>36816.300000000003</v>
      </c>
      <c r="KJ7" s="1">
        <v>36871</v>
      </c>
      <c r="KK7" s="1">
        <v>36924.5</v>
      </c>
      <c r="KL7" s="1">
        <v>36976.9</v>
      </c>
      <c r="KM7" s="1">
        <v>37029.9</v>
      </c>
      <c r="KN7" s="1">
        <v>37081.199999999997</v>
      </c>
      <c r="KO7" s="1">
        <v>37136.300000000003</v>
      </c>
      <c r="KP7" s="1">
        <v>37192.9</v>
      </c>
      <c r="KQ7" s="1">
        <v>37243.199999999997</v>
      </c>
      <c r="KR7" s="1">
        <v>37286.5</v>
      </c>
      <c r="KS7" s="1">
        <v>37334.1</v>
      </c>
      <c r="KT7" s="1">
        <v>37379.1</v>
      </c>
      <c r="KU7" s="1">
        <v>37427.199999999997</v>
      </c>
      <c r="KV7" s="1">
        <v>37482.6</v>
      </c>
      <c r="KW7" s="1">
        <v>37542</v>
      </c>
      <c r="KX7" s="1">
        <v>37608.6</v>
      </c>
      <c r="KY7" s="1">
        <v>37683.800000000003</v>
      </c>
      <c r="KZ7" s="1">
        <v>37766.5</v>
      </c>
      <c r="LA7" s="1">
        <v>37847.599999999999</v>
      </c>
      <c r="LB7" s="1">
        <v>37923.9</v>
      </c>
      <c r="LC7" s="1">
        <v>37993.599999999999</v>
      </c>
      <c r="LD7" s="1">
        <v>38055.599999999999</v>
      </c>
      <c r="LE7" s="1">
        <v>38115.1</v>
      </c>
      <c r="LF7" s="1">
        <v>38174.5</v>
      </c>
      <c r="LG7" s="1">
        <v>38232.699999999997</v>
      </c>
      <c r="LH7" s="1">
        <v>38289.9</v>
      </c>
      <c r="LI7" s="1">
        <v>38345.800000000003</v>
      </c>
      <c r="LJ7" s="1">
        <v>38399.800000000003</v>
      </c>
      <c r="LK7" s="1">
        <v>38454.1</v>
      </c>
      <c r="LL7" s="1">
        <v>38507.4</v>
      </c>
      <c r="LM7" s="1">
        <v>38564</v>
      </c>
      <c r="LN7" s="1">
        <v>38621.599999999999</v>
      </c>
      <c r="LO7" s="1">
        <v>38668.400000000001</v>
      </c>
      <c r="LP7" s="1">
        <v>38706.199999999997</v>
      </c>
      <c r="LQ7" s="1">
        <v>38742.5</v>
      </c>
      <c r="LR7" s="1">
        <v>38776.9</v>
      </c>
      <c r="LS7" s="1">
        <v>38815.699999999997</v>
      </c>
      <c r="LT7" s="1">
        <v>38864.199999999997</v>
      </c>
      <c r="LU7" s="1">
        <v>38918.5</v>
      </c>
      <c r="LV7" s="1">
        <v>38981.599999999999</v>
      </c>
      <c r="LW7" s="1">
        <v>39052.400000000001</v>
      </c>
      <c r="LX7" s="1">
        <v>39128.699999999997</v>
      </c>
      <c r="LY7" s="1">
        <v>39204.300000000003</v>
      </c>
      <c r="LZ7" s="1">
        <v>39273.199999999997</v>
      </c>
      <c r="MA7" s="1">
        <v>39336.800000000003</v>
      </c>
      <c r="MB7" s="1">
        <v>39400.5</v>
      </c>
      <c r="MC7" s="1">
        <v>39462.400000000001</v>
      </c>
      <c r="MD7" s="1">
        <v>39523</v>
      </c>
      <c r="ME7" s="1">
        <v>39583.800000000003</v>
      </c>
      <c r="MF7" s="1">
        <v>39643.1</v>
      </c>
      <c r="MG7" s="1">
        <v>39701.699999999997</v>
      </c>
      <c r="MH7" s="1">
        <v>39758.9</v>
      </c>
      <c r="MI7" s="1">
        <v>39815.599999999999</v>
      </c>
      <c r="MJ7" s="1">
        <v>39872.6</v>
      </c>
      <c r="MK7" s="1">
        <v>39929.5</v>
      </c>
      <c r="ML7" s="1">
        <v>39986.199999999997</v>
      </c>
      <c r="MM7" s="1">
        <v>40041.5</v>
      </c>
      <c r="MN7" s="1">
        <v>40090</v>
      </c>
      <c r="MO7" s="1">
        <v>40133.800000000003</v>
      </c>
      <c r="MP7" s="1">
        <v>40174.5</v>
      </c>
      <c r="MQ7" s="1">
        <v>40213.4</v>
      </c>
      <c r="MR7" s="1">
        <v>40273.300000000003</v>
      </c>
      <c r="MS7" s="1">
        <v>40326.800000000003</v>
      </c>
      <c r="MT7" s="1">
        <v>40384.300000000003</v>
      </c>
      <c r="MU7" s="1">
        <v>40448</v>
      </c>
      <c r="MV7" s="1">
        <v>40522.400000000001</v>
      </c>
      <c r="MW7" s="1">
        <v>40603.599999999999</v>
      </c>
      <c r="MX7" s="1">
        <v>40674.800000000003</v>
      </c>
      <c r="MY7" s="1">
        <v>40740.6</v>
      </c>
      <c r="MZ7" s="1">
        <v>40804.9</v>
      </c>
      <c r="NA7" s="1">
        <v>40866.300000000003</v>
      </c>
      <c r="NB7" s="1">
        <v>40926.400000000001</v>
      </c>
      <c r="NC7" s="1">
        <v>40984.9</v>
      </c>
      <c r="ND7" s="1">
        <v>41045.5</v>
      </c>
      <c r="NE7" s="1">
        <v>41104.300000000003</v>
      </c>
      <c r="NF7" s="1">
        <v>41162.5</v>
      </c>
      <c r="NG7" s="1">
        <v>41220.800000000003</v>
      </c>
      <c r="NH7" s="1">
        <v>41275.5</v>
      </c>
      <c r="NI7" s="1">
        <v>41331.800000000003</v>
      </c>
      <c r="NJ7" s="1">
        <v>41386.699999999997</v>
      </c>
      <c r="NK7" s="1">
        <v>41437.1</v>
      </c>
      <c r="NL7" s="1">
        <v>41481.300000000003</v>
      </c>
      <c r="NM7" s="1">
        <v>41535.1</v>
      </c>
      <c r="NN7" s="1">
        <v>41595.699999999997</v>
      </c>
      <c r="NO7" s="1">
        <v>41664.6</v>
      </c>
      <c r="NP7" s="1">
        <v>41739.5</v>
      </c>
      <c r="NQ7" s="1">
        <v>41819.4</v>
      </c>
      <c r="NR7" s="1">
        <v>41909.4</v>
      </c>
      <c r="NS7" s="1">
        <v>42008.2</v>
      </c>
      <c r="NT7" s="1">
        <v>42102</v>
      </c>
      <c r="NU7" s="1">
        <v>42196.2</v>
      </c>
      <c r="NV7" s="1">
        <v>42282.1</v>
      </c>
      <c r="NW7" s="1">
        <v>42360.3</v>
      </c>
      <c r="NX7" s="1">
        <v>42433.3</v>
      </c>
      <c r="NY7" s="1">
        <v>42502.6</v>
      </c>
      <c r="NZ7" s="1">
        <v>42570.7</v>
      </c>
      <c r="OA7" s="1">
        <v>42636.7</v>
      </c>
      <c r="OB7" s="1">
        <v>42701.9</v>
      </c>
      <c r="OC7" s="1">
        <v>42766.8</v>
      </c>
      <c r="OD7" s="1">
        <v>42832.2</v>
      </c>
      <c r="OE7" s="1">
        <v>42895.5</v>
      </c>
      <c r="OF7" s="1">
        <v>42958.5</v>
      </c>
      <c r="OG7" s="1">
        <v>43019.9</v>
      </c>
      <c r="OH7" s="1">
        <v>43082.2</v>
      </c>
      <c r="OI7" s="1">
        <v>43145.4</v>
      </c>
      <c r="OJ7" s="1">
        <v>43224.9</v>
      </c>
      <c r="OK7" s="1">
        <v>43312</v>
      </c>
      <c r="OL7" s="1">
        <v>43399.7</v>
      </c>
      <c r="OM7" s="1">
        <v>43487.199999999997</v>
      </c>
      <c r="ON7" s="1">
        <v>43592.7</v>
      </c>
      <c r="OO7" s="1">
        <v>43702</v>
      </c>
      <c r="OP7" s="1">
        <v>43814.1</v>
      </c>
      <c r="OQ7" s="1">
        <v>43930.2</v>
      </c>
      <c r="OR7" s="1">
        <v>44041</v>
      </c>
      <c r="OS7" s="1">
        <v>44143.9</v>
      </c>
      <c r="OT7" s="1">
        <v>44229.1</v>
      </c>
      <c r="OU7" s="1">
        <v>44299.3</v>
      </c>
      <c r="OV7" s="1">
        <v>44367.6</v>
      </c>
      <c r="OW7" s="1">
        <v>44433</v>
      </c>
      <c r="OX7" s="1">
        <v>44497.599999999999</v>
      </c>
      <c r="OY7" s="1">
        <v>44559.8</v>
      </c>
      <c r="OZ7" s="1">
        <v>44626.3</v>
      </c>
      <c r="PA7" s="1">
        <v>44692.1</v>
      </c>
      <c r="PB7" s="1">
        <v>44753.2</v>
      </c>
      <c r="PC7" s="1">
        <v>44812.4</v>
      </c>
      <c r="PD7" s="1">
        <v>44870</v>
      </c>
      <c r="PE7" s="1">
        <v>44928.3</v>
      </c>
      <c r="PF7" s="1">
        <v>44985.599999999999</v>
      </c>
      <c r="PG7" s="1">
        <v>45048.3</v>
      </c>
      <c r="PH7" s="1">
        <v>45111.8</v>
      </c>
      <c r="PI7" s="1">
        <v>45193.3</v>
      </c>
      <c r="PJ7" s="1">
        <v>45278.7</v>
      </c>
      <c r="PK7" s="1">
        <v>45363.7</v>
      </c>
      <c r="PL7" s="1">
        <v>45462.6</v>
      </c>
      <c r="PM7" s="1">
        <v>45561.599999999999</v>
      </c>
      <c r="PN7" s="1">
        <v>45665.4</v>
      </c>
      <c r="PO7" s="1">
        <v>45767.7</v>
      </c>
      <c r="PP7" s="1">
        <v>45861.5</v>
      </c>
      <c r="PQ7" s="1">
        <v>45945.2</v>
      </c>
      <c r="PR7" s="1">
        <v>46027.3</v>
      </c>
      <c r="PS7" s="1">
        <v>46105.7</v>
      </c>
      <c r="PT7" s="1">
        <v>46177.3</v>
      </c>
      <c r="PU7" s="1">
        <v>46245.3</v>
      </c>
      <c r="PV7" s="1">
        <v>46309.599999999999</v>
      </c>
      <c r="PW7" s="1">
        <v>46372.5</v>
      </c>
      <c r="PX7" s="1">
        <v>46434.2</v>
      </c>
      <c r="PY7" s="1">
        <v>46494.6</v>
      </c>
      <c r="PZ7" s="1">
        <v>46554.2</v>
      </c>
      <c r="QA7" s="1">
        <v>46611.7</v>
      </c>
      <c r="QB7" s="1">
        <v>46668.4</v>
      </c>
      <c r="QC7" s="1">
        <v>46727.5</v>
      </c>
      <c r="QD7" s="1">
        <v>46786.2</v>
      </c>
      <c r="QE7" s="1">
        <v>46843.199999999997</v>
      </c>
      <c r="QF7" s="1">
        <v>46899.7</v>
      </c>
      <c r="QG7" s="1">
        <v>46956.3</v>
      </c>
      <c r="QH7" s="1">
        <v>47020.4</v>
      </c>
      <c r="QI7" s="1">
        <v>47093.599999999999</v>
      </c>
      <c r="QJ7" s="1">
        <v>47183.6</v>
      </c>
      <c r="QK7" s="1">
        <v>47275.7</v>
      </c>
      <c r="QL7" s="1">
        <v>47375.9</v>
      </c>
      <c r="QM7" s="1">
        <v>47480.1</v>
      </c>
      <c r="QN7" s="1">
        <v>47576.9</v>
      </c>
      <c r="QO7" s="1">
        <v>47659.6</v>
      </c>
      <c r="QP7" s="1">
        <v>47737.5</v>
      </c>
      <c r="QQ7" s="1">
        <v>47814</v>
      </c>
      <c r="QR7" s="1">
        <v>47886.5</v>
      </c>
      <c r="QS7" s="1">
        <v>47956.6</v>
      </c>
      <c r="QT7" s="1">
        <v>48025.599999999999</v>
      </c>
      <c r="QU7" s="1">
        <v>48093.2</v>
      </c>
      <c r="QV7" s="1">
        <v>48157.599999999999</v>
      </c>
      <c r="QW7" s="1">
        <v>48220.1</v>
      </c>
      <c r="QX7" s="1">
        <v>48281.5</v>
      </c>
      <c r="QY7" s="1">
        <v>48343.3</v>
      </c>
      <c r="QZ7" s="1">
        <v>48404.4</v>
      </c>
      <c r="RA7" s="1">
        <v>48465.3</v>
      </c>
      <c r="RB7" s="1">
        <v>48523.4</v>
      </c>
      <c r="RC7" s="1">
        <v>48584.2</v>
      </c>
      <c r="RD7" s="1">
        <v>48648.800000000003</v>
      </c>
      <c r="RE7" s="1">
        <v>48722.1</v>
      </c>
      <c r="RF7" s="1">
        <v>48800.5</v>
      </c>
      <c r="RG7" s="1">
        <v>48880.2</v>
      </c>
      <c r="RH7" s="1">
        <v>48967.199999999997</v>
      </c>
      <c r="RI7" s="1">
        <v>49049.9</v>
      </c>
      <c r="RJ7" s="1">
        <v>49138.8</v>
      </c>
      <c r="RK7" s="1">
        <v>49226.400000000001</v>
      </c>
      <c r="RL7" s="1">
        <v>49308.9</v>
      </c>
      <c r="RM7" s="1">
        <v>49386.8</v>
      </c>
      <c r="RN7" s="1">
        <v>49458.7</v>
      </c>
      <c r="RO7" s="1">
        <v>49529</v>
      </c>
      <c r="RP7" s="1">
        <v>49598.5</v>
      </c>
      <c r="RQ7" s="1">
        <v>49661.599999999999</v>
      </c>
      <c r="RR7" s="1">
        <v>49721.3</v>
      </c>
      <c r="RS7" s="1">
        <v>49780</v>
      </c>
      <c r="RT7" s="1">
        <v>49838.1</v>
      </c>
      <c r="RU7" s="1">
        <v>49895.5</v>
      </c>
      <c r="RV7" s="1">
        <v>49952.1</v>
      </c>
      <c r="RW7" s="1">
        <v>50006.1</v>
      </c>
      <c r="RX7" s="1">
        <v>50060.3</v>
      </c>
      <c r="RY7" s="1">
        <v>50113.5</v>
      </c>
      <c r="RZ7" s="1">
        <v>50165</v>
      </c>
      <c r="SA7" s="1">
        <v>50213.9</v>
      </c>
      <c r="SB7" s="1">
        <v>50259.1</v>
      </c>
      <c r="SC7" s="1">
        <v>50303</v>
      </c>
      <c r="SD7" s="1">
        <v>50338.8</v>
      </c>
      <c r="SE7" s="1">
        <v>50374.3</v>
      </c>
      <c r="SF7" s="1">
        <v>50415.3</v>
      </c>
      <c r="SG7" s="1">
        <v>50461.3</v>
      </c>
      <c r="SH7" s="1">
        <v>50514.5</v>
      </c>
      <c r="SI7" s="1">
        <v>50572.1</v>
      </c>
      <c r="SJ7" s="1">
        <v>50633.5</v>
      </c>
      <c r="SK7" s="1">
        <v>50701.7</v>
      </c>
      <c r="SL7" s="1">
        <v>50770.2</v>
      </c>
      <c r="SM7" s="1">
        <v>50835.9</v>
      </c>
      <c r="SN7" s="1">
        <v>50895.3</v>
      </c>
      <c r="SO7" s="1">
        <v>50953.2</v>
      </c>
      <c r="SP7" s="1">
        <v>51011.7</v>
      </c>
      <c r="SQ7" s="1">
        <v>51071.4</v>
      </c>
      <c r="SR7" s="1">
        <v>51130.2</v>
      </c>
      <c r="SS7" s="1">
        <v>51188.5</v>
      </c>
      <c r="ST7" s="1">
        <v>51246.1</v>
      </c>
      <c r="SU7" s="1">
        <v>51300.800000000003</v>
      </c>
      <c r="SV7" s="1">
        <v>51354.9</v>
      </c>
      <c r="SW7" s="1">
        <v>51407.4</v>
      </c>
      <c r="SX7" s="1">
        <v>51458.400000000001</v>
      </c>
      <c r="SY7" s="1">
        <v>51508</v>
      </c>
      <c r="SZ7" s="1">
        <v>51552.800000000003</v>
      </c>
      <c r="TA7" s="1">
        <v>51589.599999999999</v>
      </c>
      <c r="TB7" s="1">
        <v>51623.9</v>
      </c>
      <c r="TC7" s="1">
        <v>51660.6</v>
      </c>
      <c r="TD7" s="1">
        <v>51707.6</v>
      </c>
      <c r="TE7" s="1">
        <v>51758.3</v>
      </c>
      <c r="TF7" s="1">
        <v>51818.400000000001</v>
      </c>
      <c r="TG7" s="1">
        <v>51884.6</v>
      </c>
      <c r="TH7" s="1">
        <v>51952.9</v>
      </c>
      <c r="TI7" s="1">
        <v>52021.9</v>
      </c>
      <c r="TJ7" s="1">
        <v>52090</v>
      </c>
      <c r="TK7" s="1">
        <v>52156.800000000003</v>
      </c>
      <c r="TL7" s="1">
        <v>52223.1</v>
      </c>
      <c r="TM7" s="1">
        <v>52285</v>
      </c>
      <c r="TN7" s="1">
        <v>52345.8</v>
      </c>
      <c r="TO7" s="1">
        <v>52405.1</v>
      </c>
      <c r="TP7" s="1">
        <v>52464.1</v>
      </c>
      <c r="TQ7" s="1">
        <v>52521.2</v>
      </c>
      <c r="TR7" s="1">
        <v>52578.3</v>
      </c>
      <c r="TS7" s="1">
        <v>52634.400000000001</v>
      </c>
      <c r="TT7" s="1">
        <v>52689.599999999999</v>
      </c>
      <c r="TU7" s="1">
        <v>52744.7</v>
      </c>
      <c r="TV7" s="1">
        <v>52797</v>
      </c>
      <c r="TW7" s="1">
        <v>52856.3</v>
      </c>
      <c r="TX7" s="1">
        <v>52924.4</v>
      </c>
      <c r="TY7" s="1">
        <v>53001.4</v>
      </c>
      <c r="TZ7" s="1">
        <v>53080.2</v>
      </c>
      <c r="UA7" s="1">
        <v>53169.1</v>
      </c>
      <c r="UB7" s="1">
        <v>53262.3</v>
      </c>
      <c r="UC7" s="1">
        <v>53362.7</v>
      </c>
      <c r="UD7" s="1">
        <v>53474.3</v>
      </c>
      <c r="UE7" s="1">
        <v>53589.1</v>
      </c>
      <c r="UF7" s="1">
        <v>53686.2</v>
      </c>
      <c r="UG7" s="1">
        <v>53764.7</v>
      </c>
      <c r="UH7" s="1">
        <v>53840.4</v>
      </c>
      <c r="UI7" s="1">
        <v>53905.9</v>
      </c>
      <c r="UJ7" s="1">
        <v>53968.4</v>
      </c>
      <c r="UK7" s="1">
        <v>54031.3</v>
      </c>
      <c r="UL7" s="1">
        <v>54092.6</v>
      </c>
      <c r="UM7" s="1">
        <v>54152.7</v>
      </c>
      <c r="UN7" s="1">
        <v>54213.2</v>
      </c>
      <c r="UO7" s="1">
        <v>54271.6</v>
      </c>
      <c r="UP7" s="1">
        <v>54328.7</v>
      </c>
      <c r="UQ7" s="1">
        <v>54384.800000000003</v>
      </c>
      <c r="UR7" s="1">
        <v>54440</v>
      </c>
      <c r="US7" s="1">
        <v>54494.3</v>
      </c>
      <c r="UT7" s="1">
        <v>54547.3</v>
      </c>
      <c r="UU7" s="1">
        <v>54601.1</v>
      </c>
      <c r="UV7" s="1">
        <v>54663.6</v>
      </c>
      <c r="UW7" s="1">
        <v>54745.9</v>
      </c>
      <c r="UX7" s="1">
        <v>54846.8</v>
      </c>
      <c r="UY7" s="1">
        <v>54946.7</v>
      </c>
      <c r="UZ7" s="1">
        <v>55062.5</v>
      </c>
      <c r="VA7" s="1">
        <v>55190.8</v>
      </c>
      <c r="VB7" s="1">
        <v>55320.800000000003</v>
      </c>
      <c r="VC7" s="1">
        <v>55460</v>
      </c>
      <c r="VD7" s="1">
        <v>55566.1</v>
      </c>
      <c r="VE7" s="1">
        <v>55656.9</v>
      </c>
      <c r="VF7" s="1">
        <v>55742.400000000001</v>
      </c>
      <c r="VG7" s="1">
        <v>55819.4</v>
      </c>
      <c r="VH7" s="1">
        <v>55899.5</v>
      </c>
      <c r="VI7" s="1">
        <v>55970.2</v>
      </c>
      <c r="VJ7" s="1">
        <v>56037.599999999999</v>
      </c>
      <c r="VK7" s="1">
        <v>56100.9</v>
      </c>
      <c r="VL7" s="1">
        <v>56164.5</v>
      </c>
      <c r="VM7" s="1">
        <v>56224.7</v>
      </c>
      <c r="VN7" s="1">
        <v>56282</v>
      </c>
      <c r="VO7" s="1">
        <v>56339.1</v>
      </c>
      <c r="VP7" s="1">
        <v>56396.4</v>
      </c>
      <c r="VQ7" s="1">
        <v>56451.5</v>
      </c>
      <c r="VR7" s="1">
        <v>56505.1</v>
      </c>
      <c r="VS7" s="1">
        <v>56565.1</v>
      </c>
      <c r="VT7" s="1">
        <v>56633.2</v>
      </c>
      <c r="VU7" s="1">
        <v>56721.1</v>
      </c>
      <c r="VV7" s="1">
        <v>56817.5</v>
      </c>
      <c r="VW7" s="1">
        <v>56914.3</v>
      </c>
      <c r="VX7" s="1">
        <v>57027.7</v>
      </c>
      <c r="VY7" s="1">
        <v>57153.5</v>
      </c>
      <c r="VZ7" s="1">
        <v>57272.6</v>
      </c>
      <c r="WA7" s="1">
        <v>57378.2</v>
      </c>
      <c r="WB7" s="1">
        <v>57474.9</v>
      </c>
      <c r="WC7" s="1">
        <v>57563</v>
      </c>
      <c r="WD7" s="1">
        <v>57642.2</v>
      </c>
      <c r="WE7" s="1">
        <v>57715.9</v>
      </c>
      <c r="WF7" s="1">
        <v>57788.9</v>
      </c>
      <c r="WG7" s="1">
        <v>57862.9</v>
      </c>
      <c r="WH7" s="1">
        <v>57930.6</v>
      </c>
      <c r="WI7" s="1">
        <v>57993.9</v>
      </c>
      <c r="WJ7" s="1">
        <v>58051.3</v>
      </c>
      <c r="WK7" s="1">
        <v>58107.7</v>
      </c>
      <c r="WL7" s="1">
        <v>58163.5</v>
      </c>
      <c r="WM7" s="1">
        <v>58218.400000000001</v>
      </c>
      <c r="WN7" s="1">
        <v>58272.800000000003</v>
      </c>
      <c r="WO7" s="1">
        <v>58325.599999999999</v>
      </c>
      <c r="WP7" s="1">
        <v>58375.8</v>
      </c>
      <c r="WQ7" s="1">
        <v>58428.6</v>
      </c>
      <c r="WR7" s="1">
        <v>58491.9</v>
      </c>
      <c r="WS7" s="1">
        <v>58582.9</v>
      </c>
      <c r="WT7" s="1">
        <v>58671.5</v>
      </c>
      <c r="WU7" s="1">
        <v>58763.199999999997</v>
      </c>
      <c r="WV7" s="1">
        <v>58859.3</v>
      </c>
      <c r="WW7" s="1">
        <v>58969.8</v>
      </c>
      <c r="WX7" s="1">
        <v>59074.7</v>
      </c>
      <c r="WY7" s="1">
        <v>59178.6</v>
      </c>
      <c r="WZ7" s="1">
        <v>59277.7</v>
      </c>
      <c r="XA7" s="1">
        <v>59365.2</v>
      </c>
      <c r="XB7" s="1">
        <v>59440.9</v>
      </c>
      <c r="XC7" s="1">
        <v>59511.199999999997</v>
      </c>
      <c r="XD7" s="1">
        <v>59577.5</v>
      </c>
      <c r="XE7" s="1">
        <v>59642.2</v>
      </c>
      <c r="XF7" s="1">
        <v>59709.7</v>
      </c>
      <c r="XG7" s="1">
        <v>59777.7</v>
      </c>
      <c r="XH7" s="1">
        <v>59841.2</v>
      </c>
      <c r="XI7" s="1">
        <v>59902.9</v>
      </c>
      <c r="XJ7" s="1">
        <v>59964.800000000003</v>
      </c>
      <c r="XK7" s="1">
        <v>60025</v>
      </c>
      <c r="XL7" s="1">
        <v>60084.6</v>
      </c>
      <c r="XM7" s="1">
        <v>60143.199999999997</v>
      </c>
      <c r="XN7" s="1">
        <v>60200.5</v>
      </c>
      <c r="XO7" s="1">
        <v>60256.1</v>
      </c>
      <c r="XP7" s="1">
        <v>60329.7</v>
      </c>
      <c r="XQ7" s="1">
        <v>60414.7</v>
      </c>
      <c r="XR7" s="1">
        <v>60495.3</v>
      </c>
      <c r="XS7" s="1">
        <v>60576.4</v>
      </c>
      <c r="XT7" s="1">
        <v>60671.3</v>
      </c>
      <c r="XU7" s="1">
        <v>60771.5</v>
      </c>
      <c r="XV7" s="1">
        <v>60880.3</v>
      </c>
      <c r="XW7" s="1">
        <v>60982.400000000001</v>
      </c>
      <c r="XX7" s="1">
        <v>61071.8</v>
      </c>
      <c r="XY7" s="1">
        <v>61155.7</v>
      </c>
      <c r="XZ7" s="1">
        <v>61234.5</v>
      </c>
      <c r="YA7" s="1">
        <v>61304.4</v>
      </c>
      <c r="YB7" s="1">
        <v>61365.9</v>
      </c>
      <c r="YC7" s="1">
        <v>61423</v>
      </c>
      <c r="YD7" s="1">
        <v>61479.4</v>
      </c>
      <c r="YE7" s="1">
        <v>61534.400000000001</v>
      </c>
      <c r="YF7" s="1">
        <v>61589.1</v>
      </c>
      <c r="YG7" s="1">
        <v>61643</v>
      </c>
      <c r="YH7" s="1">
        <v>61695.3</v>
      </c>
      <c r="YI7" s="1">
        <v>61747.4</v>
      </c>
      <c r="YJ7" s="1">
        <v>61799.4</v>
      </c>
      <c r="YK7" s="1">
        <v>61850</v>
      </c>
      <c r="YL7" s="1">
        <v>61898</v>
      </c>
      <c r="YM7" s="1">
        <v>61939.4</v>
      </c>
      <c r="YN7" s="1">
        <v>61973</v>
      </c>
      <c r="YO7" s="1">
        <v>62002.7</v>
      </c>
      <c r="YP7" s="1">
        <v>62033.599999999999</v>
      </c>
      <c r="YQ7" s="1">
        <v>62063.9</v>
      </c>
      <c r="YR7" s="1">
        <v>62099.1</v>
      </c>
      <c r="YS7" s="1">
        <v>62134.2</v>
      </c>
      <c r="YT7" s="1">
        <v>62183.9</v>
      </c>
      <c r="YU7" s="1">
        <v>62247.199999999997</v>
      </c>
      <c r="YV7" s="1">
        <v>62310.1</v>
      </c>
      <c r="YW7" s="1">
        <v>62369.2</v>
      </c>
      <c r="YX7" s="1">
        <v>62426.7</v>
      </c>
      <c r="YY7" s="1">
        <v>62480</v>
      </c>
      <c r="YZ7" s="1">
        <v>62533.5</v>
      </c>
      <c r="ZA7" s="1">
        <v>62587</v>
      </c>
      <c r="ZB7" s="1">
        <v>62643.5</v>
      </c>
      <c r="ZC7" s="1">
        <v>62698.5</v>
      </c>
      <c r="ZD7" s="1">
        <v>62751.6</v>
      </c>
      <c r="ZE7" s="1">
        <v>62803.5</v>
      </c>
      <c r="ZF7" s="1">
        <v>62854.9</v>
      </c>
      <c r="ZG7" s="1">
        <v>62906</v>
      </c>
      <c r="ZH7" s="1">
        <v>62956.2</v>
      </c>
      <c r="ZI7" s="1">
        <v>63005.2</v>
      </c>
      <c r="ZJ7" s="1">
        <v>63052.4</v>
      </c>
      <c r="ZK7" s="1">
        <v>63091.6</v>
      </c>
      <c r="ZL7" s="1">
        <v>63121.8</v>
      </c>
      <c r="ZM7" s="1">
        <v>63146.9</v>
      </c>
      <c r="ZN7" s="1">
        <v>63168.3</v>
      </c>
      <c r="ZO7" s="1">
        <v>63188.9</v>
      </c>
      <c r="ZP7" s="1">
        <v>63215.6</v>
      </c>
      <c r="ZQ7" s="1">
        <v>63259.1</v>
      </c>
      <c r="ZR7" s="1">
        <v>63309.2</v>
      </c>
      <c r="ZS7" s="1">
        <v>63356.5</v>
      </c>
      <c r="ZT7" s="1">
        <v>63414.3</v>
      </c>
      <c r="ZU7" s="1">
        <v>63468.5</v>
      </c>
      <c r="ZV7" s="1">
        <v>63524.4</v>
      </c>
      <c r="ZW7" s="1">
        <v>63579.9</v>
      </c>
      <c r="ZX7" s="1">
        <v>63635.1</v>
      </c>
      <c r="ZY7" s="1">
        <v>63690.8</v>
      </c>
      <c r="ZZ7" s="1">
        <v>63747.1</v>
      </c>
      <c r="AAA7" s="1">
        <v>63801.8</v>
      </c>
      <c r="AAB7" s="1">
        <v>63855.8</v>
      </c>
      <c r="AAC7" s="1">
        <v>63906.400000000001</v>
      </c>
      <c r="AAD7" s="1">
        <v>63957.9</v>
      </c>
      <c r="AAE7" s="1">
        <v>64008.7</v>
      </c>
      <c r="AAF7" s="1">
        <v>64059.4</v>
      </c>
      <c r="AAG7" s="1">
        <v>64109.2</v>
      </c>
      <c r="AAH7" s="1">
        <v>64158.7</v>
      </c>
      <c r="AAI7" s="1">
        <v>64208.2</v>
      </c>
      <c r="AAJ7" s="1">
        <v>64268</v>
      </c>
      <c r="AAK7" s="1">
        <v>64344.7</v>
      </c>
      <c r="AAL7" s="1">
        <v>64426.3</v>
      </c>
      <c r="AAM7" s="1">
        <v>64507</v>
      </c>
      <c r="AAN7" s="1">
        <v>64601</v>
      </c>
      <c r="AAO7" s="1">
        <v>64706.8</v>
      </c>
      <c r="AAP7" s="1">
        <v>64807.1</v>
      </c>
      <c r="AAQ7" s="1">
        <v>64909.3</v>
      </c>
      <c r="AAR7" s="1">
        <v>64999</v>
      </c>
      <c r="AAS7" s="1">
        <v>65079.5</v>
      </c>
      <c r="AAT7" s="1">
        <v>65160.7</v>
      </c>
      <c r="AAU7" s="1">
        <v>65235.1</v>
      </c>
      <c r="AAV7" s="1">
        <v>65304.6</v>
      </c>
      <c r="AAW7" s="1">
        <v>65369.7</v>
      </c>
      <c r="AAX7" s="1">
        <v>65429.7</v>
      </c>
    </row>
    <row r="8" spans="1:750">
      <c r="A8" s="1">
        <v>7</v>
      </c>
      <c r="B8" s="1" t="s">
        <v>2</v>
      </c>
      <c r="C8" s="1" t="s">
        <v>3</v>
      </c>
      <c r="D8" s="1" t="s">
        <v>11</v>
      </c>
      <c r="E8" s="1" t="s">
        <v>5</v>
      </c>
      <c r="F8" s="1">
        <v>357636</v>
      </c>
      <c r="G8" s="1">
        <v>357647</v>
      </c>
      <c r="H8" s="1">
        <v>357659</v>
      </c>
      <c r="I8" s="1">
        <v>357670</v>
      </c>
      <c r="J8" s="1">
        <v>357682</v>
      </c>
      <c r="K8" s="1">
        <v>357693</v>
      </c>
      <c r="L8" s="1">
        <v>357706</v>
      </c>
      <c r="M8" s="1">
        <v>357717</v>
      </c>
      <c r="N8" s="1">
        <v>357727</v>
      </c>
      <c r="O8" s="1">
        <v>357738</v>
      </c>
      <c r="P8" s="1">
        <v>357749</v>
      </c>
      <c r="Q8" s="1">
        <v>357760</v>
      </c>
      <c r="R8" s="1">
        <v>357772</v>
      </c>
      <c r="S8" s="1">
        <v>357784</v>
      </c>
      <c r="T8" s="1">
        <v>357796</v>
      </c>
      <c r="U8" s="1">
        <v>357807</v>
      </c>
      <c r="V8" s="1">
        <v>357819</v>
      </c>
      <c r="W8" s="1">
        <v>357831</v>
      </c>
      <c r="X8" s="1">
        <v>357842</v>
      </c>
      <c r="Y8" s="1">
        <v>357854</v>
      </c>
      <c r="Z8" s="1">
        <v>357867</v>
      </c>
      <c r="AA8" s="1">
        <v>357878</v>
      </c>
      <c r="AB8" s="1">
        <v>357889</v>
      </c>
      <c r="AC8" s="1">
        <v>357901</v>
      </c>
      <c r="AD8" s="1">
        <v>357912</v>
      </c>
      <c r="AE8" s="1">
        <v>357923</v>
      </c>
      <c r="AF8" s="1">
        <v>357934</v>
      </c>
      <c r="AG8" s="1">
        <v>357945</v>
      </c>
      <c r="AH8" s="1">
        <v>357957</v>
      </c>
      <c r="AI8" s="1">
        <v>357969</v>
      </c>
      <c r="AJ8" s="1">
        <v>357980</v>
      </c>
      <c r="AK8" s="1">
        <v>357992</v>
      </c>
      <c r="AL8" s="1">
        <v>358003</v>
      </c>
      <c r="AM8" s="1">
        <v>358026</v>
      </c>
      <c r="AN8" s="1">
        <v>358091</v>
      </c>
      <c r="AO8" s="1">
        <v>358154</v>
      </c>
      <c r="AP8" s="1">
        <v>358229</v>
      </c>
      <c r="AQ8" s="1">
        <v>358306</v>
      </c>
      <c r="AR8" s="1">
        <v>358397</v>
      </c>
      <c r="AS8" s="1">
        <v>358471</v>
      </c>
      <c r="AT8" s="1">
        <v>358558</v>
      </c>
      <c r="AU8" s="1">
        <v>358595</v>
      </c>
      <c r="AV8" s="1">
        <v>358608</v>
      </c>
      <c r="AW8" s="1">
        <v>358621</v>
      </c>
      <c r="AX8" s="1">
        <v>358633</v>
      </c>
      <c r="AY8" s="1">
        <v>358646</v>
      </c>
      <c r="AZ8" s="1">
        <v>358661</v>
      </c>
      <c r="BA8" s="1">
        <v>358677</v>
      </c>
      <c r="BB8" s="1">
        <v>358688</v>
      </c>
      <c r="BC8" s="1">
        <v>358701</v>
      </c>
      <c r="BD8" s="1">
        <v>358712</v>
      </c>
      <c r="BE8" s="1">
        <v>358723</v>
      </c>
      <c r="BF8" s="1">
        <v>358734</v>
      </c>
      <c r="BG8" s="1">
        <v>358746</v>
      </c>
      <c r="BH8" s="1">
        <v>358757</v>
      </c>
      <c r="BI8" s="1">
        <v>358768</v>
      </c>
      <c r="BJ8" s="1">
        <v>358780</v>
      </c>
      <c r="BK8" s="1">
        <v>358792</v>
      </c>
      <c r="BL8" s="1">
        <v>358877</v>
      </c>
      <c r="BM8" s="1">
        <v>358961</v>
      </c>
      <c r="BN8" s="1">
        <v>358996</v>
      </c>
      <c r="BO8" s="1">
        <v>359008</v>
      </c>
      <c r="BP8" s="1">
        <v>359019</v>
      </c>
      <c r="BQ8" s="1">
        <v>359034</v>
      </c>
      <c r="BR8" s="1">
        <v>359084</v>
      </c>
      <c r="BS8" s="1">
        <v>359120</v>
      </c>
      <c r="BT8" s="1">
        <v>359133</v>
      </c>
      <c r="BU8" s="1">
        <v>359145</v>
      </c>
      <c r="BV8" s="1">
        <v>359156</v>
      </c>
      <c r="BW8" s="1">
        <v>359167</v>
      </c>
      <c r="BX8" s="1">
        <v>359178</v>
      </c>
      <c r="BY8" s="1">
        <v>359191</v>
      </c>
      <c r="BZ8" s="1">
        <v>359202</v>
      </c>
      <c r="CA8" s="1">
        <v>359214</v>
      </c>
      <c r="CB8" s="1">
        <v>359225</v>
      </c>
      <c r="CC8" s="1">
        <v>359236</v>
      </c>
      <c r="CD8" s="1">
        <v>359247</v>
      </c>
      <c r="CE8" s="1">
        <v>359258</v>
      </c>
      <c r="CF8" s="1">
        <v>359270</v>
      </c>
      <c r="CG8" s="1">
        <v>359281</v>
      </c>
      <c r="CH8" s="1">
        <v>359293</v>
      </c>
      <c r="CI8" s="1">
        <v>359358</v>
      </c>
      <c r="CJ8" s="1">
        <v>359494</v>
      </c>
      <c r="CK8" s="1">
        <v>359630</v>
      </c>
      <c r="CL8" s="1">
        <v>359770</v>
      </c>
      <c r="CM8" s="1">
        <v>359915</v>
      </c>
      <c r="CN8" s="1">
        <v>360077</v>
      </c>
      <c r="CO8" s="1">
        <v>360226</v>
      </c>
      <c r="CP8" s="1">
        <v>360353</v>
      </c>
      <c r="CQ8" s="1">
        <v>360460</v>
      </c>
      <c r="CR8" s="1">
        <v>360553</v>
      </c>
      <c r="CS8" s="1">
        <v>360578</v>
      </c>
      <c r="CT8" s="1">
        <v>360595</v>
      </c>
      <c r="CU8" s="1">
        <v>360611</v>
      </c>
      <c r="CV8" s="1">
        <v>360623</v>
      </c>
      <c r="CW8" s="1">
        <v>360635</v>
      </c>
      <c r="CX8" s="1">
        <v>360646</v>
      </c>
      <c r="CY8" s="1">
        <v>360658</v>
      </c>
      <c r="CZ8" s="1">
        <v>360669</v>
      </c>
      <c r="DA8" s="1">
        <v>360680</v>
      </c>
      <c r="DB8" s="1">
        <v>360693</v>
      </c>
      <c r="DC8" s="1">
        <v>360704</v>
      </c>
      <c r="DD8" s="1">
        <v>360716</v>
      </c>
      <c r="DE8" s="1">
        <v>360727</v>
      </c>
      <c r="DF8" s="1">
        <v>360739</v>
      </c>
      <c r="DG8" s="1">
        <v>360751</v>
      </c>
      <c r="DH8" s="1">
        <v>360763</v>
      </c>
      <c r="DI8" s="1">
        <v>360780</v>
      </c>
      <c r="DJ8" s="1">
        <v>360836</v>
      </c>
      <c r="DK8" s="1">
        <v>360897</v>
      </c>
      <c r="DL8" s="1">
        <v>360953</v>
      </c>
      <c r="DM8" s="1">
        <v>361036</v>
      </c>
      <c r="DN8" s="1">
        <v>361101</v>
      </c>
      <c r="DO8" s="1">
        <v>361131</v>
      </c>
      <c r="DP8" s="1">
        <v>361169</v>
      </c>
      <c r="DQ8" s="1">
        <v>361186</v>
      </c>
      <c r="DR8" s="1">
        <v>361198</v>
      </c>
      <c r="DS8" s="1">
        <v>361213</v>
      </c>
      <c r="DT8" s="1">
        <v>361229</v>
      </c>
      <c r="DU8" s="1">
        <v>361246</v>
      </c>
      <c r="DV8" s="1">
        <v>361264</v>
      </c>
      <c r="DW8" s="1">
        <v>361278</v>
      </c>
      <c r="DX8" s="1">
        <v>361289</v>
      </c>
      <c r="DY8" s="1">
        <v>361300</v>
      </c>
      <c r="DZ8" s="1">
        <v>361311</v>
      </c>
      <c r="EA8" s="1">
        <v>361322</v>
      </c>
      <c r="EB8" s="1">
        <v>361333</v>
      </c>
      <c r="EC8" s="1">
        <v>361345</v>
      </c>
      <c r="ED8" s="1">
        <v>361357</v>
      </c>
      <c r="EE8" s="1">
        <v>361368</v>
      </c>
      <c r="EF8" s="1">
        <v>361385</v>
      </c>
      <c r="EG8" s="1">
        <v>361407</v>
      </c>
      <c r="EH8" s="1">
        <v>361427</v>
      </c>
      <c r="EI8" s="1">
        <v>361447</v>
      </c>
      <c r="EJ8" s="1">
        <v>361509</v>
      </c>
      <c r="EK8" s="1">
        <v>361603</v>
      </c>
      <c r="EL8" s="1">
        <v>361693</v>
      </c>
      <c r="EM8" s="1">
        <v>361822</v>
      </c>
      <c r="EN8" s="1">
        <v>361895</v>
      </c>
      <c r="EO8" s="1">
        <v>361934</v>
      </c>
      <c r="EP8" s="1">
        <v>361951</v>
      </c>
      <c r="EQ8" s="1">
        <v>361964</v>
      </c>
      <c r="ER8" s="1">
        <v>361977</v>
      </c>
      <c r="ES8" s="1">
        <v>361990</v>
      </c>
      <c r="ET8" s="1">
        <v>362003</v>
      </c>
      <c r="EU8" s="1">
        <v>362016</v>
      </c>
      <c r="EV8" s="1">
        <v>362028</v>
      </c>
      <c r="EW8" s="1">
        <v>362041</v>
      </c>
      <c r="EX8" s="1">
        <v>362055</v>
      </c>
      <c r="EY8" s="1">
        <v>362068</v>
      </c>
      <c r="EZ8" s="1">
        <v>362081</v>
      </c>
      <c r="FA8" s="1">
        <v>362094</v>
      </c>
      <c r="FB8" s="1">
        <v>362107</v>
      </c>
      <c r="FC8" s="1">
        <v>362246</v>
      </c>
      <c r="FD8" s="1">
        <v>362441</v>
      </c>
      <c r="FE8" s="1">
        <v>362652</v>
      </c>
      <c r="FF8" s="1">
        <v>362841</v>
      </c>
      <c r="FG8" s="1">
        <v>363022</v>
      </c>
      <c r="FH8" s="1">
        <v>363198</v>
      </c>
      <c r="FI8" s="1">
        <v>363343</v>
      </c>
      <c r="FJ8" s="1">
        <v>363483</v>
      </c>
      <c r="FK8" s="1">
        <v>363559</v>
      </c>
      <c r="FL8" s="1">
        <v>363578</v>
      </c>
      <c r="FM8" s="1">
        <v>363598</v>
      </c>
      <c r="FN8" s="1">
        <v>363617</v>
      </c>
      <c r="FO8" s="1">
        <v>363636</v>
      </c>
      <c r="FP8" s="1">
        <v>363650</v>
      </c>
      <c r="FQ8" s="1">
        <v>363664</v>
      </c>
      <c r="FR8" s="1">
        <v>363677</v>
      </c>
      <c r="FS8" s="1">
        <v>363692</v>
      </c>
      <c r="FT8" s="1">
        <v>363705</v>
      </c>
      <c r="FU8" s="1">
        <v>363720</v>
      </c>
      <c r="FV8" s="1">
        <v>363733</v>
      </c>
      <c r="FW8" s="1">
        <v>363747</v>
      </c>
      <c r="FX8" s="1">
        <v>363760</v>
      </c>
      <c r="FY8" s="1">
        <v>363774</v>
      </c>
      <c r="FZ8" s="1">
        <v>363788</v>
      </c>
      <c r="GA8" s="1">
        <v>363803</v>
      </c>
      <c r="GB8" s="1">
        <v>363817</v>
      </c>
      <c r="GC8" s="1">
        <v>363831</v>
      </c>
      <c r="GD8" s="1">
        <v>363845</v>
      </c>
      <c r="GE8" s="1">
        <v>363859</v>
      </c>
      <c r="GF8" s="1">
        <v>363872</v>
      </c>
      <c r="GG8" s="1">
        <v>363886</v>
      </c>
      <c r="GH8" s="1">
        <v>363899</v>
      </c>
      <c r="GI8" s="1">
        <v>363914</v>
      </c>
      <c r="GJ8" s="1">
        <v>363927</v>
      </c>
      <c r="GK8" s="1">
        <v>363941</v>
      </c>
      <c r="GL8" s="1">
        <v>363956</v>
      </c>
      <c r="GM8" s="1">
        <v>363970</v>
      </c>
      <c r="GN8" s="1">
        <v>363984</v>
      </c>
      <c r="GO8" s="1">
        <v>363998</v>
      </c>
      <c r="GP8" s="1">
        <v>364012</v>
      </c>
      <c r="GQ8" s="1">
        <v>364026</v>
      </c>
      <c r="GR8" s="1">
        <v>364039</v>
      </c>
      <c r="GS8" s="1">
        <v>364053</v>
      </c>
      <c r="GT8" s="1">
        <v>364068</v>
      </c>
      <c r="GU8" s="1">
        <v>364082</v>
      </c>
      <c r="GV8" s="1">
        <v>364095</v>
      </c>
      <c r="GW8" s="1">
        <v>364109</v>
      </c>
      <c r="GX8" s="1">
        <v>364122</v>
      </c>
      <c r="GY8" s="1">
        <v>364146</v>
      </c>
      <c r="GZ8" s="1">
        <v>364197</v>
      </c>
      <c r="HA8" s="1">
        <v>364259</v>
      </c>
      <c r="HB8" s="1">
        <v>364324</v>
      </c>
      <c r="HC8" s="1">
        <v>364368</v>
      </c>
      <c r="HD8" s="1">
        <v>364443</v>
      </c>
      <c r="HE8" s="1">
        <v>364500</v>
      </c>
      <c r="HF8" s="1">
        <v>364538</v>
      </c>
      <c r="HG8" s="1">
        <v>364551</v>
      </c>
      <c r="HH8" s="1">
        <v>364562</v>
      </c>
      <c r="HI8" s="1">
        <v>364573</v>
      </c>
      <c r="HJ8" s="1">
        <v>364584</v>
      </c>
      <c r="HK8" s="1">
        <v>364594</v>
      </c>
      <c r="HL8" s="1">
        <v>364605</v>
      </c>
      <c r="HM8" s="1">
        <v>364616</v>
      </c>
      <c r="HN8" s="1">
        <v>364627</v>
      </c>
      <c r="HO8" s="1">
        <v>364639</v>
      </c>
      <c r="HP8" s="1">
        <v>364649</v>
      </c>
      <c r="HQ8" s="1">
        <v>364660</v>
      </c>
      <c r="HR8" s="1">
        <v>364670</v>
      </c>
      <c r="HS8" s="1">
        <v>364680</v>
      </c>
      <c r="HT8" s="1">
        <v>364690</v>
      </c>
      <c r="HU8" s="1">
        <v>364702</v>
      </c>
      <c r="HV8" s="1">
        <v>364712</v>
      </c>
      <c r="HW8" s="1">
        <v>364730</v>
      </c>
      <c r="HX8" s="1">
        <v>364745</v>
      </c>
      <c r="HY8" s="1">
        <v>364756</v>
      </c>
      <c r="HZ8" s="1">
        <v>364766</v>
      </c>
      <c r="IA8" s="1">
        <v>364777</v>
      </c>
      <c r="IB8" s="1">
        <v>364787</v>
      </c>
      <c r="IC8" s="1">
        <v>364798</v>
      </c>
      <c r="ID8" s="1">
        <v>364810</v>
      </c>
      <c r="IE8" s="1">
        <v>364827</v>
      </c>
      <c r="IF8" s="1">
        <v>364838</v>
      </c>
      <c r="IG8" s="1">
        <v>364849</v>
      </c>
      <c r="IH8" s="1">
        <v>364859</v>
      </c>
      <c r="II8" s="1">
        <v>364869</v>
      </c>
      <c r="IJ8" s="1">
        <v>364880</v>
      </c>
      <c r="IK8" s="1">
        <v>364892</v>
      </c>
      <c r="IL8" s="1">
        <v>364902</v>
      </c>
      <c r="IM8" s="1">
        <v>364912</v>
      </c>
      <c r="IN8" s="1">
        <v>364922</v>
      </c>
      <c r="IO8" s="1">
        <v>364932</v>
      </c>
      <c r="IP8" s="1">
        <v>364942</v>
      </c>
      <c r="IQ8" s="1">
        <v>364953</v>
      </c>
      <c r="IR8" s="1">
        <v>364963</v>
      </c>
      <c r="IS8" s="1">
        <v>364974</v>
      </c>
      <c r="IT8" s="1">
        <v>364984</v>
      </c>
      <c r="IU8" s="1">
        <v>364994</v>
      </c>
      <c r="IV8" s="1">
        <v>365004</v>
      </c>
      <c r="IW8" s="1">
        <v>365014</v>
      </c>
      <c r="IX8" s="1">
        <v>365024</v>
      </c>
      <c r="IY8" s="1">
        <v>365035</v>
      </c>
      <c r="IZ8" s="1">
        <v>365045</v>
      </c>
      <c r="JA8" s="1">
        <v>365057</v>
      </c>
      <c r="JB8" s="1">
        <v>365067</v>
      </c>
      <c r="JC8" s="1">
        <v>365078</v>
      </c>
      <c r="JD8" s="1">
        <v>365090</v>
      </c>
      <c r="JE8" s="1">
        <v>365101</v>
      </c>
      <c r="JF8" s="1">
        <v>365112</v>
      </c>
      <c r="JG8" s="1">
        <v>365122</v>
      </c>
      <c r="JH8" s="1">
        <v>365134</v>
      </c>
      <c r="JI8" s="1">
        <v>365145</v>
      </c>
      <c r="JJ8" s="1">
        <v>365155</v>
      </c>
      <c r="JK8" s="1">
        <v>365165</v>
      </c>
      <c r="JL8" s="1">
        <v>365176</v>
      </c>
      <c r="JM8" s="1">
        <v>365186</v>
      </c>
      <c r="JN8" s="1">
        <v>365196</v>
      </c>
      <c r="JO8" s="1">
        <v>365207</v>
      </c>
      <c r="JP8" s="1">
        <v>365218</v>
      </c>
      <c r="JQ8" s="1">
        <v>365229</v>
      </c>
      <c r="JR8" s="1">
        <v>365239</v>
      </c>
      <c r="JS8" s="1">
        <v>365249</v>
      </c>
      <c r="JT8" s="1">
        <v>365260</v>
      </c>
      <c r="JU8" s="1">
        <v>365271</v>
      </c>
      <c r="JV8" s="1">
        <v>365282</v>
      </c>
      <c r="JW8" s="1">
        <v>365292</v>
      </c>
      <c r="JX8" s="1">
        <v>365304</v>
      </c>
      <c r="JY8" s="1">
        <v>365315</v>
      </c>
      <c r="JZ8" s="1">
        <v>365327</v>
      </c>
      <c r="KA8" s="1">
        <v>365338</v>
      </c>
      <c r="KB8" s="1">
        <v>365349</v>
      </c>
      <c r="KC8" s="1">
        <v>365360</v>
      </c>
      <c r="KD8" s="1">
        <v>365372</v>
      </c>
      <c r="KE8" s="1">
        <v>365383</v>
      </c>
      <c r="KF8" s="1">
        <v>365394</v>
      </c>
      <c r="KG8" s="1">
        <v>365404</v>
      </c>
      <c r="KH8" s="1">
        <v>365415</v>
      </c>
      <c r="KI8" s="1">
        <v>365425</v>
      </c>
      <c r="KJ8" s="1">
        <v>365435</v>
      </c>
      <c r="KK8" s="1">
        <v>365446</v>
      </c>
      <c r="KL8" s="1">
        <v>365456</v>
      </c>
      <c r="KM8" s="1">
        <v>365467</v>
      </c>
      <c r="KN8" s="1">
        <v>365478</v>
      </c>
      <c r="KO8" s="1">
        <v>365488</v>
      </c>
      <c r="KP8" s="1">
        <v>365498</v>
      </c>
      <c r="KQ8" s="1">
        <v>365509</v>
      </c>
      <c r="KR8" s="1">
        <v>365519</v>
      </c>
      <c r="KS8" s="1">
        <v>365529</v>
      </c>
      <c r="KT8" s="1">
        <v>365541</v>
      </c>
      <c r="KU8" s="1">
        <v>365552</v>
      </c>
      <c r="KV8" s="1">
        <v>365564</v>
      </c>
      <c r="KW8" s="1">
        <v>365575</v>
      </c>
      <c r="KX8" s="1">
        <v>365586</v>
      </c>
      <c r="KY8" s="1">
        <v>365598</v>
      </c>
      <c r="KZ8" s="1">
        <v>365609</v>
      </c>
      <c r="LA8" s="1">
        <v>365621</v>
      </c>
      <c r="LB8" s="1">
        <v>365632</v>
      </c>
      <c r="LC8" s="1">
        <v>365644</v>
      </c>
      <c r="LD8" s="1">
        <v>365655</v>
      </c>
      <c r="LE8" s="1">
        <v>365665</v>
      </c>
      <c r="LF8" s="1">
        <v>365676</v>
      </c>
      <c r="LG8" s="1">
        <v>365686</v>
      </c>
      <c r="LH8" s="1">
        <v>365698</v>
      </c>
      <c r="LI8" s="1">
        <v>365708</v>
      </c>
      <c r="LJ8" s="1">
        <v>365719</v>
      </c>
      <c r="LK8" s="1">
        <v>365729</v>
      </c>
      <c r="LL8" s="1">
        <v>365740</v>
      </c>
      <c r="LM8" s="1">
        <v>365751</v>
      </c>
      <c r="LN8" s="1">
        <v>365761</v>
      </c>
      <c r="LO8" s="1">
        <v>365771</v>
      </c>
      <c r="LP8" s="1">
        <v>365783</v>
      </c>
      <c r="LQ8" s="1">
        <v>365793</v>
      </c>
      <c r="LR8" s="1">
        <v>365804</v>
      </c>
      <c r="LS8" s="1">
        <v>365815</v>
      </c>
      <c r="LT8" s="1">
        <v>365826</v>
      </c>
      <c r="LU8" s="1">
        <v>365842</v>
      </c>
      <c r="LV8" s="1">
        <v>365853</v>
      </c>
      <c r="LW8" s="1">
        <v>365866</v>
      </c>
      <c r="LX8" s="1">
        <v>365877</v>
      </c>
      <c r="LY8" s="1">
        <v>365892</v>
      </c>
      <c r="LZ8" s="1">
        <v>365908</v>
      </c>
      <c r="MA8" s="1">
        <v>365924</v>
      </c>
      <c r="MB8" s="1">
        <v>365940</v>
      </c>
      <c r="MC8" s="1">
        <v>365956</v>
      </c>
      <c r="MD8" s="1">
        <v>365973</v>
      </c>
      <c r="ME8" s="1">
        <v>365988</v>
      </c>
      <c r="MF8" s="1">
        <v>365999</v>
      </c>
      <c r="MG8" s="1">
        <v>366009</v>
      </c>
      <c r="MH8" s="1">
        <v>366020</v>
      </c>
      <c r="MI8" s="1">
        <v>366030</v>
      </c>
      <c r="MJ8" s="1">
        <v>366041</v>
      </c>
      <c r="MK8" s="1">
        <v>366052</v>
      </c>
      <c r="ML8" s="1">
        <v>366063</v>
      </c>
      <c r="MM8" s="1">
        <v>366073</v>
      </c>
      <c r="MN8" s="1">
        <v>366084</v>
      </c>
      <c r="MO8" s="1">
        <v>366095</v>
      </c>
      <c r="MP8" s="1">
        <v>366106</v>
      </c>
      <c r="MQ8" s="1">
        <v>366117</v>
      </c>
      <c r="MR8" s="1">
        <v>366129</v>
      </c>
      <c r="MS8" s="1">
        <v>366143</v>
      </c>
      <c r="MT8" s="1">
        <v>366159</v>
      </c>
      <c r="MU8" s="1">
        <v>366170</v>
      </c>
      <c r="MV8" s="1">
        <v>366181</v>
      </c>
      <c r="MW8" s="1">
        <v>366192</v>
      </c>
      <c r="MX8" s="1">
        <v>366203</v>
      </c>
      <c r="MY8" s="1">
        <v>366215</v>
      </c>
      <c r="MZ8" s="1">
        <v>366226</v>
      </c>
      <c r="NA8" s="1">
        <v>366237</v>
      </c>
      <c r="NB8" s="1">
        <v>366248</v>
      </c>
      <c r="NC8" s="1">
        <v>366259</v>
      </c>
      <c r="ND8" s="1">
        <v>366269</v>
      </c>
      <c r="NE8" s="1">
        <v>366280</v>
      </c>
      <c r="NF8" s="1">
        <v>366291</v>
      </c>
      <c r="NG8" s="1">
        <v>366301</v>
      </c>
      <c r="NH8" s="1">
        <v>366312</v>
      </c>
      <c r="NI8" s="1">
        <v>366323</v>
      </c>
      <c r="NJ8" s="1">
        <v>366333</v>
      </c>
      <c r="NK8" s="1">
        <v>366344</v>
      </c>
      <c r="NL8" s="1">
        <v>366354</v>
      </c>
      <c r="NM8" s="1">
        <v>366367</v>
      </c>
      <c r="NN8" s="1">
        <v>366384</v>
      </c>
      <c r="NO8" s="1">
        <v>366399</v>
      </c>
      <c r="NP8" s="1">
        <v>366413</v>
      </c>
      <c r="NQ8" s="1">
        <v>366429</v>
      </c>
      <c r="NR8" s="1">
        <v>366444</v>
      </c>
      <c r="NS8" s="1">
        <v>366459</v>
      </c>
      <c r="NT8" s="1">
        <v>366476</v>
      </c>
      <c r="NU8" s="1">
        <v>366490</v>
      </c>
      <c r="NV8" s="1">
        <v>366505</v>
      </c>
      <c r="NW8" s="1">
        <v>366521</v>
      </c>
      <c r="NX8" s="1">
        <v>366537</v>
      </c>
      <c r="NY8" s="1">
        <v>366553</v>
      </c>
      <c r="NZ8" s="1">
        <v>366569</v>
      </c>
      <c r="OA8" s="1">
        <v>366585</v>
      </c>
      <c r="OB8" s="1">
        <v>366601</v>
      </c>
      <c r="OC8" s="1">
        <v>366613</v>
      </c>
      <c r="OD8" s="1">
        <v>366623</v>
      </c>
      <c r="OE8" s="1">
        <v>366634</v>
      </c>
      <c r="OF8" s="1">
        <v>366644</v>
      </c>
      <c r="OG8" s="1">
        <v>366655</v>
      </c>
      <c r="OH8" s="1">
        <v>366667</v>
      </c>
      <c r="OI8" s="1">
        <v>366677</v>
      </c>
      <c r="OJ8" s="1">
        <v>366688</v>
      </c>
      <c r="OK8" s="1">
        <v>366700</v>
      </c>
      <c r="OL8" s="1">
        <v>366710</v>
      </c>
      <c r="OM8" s="1">
        <v>366722</v>
      </c>
      <c r="ON8" s="1">
        <v>366737</v>
      </c>
      <c r="OO8" s="1">
        <v>366759</v>
      </c>
      <c r="OP8" s="1">
        <v>366786</v>
      </c>
      <c r="OQ8" s="1">
        <v>366809</v>
      </c>
      <c r="OR8" s="1">
        <v>366830</v>
      </c>
      <c r="OS8" s="1">
        <v>366847</v>
      </c>
      <c r="OT8" s="1">
        <v>366862</v>
      </c>
      <c r="OU8" s="1">
        <v>366876</v>
      </c>
      <c r="OV8" s="1">
        <v>366891</v>
      </c>
      <c r="OW8" s="1">
        <v>366905</v>
      </c>
      <c r="OX8" s="1">
        <v>366920</v>
      </c>
      <c r="OY8" s="1">
        <v>366935</v>
      </c>
      <c r="OZ8" s="1">
        <v>366950</v>
      </c>
      <c r="PA8" s="1">
        <v>366964</v>
      </c>
      <c r="PB8" s="1">
        <v>366978</v>
      </c>
      <c r="PC8" s="1">
        <v>366992</v>
      </c>
      <c r="PD8" s="1">
        <v>367005</v>
      </c>
      <c r="PE8" s="1">
        <v>367020</v>
      </c>
      <c r="PF8" s="1">
        <v>367034</v>
      </c>
      <c r="PG8" s="1">
        <v>367049</v>
      </c>
      <c r="PH8" s="1">
        <v>367064</v>
      </c>
      <c r="PI8" s="1">
        <v>367079</v>
      </c>
      <c r="PJ8" s="1">
        <v>367093</v>
      </c>
      <c r="PK8" s="1">
        <v>367108</v>
      </c>
      <c r="PL8" s="1">
        <v>367208</v>
      </c>
      <c r="PM8" s="1">
        <v>367271</v>
      </c>
      <c r="PN8" s="1">
        <v>367301</v>
      </c>
      <c r="PO8" s="1">
        <v>367321</v>
      </c>
      <c r="PP8" s="1">
        <v>367335</v>
      </c>
      <c r="PQ8" s="1">
        <v>367348</v>
      </c>
      <c r="PR8" s="1">
        <v>367360</v>
      </c>
      <c r="PS8" s="1">
        <v>367373</v>
      </c>
      <c r="PT8" s="1">
        <v>367385</v>
      </c>
      <c r="PU8" s="1">
        <v>367397</v>
      </c>
      <c r="PV8" s="1">
        <v>367409</v>
      </c>
      <c r="PW8" s="1">
        <v>367421</v>
      </c>
      <c r="PX8" s="1">
        <v>367433</v>
      </c>
      <c r="PY8" s="1">
        <v>367444</v>
      </c>
      <c r="PZ8" s="1">
        <v>367456</v>
      </c>
      <c r="QA8" s="1">
        <v>367467</v>
      </c>
      <c r="QB8" s="1">
        <v>367479</v>
      </c>
      <c r="QC8" s="1">
        <v>367491</v>
      </c>
      <c r="QD8" s="1">
        <v>367504</v>
      </c>
      <c r="QE8" s="1">
        <v>367533</v>
      </c>
      <c r="QF8" s="1">
        <v>367673</v>
      </c>
      <c r="QG8" s="1">
        <v>367822</v>
      </c>
      <c r="QH8" s="1">
        <v>367944</v>
      </c>
      <c r="QI8" s="1">
        <v>368027</v>
      </c>
      <c r="QJ8" s="1">
        <v>368097</v>
      </c>
      <c r="QK8" s="1">
        <v>368166</v>
      </c>
      <c r="QL8" s="1">
        <v>368233</v>
      </c>
      <c r="QM8" s="1">
        <v>368302</v>
      </c>
      <c r="QN8" s="1">
        <v>368351</v>
      </c>
      <c r="QO8" s="1">
        <v>368367</v>
      </c>
      <c r="QP8" s="1">
        <v>368384</v>
      </c>
      <c r="QQ8" s="1">
        <v>368398</v>
      </c>
      <c r="QR8" s="1">
        <v>368410</v>
      </c>
      <c r="QS8" s="1">
        <v>368421</v>
      </c>
      <c r="QT8" s="1">
        <v>368433</v>
      </c>
      <c r="QU8" s="1">
        <v>368444</v>
      </c>
      <c r="QV8" s="1">
        <v>368456</v>
      </c>
      <c r="QW8" s="1">
        <v>368467</v>
      </c>
      <c r="QX8" s="1">
        <v>368479</v>
      </c>
      <c r="QY8" s="1">
        <v>368489</v>
      </c>
      <c r="QZ8" s="1">
        <v>368500</v>
      </c>
      <c r="RA8" s="1">
        <v>368511</v>
      </c>
      <c r="RB8" s="1">
        <v>368522</v>
      </c>
      <c r="RC8" s="1">
        <v>368535</v>
      </c>
      <c r="RD8" s="1">
        <v>368557</v>
      </c>
      <c r="RE8" s="1">
        <v>368572</v>
      </c>
      <c r="RF8" s="1">
        <v>368591</v>
      </c>
      <c r="RG8" s="1">
        <v>368607</v>
      </c>
      <c r="RH8" s="1">
        <v>368619</v>
      </c>
      <c r="RI8" s="1">
        <v>368632</v>
      </c>
      <c r="RJ8" s="1">
        <v>368645</v>
      </c>
      <c r="RK8" s="1">
        <v>368658</v>
      </c>
      <c r="RL8" s="1">
        <v>368669</v>
      </c>
      <c r="RM8" s="1">
        <v>368681</v>
      </c>
      <c r="RN8" s="1">
        <v>368692</v>
      </c>
      <c r="RO8" s="1">
        <v>368703</v>
      </c>
      <c r="RP8" s="1">
        <v>368715</v>
      </c>
      <c r="RQ8" s="1">
        <v>368727</v>
      </c>
      <c r="RR8" s="1">
        <v>368738</v>
      </c>
      <c r="RS8" s="1">
        <v>368749</v>
      </c>
      <c r="RT8" s="1">
        <v>368760</v>
      </c>
      <c r="RU8" s="1">
        <v>368771</v>
      </c>
      <c r="RV8" s="1">
        <v>368782</v>
      </c>
      <c r="RW8" s="1">
        <v>368792</v>
      </c>
      <c r="RX8" s="1">
        <v>368803</v>
      </c>
      <c r="RY8" s="1">
        <v>368815</v>
      </c>
      <c r="RZ8" s="1">
        <v>368826</v>
      </c>
      <c r="SA8" s="1">
        <v>368836</v>
      </c>
      <c r="SB8" s="1">
        <v>368847</v>
      </c>
      <c r="SC8" s="1">
        <v>368858</v>
      </c>
      <c r="SD8" s="1">
        <v>368868</v>
      </c>
      <c r="SE8" s="1">
        <v>368879</v>
      </c>
      <c r="SF8" s="1">
        <v>368891</v>
      </c>
      <c r="SG8" s="1">
        <v>368903</v>
      </c>
      <c r="SH8" s="1">
        <v>368914</v>
      </c>
      <c r="SI8" s="1">
        <v>368925</v>
      </c>
      <c r="SJ8" s="1">
        <v>368937</v>
      </c>
      <c r="SK8" s="1">
        <v>368948</v>
      </c>
      <c r="SL8" s="1">
        <v>368960</v>
      </c>
      <c r="SM8" s="1">
        <v>368971</v>
      </c>
      <c r="SN8" s="1">
        <v>368982</v>
      </c>
      <c r="SO8" s="1">
        <v>368993</v>
      </c>
      <c r="SP8" s="1">
        <v>369004</v>
      </c>
      <c r="SQ8" s="1">
        <v>369015</v>
      </c>
      <c r="SR8" s="1">
        <v>369025</v>
      </c>
      <c r="SS8" s="1">
        <v>369037</v>
      </c>
      <c r="ST8" s="1">
        <v>369047</v>
      </c>
      <c r="SU8" s="1">
        <v>369058</v>
      </c>
      <c r="SV8" s="1">
        <v>369069</v>
      </c>
      <c r="SW8" s="1">
        <v>369079</v>
      </c>
      <c r="SX8" s="1">
        <v>369090</v>
      </c>
      <c r="SY8" s="1">
        <v>369101</v>
      </c>
      <c r="SZ8" s="1">
        <v>369113</v>
      </c>
      <c r="TA8" s="1">
        <v>369124</v>
      </c>
      <c r="TB8" s="1">
        <v>369134</v>
      </c>
      <c r="TC8" s="1">
        <v>369145</v>
      </c>
      <c r="TD8" s="1">
        <v>369157</v>
      </c>
      <c r="TE8" s="1">
        <v>369168</v>
      </c>
      <c r="TF8" s="1">
        <v>369180</v>
      </c>
      <c r="TG8" s="1">
        <v>369191</v>
      </c>
      <c r="TH8" s="1">
        <v>369202</v>
      </c>
      <c r="TI8" s="1">
        <v>369214</v>
      </c>
      <c r="TJ8" s="1">
        <v>369225</v>
      </c>
      <c r="TK8" s="1">
        <v>369236</v>
      </c>
      <c r="TL8" s="1">
        <v>369247</v>
      </c>
      <c r="TM8" s="1">
        <v>369259</v>
      </c>
      <c r="TN8" s="1">
        <v>369270</v>
      </c>
      <c r="TO8" s="1">
        <v>369281</v>
      </c>
      <c r="TP8" s="1">
        <v>369292</v>
      </c>
      <c r="TQ8" s="1">
        <v>369302</v>
      </c>
      <c r="TR8" s="1">
        <v>369313</v>
      </c>
      <c r="TS8" s="1">
        <v>369323</v>
      </c>
      <c r="TT8" s="1">
        <v>369335</v>
      </c>
      <c r="TU8" s="1">
        <v>369345</v>
      </c>
      <c r="TV8" s="1">
        <v>369356</v>
      </c>
      <c r="TW8" s="1">
        <v>369372</v>
      </c>
      <c r="TX8" s="1">
        <v>369419</v>
      </c>
      <c r="TY8" s="1">
        <v>369464</v>
      </c>
      <c r="TZ8" s="1">
        <v>369508</v>
      </c>
      <c r="UA8" s="1">
        <v>369531</v>
      </c>
      <c r="UB8" s="1">
        <v>369565</v>
      </c>
      <c r="UC8" s="1">
        <v>369615</v>
      </c>
      <c r="UD8" s="1">
        <v>369662</v>
      </c>
      <c r="UE8" s="1">
        <v>369708</v>
      </c>
      <c r="UF8" s="1">
        <v>369725</v>
      </c>
      <c r="UG8" s="1">
        <v>369738</v>
      </c>
      <c r="UH8" s="1">
        <v>369749</v>
      </c>
      <c r="UI8" s="1">
        <v>369761</v>
      </c>
      <c r="UJ8" s="1">
        <v>369772</v>
      </c>
      <c r="UK8" s="1">
        <v>369784</v>
      </c>
      <c r="UL8" s="1">
        <v>369795</v>
      </c>
      <c r="UM8" s="1">
        <v>369807</v>
      </c>
      <c r="UN8" s="1">
        <v>369818</v>
      </c>
      <c r="UO8" s="1">
        <v>369828</v>
      </c>
      <c r="UP8" s="1">
        <v>369839</v>
      </c>
      <c r="UQ8" s="1">
        <v>369850</v>
      </c>
      <c r="UR8" s="1">
        <v>369861</v>
      </c>
      <c r="US8" s="1">
        <v>369871</v>
      </c>
      <c r="UT8" s="1">
        <v>369883</v>
      </c>
      <c r="UU8" s="1">
        <v>369894</v>
      </c>
      <c r="UV8" s="1">
        <v>369938</v>
      </c>
      <c r="UW8" s="1">
        <v>369985</v>
      </c>
      <c r="UX8" s="1">
        <v>370032</v>
      </c>
      <c r="UY8" s="1">
        <v>370066</v>
      </c>
      <c r="UZ8" s="1">
        <v>370111</v>
      </c>
      <c r="VA8" s="1">
        <v>370155</v>
      </c>
      <c r="VB8" s="1">
        <v>370194</v>
      </c>
      <c r="VC8" s="1">
        <v>370236</v>
      </c>
      <c r="VD8" s="1">
        <v>370256</v>
      </c>
      <c r="VE8" s="1">
        <v>370274</v>
      </c>
      <c r="VF8" s="1">
        <v>370288</v>
      </c>
      <c r="VG8" s="1">
        <v>370300</v>
      </c>
      <c r="VH8" s="1">
        <v>370312</v>
      </c>
      <c r="VI8" s="1">
        <v>370323</v>
      </c>
      <c r="VJ8" s="1">
        <v>370334</v>
      </c>
      <c r="VK8" s="1">
        <v>370346</v>
      </c>
      <c r="VL8" s="1">
        <v>370357</v>
      </c>
      <c r="VM8" s="1">
        <v>370368</v>
      </c>
      <c r="VN8" s="1">
        <v>370380</v>
      </c>
      <c r="VO8" s="1">
        <v>370391</v>
      </c>
      <c r="VP8" s="1">
        <v>370402</v>
      </c>
      <c r="VQ8" s="1">
        <v>370414</v>
      </c>
      <c r="VR8" s="1">
        <v>370425</v>
      </c>
      <c r="VS8" s="1">
        <v>370436</v>
      </c>
      <c r="VT8" s="1">
        <v>370473</v>
      </c>
      <c r="VU8" s="1">
        <v>370507</v>
      </c>
      <c r="VV8" s="1">
        <v>370546</v>
      </c>
      <c r="VW8" s="1">
        <v>370571</v>
      </c>
      <c r="VX8" s="1">
        <v>370582</v>
      </c>
      <c r="VY8" s="1">
        <v>370593</v>
      </c>
      <c r="VZ8" s="1">
        <v>370604</v>
      </c>
      <c r="WA8" s="1">
        <v>370616</v>
      </c>
      <c r="WB8" s="1">
        <v>370628</v>
      </c>
      <c r="WC8" s="1">
        <v>370639</v>
      </c>
      <c r="WD8" s="1">
        <v>370650</v>
      </c>
      <c r="WE8" s="1">
        <v>370662</v>
      </c>
      <c r="WF8" s="1">
        <v>370673</v>
      </c>
      <c r="WG8" s="1">
        <v>370684</v>
      </c>
      <c r="WH8" s="1">
        <v>370696</v>
      </c>
      <c r="WI8" s="1">
        <v>370707</v>
      </c>
      <c r="WJ8" s="1">
        <v>370718</v>
      </c>
      <c r="WK8" s="1">
        <v>370729</v>
      </c>
      <c r="WL8" s="1">
        <v>370740</v>
      </c>
      <c r="WM8" s="1">
        <v>370751</v>
      </c>
      <c r="WN8" s="1">
        <v>370763</v>
      </c>
      <c r="WO8" s="1">
        <v>370773</v>
      </c>
      <c r="WP8" s="1">
        <v>370784</v>
      </c>
      <c r="WQ8" s="1">
        <v>370795</v>
      </c>
      <c r="WR8" s="1">
        <v>370806</v>
      </c>
      <c r="WS8" s="1">
        <v>370830</v>
      </c>
      <c r="WT8" s="1">
        <v>370844</v>
      </c>
      <c r="WU8" s="1">
        <v>370858</v>
      </c>
      <c r="WV8" s="1">
        <v>370874</v>
      </c>
      <c r="WW8" s="1">
        <v>370886</v>
      </c>
      <c r="WX8" s="1">
        <v>370897</v>
      </c>
      <c r="WY8" s="1">
        <v>370911</v>
      </c>
      <c r="WZ8" s="1">
        <v>370936</v>
      </c>
      <c r="XA8" s="1">
        <v>370957</v>
      </c>
      <c r="XB8" s="1">
        <v>370970</v>
      </c>
      <c r="XC8" s="1">
        <v>370983</v>
      </c>
      <c r="XD8" s="1">
        <v>370996</v>
      </c>
      <c r="XE8" s="1">
        <v>371008</v>
      </c>
      <c r="XF8" s="1">
        <v>371020</v>
      </c>
      <c r="XG8" s="1">
        <v>371033</v>
      </c>
      <c r="XH8" s="1">
        <v>371045</v>
      </c>
      <c r="XI8" s="1">
        <v>371057</v>
      </c>
      <c r="XJ8" s="1">
        <v>371068</v>
      </c>
      <c r="XK8" s="1">
        <v>371080</v>
      </c>
      <c r="XL8" s="1">
        <v>371092</v>
      </c>
      <c r="XM8" s="1">
        <v>371104</v>
      </c>
      <c r="XN8" s="1">
        <v>371117</v>
      </c>
      <c r="XO8" s="1">
        <v>371129</v>
      </c>
      <c r="XP8" s="1">
        <v>371141</v>
      </c>
      <c r="XQ8" s="1">
        <v>371154</v>
      </c>
      <c r="XR8" s="1">
        <v>371167</v>
      </c>
      <c r="XS8" s="1">
        <v>371179</v>
      </c>
      <c r="XT8" s="1">
        <v>371194</v>
      </c>
      <c r="XU8" s="1">
        <v>371219</v>
      </c>
      <c r="XV8" s="1">
        <v>371244</v>
      </c>
      <c r="XW8" s="1">
        <v>371269</v>
      </c>
      <c r="XX8" s="1">
        <v>371282</v>
      </c>
      <c r="XY8" s="1">
        <v>371295</v>
      </c>
      <c r="XZ8" s="1">
        <v>371307</v>
      </c>
      <c r="YA8" s="1">
        <v>371321</v>
      </c>
      <c r="YB8" s="1">
        <v>371334</v>
      </c>
      <c r="YC8" s="1">
        <v>371346</v>
      </c>
      <c r="YD8" s="1">
        <v>371359</v>
      </c>
      <c r="YE8" s="1">
        <v>371371</v>
      </c>
      <c r="YF8" s="1">
        <v>371383</v>
      </c>
      <c r="YG8" s="1">
        <v>371396</v>
      </c>
      <c r="YH8" s="1">
        <v>371408</v>
      </c>
      <c r="YI8" s="1">
        <v>371420</v>
      </c>
      <c r="YJ8" s="1">
        <v>371432</v>
      </c>
      <c r="YK8" s="1">
        <v>371444</v>
      </c>
      <c r="YL8" s="1">
        <v>371456</v>
      </c>
      <c r="YM8" s="1">
        <v>371468</v>
      </c>
      <c r="YN8" s="1">
        <v>371481</v>
      </c>
      <c r="YO8" s="1">
        <v>371493</v>
      </c>
      <c r="YP8" s="1">
        <v>371510</v>
      </c>
      <c r="YQ8" s="1">
        <v>371546</v>
      </c>
      <c r="YR8" s="1">
        <v>371581</v>
      </c>
      <c r="YS8" s="1">
        <v>371615</v>
      </c>
      <c r="YT8" s="1">
        <v>371649</v>
      </c>
      <c r="YU8" s="1">
        <v>371672</v>
      </c>
      <c r="YV8" s="1">
        <v>371684</v>
      </c>
      <c r="YW8" s="1">
        <v>371697</v>
      </c>
      <c r="YX8" s="1">
        <v>371709</v>
      </c>
      <c r="YY8" s="1">
        <v>371722</v>
      </c>
      <c r="YZ8" s="1">
        <v>371735</v>
      </c>
      <c r="ZA8" s="1">
        <v>371748</v>
      </c>
      <c r="ZB8" s="1">
        <v>371761</v>
      </c>
      <c r="ZC8" s="1">
        <v>371773</v>
      </c>
      <c r="ZD8" s="1">
        <v>371785</v>
      </c>
      <c r="ZE8" s="1">
        <v>371797</v>
      </c>
      <c r="ZF8" s="1">
        <v>371810</v>
      </c>
      <c r="ZG8" s="1">
        <v>371821</v>
      </c>
      <c r="ZH8" s="1">
        <v>371834</v>
      </c>
      <c r="ZI8" s="1">
        <v>371846</v>
      </c>
      <c r="ZJ8" s="1">
        <v>371858</v>
      </c>
      <c r="ZK8" s="1">
        <v>371870</v>
      </c>
      <c r="ZL8" s="1">
        <v>371882</v>
      </c>
      <c r="ZM8" s="1">
        <v>371894</v>
      </c>
      <c r="ZN8" s="1">
        <v>371907</v>
      </c>
      <c r="ZO8" s="1">
        <v>371919</v>
      </c>
      <c r="ZP8" s="1">
        <v>371932</v>
      </c>
      <c r="ZQ8" s="1">
        <v>371949</v>
      </c>
      <c r="ZR8" s="1">
        <v>371966</v>
      </c>
      <c r="ZS8" s="1">
        <v>371981</v>
      </c>
      <c r="ZT8" s="1">
        <v>371998</v>
      </c>
      <c r="ZU8" s="1">
        <v>372011</v>
      </c>
      <c r="ZV8" s="1">
        <v>372024</v>
      </c>
      <c r="ZW8" s="1">
        <v>372036</v>
      </c>
      <c r="ZX8" s="1">
        <v>372049</v>
      </c>
      <c r="ZY8" s="1">
        <v>372061</v>
      </c>
      <c r="ZZ8" s="1">
        <v>372074</v>
      </c>
      <c r="AAA8" s="1">
        <v>372087</v>
      </c>
      <c r="AAB8" s="1">
        <v>372099</v>
      </c>
      <c r="AAC8" s="1">
        <v>372111</v>
      </c>
      <c r="AAD8" s="1">
        <v>372124</v>
      </c>
      <c r="AAE8" s="1">
        <v>372136</v>
      </c>
      <c r="AAF8" s="1">
        <v>372148</v>
      </c>
      <c r="AAG8" s="1">
        <v>372161</v>
      </c>
      <c r="AAH8" s="1">
        <v>372173</v>
      </c>
      <c r="AAI8" s="1">
        <v>372185</v>
      </c>
      <c r="AAJ8" s="1">
        <v>372200</v>
      </c>
      <c r="AAK8" s="1">
        <v>372217</v>
      </c>
      <c r="AAL8" s="1">
        <v>372234</v>
      </c>
      <c r="AAM8" s="1">
        <v>372248</v>
      </c>
      <c r="AAN8" s="1">
        <v>372294</v>
      </c>
      <c r="AAO8" s="1">
        <v>372317</v>
      </c>
      <c r="AAP8" s="1">
        <v>372332</v>
      </c>
      <c r="AAQ8" s="1">
        <v>372345</v>
      </c>
      <c r="AAR8" s="1">
        <v>372359</v>
      </c>
      <c r="AAS8" s="1">
        <v>372378</v>
      </c>
      <c r="AAT8" s="1">
        <v>372395</v>
      </c>
      <c r="AAU8" s="1">
        <v>372412</v>
      </c>
      <c r="AAV8" s="1">
        <v>372429</v>
      </c>
      <c r="AAW8" s="1">
        <v>372445</v>
      </c>
      <c r="AAX8" s="1">
        <v>372458</v>
      </c>
    </row>
    <row r="9" spans="1:750">
      <c r="A9" s="1">
        <v>8</v>
      </c>
      <c r="B9" s="1" t="s">
        <v>2</v>
      </c>
      <c r="C9" s="1" t="s">
        <v>3</v>
      </c>
      <c r="D9" s="1" t="s">
        <v>12</v>
      </c>
      <c r="E9" s="1" t="s">
        <v>5</v>
      </c>
      <c r="F9" s="1">
        <v>435642</v>
      </c>
      <c r="G9" s="1">
        <v>435873</v>
      </c>
      <c r="H9" s="1">
        <v>436090</v>
      </c>
      <c r="I9" s="1">
        <v>436300</v>
      </c>
      <c r="J9" s="1">
        <v>436509</v>
      </c>
      <c r="K9" s="1">
        <v>436714</v>
      </c>
      <c r="L9" s="1">
        <v>436909</v>
      </c>
      <c r="M9" s="1">
        <v>437111</v>
      </c>
      <c r="N9" s="1">
        <v>437329</v>
      </c>
      <c r="O9" s="1">
        <v>437558</v>
      </c>
      <c r="P9" s="1">
        <v>437797</v>
      </c>
      <c r="Q9" s="1">
        <v>438054</v>
      </c>
      <c r="R9" s="1">
        <v>438331</v>
      </c>
      <c r="S9" s="1">
        <v>438611</v>
      </c>
      <c r="T9" s="1">
        <v>438905</v>
      </c>
      <c r="U9" s="1">
        <v>439205</v>
      </c>
      <c r="V9" s="1">
        <v>439518</v>
      </c>
      <c r="W9" s="1">
        <v>439838</v>
      </c>
      <c r="X9" s="1">
        <v>440152</v>
      </c>
      <c r="Y9" s="1">
        <v>440459</v>
      </c>
      <c r="Z9" s="1">
        <v>440740</v>
      </c>
      <c r="AA9" s="1">
        <v>440987</v>
      </c>
      <c r="AB9" s="1">
        <v>441230</v>
      </c>
      <c r="AC9" s="1">
        <v>441468</v>
      </c>
      <c r="AD9" s="1">
        <v>441709</v>
      </c>
      <c r="AE9" s="1">
        <v>441945</v>
      </c>
      <c r="AF9" s="1">
        <v>442175</v>
      </c>
      <c r="AG9" s="1">
        <v>442396</v>
      </c>
      <c r="AH9" s="1">
        <v>442615</v>
      </c>
      <c r="AI9" s="1">
        <v>442838</v>
      </c>
      <c r="AJ9" s="1">
        <v>443052</v>
      </c>
      <c r="AK9" s="1">
        <v>443273</v>
      </c>
      <c r="AL9" s="1">
        <v>443523</v>
      </c>
      <c r="AM9" s="1">
        <v>443820</v>
      </c>
      <c r="AN9" s="1">
        <v>444196</v>
      </c>
      <c r="AO9" s="1">
        <v>444613</v>
      </c>
      <c r="AP9" s="1">
        <v>445058</v>
      </c>
      <c r="AQ9" s="1">
        <v>445526</v>
      </c>
      <c r="AR9" s="1">
        <v>445991</v>
      </c>
      <c r="AS9" s="1">
        <v>446467</v>
      </c>
      <c r="AT9" s="1">
        <v>446928</v>
      </c>
      <c r="AU9" s="1">
        <v>447375</v>
      </c>
      <c r="AV9" s="1">
        <v>447795</v>
      </c>
      <c r="AW9" s="1">
        <v>448189</v>
      </c>
      <c r="AX9" s="1">
        <v>448550</v>
      </c>
      <c r="AY9" s="1">
        <v>448871</v>
      </c>
      <c r="AZ9" s="1">
        <v>449160</v>
      </c>
      <c r="BA9" s="1">
        <v>449426</v>
      </c>
      <c r="BB9" s="1">
        <v>449692</v>
      </c>
      <c r="BC9" s="1">
        <v>449950</v>
      </c>
      <c r="BD9" s="1">
        <v>450193</v>
      </c>
      <c r="BE9" s="1">
        <v>450434</v>
      </c>
      <c r="BF9" s="1">
        <v>450663</v>
      </c>
      <c r="BG9" s="1">
        <v>450892</v>
      </c>
      <c r="BH9" s="1">
        <v>451116</v>
      </c>
      <c r="BI9" s="1">
        <v>451351</v>
      </c>
      <c r="BJ9" s="1">
        <v>451615</v>
      </c>
      <c r="BK9" s="1">
        <v>451924</v>
      </c>
      <c r="BL9" s="1">
        <v>452320</v>
      </c>
      <c r="BM9" s="1">
        <v>452774</v>
      </c>
      <c r="BN9" s="1">
        <v>453230</v>
      </c>
      <c r="BO9" s="1">
        <v>453707</v>
      </c>
      <c r="BP9" s="1">
        <v>454184</v>
      </c>
      <c r="BQ9" s="1">
        <v>454668</v>
      </c>
      <c r="BR9" s="1">
        <v>455137</v>
      </c>
      <c r="BS9" s="1">
        <v>455597</v>
      </c>
      <c r="BT9" s="1">
        <v>456002</v>
      </c>
      <c r="BU9" s="1">
        <v>456375</v>
      </c>
      <c r="BV9" s="1">
        <v>456703</v>
      </c>
      <c r="BW9" s="1">
        <v>456989</v>
      </c>
      <c r="BX9" s="1">
        <v>457258</v>
      </c>
      <c r="BY9" s="1">
        <v>457513</v>
      </c>
      <c r="BZ9" s="1">
        <v>457763</v>
      </c>
      <c r="CA9" s="1">
        <v>457997</v>
      </c>
      <c r="CB9" s="1">
        <v>458224</v>
      </c>
      <c r="CC9" s="1">
        <v>458453</v>
      </c>
      <c r="CD9" s="1">
        <v>458677</v>
      </c>
      <c r="CE9" s="1">
        <v>458898</v>
      </c>
      <c r="CF9" s="1">
        <v>459120</v>
      </c>
      <c r="CG9" s="1">
        <v>459352</v>
      </c>
      <c r="CH9" s="1">
        <v>459604</v>
      </c>
      <c r="CI9" s="1">
        <v>459961</v>
      </c>
      <c r="CJ9" s="1">
        <v>460383</v>
      </c>
      <c r="CK9" s="1">
        <v>460832</v>
      </c>
      <c r="CL9" s="1">
        <v>461288</v>
      </c>
      <c r="CM9" s="1">
        <v>461758</v>
      </c>
      <c r="CN9" s="1">
        <v>462246</v>
      </c>
      <c r="CO9" s="1">
        <v>462729</v>
      </c>
      <c r="CP9" s="1">
        <v>463210</v>
      </c>
      <c r="CQ9" s="1">
        <v>463703</v>
      </c>
      <c r="CR9" s="1">
        <v>464143</v>
      </c>
      <c r="CS9" s="1">
        <v>464534</v>
      </c>
      <c r="CT9" s="1">
        <v>464872</v>
      </c>
      <c r="CU9" s="1">
        <v>465185</v>
      </c>
      <c r="CV9" s="1">
        <v>465473</v>
      </c>
      <c r="CW9" s="1">
        <v>465760</v>
      </c>
      <c r="CX9" s="1">
        <v>466035</v>
      </c>
      <c r="CY9" s="1">
        <v>466297</v>
      </c>
      <c r="CZ9" s="1">
        <v>466553</v>
      </c>
      <c r="DA9" s="1">
        <v>466792</v>
      </c>
      <c r="DB9" s="1">
        <v>467036</v>
      </c>
      <c r="DC9" s="1">
        <v>467265</v>
      </c>
      <c r="DD9" s="1">
        <v>467492</v>
      </c>
      <c r="DE9" s="1">
        <v>467714</v>
      </c>
      <c r="DF9" s="1">
        <v>467954</v>
      </c>
      <c r="DG9" s="1">
        <v>468242</v>
      </c>
      <c r="DH9" s="1">
        <v>468611</v>
      </c>
      <c r="DI9" s="1">
        <v>469058</v>
      </c>
      <c r="DJ9" s="1">
        <v>469483</v>
      </c>
      <c r="DK9" s="1">
        <v>469950</v>
      </c>
      <c r="DL9" s="1">
        <v>470429</v>
      </c>
      <c r="DM9" s="1">
        <v>470916</v>
      </c>
      <c r="DN9" s="1">
        <v>471401</v>
      </c>
      <c r="DO9" s="1">
        <v>471870</v>
      </c>
      <c r="DP9" s="1">
        <v>472279</v>
      </c>
      <c r="DQ9" s="1">
        <v>472638</v>
      </c>
      <c r="DR9" s="1">
        <v>472966</v>
      </c>
      <c r="DS9" s="1">
        <v>473264</v>
      </c>
      <c r="DT9" s="1">
        <v>473550</v>
      </c>
      <c r="DU9" s="1">
        <v>473831</v>
      </c>
      <c r="DV9" s="1">
        <v>474103</v>
      </c>
      <c r="DW9" s="1">
        <v>474359</v>
      </c>
      <c r="DX9" s="1">
        <v>474605</v>
      </c>
      <c r="DY9" s="1">
        <v>474836</v>
      </c>
      <c r="DZ9" s="1">
        <v>475065</v>
      </c>
      <c r="EA9" s="1">
        <v>475294</v>
      </c>
      <c r="EB9" s="1">
        <v>475514</v>
      </c>
      <c r="EC9" s="1">
        <v>475741</v>
      </c>
      <c r="ED9" s="1">
        <v>475980</v>
      </c>
      <c r="EE9" s="1">
        <v>476250</v>
      </c>
      <c r="EF9" s="1">
        <v>476587</v>
      </c>
      <c r="EG9" s="1">
        <v>476966</v>
      </c>
      <c r="EH9" s="1">
        <v>477380</v>
      </c>
      <c r="EI9" s="1">
        <v>477802</v>
      </c>
      <c r="EJ9" s="1">
        <v>478254</v>
      </c>
      <c r="EK9" s="1">
        <v>478692</v>
      </c>
      <c r="EL9" s="1">
        <v>479118</v>
      </c>
      <c r="EM9" s="1">
        <v>479528</v>
      </c>
      <c r="EN9" s="1">
        <v>479907</v>
      </c>
      <c r="EO9" s="1">
        <v>480249</v>
      </c>
      <c r="EP9" s="1">
        <v>480555</v>
      </c>
      <c r="EQ9" s="1">
        <v>480826</v>
      </c>
      <c r="ER9" s="1">
        <v>481079</v>
      </c>
      <c r="ES9" s="1">
        <v>481313</v>
      </c>
      <c r="ET9" s="1">
        <v>481545</v>
      </c>
      <c r="EU9" s="1">
        <v>481771</v>
      </c>
      <c r="EV9" s="1">
        <v>481976</v>
      </c>
      <c r="EW9" s="1">
        <v>482180</v>
      </c>
      <c r="EX9" s="1">
        <v>482379</v>
      </c>
      <c r="EY9" s="1">
        <v>482577</v>
      </c>
      <c r="EZ9" s="1">
        <v>482779</v>
      </c>
      <c r="FA9" s="1">
        <v>482977</v>
      </c>
      <c r="FB9" s="1">
        <v>483184</v>
      </c>
      <c r="FC9" s="1">
        <v>483420</v>
      </c>
      <c r="FD9" s="1">
        <v>483715</v>
      </c>
      <c r="FE9" s="1">
        <v>484018</v>
      </c>
      <c r="FF9" s="1">
        <v>484332</v>
      </c>
      <c r="FG9" s="1">
        <v>484653</v>
      </c>
      <c r="FH9" s="1">
        <v>484963</v>
      </c>
      <c r="FI9" s="1">
        <v>485250</v>
      </c>
      <c r="FJ9" s="1">
        <v>485510</v>
      </c>
      <c r="FK9" s="1">
        <v>485753</v>
      </c>
      <c r="FL9" s="1">
        <v>485976</v>
      </c>
      <c r="FM9" s="1">
        <v>486178</v>
      </c>
      <c r="FN9" s="1">
        <v>486377</v>
      </c>
      <c r="FO9" s="1">
        <v>486578</v>
      </c>
      <c r="FP9" s="1">
        <v>486776</v>
      </c>
      <c r="FQ9" s="1">
        <v>486972</v>
      </c>
      <c r="FR9" s="1">
        <v>487165</v>
      </c>
      <c r="FS9" s="1">
        <v>487357</v>
      </c>
      <c r="FT9" s="1">
        <v>487547</v>
      </c>
      <c r="FU9" s="1">
        <v>487740</v>
      </c>
      <c r="FV9" s="1">
        <v>487928</v>
      </c>
      <c r="FW9" s="1">
        <v>488116</v>
      </c>
      <c r="FX9" s="1">
        <v>488302</v>
      </c>
      <c r="FY9" s="1">
        <v>488491</v>
      </c>
      <c r="FZ9" s="1">
        <v>488681</v>
      </c>
      <c r="GA9" s="1">
        <v>488875</v>
      </c>
      <c r="GB9" s="1">
        <v>489073</v>
      </c>
      <c r="GC9" s="1">
        <v>489274</v>
      </c>
      <c r="GD9" s="1">
        <v>489475</v>
      </c>
      <c r="GE9" s="1">
        <v>489672</v>
      </c>
      <c r="GF9" s="1">
        <v>489870</v>
      </c>
      <c r="GG9" s="1">
        <v>490056</v>
      </c>
      <c r="GH9" s="1">
        <v>490243</v>
      </c>
      <c r="GI9" s="1">
        <v>490439</v>
      </c>
      <c r="GJ9" s="1">
        <v>490646</v>
      </c>
      <c r="GK9" s="1">
        <v>490856</v>
      </c>
      <c r="GL9" s="1">
        <v>491060</v>
      </c>
      <c r="GM9" s="1">
        <v>491265</v>
      </c>
      <c r="GN9" s="1">
        <v>491465</v>
      </c>
      <c r="GO9" s="1">
        <v>491662</v>
      </c>
      <c r="GP9" s="1">
        <v>491862</v>
      </c>
      <c r="GQ9" s="1">
        <v>492064</v>
      </c>
      <c r="GR9" s="1">
        <v>492258</v>
      </c>
      <c r="GS9" s="1">
        <v>492450</v>
      </c>
      <c r="GT9" s="1">
        <v>492641</v>
      </c>
      <c r="GU9" s="1">
        <v>492830</v>
      </c>
      <c r="GV9" s="1">
        <v>493019</v>
      </c>
      <c r="GW9" s="1">
        <v>493208</v>
      </c>
      <c r="GX9" s="1">
        <v>493395</v>
      </c>
      <c r="GY9" s="1">
        <v>493584</v>
      </c>
      <c r="GZ9" s="1">
        <v>493789</v>
      </c>
      <c r="HA9" s="1">
        <v>493995</v>
      </c>
      <c r="HB9" s="1">
        <v>494213</v>
      </c>
      <c r="HC9" s="1">
        <v>494434</v>
      </c>
      <c r="HD9" s="1">
        <v>494657</v>
      </c>
      <c r="HE9" s="1">
        <v>494874</v>
      </c>
      <c r="HF9" s="1">
        <v>495091</v>
      </c>
      <c r="HG9" s="1">
        <v>495308</v>
      </c>
      <c r="HH9" s="1">
        <v>495522</v>
      </c>
      <c r="HI9" s="1">
        <v>495739</v>
      </c>
      <c r="HJ9" s="1">
        <v>495940</v>
      </c>
      <c r="HK9" s="1">
        <v>496137</v>
      </c>
      <c r="HL9" s="1">
        <v>496332</v>
      </c>
      <c r="HM9" s="1">
        <v>496527</v>
      </c>
      <c r="HN9" s="1">
        <v>496722</v>
      </c>
      <c r="HO9" s="1">
        <v>496915</v>
      </c>
      <c r="HP9" s="1">
        <v>497106</v>
      </c>
      <c r="HQ9" s="1">
        <v>497298</v>
      </c>
      <c r="HR9" s="1">
        <v>497482</v>
      </c>
      <c r="HS9" s="1">
        <v>497666</v>
      </c>
      <c r="HT9" s="1">
        <v>497848</v>
      </c>
      <c r="HU9" s="1">
        <v>498028</v>
      </c>
      <c r="HV9" s="1">
        <v>498207</v>
      </c>
      <c r="HW9" s="1">
        <v>498396</v>
      </c>
      <c r="HX9" s="1">
        <v>498600</v>
      </c>
      <c r="HY9" s="1">
        <v>498825</v>
      </c>
      <c r="HZ9" s="1">
        <v>499062</v>
      </c>
      <c r="IA9" s="1">
        <v>499307</v>
      </c>
      <c r="IB9" s="1">
        <v>499554</v>
      </c>
      <c r="IC9" s="1">
        <v>499802</v>
      </c>
      <c r="ID9" s="1">
        <v>500064</v>
      </c>
      <c r="IE9" s="1">
        <v>500325</v>
      </c>
      <c r="IF9" s="1">
        <v>500577</v>
      </c>
      <c r="IG9" s="1">
        <v>500818</v>
      </c>
      <c r="IH9" s="1">
        <v>501052</v>
      </c>
      <c r="II9" s="1">
        <v>501276</v>
      </c>
      <c r="IJ9" s="1">
        <v>501497</v>
      </c>
      <c r="IK9" s="1">
        <v>501709</v>
      </c>
      <c r="IL9" s="1">
        <v>501920</v>
      </c>
      <c r="IM9" s="1">
        <v>502127</v>
      </c>
      <c r="IN9" s="1">
        <v>502330</v>
      </c>
      <c r="IO9" s="1">
        <v>502528</v>
      </c>
      <c r="IP9" s="1">
        <v>502723</v>
      </c>
      <c r="IQ9" s="1">
        <v>502916</v>
      </c>
      <c r="IR9" s="1">
        <v>503108</v>
      </c>
      <c r="IS9" s="1">
        <v>503300</v>
      </c>
      <c r="IT9" s="1">
        <v>503505</v>
      </c>
      <c r="IU9" s="1">
        <v>503728</v>
      </c>
      <c r="IV9" s="1">
        <v>503960</v>
      </c>
      <c r="IW9" s="1">
        <v>504206</v>
      </c>
      <c r="IX9" s="1">
        <v>504457</v>
      </c>
      <c r="IY9" s="1">
        <v>504709</v>
      </c>
      <c r="IZ9" s="1">
        <v>504972</v>
      </c>
      <c r="JA9" s="1">
        <v>505238</v>
      </c>
      <c r="JB9" s="1">
        <v>505498</v>
      </c>
      <c r="JC9" s="1">
        <v>505754</v>
      </c>
      <c r="JD9" s="1">
        <v>505997</v>
      </c>
      <c r="JE9" s="1">
        <v>506223</v>
      </c>
      <c r="JF9" s="1">
        <v>506450</v>
      </c>
      <c r="JG9" s="1">
        <v>506666</v>
      </c>
      <c r="JH9" s="1">
        <v>506878</v>
      </c>
      <c r="JI9" s="1">
        <v>507089</v>
      </c>
      <c r="JJ9" s="1">
        <v>507295</v>
      </c>
      <c r="JK9" s="1">
        <v>507502</v>
      </c>
      <c r="JL9" s="1">
        <v>507704</v>
      </c>
      <c r="JM9" s="1">
        <v>507903</v>
      </c>
      <c r="JN9" s="1">
        <v>508100</v>
      </c>
      <c r="JO9" s="1">
        <v>508293</v>
      </c>
      <c r="JP9" s="1">
        <v>508483</v>
      </c>
      <c r="JQ9" s="1">
        <v>508674</v>
      </c>
      <c r="JR9" s="1">
        <v>508878</v>
      </c>
      <c r="JS9" s="1">
        <v>509093</v>
      </c>
      <c r="JT9" s="1">
        <v>509324</v>
      </c>
      <c r="JU9" s="1">
        <v>509568</v>
      </c>
      <c r="JV9" s="1">
        <v>509822</v>
      </c>
      <c r="JW9" s="1">
        <v>510086</v>
      </c>
      <c r="JX9" s="1">
        <v>510354</v>
      </c>
      <c r="JY9" s="1">
        <v>510634</v>
      </c>
      <c r="JZ9" s="1">
        <v>510923</v>
      </c>
      <c r="KA9" s="1">
        <v>511208</v>
      </c>
      <c r="KB9" s="1">
        <v>511473</v>
      </c>
      <c r="KC9" s="1">
        <v>511721</v>
      </c>
      <c r="KD9" s="1">
        <v>511949</v>
      </c>
      <c r="KE9" s="1">
        <v>512171</v>
      </c>
      <c r="KF9" s="1">
        <v>512387</v>
      </c>
      <c r="KG9" s="1">
        <v>512596</v>
      </c>
      <c r="KH9" s="1">
        <v>512805</v>
      </c>
      <c r="KI9" s="1">
        <v>513012</v>
      </c>
      <c r="KJ9" s="1">
        <v>513215</v>
      </c>
      <c r="KK9" s="1">
        <v>513415</v>
      </c>
      <c r="KL9" s="1">
        <v>513612</v>
      </c>
      <c r="KM9" s="1">
        <v>513807</v>
      </c>
      <c r="KN9" s="1">
        <v>514002</v>
      </c>
      <c r="KO9" s="1">
        <v>514200</v>
      </c>
      <c r="KP9" s="1">
        <v>514411</v>
      </c>
      <c r="KQ9" s="1">
        <v>514642</v>
      </c>
      <c r="KR9" s="1">
        <v>514885</v>
      </c>
      <c r="KS9" s="1">
        <v>515137</v>
      </c>
      <c r="KT9" s="1">
        <v>515398</v>
      </c>
      <c r="KU9" s="1">
        <v>515663</v>
      </c>
      <c r="KV9" s="1">
        <v>515928</v>
      </c>
      <c r="KW9" s="1">
        <v>516198</v>
      </c>
      <c r="KX9" s="1">
        <v>516481</v>
      </c>
      <c r="KY9" s="1">
        <v>516757</v>
      </c>
      <c r="KZ9" s="1">
        <v>517016</v>
      </c>
      <c r="LA9" s="1">
        <v>517261</v>
      </c>
      <c r="LB9" s="1">
        <v>517489</v>
      </c>
      <c r="LC9" s="1">
        <v>517724</v>
      </c>
      <c r="LD9" s="1">
        <v>517954</v>
      </c>
      <c r="LE9" s="1">
        <v>518176</v>
      </c>
      <c r="LF9" s="1">
        <v>518393</v>
      </c>
      <c r="LG9" s="1">
        <v>518611</v>
      </c>
      <c r="LH9" s="1">
        <v>518815</v>
      </c>
      <c r="LI9" s="1">
        <v>519014</v>
      </c>
      <c r="LJ9" s="1">
        <v>519212</v>
      </c>
      <c r="LK9" s="1">
        <v>519411</v>
      </c>
      <c r="LL9" s="1">
        <v>519605</v>
      </c>
      <c r="LM9" s="1">
        <v>519800</v>
      </c>
      <c r="LN9" s="1">
        <v>520008</v>
      </c>
      <c r="LO9" s="1">
        <v>520226</v>
      </c>
      <c r="LP9" s="1">
        <v>520463</v>
      </c>
      <c r="LQ9" s="1">
        <v>520706</v>
      </c>
      <c r="LR9" s="1">
        <v>520956</v>
      </c>
      <c r="LS9" s="1">
        <v>521207</v>
      </c>
      <c r="LT9" s="1">
        <v>521467</v>
      </c>
      <c r="LU9" s="1">
        <v>521735</v>
      </c>
      <c r="LV9" s="1">
        <v>522006</v>
      </c>
      <c r="LW9" s="1">
        <v>522284</v>
      </c>
      <c r="LX9" s="1">
        <v>522540</v>
      </c>
      <c r="LY9" s="1">
        <v>522791</v>
      </c>
      <c r="LZ9" s="1">
        <v>523032</v>
      </c>
      <c r="MA9" s="1">
        <v>523263</v>
      </c>
      <c r="MB9" s="1">
        <v>523489</v>
      </c>
      <c r="MC9" s="1">
        <v>523714</v>
      </c>
      <c r="MD9" s="1">
        <v>523935</v>
      </c>
      <c r="ME9" s="1">
        <v>524150</v>
      </c>
      <c r="MF9" s="1">
        <v>524357</v>
      </c>
      <c r="MG9" s="1">
        <v>524560</v>
      </c>
      <c r="MH9" s="1">
        <v>524762</v>
      </c>
      <c r="MI9" s="1">
        <v>524961</v>
      </c>
      <c r="MJ9" s="1">
        <v>525158</v>
      </c>
      <c r="MK9" s="1">
        <v>525357</v>
      </c>
      <c r="ML9" s="1">
        <v>525565</v>
      </c>
      <c r="MM9" s="1">
        <v>525779</v>
      </c>
      <c r="MN9" s="1">
        <v>526007</v>
      </c>
      <c r="MO9" s="1">
        <v>526238</v>
      </c>
      <c r="MP9" s="1">
        <v>526471</v>
      </c>
      <c r="MQ9" s="1">
        <v>526711</v>
      </c>
      <c r="MR9" s="1">
        <v>526956</v>
      </c>
      <c r="MS9" s="1">
        <v>527204</v>
      </c>
      <c r="MT9" s="1">
        <v>527466</v>
      </c>
      <c r="MU9" s="1">
        <v>527740</v>
      </c>
      <c r="MV9" s="1">
        <v>528008</v>
      </c>
      <c r="MW9" s="1">
        <v>528255</v>
      </c>
      <c r="MX9" s="1">
        <v>528492</v>
      </c>
      <c r="MY9" s="1">
        <v>528713</v>
      </c>
      <c r="MZ9" s="1">
        <v>528930</v>
      </c>
      <c r="NA9" s="1">
        <v>529152</v>
      </c>
      <c r="NB9" s="1">
        <v>529371</v>
      </c>
      <c r="NC9" s="1">
        <v>529580</v>
      </c>
      <c r="ND9" s="1">
        <v>529785</v>
      </c>
      <c r="NE9" s="1">
        <v>529981</v>
      </c>
      <c r="NF9" s="1">
        <v>530175</v>
      </c>
      <c r="NG9" s="1">
        <v>530369</v>
      </c>
      <c r="NH9" s="1">
        <v>530562</v>
      </c>
      <c r="NI9" s="1">
        <v>530763</v>
      </c>
      <c r="NJ9" s="1">
        <v>530972</v>
      </c>
      <c r="NK9" s="1">
        <v>531207</v>
      </c>
      <c r="NL9" s="1">
        <v>531494</v>
      </c>
      <c r="NM9" s="1">
        <v>531820</v>
      </c>
      <c r="NN9" s="1">
        <v>532171</v>
      </c>
      <c r="NO9" s="1">
        <v>532528</v>
      </c>
      <c r="NP9" s="1">
        <v>532901</v>
      </c>
      <c r="NQ9" s="1">
        <v>533295</v>
      </c>
      <c r="NR9" s="1">
        <v>533666</v>
      </c>
      <c r="NS9" s="1">
        <v>534023</v>
      </c>
      <c r="NT9" s="1">
        <v>534365</v>
      </c>
      <c r="NU9" s="1">
        <v>534673</v>
      </c>
      <c r="NV9" s="1">
        <v>534942</v>
      </c>
      <c r="NW9" s="1">
        <v>535191</v>
      </c>
      <c r="NX9" s="1">
        <v>535431</v>
      </c>
      <c r="NY9" s="1">
        <v>535668</v>
      </c>
      <c r="NZ9" s="1">
        <v>535903</v>
      </c>
      <c r="OA9" s="1">
        <v>536131</v>
      </c>
      <c r="OB9" s="1">
        <v>536343</v>
      </c>
      <c r="OC9" s="1">
        <v>536548</v>
      </c>
      <c r="OD9" s="1">
        <v>536753</v>
      </c>
      <c r="OE9" s="1">
        <v>536955</v>
      </c>
      <c r="OF9" s="1">
        <v>537155</v>
      </c>
      <c r="OG9" s="1">
        <v>537357</v>
      </c>
      <c r="OH9" s="1">
        <v>537575</v>
      </c>
      <c r="OI9" s="1">
        <v>537831</v>
      </c>
      <c r="OJ9" s="1">
        <v>538149</v>
      </c>
      <c r="OK9" s="1">
        <v>538511</v>
      </c>
      <c r="OL9" s="1">
        <v>538892</v>
      </c>
      <c r="OM9" s="1">
        <v>539299</v>
      </c>
      <c r="ON9" s="1">
        <v>539709</v>
      </c>
      <c r="OO9" s="1">
        <v>540141</v>
      </c>
      <c r="OP9" s="1">
        <v>540562</v>
      </c>
      <c r="OQ9" s="1">
        <v>540960</v>
      </c>
      <c r="OR9" s="1">
        <v>541333</v>
      </c>
      <c r="OS9" s="1">
        <v>541671</v>
      </c>
      <c r="OT9" s="1">
        <v>541984</v>
      </c>
      <c r="OU9" s="1">
        <v>542269</v>
      </c>
      <c r="OV9" s="1">
        <v>542540</v>
      </c>
      <c r="OW9" s="1">
        <v>542799</v>
      </c>
      <c r="OX9" s="1">
        <v>543057</v>
      </c>
      <c r="OY9" s="1">
        <v>543291</v>
      </c>
      <c r="OZ9" s="1">
        <v>543511</v>
      </c>
      <c r="PA9" s="1">
        <v>543725</v>
      </c>
      <c r="PB9" s="1">
        <v>543939</v>
      </c>
      <c r="PC9" s="1">
        <v>544152</v>
      </c>
      <c r="PD9" s="1">
        <v>544360</v>
      </c>
      <c r="PE9" s="1">
        <v>544568</v>
      </c>
      <c r="PF9" s="1">
        <v>544782</v>
      </c>
      <c r="PG9" s="1">
        <v>545050</v>
      </c>
      <c r="PH9" s="1">
        <v>545383</v>
      </c>
      <c r="PI9" s="1">
        <v>545780</v>
      </c>
      <c r="PJ9" s="1">
        <v>546186</v>
      </c>
      <c r="PK9" s="1">
        <v>546614</v>
      </c>
      <c r="PL9" s="1">
        <v>547060</v>
      </c>
      <c r="PM9" s="1">
        <v>547511</v>
      </c>
      <c r="PN9" s="1">
        <v>547950</v>
      </c>
      <c r="PO9" s="1">
        <v>548385</v>
      </c>
      <c r="PP9" s="1">
        <v>548777</v>
      </c>
      <c r="PQ9" s="1">
        <v>549115</v>
      </c>
      <c r="PR9" s="1">
        <v>549412</v>
      </c>
      <c r="PS9" s="1">
        <v>549687</v>
      </c>
      <c r="PT9" s="1">
        <v>549946</v>
      </c>
      <c r="PU9" s="1">
        <v>550196</v>
      </c>
      <c r="PV9" s="1">
        <v>550439</v>
      </c>
      <c r="PW9" s="1">
        <v>550675</v>
      </c>
      <c r="PX9" s="1">
        <v>550905</v>
      </c>
      <c r="PY9" s="1">
        <v>551116</v>
      </c>
      <c r="PZ9" s="1">
        <v>551321</v>
      </c>
      <c r="QA9" s="1">
        <v>551524</v>
      </c>
      <c r="QB9" s="1">
        <v>551728</v>
      </c>
      <c r="QC9" s="1">
        <v>551936</v>
      </c>
      <c r="QD9" s="1">
        <v>552156</v>
      </c>
      <c r="QE9" s="1">
        <v>552407</v>
      </c>
      <c r="QF9" s="1">
        <v>552726</v>
      </c>
      <c r="QG9" s="1">
        <v>553108</v>
      </c>
      <c r="QH9" s="1">
        <v>553520</v>
      </c>
      <c r="QI9" s="1">
        <v>553944</v>
      </c>
      <c r="QJ9" s="1">
        <v>554379</v>
      </c>
      <c r="QK9" s="1">
        <v>554817</v>
      </c>
      <c r="QL9" s="1">
        <v>555249</v>
      </c>
      <c r="QM9" s="1">
        <v>555679</v>
      </c>
      <c r="QN9" s="1">
        <v>556079</v>
      </c>
      <c r="QO9" s="1">
        <v>556453</v>
      </c>
      <c r="QP9" s="1">
        <v>556762</v>
      </c>
      <c r="QQ9" s="1">
        <v>557042</v>
      </c>
      <c r="QR9" s="1">
        <v>557315</v>
      </c>
      <c r="QS9" s="1">
        <v>557570</v>
      </c>
      <c r="QT9" s="1">
        <v>557809</v>
      </c>
      <c r="QU9" s="1">
        <v>558045</v>
      </c>
      <c r="QV9" s="1">
        <v>558276</v>
      </c>
      <c r="QW9" s="1">
        <v>558506</v>
      </c>
      <c r="QX9" s="1">
        <v>558726</v>
      </c>
      <c r="QY9" s="1">
        <v>558941</v>
      </c>
      <c r="QZ9" s="1">
        <v>559156</v>
      </c>
      <c r="RA9" s="1">
        <v>559376</v>
      </c>
      <c r="RB9" s="1">
        <v>559606</v>
      </c>
      <c r="RC9" s="1">
        <v>559864</v>
      </c>
      <c r="RD9" s="1">
        <v>560217</v>
      </c>
      <c r="RE9" s="1">
        <v>560597</v>
      </c>
      <c r="RF9" s="1">
        <v>561026</v>
      </c>
      <c r="RG9" s="1">
        <v>561465</v>
      </c>
      <c r="RH9" s="1">
        <v>561904</v>
      </c>
      <c r="RI9" s="1">
        <v>562358</v>
      </c>
      <c r="RJ9" s="1">
        <v>562804</v>
      </c>
      <c r="RK9" s="1">
        <v>563231</v>
      </c>
      <c r="RL9" s="1">
        <v>563624</v>
      </c>
      <c r="RM9" s="1">
        <v>563992</v>
      </c>
      <c r="RN9" s="1">
        <v>564301</v>
      </c>
      <c r="RO9" s="1">
        <v>564573</v>
      </c>
      <c r="RP9" s="1">
        <v>564830</v>
      </c>
      <c r="RQ9" s="1">
        <v>565070</v>
      </c>
      <c r="RR9" s="1">
        <v>565305</v>
      </c>
      <c r="RS9" s="1">
        <v>565537</v>
      </c>
      <c r="RT9" s="1">
        <v>565756</v>
      </c>
      <c r="RU9" s="1">
        <v>565970</v>
      </c>
      <c r="RV9" s="1">
        <v>566185</v>
      </c>
      <c r="RW9" s="1">
        <v>566396</v>
      </c>
      <c r="RX9" s="1">
        <v>566608</v>
      </c>
      <c r="RY9" s="1">
        <v>566823</v>
      </c>
      <c r="RZ9" s="1">
        <v>567042</v>
      </c>
      <c r="SA9" s="1">
        <v>567267</v>
      </c>
      <c r="SB9" s="1">
        <v>567499</v>
      </c>
      <c r="SC9" s="1">
        <v>567762</v>
      </c>
      <c r="SD9" s="1">
        <v>568037</v>
      </c>
      <c r="SE9" s="1">
        <v>568329</v>
      </c>
      <c r="SF9" s="1">
        <v>568627</v>
      </c>
      <c r="SG9" s="1">
        <v>568944</v>
      </c>
      <c r="SH9" s="1">
        <v>569262</v>
      </c>
      <c r="SI9" s="1">
        <v>569575</v>
      </c>
      <c r="SJ9" s="1">
        <v>569873</v>
      </c>
      <c r="SK9" s="1">
        <v>570144</v>
      </c>
      <c r="SL9" s="1">
        <v>570388</v>
      </c>
      <c r="SM9" s="1">
        <v>570617</v>
      </c>
      <c r="SN9" s="1">
        <v>570856</v>
      </c>
      <c r="SO9" s="1">
        <v>571093</v>
      </c>
      <c r="SP9" s="1">
        <v>571325</v>
      </c>
      <c r="SQ9" s="1">
        <v>571543</v>
      </c>
      <c r="SR9" s="1">
        <v>571755</v>
      </c>
      <c r="SS9" s="1">
        <v>571970</v>
      </c>
      <c r="ST9" s="1">
        <v>572183</v>
      </c>
      <c r="SU9" s="1">
        <v>572396</v>
      </c>
      <c r="SV9" s="1">
        <v>572603</v>
      </c>
      <c r="SW9" s="1">
        <v>572807</v>
      </c>
      <c r="SX9" s="1">
        <v>573015</v>
      </c>
      <c r="SY9" s="1">
        <v>573234</v>
      </c>
      <c r="SZ9" s="1">
        <v>573466</v>
      </c>
      <c r="TA9" s="1">
        <v>573703</v>
      </c>
      <c r="TB9" s="1">
        <v>573938</v>
      </c>
      <c r="TC9" s="1">
        <v>574184</v>
      </c>
      <c r="TD9" s="1">
        <v>574461</v>
      </c>
      <c r="TE9" s="1">
        <v>574750</v>
      </c>
      <c r="TF9" s="1">
        <v>575042</v>
      </c>
      <c r="TG9" s="1">
        <v>575329</v>
      </c>
      <c r="TH9" s="1">
        <v>575606</v>
      </c>
      <c r="TI9" s="1">
        <v>575876</v>
      </c>
      <c r="TJ9" s="1">
        <v>576145</v>
      </c>
      <c r="TK9" s="1">
        <v>576398</v>
      </c>
      <c r="TL9" s="1">
        <v>576643</v>
      </c>
      <c r="TM9" s="1">
        <v>576888</v>
      </c>
      <c r="TN9" s="1">
        <v>577121</v>
      </c>
      <c r="TO9" s="1">
        <v>577344</v>
      </c>
      <c r="TP9" s="1">
        <v>577564</v>
      </c>
      <c r="TQ9" s="1">
        <v>577777</v>
      </c>
      <c r="TR9" s="1">
        <v>577985</v>
      </c>
      <c r="TS9" s="1">
        <v>578200</v>
      </c>
      <c r="TT9" s="1">
        <v>578412</v>
      </c>
      <c r="TU9" s="1">
        <v>578624</v>
      </c>
      <c r="TV9" s="1">
        <v>578851</v>
      </c>
      <c r="TW9" s="1">
        <v>579125</v>
      </c>
      <c r="TX9" s="1">
        <v>579513</v>
      </c>
      <c r="TY9" s="1">
        <v>579954</v>
      </c>
      <c r="TZ9" s="1">
        <v>580425</v>
      </c>
      <c r="UA9" s="1">
        <v>580911</v>
      </c>
      <c r="UB9" s="1">
        <v>581413</v>
      </c>
      <c r="UC9" s="1">
        <v>581917</v>
      </c>
      <c r="UD9" s="1">
        <v>582420</v>
      </c>
      <c r="UE9" s="1">
        <v>582894</v>
      </c>
      <c r="UF9" s="1">
        <v>583328</v>
      </c>
      <c r="UG9" s="1">
        <v>583700</v>
      </c>
      <c r="UH9" s="1">
        <v>584023</v>
      </c>
      <c r="UI9" s="1">
        <v>584308</v>
      </c>
      <c r="UJ9" s="1">
        <v>584577</v>
      </c>
      <c r="UK9" s="1">
        <v>584835</v>
      </c>
      <c r="UL9" s="1">
        <v>585090</v>
      </c>
      <c r="UM9" s="1">
        <v>585339</v>
      </c>
      <c r="UN9" s="1">
        <v>585583</v>
      </c>
      <c r="UO9" s="1">
        <v>585813</v>
      </c>
      <c r="UP9" s="1">
        <v>586038</v>
      </c>
      <c r="UQ9" s="1">
        <v>586262</v>
      </c>
      <c r="UR9" s="1">
        <v>586489</v>
      </c>
      <c r="US9" s="1">
        <v>586716</v>
      </c>
      <c r="UT9" s="1">
        <v>586958</v>
      </c>
      <c r="UU9" s="1">
        <v>587260</v>
      </c>
      <c r="UV9" s="1">
        <v>587635</v>
      </c>
      <c r="UW9" s="1">
        <v>588052</v>
      </c>
      <c r="UX9" s="1">
        <v>588498</v>
      </c>
      <c r="UY9" s="1">
        <v>588985</v>
      </c>
      <c r="UZ9" s="1">
        <v>589483</v>
      </c>
      <c r="VA9" s="1">
        <v>589986</v>
      </c>
      <c r="VB9" s="1">
        <v>590490</v>
      </c>
      <c r="VC9" s="1">
        <v>590954</v>
      </c>
      <c r="VD9" s="1">
        <v>591368</v>
      </c>
      <c r="VE9" s="1">
        <v>591740</v>
      </c>
      <c r="VF9" s="1">
        <v>592097</v>
      </c>
      <c r="VG9" s="1">
        <v>592414</v>
      </c>
      <c r="VH9" s="1">
        <v>592701</v>
      </c>
      <c r="VI9" s="1">
        <v>592976</v>
      </c>
      <c r="VJ9" s="1">
        <v>593236</v>
      </c>
      <c r="VK9" s="1">
        <v>593488</v>
      </c>
      <c r="VL9" s="1">
        <v>593731</v>
      </c>
      <c r="VM9" s="1">
        <v>593976</v>
      </c>
      <c r="VN9" s="1">
        <v>594219</v>
      </c>
      <c r="VO9" s="1">
        <v>594459</v>
      </c>
      <c r="VP9" s="1">
        <v>594692</v>
      </c>
      <c r="VQ9" s="1">
        <v>594918</v>
      </c>
      <c r="VR9" s="1">
        <v>595146</v>
      </c>
      <c r="VS9" s="1">
        <v>595405</v>
      </c>
      <c r="VT9" s="1">
        <v>595733</v>
      </c>
      <c r="VU9" s="1">
        <v>596131</v>
      </c>
      <c r="VV9" s="1">
        <v>596547</v>
      </c>
      <c r="VW9" s="1">
        <v>596979</v>
      </c>
      <c r="VX9" s="1">
        <v>597445</v>
      </c>
      <c r="VY9" s="1">
        <v>597926</v>
      </c>
      <c r="VZ9" s="1">
        <v>598402</v>
      </c>
      <c r="WA9" s="1">
        <v>598866</v>
      </c>
      <c r="WB9" s="1">
        <v>599300</v>
      </c>
      <c r="WC9" s="1">
        <v>599693</v>
      </c>
      <c r="WD9" s="1">
        <v>600034</v>
      </c>
      <c r="WE9" s="1">
        <v>600337</v>
      </c>
      <c r="WF9" s="1">
        <v>600625</v>
      </c>
      <c r="WG9" s="1">
        <v>600904</v>
      </c>
      <c r="WH9" s="1">
        <v>601168</v>
      </c>
      <c r="WI9" s="1">
        <v>601417</v>
      </c>
      <c r="WJ9" s="1">
        <v>601654</v>
      </c>
      <c r="WK9" s="1">
        <v>601883</v>
      </c>
      <c r="WL9" s="1">
        <v>602110</v>
      </c>
      <c r="WM9" s="1">
        <v>602335</v>
      </c>
      <c r="WN9" s="1">
        <v>602557</v>
      </c>
      <c r="WO9" s="1">
        <v>602785</v>
      </c>
      <c r="WP9" s="1">
        <v>603020</v>
      </c>
      <c r="WQ9" s="1">
        <v>603307</v>
      </c>
      <c r="WR9" s="1">
        <v>603677</v>
      </c>
      <c r="WS9" s="1">
        <v>604081</v>
      </c>
      <c r="WT9" s="1">
        <v>604507</v>
      </c>
      <c r="WU9" s="1">
        <v>604943</v>
      </c>
      <c r="WV9" s="1">
        <v>605399</v>
      </c>
      <c r="WW9" s="1">
        <v>605880</v>
      </c>
      <c r="WX9" s="1">
        <v>606345</v>
      </c>
      <c r="WY9" s="1">
        <v>606800</v>
      </c>
      <c r="WZ9" s="1">
        <v>607207</v>
      </c>
      <c r="XA9" s="1">
        <v>607580</v>
      </c>
      <c r="XB9" s="1">
        <v>607901</v>
      </c>
      <c r="XC9" s="1">
        <v>608176</v>
      </c>
      <c r="XD9" s="1">
        <v>608435</v>
      </c>
      <c r="XE9" s="1">
        <v>608700</v>
      </c>
      <c r="XF9" s="1">
        <v>608956</v>
      </c>
      <c r="XG9" s="1">
        <v>609197</v>
      </c>
      <c r="XH9" s="1">
        <v>609431</v>
      </c>
      <c r="XI9" s="1">
        <v>609662</v>
      </c>
      <c r="XJ9" s="1">
        <v>609877</v>
      </c>
      <c r="XK9" s="1">
        <v>610087</v>
      </c>
      <c r="XL9" s="1">
        <v>610296</v>
      </c>
      <c r="XM9" s="1">
        <v>610506</v>
      </c>
      <c r="XN9" s="1">
        <v>610736</v>
      </c>
      <c r="XO9" s="1">
        <v>611005</v>
      </c>
      <c r="XP9" s="1">
        <v>611370</v>
      </c>
      <c r="XQ9" s="1">
        <v>611783</v>
      </c>
      <c r="XR9" s="1">
        <v>612217</v>
      </c>
      <c r="XS9" s="1">
        <v>612673</v>
      </c>
      <c r="XT9" s="1">
        <v>613144</v>
      </c>
      <c r="XU9" s="1">
        <v>613629</v>
      </c>
      <c r="XV9" s="1">
        <v>614098</v>
      </c>
      <c r="XW9" s="1">
        <v>614545</v>
      </c>
      <c r="XX9" s="1">
        <v>614955</v>
      </c>
      <c r="XY9" s="1">
        <v>615315</v>
      </c>
      <c r="XZ9" s="1">
        <v>615626</v>
      </c>
      <c r="YA9" s="1">
        <v>615902</v>
      </c>
      <c r="YB9" s="1">
        <v>616153</v>
      </c>
      <c r="YC9" s="1">
        <v>616391</v>
      </c>
      <c r="YD9" s="1">
        <v>616627</v>
      </c>
      <c r="YE9" s="1">
        <v>616851</v>
      </c>
      <c r="YF9" s="1">
        <v>617071</v>
      </c>
      <c r="YG9" s="1">
        <v>617281</v>
      </c>
      <c r="YH9" s="1">
        <v>617492</v>
      </c>
      <c r="YI9" s="1">
        <v>617697</v>
      </c>
      <c r="YJ9" s="1">
        <v>617899</v>
      </c>
      <c r="YK9" s="1">
        <v>618109</v>
      </c>
      <c r="YL9" s="1">
        <v>618323</v>
      </c>
      <c r="YM9" s="1">
        <v>618550</v>
      </c>
      <c r="YN9" s="1">
        <v>618789</v>
      </c>
      <c r="YO9" s="1">
        <v>619041</v>
      </c>
      <c r="YP9" s="1">
        <v>619294</v>
      </c>
      <c r="YQ9" s="1">
        <v>619553</v>
      </c>
      <c r="YR9" s="1">
        <v>619831</v>
      </c>
      <c r="YS9" s="1">
        <v>620115</v>
      </c>
      <c r="YT9" s="1">
        <v>620407</v>
      </c>
      <c r="YU9" s="1">
        <v>620697</v>
      </c>
      <c r="YV9" s="1">
        <v>620975</v>
      </c>
      <c r="YW9" s="1">
        <v>621230</v>
      </c>
      <c r="YX9" s="1">
        <v>621473</v>
      </c>
      <c r="YY9" s="1">
        <v>621714</v>
      </c>
      <c r="YZ9" s="1">
        <v>621955</v>
      </c>
      <c r="ZA9" s="1">
        <v>622192</v>
      </c>
      <c r="ZB9" s="1">
        <v>622420</v>
      </c>
      <c r="ZC9" s="1">
        <v>622648</v>
      </c>
      <c r="ZD9" s="1">
        <v>622866</v>
      </c>
      <c r="ZE9" s="1">
        <v>623081</v>
      </c>
      <c r="ZF9" s="1">
        <v>623294</v>
      </c>
      <c r="ZG9" s="1">
        <v>623509</v>
      </c>
      <c r="ZH9" s="1">
        <v>623722</v>
      </c>
      <c r="ZI9" s="1">
        <v>623928</v>
      </c>
      <c r="ZJ9" s="1">
        <v>624150</v>
      </c>
      <c r="ZK9" s="1">
        <v>624378</v>
      </c>
      <c r="ZL9" s="1">
        <v>624622</v>
      </c>
      <c r="ZM9" s="1">
        <v>624872</v>
      </c>
      <c r="ZN9" s="1">
        <v>625127</v>
      </c>
      <c r="ZO9" s="1">
        <v>625402</v>
      </c>
      <c r="ZP9" s="1">
        <v>625695</v>
      </c>
      <c r="ZQ9" s="1">
        <v>625980</v>
      </c>
      <c r="ZR9" s="1">
        <v>626270</v>
      </c>
      <c r="ZS9" s="1">
        <v>626553</v>
      </c>
      <c r="ZT9" s="1">
        <v>626819</v>
      </c>
      <c r="ZU9" s="1">
        <v>627075</v>
      </c>
      <c r="ZV9" s="1">
        <v>627321</v>
      </c>
      <c r="ZW9" s="1">
        <v>627560</v>
      </c>
      <c r="ZX9" s="1">
        <v>627791</v>
      </c>
      <c r="ZY9" s="1">
        <v>628021</v>
      </c>
      <c r="ZZ9" s="1">
        <v>628249</v>
      </c>
      <c r="AAA9" s="1">
        <v>628474</v>
      </c>
      <c r="AAB9" s="1">
        <v>628690</v>
      </c>
      <c r="AAC9" s="1">
        <v>628903</v>
      </c>
      <c r="AAD9" s="1">
        <v>629116</v>
      </c>
      <c r="AAE9" s="1">
        <v>629324</v>
      </c>
      <c r="AAF9" s="1">
        <v>629535</v>
      </c>
      <c r="AAG9" s="1">
        <v>629749</v>
      </c>
      <c r="AAH9" s="1">
        <v>629979</v>
      </c>
      <c r="AAI9" s="1">
        <v>630257</v>
      </c>
      <c r="AAJ9" s="1">
        <v>630611</v>
      </c>
      <c r="AAK9" s="1">
        <v>631041</v>
      </c>
      <c r="AAL9" s="1">
        <v>631501</v>
      </c>
      <c r="AAM9" s="1">
        <v>631984</v>
      </c>
      <c r="AAN9" s="1">
        <v>632465</v>
      </c>
      <c r="AAO9" s="1">
        <v>632947</v>
      </c>
      <c r="AAP9" s="1">
        <v>633438</v>
      </c>
      <c r="AAQ9" s="1">
        <v>633910</v>
      </c>
      <c r="AAR9" s="1">
        <v>634323</v>
      </c>
      <c r="AAS9" s="1">
        <v>634676</v>
      </c>
      <c r="AAT9" s="1">
        <v>634993</v>
      </c>
      <c r="AAU9" s="1">
        <v>635282</v>
      </c>
      <c r="AAV9" s="1">
        <v>635550</v>
      </c>
      <c r="AAW9" s="1">
        <v>635813</v>
      </c>
      <c r="AAX9" s="1">
        <v>636070</v>
      </c>
    </row>
    <row r="10" spans="1:750">
      <c r="A10" s="1">
        <v>9</v>
      </c>
      <c r="B10" s="1" t="s">
        <v>2</v>
      </c>
      <c r="C10" s="1" t="s">
        <v>3</v>
      </c>
      <c r="D10" s="1" t="s">
        <v>13</v>
      </c>
      <c r="E10" s="1" t="s">
        <v>5</v>
      </c>
      <c r="F10" s="1">
        <v>43294</v>
      </c>
      <c r="G10" s="1">
        <v>43303.5</v>
      </c>
      <c r="H10" s="1">
        <v>43312.7</v>
      </c>
      <c r="I10" s="1">
        <v>43322</v>
      </c>
      <c r="J10" s="1">
        <v>43330.8</v>
      </c>
      <c r="K10" s="1">
        <v>43338.9</v>
      </c>
      <c r="L10" s="1">
        <v>43346.9</v>
      </c>
      <c r="M10" s="1">
        <v>43356.2</v>
      </c>
      <c r="N10" s="1">
        <v>43366.1</v>
      </c>
      <c r="O10" s="1">
        <v>43375.9</v>
      </c>
      <c r="P10" s="1">
        <v>43386.1</v>
      </c>
      <c r="Q10" s="1">
        <v>43396.7</v>
      </c>
      <c r="R10" s="1">
        <v>43407.9</v>
      </c>
      <c r="S10" s="1">
        <v>43419.5</v>
      </c>
      <c r="T10" s="1">
        <v>43430.9</v>
      </c>
      <c r="U10" s="1">
        <v>43442.5</v>
      </c>
      <c r="V10" s="1">
        <v>43454.1</v>
      </c>
      <c r="W10" s="1">
        <v>43466.3</v>
      </c>
      <c r="X10" s="1">
        <v>43477.8</v>
      </c>
      <c r="Y10" s="1">
        <v>43489.2</v>
      </c>
      <c r="Z10" s="1">
        <v>43522.8</v>
      </c>
      <c r="AA10" s="1">
        <v>43538.400000000001</v>
      </c>
      <c r="AB10" s="1">
        <v>43548.4</v>
      </c>
      <c r="AC10" s="1">
        <v>43558.6</v>
      </c>
      <c r="AD10" s="1">
        <v>43568.6</v>
      </c>
      <c r="AE10" s="1">
        <v>43578.8</v>
      </c>
      <c r="AF10" s="1">
        <v>43588.5</v>
      </c>
      <c r="AG10" s="1">
        <v>43598.3</v>
      </c>
      <c r="AH10" s="1">
        <v>43608.3</v>
      </c>
      <c r="AI10" s="1">
        <v>43618</v>
      </c>
      <c r="AJ10" s="1">
        <v>43627.7</v>
      </c>
      <c r="AK10" s="1">
        <v>43637.7</v>
      </c>
      <c r="AL10" s="1">
        <v>43647.6</v>
      </c>
      <c r="AM10" s="1">
        <v>43658.6</v>
      </c>
      <c r="AN10" s="1">
        <v>43671.8</v>
      </c>
      <c r="AO10" s="1">
        <v>43682.3</v>
      </c>
      <c r="AP10" s="1">
        <v>43695.3</v>
      </c>
      <c r="AQ10" s="1">
        <v>43706.3</v>
      </c>
      <c r="AR10" s="1">
        <v>43716.5</v>
      </c>
      <c r="AS10" s="1">
        <v>43726.8</v>
      </c>
      <c r="AT10" s="1">
        <v>43739.6</v>
      </c>
      <c r="AU10" s="1">
        <v>43752.800000000003</v>
      </c>
      <c r="AV10" s="1">
        <v>43765.5</v>
      </c>
      <c r="AW10" s="1">
        <v>43778.3</v>
      </c>
      <c r="AX10" s="1">
        <v>43790.8</v>
      </c>
      <c r="AY10" s="1">
        <v>43802.8</v>
      </c>
      <c r="AZ10" s="1">
        <v>43814.1</v>
      </c>
      <c r="BA10" s="1">
        <v>43824.9</v>
      </c>
      <c r="BB10" s="1">
        <v>43835.4</v>
      </c>
      <c r="BC10" s="1">
        <v>43845.9</v>
      </c>
      <c r="BD10" s="1">
        <v>43856.5</v>
      </c>
      <c r="BE10" s="1">
        <v>43866.9</v>
      </c>
      <c r="BF10" s="1">
        <v>43876.9</v>
      </c>
      <c r="BG10" s="1">
        <v>43887.199999999997</v>
      </c>
      <c r="BH10" s="1">
        <v>43897.2</v>
      </c>
      <c r="BI10" s="1">
        <v>43908</v>
      </c>
      <c r="BJ10" s="1">
        <v>43919.1</v>
      </c>
      <c r="BK10" s="1">
        <v>43930.6</v>
      </c>
      <c r="BL10" s="1">
        <v>43942.3</v>
      </c>
      <c r="BM10" s="1">
        <v>43954.6</v>
      </c>
      <c r="BN10" s="1">
        <v>43967.3</v>
      </c>
      <c r="BO10" s="1">
        <v>43980.7</v>
      </c>
      <c r="BP10" s="1">
        <v>43993.1</v>
      </c>
      <c r="BQ10" s="1">
        <v>44007.5</v>
      </c>
      <c r="BR10" s="1">
        <v>44020.4</v>
      </c>
      <c r="BS10" s="1">
        <v>44032.7</v>
      </c>
      <c r="BT10" s="1">
        <v>44043.8</v>
      </c>
      <c r="BU10" s="1">
        <v>44055.8</v>
      </c>
      <c r="BV10" s="1">
        <v>44067.1</v>
      </c>
      <c r="BW10" s="1">
        <v>44078.8</v>
      </c>
      <c r="BX10" s="1">
        <v>44089.7</v>
      </c>
      <c r="BY10" s="1">
        <v>44100.2</v>
      </c>
      <c r="BZ10" s="1">
        <v>44110.5</v>
      </c>
      <c r="CA10" s="1">
        <v>44121</v>
      </c>
      <c r="CB10" s="1">
        <v>44131.1</v>
      </c>
      <c r="CC10" s="1">
        <v>44141.3</v>
      </c>
      <c r="CD10" s="1">
        <v>44151.6</v>
      </c>
      <c r="CE10" s="1">
        <v>44161.5</v>
      </c>
      <c r="CF10" s="1">
        <v>44171.6</v>
      </c>
      <c r="CG10" s="1">
        <v>44182</v>
      </c>
      <c r="CH10" s="1">
        <v>44192.9</v>
      </c>
      <c r="CI10" s="1">
        <v>44205.4</v>
      </c>
      <c r="CJ10" s="1">
        <v>44218.6</v>
      </c>
      <c r="CK10" s="1">
        <v>44231.199999999997</v>
      </c>
      <c r="CL10" s="1">
        <v>44244.2</v>
      </c>
      <c r="CM10" s="1">
        <v>44256.9</v>
      </c>
      <c r="CN10" s="1">
        <v>44271.5</v>
      </c>
      <c r="CO10" s="1">
        <v>44287</v>
      </c>
      <c r="CP10" s="1">
        <v>44301.2</v>
      </c>
      <c r="CQ10" s="1">
        <v>44314.8</v>
      </c>
      <c r="CR10" s="1">
        <v>44327.3</v>
      </c>
      <c r="CS10" s="1">
        <v>44339.8</v>
      </c>
      <c r="CT10" s="1">
        <v>44352.1</v>
      </c>
      <c r="CU10" s="1">
        <v>44364.7</v>
      </c>
      <c r="CV10" s="1">
        <v>44376.6</v>
      </c>
      <c r="CW10" s="1">
        <v>44388.6</v>
      </c>
      <c r="CX10" s="1">
        <v>44400.9</v>
      </c>
      <c r="CY10" s="1">
        <v>44411.9</v>
      </c>
      <c r="CZ10" s="1">
        <v>44422.6</v>
      </c>
      <c r="DA10" s="1">
        <v>44432.9</v>
      </c>
      <c r="DB10" s="1">
        <v>44443.5</v>
      </c>
      <c r="DC10" s="1">
        <v>44453.599999999999</v>
      </c>
      <c r="DD10" s="1">
        <v>44463.6</v>
      </c>
      <c r="DE10" s="1">
        <v>44473.599999999999</v>
      </c>
      <c r="DF10" s="1">
        <v>44483</v>
      </c>
      <c r="DG10" s="1">
        <v>44492.800000000003</v>
      </c>
      <c r="DH10" s="1">
        <v>44502.7</v>
      </c>
      <c r="DI10" s="1">
        <v>44513.4</v>
      </c>
      <c r="DJ10" s="1">
        <v>44524.1</v>
      </c>
      <c r="DK10" s="1">
        <v>44535.4</v>
      </c>
      <c r="DL10" s="1">
        <v>44552.1</v>
      </c>
      <c r="DM10" s="1">
        <v>44571.9</v>
      </c>
      <c r="DN10" s="1">
        <v>44588.5</v>
      </c>
      <c r="DO10" s="1">
        <v>44602.400000000001</v>
      </c>
      <c r="DP10" s="1">
        <v>44612.7</v>
      </c>
      <c r="DQ10" s="1">
        <v>44623.1</v>
      </c>
      <c r="DR10" s="1">
        <v>44633.3</v>
      </c>
      <c r="DS10" s="1">
        <v>44643</v>
      </c>
      <c r="DT10" s="1">
        <v>44653</v>
      </c>
      <c r="DU10" s="1">
        <v>44663</v>
      </c>
      <c r="DV10" s="1">
        <v>44673</v>
      </c>
      <c r="DW10" s="1">
        <v>44682.8</v>
      </c>
      <c r="DX10" s="1">
        <v>44692.2</v>
      </c>
      <c r="DY10" s="1">
        <v>44701.8</v>
      </c>
      <c r="DZ10" s="1">
        <v>44711.199999999997</v>
      </c>
      <c r="EA10" s="1">
        <v>44720.5</v>
      </c>
      <c r="EB10" s="1">
        <v>44730.1</v>
      </c>
      <c r="EC10" s="1">
        <v>44739.3</v>
      </c>
      <c r="ED10" s="1">
        <v>44748.9</v>
      </c>
      <c r="EE10" s="1">
        <v>44758.7</v>
      </c>
      <c r="EF10" s="1">
        <v>44770.7</v>
      </c>
      <c r="EG10" s="1">
        <v>44784.1</v>
      </c>
      <c r="EH10" s="1">
        <v>44795.3</v>
      </c>
      <c r="EI10" s="1">
        <v>44806.8</v>
      </c>
      <c r="EJ10" s="1">
        <v>44818</v>
      </c>
      <c r="EK10" s="1">
        <v>44830.8</v>
      </c>
      <c r="EL10" s="1">
        <v>44843.9</v>
      </c>
      <c r="EM10" s="1">
        <v>44857.2</v>
      </c>
      <c r="EN10" s="1">
        <v>44869.5</v>
      </c>
      <c r="EO10" s="1">
        <v>44879.199999999997</v>
      </c>
      <c r="EP10" s="1">
        <v>44888.800000000003</v>
      </c>
      <c r="EQ10" s="1">
        <v>44898.6</v>
      </c>
      <c r="ER10" s="1">
        <v>44908</v>
      </c>
      <c r="ES10" s="1">
        <v>44917.4</v>
      </c>
      <c r="ET10" s="1">
        <v>44926.7</v>
      </c>
      <c r="EU10" s="1">
        <v>44935.8</v>
      </c>
      <c r="EV10" s="1">
        <v>44945.1</v>
      </c>
      <c r="EW10" s="1">
        <v>44954.1</v>
      </c>
      <c r="EX10" s="1">
        <v>44962.1</v>
      </c>
      <c r="EY10" s="1">
        <v>44971.199999999997</v>
      </c>
      <c r="EZ10" s="1">
        <v>44980.1</v>
      </c>
      <c r="FA10" s="1">
        <v>44988.3</v>
      </c>
      <c r="FB10" s="1">
        <v>44997.2</v>
      </c>
      <c r="FC10" s="1">
        <v>45005.3</v>
      </c>
      <c r="FD10" s="1">
        <v>45014.6</v>
      </c>
      <c r="FE10" s="1">
        <v>45023.7</v>
      </c>
      <c r="FF10" s="1">
        <v>45033</v>
      </c>
      <c r="FG10" s="1">
        <v>45042</v>
      </c>
      <c r="FH10" s="1">
        <v>45049.9</v>
      </c>
      <c r="FI10" s="1">
        <v>45058.5</v>
      </c>
      <c r="FJ10" s="1">
        <v>45066.6</v>
      </c>
      <c r="FK10" s="1">
        <v>45074.5</v>
      </c>
      <c r="FL10" s="1">
        <v>45082.400000000001</v>
      </c>
      <c r="FM10" s="1">
        <v>45091.1</v>
      </c>
      <c r="FN10" s="1">
        <v>45099.3</v>
      </c>
      <c r="FO10" s="1">
        <v>45108.4</v>
      </c>
      <c r="FP10" s="1">
        <v>45116.4</v>
      </c>
      <c r="FQ10" s="1">
        <v>45125.4</v>
      </c>
      <c r="FR10" s="1">
        <v>45133.3</v>
      </c>
      <c r="FS10" s="1">
        <v>45142.1</v>
      </c>
      <c r="FT10" s="1">
        <v>45150</v>
      </c>
      <c r="FU10" s="1">
        <v>45158.6</v>
      </c>
      <c r="FV10" s="1">
        <v>45166.8</v>
      </c>
      <c r="FW10" s="1">
        <v>45175.3</v>
      </c>
      <c r="FX10" s="1">
        <v>45184</v>
      </c>
      <c r="FY10" s="1">
        <v>45192.1</v>
      </c>
      <c r="FZ10" s="1">
        <v>45200.800000000003</v>
      </c>
      <c r="GA10" s="1">
        <v>45208.6</v>
      </c>
      <c r="GB10" s="1">
        <v>45217.3</v>
      </c>
      <c r="GC10" s="1">
        <v>45226.2</v>
      </c>
      <c r="GD10" s="1">
        <v>45235.1</v>
      </c>
      <c r="GE10" s="1">
        <v>45242.6</v>
      </c>
      <c r="GF10" s="1">
        <v>45251.1</v>
      </c>
      <c r="GG10" s="1">
        <v>45258.8</v>
      </c>
      <c r="GH10" s="1">
        <v>45267.5</v>
      </c>
      <c r="GI10" s="1">
        <v>45275.4</v>
      </c>
      <c r="GJ10" s="1">
        <v>45284</v>
      </c>
      <c r="GK10" s="1">
        <v>45291.9</v>
      </c>
      <c r="GL10" s="1">
        <v>45300.6</v>
      </c>
      <c r="GM10" s="1">
        <v>45309.5</v>
      </c>
      <c r="GN10" s="1">
        <v>45317.4</v>
      </c>
      <c r="GO10" s="1">
        <v>45326.3</v>
      </c>
      <c r="GP10" s="1">
        <v>45335</v>
      </c>
      <c r="GQ10" s="1">
        <v>45343</v>
      </c>
      <c r="GR10" s="1">
        <v>45351.7</v>
      </c>
      <c r="GS10" s="1">
        <v>45360.5</v>
      </c>
      <c r="GT10" s="1">
        <v>45368.5</v>
      </c>
      <c r="GU10" s="1">
        <v>45377.1</v>
      </c>
      <c r="GV10" s="1">
        <v>45385</v>
      </c>
      <c r="GW10" s="1">
        <v>45393.7</v>
      </c>
      <c r="GX10" s="1">
        <v>45402.2</v>
      </c>
      <c r="GY10" s="1">
        <v>45409.9</v>
      </c>
      <c r="GZ10" s="1">
        <v>45418.400000000001</v>
      </c>
      <c r="HA10" s="1">
        <v>45426.3</v>
      </c>
      <c r="HB10" s="1">
        <v>45435.5</v>
      </c>
      <c r="HC10" s="1">
        <v>45444.7</v>
      </c>
      <c r="HD10" s="1">
        <v>45453.7</v>
      </c>
      <c r="HE10" s="1">
        <v>45462.7</v>
      </c>
      <c r="HF10" s="1">
        <v>45471.4</v>
      </c>
      <c r="HG10" s="1">
        <v>45480.3</v>
      </c>
      <c r="HH10" s="1">
        <v>45489</v>
      </c>
      <c r="HI10" s="1">
        <v>45497.5</v>
      </c>
      <c r="HJ10" s="1">
        <v>45505.5</v>
      </c>
      <c r="HK10" s="1">
        <v>45514.2</v>
      </c>
      <c r="HL10" s="1">
        <v>45523.3</v>
      </c>
      <c r="HM10" s="1">
        <v>45532.1</v>
      </c>
      <c r="HN10" s="1">
        <v>45541</v>
      </c>
      <c r="HO10" s="1">
        <v>45549</v>
      </c>
      <c r="HP10" s="1">
        <v>45557.7</v>
      </c>
      <c r="HQ10" s="1">
        <v>45566.6</v>
      </c>
      <c r="HR10" s="1">
        <v>45574.5</v>
      </c>
      <c r="HS10" s="1">
        <v>45583.5</v>
      </c>
      <c r="HT10" s="1">
        <v>45591.199999999997</v>
      </c>
      <c r="HU10" s="1">
        <v>45599.7</v>
      </c>
      <c r="HV10" s="1">
        <v>45607.5</v>
      </c>
      <c r="HW10" s="1">
        <v>45616.3</v>
      </c>
      <c r="HX10" s="1">
        <v>45624.6</v>
      </c>
      <c r="HY10" s="1">
        <v>45633.8</v>
      </c>
      <c r="HZ10" s="1">
        <v>45643.6</v>
      </c>
      <c r="IA10" s="1">
        <v>45653.9</v>
      </c>
      <c r="IB10" s="1">
        <v>45664.5</v>
      </c>
      <c r="IC10" s="1">
        <v>45675.5</v>
      </c>
      <c r="ID10" s="1">
        <v>45686.1</v>
      </c>
      <c r="IE10" s="1">
        <v>45697</v>
      </c>
      <c r="IF10" s="1">
        <v>45707.4</v>
      </c>
      <c r="IG10" s="1">
        <v>45717</v>
      </c>
      <c r="IH10" s="1">
        <v>45726.6</v>
      </c>
      <c r="II10" s="1">
        <v>45735.9</v>
      </c>
      <c r="IJ10" s="1">
        <v>45745.3</v>
      </c>
      <c r="IK10" s="1">
        <v>45754.8</v>
      </c>
      <c r="IL10" s="1">
        <v>45764.3</v>
      </c>
      <c r="IM10" s="1">
        <v>45773.7</v>
      </c>
      <c r="IN10" s="1">
        <v>45783.1</v>
      </c>
      <c r="IO10" s="1">
        <v>45792.4</v>
      </c>
      <c r="IP10" s="1">
        <v>45801.7</v>
      </c>
      <c r="IQ10" s="1">
        <v>45810.8</v>
      </c>
      <c r="IR10" s="1">
        <v>45819.9</v>
      </c>
      <c r="IS10" s="1">
        <v>45828.800000000003</v>
      </c>
      <c r="IT10" s="1">
        <v>45838.5</v>
      </c>
      <c r="IU10" s="1">
        <v>45849.7</v>
      </c>
      <c r="IV10" s="1">
        <v>45862</v>
      </c>
      <c r="IW10" s="1">
        <v>45877.4</v>
      </c>
      <c r="IX10" s="1">
        <v>45891.7</v>
      </c>
      <c r="IY10" s="1">
        <v>45906</v>
      </c>
      <c r="IZ10" s="1">
        <v>45920.4</v>
      </c>
      <c r="JA10" s="1">
        <v>45932.9</v>
      </c>
      <c r="JB10" s="1">
        <v>45946.8</v>
      </c>
      <c r="JC10" s="1">
        <v>45962</v>
      </c>
      <c r="JD10" s="1">
        <v>45975.3</v>
      </c>
      <c r="JE10" s="1">
        <v>45985.9</v>
      </c>
      <c r="JF10" s="1">
        <v>45996.5</v>
      </c>
      <c r="JG10" s="1">
        <v>46006.6</v>
      </c>
      <c r="JH10" s="1">
        <v>46016.7</v>
      </c>
      <c r="JI10" s="1">
        <v>46026.8</v>
      </c>
      <c r="JJ10" s="1">
        <v>46036.6</v>
      </c>
      <c r="JK10" s="1">
        <v>46046.2</v>
      </c>
      <c r="JL10" s="1">
        <v>46055.9</v>
      </c>
      <c r="JM10" s="1">
        <v>46065.3</v>
      </c>
      <c r="JN10" s="1">
        <v>46074.5</v>
      </c>
      <c r="JO10" s="1">
        <v>46083.7</v>
      </c>
      <c r="JP10" s="1">
        <v>46092.5</v>
      </c>
      <c r="JQ10" s="1">
        <v>46101.3</v>
      </c>
      <c r="JR10" s="1">
        <v>46111.1</v>
      </c>
      <c r="JS10" s="1">
        <v>46121.5</v>
      </c>
      <c r="JT10" s="1">
        <v>46132</v>
      </c>
      <c r="JU10" s="1">
        <v>46145</v>
      </c>
      <c r="JV10" s="1">
        <v>46158.7</v>
      </c>
      <c r="JW10" s="1">
        <v>46173.1</v>
      </c>
      <c r="JX10" s="1">
        <v>46187.1</v>
      </c>
      <c r="JY10" s="1">
        <v>46200.9</v>
      </c>
      <c r="JZ10" s="1">
        <v>46215.199999999997</v>
      </c>
      <c r="KA10" s="1">
        <v>46228.9</v>
      </c>
      <c r="KB10" s="1">
        <v>46240.9</v>
      </c>
      <c r="KC10" s="1">
        <v>46252.1</v>
      </c>
      <c r="KD10" s="1">
        <v>46262.7</v>
      </c>
      <c r="KE10" s="1">
        <v>46273</v>
      </c>
      <c r="KF10" s="1">
        <v>46283.3</v>
      </c>
      <c r="KG10" s="1">
        <v>46293.3</v>
      </c>
      <c r="KH10" s="1">
        <v>46303.1</v>
      </c>
      <c r="KI10" s="1">
        <v>46313</v>
      </c>
      <c r="KJ10" s="1">
        <v>46322.400000000001</v>
      </c>
      <c r="KK10" s="1">
        <v>46332</v>
      </c>
      <c r="KL10" s="1">
        <v>46341.2</v>
      </c>
      <c r="KM10" s="1">
        <v>46350.6</v>
      </c>
      <c r="KN10" s="1">
        <v>46359.1</v>
      </c>
      <c r="KO10" s="1">
        <v>46368.4</v>
      </c>
      <c r="KP10" s="1">
        <v>46378.8</v>
      </c>
      <c r="KQ10" s="1">
        <v>46392.9</v>
      </c>
      <c r="KR10" s="1">
        <v>46408.1</v>
      </c>
      <c r="KS10" s="1">
        <v>46421.9</v>
      </c>
      <c r="KT10" s="1">
        <v>46434.2</v>
      </c>
      <c r="KU10" s="1">
        <v>46446.400000000001</v>
      </c>
      <c r="KV10" s="1">
        <v>46459.6</v>
      </c>
      <c r="KW10" s="1">
        <v>46472.800000000003</v>
      </c>
      <c r="KX10" s="1">
        <v>46486</v>
      </c>
      <c r="KY10" s="1">
        <v>46499.6</v>
      </c>
      <c r="KZ10" s="1">
        <v>46513</v>
      </c>
      <c r="LA10" s="1">
        <v>46527</v>
      </c>
      <c r="LB10" s="1">
        <v>46541.3</v>
      </c>
      <c r="LC10" s="1">
        <v>46552.800000000003</v>
      </c>
      <c r="LD10" s="1">
        <v>46563</v>
      </c>
      <c r="LE10" s="1">
        <v>46573.2</v>
      </c>
      <c r="LF10" s="1">
        <v>46582.9</v>
      </c>
      <c r="LG10" s="1">
        <v>46592.9</v>
      </c>
      <c r="LH10" s="1">
        <v>46602.400000000001</v>
      </c>
      <c r="LI10" s="1">
        <v>46611.9</v>
      </c>
      <c r="LJ10" s="1">
        <v>46621.3</v>
      </c>
      <c r="LK10" s="1">
        <v>46630.6</v>
      </c>
      <c r="LL10" s="1">
        <v>46638.9</v>
      </c>
      <c r="LM10" s="1">
        <v>46648.2</v>
      </c>
      <c r="LN10" s="1">
        <v>46658.5</v>
      </c>
      <c r="LO10" s="1">
        <v>46670.400000000001</v>
      </c>
      <c r="LP10" s="1">
        <v>46684.6</v>
      </c>
      <c r="LQ10" s="1">
        <v>46699</v>
      </c>
      <c r="LR10" s="1">
        <v>46710.400000000001</v>
      </c>
      <c r="LS10" s="1">
        <v>46722.6</v>
      </c>
      <c r="LT10" s="1">
        <v>46735.1</v>
      </c>
      <c r="LU10" s="1">
        <v>46748.5</v>
      </c>
      <c r="LV10" s="1">
        <v>46762.5</v>
      </c>
      <c r="LW10" s="1">
        <v>46775.3</v>
      </c>
      <c r="LX10" s="1">
        <v>46788.5</v>
      </c>
      <c r="LY10" s="1">
        <v>46799.9</v>
      </c>
      <c r="LZ10" s="1">
        <v>46810.9</v>
      </c>
      <c r="MA10" s="1">
        <v>46821.8</v>
      </c>
      <c r="MB10" s="1">
        <v>46832.1</v>
      </c>
      <c r="MC10" s="1">
        <v>46842.8</v>
      </c>
      <c r="MD10" s="1">
        <v>46852.800000000003</v>
      </c>
      <c r="ME10" s="1">
        <v>46863</v>
      </c>
      <c r="MF10" s="1">
        <v>46872.9</v>
      </c>
      <c r="MG10" s="1">
        <v>46882.7</v>
      </c>
      <c r="MH10" s="1">
        <v>46892.5</v>
      </c>
      <c r="MI10" s="1">
        <v>46902.2</v>
      </c>
      <c r="MJ10" s="1">
        <v>46911.9</v>
      </c>
      <c r="MK10" s="1">
        <v>46921.9</v>
      </c>
      <c r="ML10" s="1">
        <v>46932</v>
      </c>
      <c r="MM10" s="1">
        <v>46942.8</v>
      </c>
      <c r="MN10" s="1">
        <v>46953.4</v>
      </c>
      <c r="MO10" s="1">
        <v>46964.6</v>
      </c>
      <c r="MP10" s="1">
        <v>46976.1</v>
      </c>
      <c r="MQ10" s="1">
        <v>46987.9</v>
      </c>
      <c r="MR10" s="1">
        <v>46999.8</v>
      </c>
      <c r="MS10" s="1">
        <v>47011.9</v>
      </c>
      <c r="MT10" s="1">
        <v>47025.5</v>
      </c>
      <c r="MU10" s="1">
        <v>47038.1</v>
      </c>
      <c r="MV10" s="1">
        <v>47050.400000000001</v>
      </c>
      <c r="MW10" s="1">
        <v>47061.4</v>
      </c>
      <c r="MX10" s="1">
        <v>47072.1</v>
      </c>
      <c r="MY10" s="1">
        <v>47082.6</v>
      </c>
      <c r="MZ10" s="1">
        <v>47093</v>
      </c>
      <c r="NA10" s="1">
        <v>47103.1</v>
      </c>
      <c r="NB10" s="1">
        <v>47113.1</v>
      </c>
      <c r="NC10" s="1">
        <v>47123.1</v>
      </c>
      <c r="ND10" s="1">
        <v>47132.6</v>
      </c>
      <c r="NE10" s="1">
        <v>47142.3</v>
      </c>
      <c r="NF10" s="1">
        <v>47151.8</v>
      </c>
      <c r="NG10" s="1">
        <v>47160.2</v>
      </c>
      <c r="NH10" s="1">
        <v>47169.7</v>
      </c>
      <c r="NI10" s="1">
        <v>47179.199999999997</v>
      </c>
      <c r="NJ10" s="1">
        <v>47189.5</v>
      </c>
      <c r="NK10" s="1">
        <v>47200.9</v>
      </c>
      <c r="NL10" s="1">
        <v>47212.4</v>
      </c>
      <c r="NM10" s="1">
        <v>47227.5</v>
      </c>
      <c r="NN10" s="1">
        <v>47243</v>
      </c>
      <c r="NO10" s="1">
        <v>47259.4</v>
      </c>
      <c r="NP10" s="1">
        <v>47276</v>
      </c>
      <c r="NQ10" s="1">
        <v>47293.5</v>
      </c>
      <c r="NR10" s="1">
        <v>47311.199999999997</v>
      </c>
      <c r="NS10" s="1">
        <v>47325.5</v>
      </c>
      <c r="NT10" s="1">
        <v>47339.7</v>
      </c>
      <c r="NU10" s="1">
        <v>47353.1</v>
      </c>
      <c r="NV10" s="1">
        <v>47366.3</v>
      </c>
      <c r="NW10" s="1">
        <v>47377.9</v>
      </c>
      <c r="NX10" s="1">
        <v>47388.6</v>
      </c>
      <c r="NY10" s="1">
        <v>47399.199999999997</v>
      </c>
      <c r="NZ10" s="1">
        <v>47409.7</v>
      </c>
      <c r="OA10" s="1">
        <v>47420.1</v>
      </c>
      <c r="OB10" s="1">
        <v>47430.3</v>
      </c>
      <c r="OC10" s="1">
        <v>47440.6</v>
      </c>
      <c r="OD10" s="1">
        <v>47450.5</v>
      </c>
      <c r="OE10" s="1">
        <v>47460.6</v>
      </c>
      <c r="OF10" s="1">
        <v>47470.5</v>
      </c>
      <c r="OG10" s="1">
        <v>47480.4</v>
      </c>
      <c r="OH10" s="1">
        <v>47490.5</v>
      </c>
      <c r="OI10" s="1">
        <v>47501</v>
      </c>
      <c r="OJ10" s="1">
        <v>47512.6</v>
      </c>
      <c r="OK10" s="1">
        <v>47530.8</v>
      </c>
      <c r="OL10" s="1">
        <v>47550.400000000001</v>
      </c>
      <c r="OM10" s="1">
        <v>47567</v>
      </c>
      <c r="ON10" s="1">
        <v>47585.2</v>
      </c>
      <c r="OO10" s="1">
        <v>47602.3</v>
      </c>
      <c r="OP10" s="1">
        <v>47619.4</v>
      </c>
      <c r="OQ10" s="1">
        <v>47635.3</v>
      </c>
      <c r="OR10" s="1">
        <v>47649</v>
      </c>
      <c r="OS10" s="1">
        <v>47660.9</v>
      </c>
      <c r="OT10" s="1">
        <v>47672.4</v>
      </c>
      <c r="OU10" s="1">
        <v>47683.6</v>
      </c>
      <c r="OV10" s="1">
        <v>47694.8</v>
      </c>
      <c r="OW10" s="1">
        <v>47705.8</v>
      </c>
      <c r="OX10" s="1">
        <v>47716.800000000003</v>
      </c>
      <c r="OY10" s="1">
        <v>47727.5</v>
      </c>
      <c r="OZ10" s="1">
        <v>47738</v>
      </c>
      <c r="PA10" s="1">
        <v>47748.4</v>
      </c>
      <c r="PB10" s="1">
        <v>47758.7</v>
      </c>
      <c r="PC10" s="1">
        <v>47769.1</v>
      </c>
      <c r="PD10" s="1">
        <v>47779</v>
      </c>
      <c r="PE10" s="1">
        <v>47789.1</v>
      </c>
      <c r="PF10" s="1">
        <v>47799.3</v>
      </c>
      <c r="PG10" s="1">
        <v>47810.5</v>
      </c>
      <c r="PH10" s="1">
        <v>47823.3</v>
      </c>
      <c r="PI10" s="1">
        <v>47841.8</v>
      </c>
      <c r="PJ10" s="1">
        <v>47859.1</v>
      </c>
      <c r="PK10" s="1">
        <v>47873.8</v>
      </c>
      <c r="PL10" s="1">
        <v>47888.4</v>
      </c>
      <c r="PM10" s="1">
        <v>47903.199999999997</v>
      </c>
      <c r="PN10" s="1">
        <v>47917.5</v>
      </c>
      <c r="PO10" s="1">
        <v>47931.199999999997</v>
      </c>
      <c r="PP10" s="1">
        <v>47942.6</v>
      </c>
      <c r="PQ10" s="1">
        <v>47953</v>
      </c>
      <c r="PR10" s="1">
        <v>47963.4</v>
      </c>
      <c r="PS10" s="1">
        <v>47974.7</v>
      </c>
      <c r="PT10" s="1">
        <v>47985.1</v>
      </c>
      <c r="PU10" s="1">
        <v>47995.6</v>
      </c>
      <c r="PV10" s="1">
        <v>48006</v>
      </c>
      <c r="PW10" s="1">
        <v>48016.4</v>
      </c>
      <c r="PX10" s="1">
        <v>48026.5</v>
      </c>
      <c r="PY10" s="1">
        <v>48036.800000000003</v>
      </c>
      <c r="PZ10" s="1">
        <v>48046.9</v>
      </c>
      <c r="QA10" s="1">
        <v>48056.7</v>
      </c>
      <c r="QB10" s="1">
        <v>48066.7</v>
      </c>
      <c r="QC10" s="1">
        <v>48076.5</v>
      </c>
      <c r="QD10" s="1">
        <v>48089.4</v>
      </c>
      <c r="QE10" s="1">
        <v>48103.4</v>
      </c>
      <c r="QF10" s="1">
        <v>48116.9</v>
      </c>
      <c r="QG10" s="1">
        <v>48133.5</v>
      </c>
      <c r="QH10" s="1">
        <v>48149.4</v>
      </c>
      <c r="QI10" s="1">
        <v>48165.3</v>
      </c>
      <c r="QJ10" s="1">
        <v>48180.7</v>
      </c>
      <c r="QK10" s="1">
        <v>48196.3</v>
      </c>
      <c r="QL10" s="1">
        <v>48211.5</v>
      </c>
      <c r="QM10" s="1">
        <v>48225.9</v>
      </c>
      <c r="QN10" s="1">
        <v>48238.7</v>
      </c>
      <c r="QO10" s="1">
        <v>48250.9</v>
      </c>
      <c r="QP10" s="1">
        <v>48261.8</v>
      </c>
      <c r="QQ10" s="1">
        <v>48272.800000000003</v>
      </c>
      <c r="QR10" s="1">
        <v>48283.5</v>
      </c>
      <c r="QS10" s="1">
        <v>48293.9</v>
      </c>
      <c r="QT10" s="1">
        <v>48304.6</v>
      </c>
      <c r="QU10" s="1">
        <v>48314.9</v>
      </c>
      <c r="QV10" s="1">
        <v>48325.4</v>
      </c>
      <c r="QW10" s="1">
        <v>48336.3</v>
      </c>
      <c r="QX10" s="1">
        <v>48346.400000000001</v>
      </c>
      <c r="QY10" s="1">
        <v>48356.6</v>
      </c>
      <c r="QZ10" s="1">
        <v>48366.9</v>
      </c>
      <c r="RA10" s="1">
        <v>48377.1</v>
      </c>
      <c r="RB10" s="1">
        <v>48387.4</v>
      </c>
      <c r="RC10" s="1">
        <v>48398.1</v>
      </c>
      <c r="RD10" s="1">
        <v>48409.8</v>
      </c>
      <c r="RE10" s="1">
        <v>48424</v>
      </c>
      <c r="RF10" s="1">
        <v>48435.6</v>
      </c>
      <c r="RG10" s="1">
        <v>48448.3</v>
      </c>
      <c r="RH10" s="1">
        <v>48462.6</v>
      </c>
      <c r="RI10" s="1">
        <v>48476</v>
      </c>
      <c r="RJ10" s="1">
        <v>48488.800000000003</v>
      </c>
      <c r="RK10" s="1">
        <v>48501.3</v>
      </c>
      <c r="RL10" s="1">
        <v>48514.1</v>
      </c>
      <c r="RM10" s="1">
        <v>48526.2</v>
      </c>
      <c r="RN10" s="1">
        <v>48538.400000000001</v>
      </c>
      <c r="RO10" s="1">
        <v>48549.3</v>
      </c>
      <c r="RP10" s="1">
        <v>48560.3</v>
      </c>
      <c r="RQ10" s="1">
        <v>48570.8</v>
      </c>
      <c r="RR10" s="1">
        <v>48581</v>
      </c>
      <c r="RS10" s="1">
        <v>48591.6</v>
      </c>
      <c r="RT10" s="1">
        <v>48601.7</v>
      </c>
      <c r="RU10" s="1">
        <v>48611.9</v>
      </c>
      <c r="RV10" s="1">
        <v>48621.8</v>
      </c>
      <c r="RW10" s="1">
        <v>48631.6</v>
      </c>
      <c r="RX10" s="1">
        <v>48641.4</v>
      </c>
      <c r="RY10" s="1">
        <v>48651.1</v>
      </c>
      <c r="RZ10" s="1">
        <v>48661.4</v>
      </c>
      <c r="SA10" s="1">
        <v>48671.7</v>
      </c>
      <c r="SB10" s="1">
        <v>48682.3</v>
      </c>
      <c r="SC10" s="1">
        <v>48693.5</v>
      </c>
      <c r="SD10" s="1">
        <v>48705</v>
      </c>
      <c r="SE10" s="1">
        <v>48717</v>
      </c>
      <c r="SF10" s="1">
        <v>48729.1</v>
      </c>
      <c r="SG10" s="1">
        <v>48741.4</v>
      </c>
      <c r="SH10" s="1">
        <v>48753.5</v>
      </c>
      <c r="SI10" s="1">
        <v>48766.6</v>
      </c>
      <c r="SJ10" s="1">
        <v>48778.1</v>
      </c>
      <c r="SK10" s="1">
        <v>48789.1</v>
      </c>
      <c r="SL10" s="1">
        <v>48799.7</v>
      </c>
      <c r="SM10" s="1">
        <v>48810.2</v>
      </c>
      <c r="SN10" s="1">
        <v>48820.3</v>
      </c>
      <c r="SO10" s="1">
        <v>48830.6</v>
      </c>
      <c r="SP10" s="1">
        <v>48840.800000000003</v>
      </c>
      <c r="SQ10" s="1">
        <v>48850.7</v>
      </c>
      <c r="SR10" s="1">
        <v>48860.6</v>
      </c>
      <c r="SS10" s="1">
        <v>48870.400000000001</v>
      </c>
      <c r="ST10" s="1">
        <v>48880</v>
      </c>
      <c r="SU10" s="1">
        <v>48889.599999999999</v>
      </c>
      <c r="SV10" s="1">
        <v>48899.199999999997</v>
      </c>
      <c r="SW10" s="1">
        <v>48908.6</v>
      </c>
      <c r="SX10" s="1">
        <v>48918.2</v>
      </c>
      <c r="SY10" s="1">
        <v>48928.2</v>
      </c>
      <c r="SZ10" s="1">
        <v>48938.6</v>
      </c>
      <c r="TA10" s="1">
        <v>48949.9</v>
      </c>
      <c r="TB10" s="1">
        <v>48961.5</v>
      </c>
      <c r="TC10" s="1">
        <v>48973.3</v>
      </c>
      <c r="TD10" s="1">
        <v>48985</v>
      </c>
      <c r="TE10" s="1">
        <v>48997</v>
      </c>
      <c r="TF10" s="1">
        <v>49009.5</v>
      </c>
      <c r="TG10" s="1">
        <v>49022.3</v>
      </c>
      <c r="TH10" s="1">
        <v>49034.400000000001</v>
      </c>
      <c r="TI10" s="1">
        <v>49045.9</v>
      </c>
      <c r="TJ10" s="1">
        <v>49056.5</v>
      </c>
      <c r="TK10" s="1">
        <v>49066.6</v>
      </c>
      <c r="TL10" s="1">
        <v>49076.800000000003</v>
      </c>
      <c r="TM10" s="1">
        <v>49087</v>
      </c>
      <c r="TN10" s="1">
        <v>49096.9</v>
      </c>
      <c r="TO10" s="1">
        <v>49106.9</v>
      </c>
      <c r="TP10" s="1">
        <v>49116.7</v>
      </c>
      <c r="TQ10" s="1">
        <v>49126.400000000001</v>
      </c>
      <c r="TR10" s="1">
        <v>49136.1</v>
      </c>
      <c r="TS10" s="1">
        <v>49145.4</v>
      </c>
      <c r="TT10" s="1">
        <v>49156.1</v>
      </c>
      <c r="TU10" s="1">
        <v>49166</v>
      </c>
      <c r="TV10" s="1">
        <v>49176.3</v>
      </c>
      <c r="TW10" s="1">
        <v>49187</v>
      </c>
      <c r="TX10" s="1">
        <v>49198.400000000001</v>
      </c>
      <c r="TY10" s="1">
        <v>49214.3</v>
      </c>
      <c r="TZ10" s="1">
        <v>49228.7</v>
      </c>
      <c r="UA10" s="1">
        <v>49241</v>
      </c>
      <c r="UB10" s="1">
        <v>49252.9</v>
      </c>
      <c r="UC10" s="1">
        <v>49264.9</v>
      </c>
      <c r="UD10" s="1">
        <v>49278.5</v>
      </c>
      <c r="UE10" s="1">
        <v>49290.7</v>
      </c>
      <c r="UF10" s="1">
        <v>49302.8</v>
      </c>
      <c r="UG10" s="1">
        <v>49314.3</v>
      </c>
      <c r="UH10" s="1">
        <v>49325.1</v>
      </c>
      <c r="UI10" s="1">
        <v>49336</v>
      </c>
      <c r="UJ10" s="1">
        <v>49346.7</v>
      </c>
      <c r="UK10" s="1">
        <v>49357.3</v>
      </c>
      <c r="UL10" s="1">
        <v>49367.9</v>
      </c>
      <c r="UM10" s="1">
        <v>49378.2</v>
      </c>
      <c r="UN10" s="1">
        <v>49388.7</v>
      </c>
      <c r="UO10" s="1">
        <v>49399</v>
      </c>
      <c r="UP10" s="1">
        <v>49409</v>
      </c>
      <c r="UQ10" s="1">
        <v>49419.199999999997</v>
      </c>
      <c r="UR10" s="1">
        <v>49429.3</v>
      </c>
      <c r="US10" s="1">
        <v>49438.9</v>
      </c>
      <c r="UT10" s="1">
        <v>49450.6</v>
      </c>
      <c r="UU10" s="1">
        <v>49462.6</v>
      </c>
      <c r="UV10" s="1">
        <v>49474.400000000001</v>
      </c>
      <c r="UW10" s="1">
        <v>49489.599999999999</v>
      </c>
      <c r="UX10" s="1">
        <v>49505.8</v>
      </c>
      <c r="UY10" s="1">
        <v>49520.800000000003</v>
      </c>
      <c r="UZ10" s="1">
        <v>49536.3</v>
      </c>
      <c r="VA10" s="1">
        <v>49551.4</v>
      </c>
      <c r="VB10" s="1">
        <v>49564.6</v>
      </c>
      <c r="VC10" s="1">
        <v>49575.6</v>
      </c>
      <c r="VD10" s="1">
        <v>49586.6</v>
      </c>
      <c r="VE10" s="1">
        <v>49597.4</v>
      </c>
      <c r="VF10" s="1">
        <v>49608</v>
      </c>
      <c r="VG10" s="1">
        <v>49618.5</v>
      </c>
      <c r="VH10" s="1">
        <v>49628.800000000003</v>
      </c>
      <c r="VI10" s="1">
        <v>49638.6</v>
      </c>
      <c r="VJ10" s="1">
        <v>49648.4</v>
      </c>
      <c r="VK10" s="1">
        <v>49658</v>
      </c>
      <c r="VL10" s="1">
        <v>49667.5</v>
      </c>
      <c r="VM10" s="1">
        <v>49677.2</v>
      </c>
      <c r="VN10" s="1">
        <v>49686.7</v>
      </c>
      <c r="VO10" s="1">
        <v>49696.3</v>
      </c>
      <c r="VP10" s="1">
        <v>49706.1</v>
      </c>
      <c r="VQ10" s="1">
        <v>49715.3</v>
      </c>
      <c r="VR10" s="1">
        <v>49724.5</v>
      </c>
      <c r="VS10" s="1">
        <v>49733.7</v>
      </c>
      <c r="VT10" s="1">
        <v>49743.6</v>
      </c>
      <c r="VU10" s="1">
        <v>49755.7</v>
      </c>
      <c r="VV10" s="1">
        <v>49769.599999999999</v>
      </c>
      <c r="VW10" s="1">
        <v>49783.199999999997</v>
      </c>
      <c r="VX10" s="1">
        <v>49797</v>
      </c>
      <c r="VY10" s="1">
        <v>49811.199999999997</v>
      </c>
      <c r="VZ10" s="1">
        <v>49823.5</v>
      </c>
      <c r="WA10" s="1">
        <v>49835.5</v>
      </c>
      <c r="WB10" s="1">
        <v>49848.2</v>
      </c>
      <c r="WC10" s="1">
        <v>49861.1</v>
      </c>
      <c r="WD10" s="1">
        <v>49872.1</v>
      </c>
      <c r="WE10" s="1">
        <v>49882.2</v>
      </c>
      <c r="WF10" s="1">
        <v>49892.1</v>
      </c>
      <c r="WG10" s="1">
        <v>49902.1</v>
      </c>
      <c r="WH10" s="1">
        <v>49912</v>
      </c>
      <c r="WI10" s="1">
        <v>49921.599999999999</v>
      </c>
      <c r="WJ10" s="1">
        <v>49931.1</v>
      </c>
      <c r="WK10" s="1">
        <v>49940.7</v>
      </c>
      <c r="WL10" s="1">
        <v>49950.1</v>
      </c>
      <c r="WM10" s="1">
        <v>49959.5</v>
      </c>
      <c r="WN10" s="1">
        <v>49968.7</v>
      </c>
      <c r="WO10" s="1">
        <v>49977.8</v>
      </c>
      <c r="WP10" s="1">
        <v>49986.3</v>
      </c>
      <c r="WQ10" s="1">
        <v>49995.8</v>
      </c>
      <c r="WR10" s="1">
        <v>50000.6</v>
      </c>
      <c r="WS10" s="1">
        <v>50006.5</v>
      </c>
      <c r="WT10" s="1">
        <v>50012.6</v>
      </c>
      <c r="WU10" s="1">
        <v>50023.4</v>
      </c>
      <c r="WV10" s="1">
        <v>50034.9</v>
      </c>
      <c r="WW10" s="1">
        <v>50047</v>
      </c>
      <c r="WX10" s="1">
        <v>50060.7</v>
      </c>
      <c r="WY10" s="1">
        <v>50071.7</v>
      </c>
      <c r="WZ10" s="1">
        <v>50080.9</v>
      </c>
      <c r="XA10" s="1">
        <v>50089.2</v>
      </c>
      <c r="XB10" s="1">
        <v>50096.800000000003</v>
      </c>
      <c r="XC10" s="1">
        <v>50104.1</v>
      </c>
      <c r="XD10" s="1">
        <v>50110.8</v>
      </c>
      <c r="XE10" s="1">
        <v>50117.4</v>
      </c>
      <c r="XF10" s="1">
        <v>50123.7</v>
      </c>
      <c r="XG10" s="1">
        <v>50129.7</v>
      </c>
      <c r="XH10" s="1">
        <v>50135.9</v>
      </c>
      <c r="XI10" s="1">
        <v>50142</v>
      </c>
      <c r="XJ10" s="1">
        <v>50147.7</v>
      </c>
      <c r="XK10" s="1">
        <v>50153.599999999999</v>
      </c>
      <c r="XL10" s="1">
        <v>50159.5</v>
      </c>
      <c r="XM10" s="1">
        <v>50165.2</v>
      </c>
      <c r="XN10" s="1">
        <v>50171.4</v>
      </c>
      <c r="XO10" s="1">
        <v>50178.3</v>
      </c>
      <c r="XP10" s="1">
        <v>50185.1</v>
      </c>
      <c r="XQ10" s="1">
        <v>50193.7</v>
      </c>
      <c r="XR10" s="1">
        <v>50203.1</v>
      </c>
      <c r="XS10" s="1">
        <v>50213.4</v>
      </c>
      <c r="XT10" s="1">
        <v>50223.199999999997</v>
      </c>
      <c r="XU10" s="1">
        <v>50234.1</v>
      </c>
      <c r="XV10" s="1">
        <v>50245.599999999999</v>
      </c>
      <c r="XW10" s="1">
        <v>50256</v>
      </c>
      <c r="XX10" s="1">
        <v>50265.3</v>
      </c>
      <c r="XY10" s="1">
        <v>50273.8</v>
      </c>
      <c r="XZ10" s="1">
        <v>50282.1</v>
      </c>
      <c r="YA10" s="1">
        <v>50290.3</v>
      </c>
      <c r="YB10" s="1">
        <v>50297.599999999999</v>
      </c>
      <c r="YC10" s="1">
        <v>50304.4</v>
      </c>
      <c r="YD10" s="1">
        <v>50311.1</v>
      </c>
      <c r="YE10" s="1">
        <v>50317.8</v>
      </c>
      <c r="YF10" s="1">
        <v>50324.3</v>
      </c>
      <c r="YG10" s="1">
        <v>50331</v>
      </c>
      <c r="YH10" s="1">
        <v>50337.2</v>
      </c>
      <c r="YI10" s="1">
        <v>50343.5</v>
      </c>
      <c r="YJ10" s="1">
        <v>50349.3</v>
      </c>
      <c r="YK10" s="1">
        <v>50355.6</v>
      </c>
      <c r="YL10" s="1">
        <v>50362.1</v>
      </c>
      <c r="YM10" s="1">
        <v>50368.800000000003</v>
      </c>
      <c r="YN10" s="1">
        <v>50375.7</v>
      </c>
      <c r="YO10" s="1">
        <v>50382.5</v>
      </c>
      <c r="YP10" s="1">
        <v>50389.9</v>
      </c>
      <c r="YQ10" s="1">
        <v>50397.9</v>
      </c>
      <c r="YR10" s="1">
        <v>50406.3</v>
      </c>
      <c r="YS10" s="1">
        <v>50415.199999999997</v>
      </c>
      <c r="YT10" s="1">
        <v>50424.6</v>
      </c>
      <c r="YU10" s="1">
        <v>50433</v>
      </c>
      <c r="YV10" s="1">
        <v>50440.6</v>
      </c>
      <c r="YW10" s="1">
        <v>50448</v>
      </c>
      <c r="YX10" s="1">
        <v>50456</v>
      </c>
      <c r="YY10" s="1">
        <v>50463.3</v>
      </c>
      <c r="YZ10" s="1">
        <v>50470.3</v>
      </c>
      <c r="ZA10" s="1">
        <v>50477.3</v>
      </c>
      <c r="ZB10" s="1">
        <v>50484</v>
      </c>
      <c r="ZC10" s="1">
        <v>50490.8</v>
      </c>
      <c r="ZD10" s="1">
        <v>50497.3</v>
      </c>
      <c r="ZE10" s="1">
        <v>50503.6</v>
      </c>
      <c r="ZF10" s="1">
        <v>50510.2</v>
      </c>
      <c r="ZG10" s="1">
        <v>50516.2</v>
      </c>
      <c r="ZH10" s="1">
        <v>50522.400000000001</v>
      </c>
      <c r="ZI10" s="1">
        <v>50528.4</v>
      </c>
      <c r="ZJ10" s="1">
        <v>50535</v>
      </c>
      <c r="ZK10" s="1">
        <v>50541.599999999999</v>
      </c>
      <c r="ZL10" s="1">
        <v>50548.6</v>
      </c>
      <c r="ZM10" s="1">
        <v>50555.7</v>
      </c>
      <c r="ZN10" s="1">
        <v>50562.9</v>
      </c>
      <c r="ZO10" s="1">
        <v>50570.6</v>
      </c>
      <c r="ZP10" s="1">
        <v>50578.7</v>
      </c>
      <c r="ZQ10" s="1">
        <v>50586.9</v>
      </c>
      <c r="ZR10" s="1">
        <v>50594.7</v>
      </c>
      <c r="ZS10" s="1">
        <v>50602.3</v>
      </c>
      <c r="ZT10" s="1">
        <v>50609.3</v>
      </c>
      <c r="ZU10" s="1">
        <v>50616</v>
      </c>
      <c r="ZV10" s="1">
        <v>50622.7</v>
      </c>
      <c r="ZW10" s="1">
        <v>50629.2</v>
      </c>
      <c r="ZX10" s="1">
        <v>50635.6</v>
      </c>
      <c r="ZY10" s="1">
        <v>50642.400000000001</v>
      </c>
      <c r="ZZ10" s="1">
        <v>50648.800000000003</v>
      </c>
      <c r="AAA10" s="1">
        <v>50655.5</v>
      </c>
      <c r="AAB10" s="1">
        <v>50661.9</v>
      </c>
      <c r="AAC10" s="1">
        <v>50668</v>
      </c>
      <c r="AAD10" s="1">
        <v>50674.400000000001</v>
      </c>
      <c r="AAE10" s="1">
        <v>50680.3</v>
      </c>
      <c r="AAF10" s="1">
        <v>50686.400000000001</v>
      </c>
      <c r="AAG10" s="1">
        <v>50692.4</v>
      </c>
      <c r="AAH10" s="1">
        <v>50698.7</v>
      </c>
      <c r="AAI10" s="1">
        <v>50705.5</v>
      </c>
      <c r="AAJ10" s="1">
        <v>50712.6</v>
      </c>
      <c r="AAK10" s="1">
        <v>50724.6</v>
      </c>
      <c r="AAL10" s="1">
        <v>50737.9</v>
      </c>
      <c r="AAM10" s="1">
        <v>50749.599999999999</v>
      </c>
      <c r="AAN10" s="1">
        <v>50760.800000000003</v>
      </c>
      <c r="AAO10" s="1">
        <v>50775.6</v>
      </c>
      <c r="AAP10" s="1">
        <v>50792</v>
      </c>
      <c r="AAQ10" s="1">
        <v>50803.199999999997</v>
      </c>
      <c r="AAR10" s="1">
        <v>50811.1</v>
      </c>
      <c r="AAS10" s="1">
        <v>50818.8</v>
      </c>
      <c r="AAT10" s="1">
        <v>50825.7</v>
      </c>
      <c r="AAU10" s="1">
        <v>50833.2</v>
      </c>
      <c r="AAV10" s="1">
        <v>50840.6</v>
      </c>
      <c r="AAW10" s="1">
        <v>50847.4</v>
      </c>
      <c r="AAX10" s="1">
        <v>50854.400000000001</v>
      </c>
    </row>
    <row r="11" spans="1:750">
      <c r="A11" s="1">
        <v>10</v>
      </c>
      <c r="B11" s="1" t="s">
        <v>2</v>
      </c>
      <c r="C11" s="1" t="s">
        <v>3</v>
      </c>
      <c r="D11" s="1" t="s">
        <v>14</v>
      </c>
      <c r="E11" s="1" t="s">
        <v>5</v>
      </c>
      <c r="F11" s="1">
        <v>86616.8</v>
      </c>
      <c r="G11" s="1">
        <v>86621.1</v>
      </c>
      <c r="H11" s="1">
        <v>86625.5</v>
      </c>
      <c r="I11" s="1">
        <v>86629.9</v>
      </c>
      <c r="J11" s="1">
        <v>86634.8</v>
      </c>
      <c r="K11" s="1">
        <v>86639.3</v>
      </c>
      <c r="L11" s="1">
        <v>86643.199999999997</v>
      </c>
      <c r="M11" s="1">
        <v>86645.8</v>
      </c>
      <c r="N11" s="1">
        <v>86646.1</v>
      </c>
      <c r="O11" s="1">
        <v>86646.1</v>
      </c>
      <c r="P11" s="1">
        <v>86646.1</v>
      </c>
      <c r="Q11" s="1">
        <v>86648.5</v>
      </c>
      <c r="R11" s="1">
        <v>86649.5</v>
      </c>
      <c r="S11" s="1">
        <v>86651.9</v>
      </c>
      <c r="T11" s="1">
        <v>86653.6</v>
      </c>
      <c r="U11" s="1">
        <v>86658.7</v>
      </c>
      <c r="V11" s="1">
        <v>86664.6</v>
      </c>
      <c r="W11" s="1">
        <v>86677.5</v>
      </c>
      <c r="X11" s="1">
        <v>86697.1</v>
      </c>
      <c r="Y11" s="1">
        <v>86717.6</v>
      </c>
      <c r="Z11" s="1">
        <v>86722.4</v>
      </c>
      <c r="AA11" s="1">
        <v>86726.7</v>
      </c>
      <c r="AB11" s="1">
        <v>86730.8</v>
      </c>
      <c r="AC11" s="1">
        <v>86735.1</v>
      </c>
      <c r="AD11" s="1">
        <v>86739.4</v>
      </c>
      <c r="AE11" s="1">
        <v>86743.6</v>
      </c>
      <c r="AF11" s="1">
        <v>86747.8</v>
      </c>
      <c r="AG11" s="1">
        <v>86752</v>
      </c>
      <c r="AH11" s="1">
        <v>86756.2</v>
      </c>
      <c r="AI11" s="1">
        <v>86760.3</v>
      </c>
      <c r="AJ11" s="1">
        <v>86764.3</v>
      </c>
      <c r="AK11" s="1">
        <v>86767.2</v>
      </c>
      <c r="AL11" s="1">
        <v>86768.9</v>
      </c>
      <c r="AM11" s="1">
        <v>86776.9</v>
      </c>
      <c r="AN11" s="1">
        <v>86790.2</v>
      </c>
      <c r="AO11" s="1">
        <v>86806.1</v>
      </c>
      <c r="AP11" s="1">
        <v>86822.9</v>
      </c>
      <c r="AQ11" s="1">
        <v>86841.4</v>
      </c>
      <c r="AR11" s="1">
        <v>86857</v>
      </c>
      <c r="AS11" s="1">
        <v>86872.3</v>
      </c>
      <c r="AT11" s="1">
        <v>86892</v>
      </c>
      <c r="AU11" s="1">
        <v>86915.3</v>
      </c>
      <c r="AV11" s="1">
        <v>86934.8</v>
      </c>
      <c r="AW11" s="1">
        <v>86952.7</v>
      </c>
      <c r="AX11" s="1">
        <v>86970</v>
      </c>
      <c r="AY11" s="1">
        <v>86987.5</v>
      </c>
      <c r="AZ11" s="1">
        <v>86997.1</v>
      </c>
      <c r="BA11" s="1">
        <v>87000.9</v>
      </c>
      <c r="BB11" s="1">
        <v>87004.2</v>
      </c>
      <c r="BC11" s="1">
        <v>87007.6</v>
      </c>
      <c r="BD11" s="1">
        <v>87011</v>
      </c>
      <c r="BE11" s="1">
        <v>87014.399999999994</v>
      </c>
      <c r="BF11" s="1">
        <v>87018.2</v>
      </c>
      <c r="BG11" s="1">
        <v>87021.6</v>
      </c>
      <c r="BH11" s="1">
        <v>87024.7</v>
      </c>
      <c r="BI11" s="1">
        <v>87027.3</v>
      </c>
      <c r="BJ11" s="1">
        <v>87028.3</v>
      </c>
      <c r="BK11" s="1">
        <v>87029.7</v>
      </c>
      <c r="BL11" s="1">
        <v>87029.9</v>
      </c>
      <c r="BM11" s="1">
        <v>87031.1</v>
      </c>
      <c r="BN11" s="1">
        <v>87033.600000000006</v>
      </c>
      <c r="BO11" s="1">
        <v>87035.3</v>
      </c>
      <c r="BP11" s="1">
        <v>87040.6</v>
      </c>
      <c r="BQ11" s="1">
        <v>87050.8</v>
      </c>
      <c r="BR11" s="1">
        <v>87057.5</v>
      </c>
      <c r="BS11" s="1">
        <v>87062</v>
      </c>
      <c r="BT11" s="1">
        <v>87066.1</v>
      </c>
      <c r="BU11" s="1">
        <v>87069.2</v>
      </c>
      <c r="BV11" s="1">
        <v>87072.9</v>
      </c>
      <c r="BW11" s="1">
        <v>87076.4</v>
      </c>
      <c r="BX11" s="1">
        <v>87079.8</v>
      </c>
      <c r="BY11" s="1">
        <v>87083.199999999997</v>
      </c>
      <c r="BZ11" s="1">
        <v>87086.9</v>
      </c>
      <c r="CA11" s="1">
        <v>87090.3</v>
      </c>
      <c r="CB11" s="1">
        <v>87093.7</v>
      </c>
      <c r="CC11" s="1">
        <v>87097</v>
      </c>
      <c r="CD11" s="1">
        <v>87100.3</v>
      </c>
      <c r="CE11" s="1">
        <v>87103.7</v>
      </c>
      <c r="CF11" s="1">
        <v>87106.8</v>
      </c>
      <c r="CG11" s="1">
        <v>87109.3</v>
      </c>
      <c r="CH11" s="1">
        <v>87110.1</v>
      </c>
      <c r="CI11" s="1">
        <v>87113.1</v>
      </c>
      <c r="CJ11" s="1">
        <v>87114.3</v>
      </c>
      <c r="CK11" s="1">
        <v>87117.2</v>
      </c>
      <c r="CL11" s="1">
        <v>87117.7</v>
      </c>
      <c r="CM11" s="1">
        <v>87121.9</v>
      </c>
      <c r="CN11" s="1">
        <v>87122.5</v>
      </c>
      <c r="CO11" s="1">
        <v>87127.9</v>
      </c>
      <c r="CP11" s="1">
        <v>87129.4</v>
      </c>
      <c r="CQ11" s="1">
        <v>87135.5</v>
      </c>
      <c r="CR11" s="1">
        <v>87139</v>
      </c>
      <c r="CS11" s="1">
        <v>87142.5</v>
      </c>
      <c r="CT11" s="1">
        <v>87146</v>
      </c>
      <c r="CU11" s="1">
        <v>87149.6</v>
      </c>
      <c r="CV11" s="1">
        <v>87152.9</v>
      </c>
      <c r="CW11" s="1">
        <v>87156.2</v>
      </c>
      <c r="CX11" s="1">
        <v>87159.8</v>
      </c>
      <c r="CY11" s="1">
        <v>87163.199999999997</v>
      </c>
      <c r="CZ11" s="1">
        <v>87166.399999999994</v>
      </c>
      <c r="DA11" s="1">
        <v>87169.7</v>
      </c>
      <c r="DB11" s="1">
        <v>87172.9</v>
      </c>
      <c r="DC11" s="1">
        <v>87176.2</v>
      </c>
      <c r="DD11" s="1">
        <v>87179.3</v>
      </c>
      <c r="DE11" s="1">
        <v>87182.399999999994</v>
      </c>
      <c r="DF11" s="1">
        <v>87185.5</v>
      </c>
      <c r="DG11" s="1">
        <v>87191.6</v>
      </c>
      <c r="DH11" s="1">
        <v>87193.3</v>
      </c>
      <c r="DI11" s="1">
        <v>87199.8</v>
      </c>
      <c r="DJ11" s="1">
        <v>87207</v>
      </c>
      <c r="DK11" s="1">
        <v>87212.6</v>
      </c>
      <c r="DL11" s="1">
        <v>87216.7</v>
      </c>
      <c r="DM11" s="1">
        <v>87219.3</v>
      </c>
      <c r="DN11" s="1">
        <v>87222.3</v>
      </c>
      <c r="DO11" s="1">
        <v>87228.7</v>
      </c>
      <c r="DP11" s="1">
        <v>87231.8</v>
      </c>
      <c r="DQ11" s="1">
        <v>87234.3</v>
      </c>
      <c r="DR11" s="1">
        <v>87237.7</v>
      </c>
      <c r="DS11" s="1">
        <v>87240.9</v>
      </c>
      <c r="DT11" s="1">
        <v>87244.3</v>
      </c>
      <c r="DU11" s="1">
        <v>87247.8</v>
      </c>
      <c r="DV11" s="1">
        <v>87251</v>
      </c>
      <c r="DW11" s="1">
        <v>87254</v>
      </c>
      <c r="DX11" s="1">
        <v>87257.2</v>
      </c>
      <c r="DY11" s="1">
        <v>87260.2</v>
      </c>
      <c r="DZ11" s="1">
        <v>87263.3</v>
      </c>
      <c r="EA11" s="1">
        <v>87266.4</v>
      </c>
      <c r="EB11" s="1">
        <v>87269.3</v>
      </c>
      <c r="EC11" s="1">
        <v>87271.4</v>
      </c>
      <c r="ED11" s="1">
        <v>87271.8</v>
      </c>
      <c r="EE11" s="1">
        <v>87273.3</v>
      </c>
      <c r="EF11" s="1">
        <v>87274.2</v>
      </c>
      <c r="EG11" s="1">
        <v>87276.800000000003</v>
      </c>
      <c r="EH11" s="1">
        <v>87279.3</v>
      </c>
      <c r="EI11" s="1">
        <v>87279.3</v>
      </c>
      <c r="EJ11" s="1">
        <v>87280.1</v>
      </c>
      <c r="EK11" s="1">
        <v>87282.9</v>
      </c>
      <c r="EL11" s="1">
        <v>87288.4</v>
      </c>
      <c r="EM11" s="1">
        <v>87295.1</v>
      </c>
      <c r="EN11" s="1">
        <v>87297.4</v>
      </c>
      <c r="EO11" s="1">
        <v>87299.5</v>
      </c>
      <c r="EP11" s="1">
        <v>87303.2</v>
      </c>
      <c r="EQ11" s="1">
        <v>87306.9</v>
      </c>
      <c r="ER11" s="1">
        <v>87310.3</v>
      </c>
      <c r="ES11" s="1">
        <v>87313.5</v>
      </c>
      <c r="ET11" s="1">
        <v>87316.5</v>
      </c>
      <c r="EU11" s="1">
        <v>87319.6</v>
      </c>
      <c r="EV11" s="1">
        <v>87322.8</v>
      </c>
      <c r="EW11" s="1">
        <v>87326</v>
      </c>
      <c r="EX11" s="1">
        <v>87329.1</v>
      </c>
      <c r="EY11" s="1">
        <v>87332</v>
      </c>
      <c r="EZ11" s="1">
        <v>87335</v>
      </c>
      <c r="FA11" s="1">
        <v>87337.600000000006</v>
      </c>
      <c r="FB11" s="1">
        <v>87339.4</v>
      </c>
      <c r="FC11" s="1">
        <v>87343.5</v>
      </c>
      <c r="FD11" s="1">
        <v>87354.9</v>
      </c>
      <c r="FE11" s="1">
        <v>87368.7</v>
      </c>
      <c r="FF11" s="1">
        <v>87382.2</v>
      </c>
      <c r="FG11" s="1">
        <v>87395.4</v>
      </c>
      <c r="FH11" s="1">
        <v>87409.4</v>
      </c>
      <c r="FI11" s="1">
        <v>87425.2</v>
      </c>
      <c r="FJ11" s="1">
        <v>87437.1</v>
      </c>
      <c r="FK11" s="1">
        <v>87448.9</v>
      </c>
      <c r="FL11" s="1">
        <v>87452.1</v>
      </c>
      <c r="FM11" s="1">
        <v>87454.8</v>
      </c>
      <c r="FN11" s="1">
        <v>87457.5</v>
      </c>
      <c r="FO11" s="1">
        <v>87460.4</v>
      </c>
      <c r="FP11" s="1">
        <v>87463.1</v>
      </c>
      <c r="FQ11" s="1">
        <v>87465.9</v>
      </c>
      <c r="FR11" s="1">
        <v>87468.7</v>
      </c>
      <c r="FS11" s="1">
        <v>87471.6</v>
      </c>
      <c r="FT11" s="1">
        <v>87474.7</v>
      </c>
      <c r="FU11" s="1">
        <v>87478.1</v>
      </c>
      <c r="FV11" s="1">
        <v>87481.2</v>
      </c>
      <c r="FW11" s="1">
        <v>87484.3</v>
      </c>
      <c r="FX11" s="1">
        <v>87487.5</v>
      </c>
      <c r="FY11" s="1">
        <v>87490.4</v>
      </c>
      <c r="FZ11" s="1">
        <v>87493.9</v>
      </c>
      <c r="GA11" s="1">
        <v>87496.4</v>
      </c>
      <c r="GB11" s="1">
        <v>87498.7</v>
      </c>
      <c r="GC11" s="1">
        <v>87501.5</v>
      </c>
      <c r="GD11" s="1">
        <v>87504.6</v>
      </c>
      <c r="GE11" s="1">
        <v>87508</v>
      </c>
      <c r="GF11" s="1">
        <v>87511.2</v>
      </c>
      <c r="GG11" s="1">
        <v>87514.6</v>
      </c>
      <c r="GH11" s="1">
        <v>87517.9</v>
      </c>
      <c r="GI11" s="1">
        <v>87521.7</v>
      </c>
      <c r="GJ11" s="1">
        <v>87525.4</v>
      </c>
      <c r="GK11" s="1">
        <v>87529.2</v>
      </c>
      <c r="GL11" s="1">
        <v>87533.2</v>
      </c>
      <c r="GM11" s="1">
        <v>87537.1</v>
      </c>
      <c r="GN11" s="1">
        <v>87541</v>
      </c>
      <c r="GO11" s="1">
        <v>87545</v>
      </c>
      <c r="GP11" s="1">
        <v>87548.800000000003</v>
      </c>
      <c r="GQ11" s="1">
        <v>87552.9</v>
      </c>
      <c r="GR11" s="1">
        <v>87557.1</v>
      </c>
      <c r="GS11" s="1">
        <v>87561</v>
      </c>
      <c r="GT11" s="1">
        <v>87564.800000000003</v>
      </c>
      <c r="GU11" s="1">
        <v>87568.9</v>
      </c>
      <c r="GV11" s="1">
        <v>87572.800000000003</v>
      </c>
      <c r="GW11" s="1">
        <v>87576.8</v>
      </c>
      <c r="GX11" s="1">
        <v>87580.3</v>
      </c>
      <c r="GY11" s="1">
        <v>87583.2</v>
      </c>
      <c r="GZ11" s="1">
        <v>87585.1</v>
      </c>
      <c r="HA11" s="1">
        <v>87585.4</v>
      </c>
      <c r="HB11" s="1">
        <v>87585.4</v>
      </c>
      <c r="HC11" s="1">
        <v>87585.4</v>
      </c>
      <c r="HD11" s="1">
        <v>87586.1</v>
      </c>
      <c r="HE11" s="1">
        <v>87587.199999999997</v>
      </c>
      <c r="HF11" s="1">
        <v>87589.7</v>
      </c>
      <c r="HG11" s="1">
        <v>87593.3</v>
      </c>
      <c r="HH11" s="1">
        <v>87596.800000000003</v>
      </c>
      <c r="HI11" s="1">
        <v>87600.1</v>
      </c>
      <c r="HJ11" s="1">
        <v>87603.5</v>
      </c>
      <c r="HK11" s="1">
        <v>87607</v>
      </c>
      <c r="HL11" s="1">
        <v>87610.5</v>
      </c>
      <c r="HM11" s="1">
        <v>87614</v>
      </c>
      <c r="HN11" s="1">
        <v>87617.4</v>
      </c>
      <c r="HO11" s="1">
        <v>87621.1</v>
      </c>
      <c r="HP11" s="1">
        <v>87624.6</v>
      </c>
      <c r="HQ11" s="1">
        <v>87627.8</v>
      </c>
      <c r="HR11" s="1">
        <v>87631</v>
      </c>
      <c r="HS11" s="1">
        <v>87634.1</v>
      </c>
      <c r="HT11" s="1">
        <v>87637.1</v>
      </c>
      <c r="HU11" s="1">
        <v>87639.9</v>
      </c>
      <c r="HV11" s="1">
        <v>87642.3</v>
      </c>
      <c r="HW11" s="1">
        <v>87642.4</v>
      </c>
      <c r="HX11" s="1">
        <v>87642.4</v>
      </c>
      <c r="HY11" s="1">
        <v>87642.4</v>
      </c>
      <c r="HZ11" s="1">
        <v>87642.4</v>
      </c>
      <c r="IA11" s="1">
        <v>87642.4</v>
      </c>
      <c r="IB11" s="1">
        <v>87642.4</v>
      </c>
      <c r="IC11" s="1">
        <v>87642.4</v>
      </c>
      <c r="ID11" s="1">
        <v>87642.4</v>
      </c>
      <c r="IE11" s="1">
        <v>87642.4</v>
      </c>
      <c r="IF11" s="1">
        <v>87644.3</v>
      </c>
      <c r="IG11" s="1">
        <v>87646.8</v>
      </c>
      <c r="IH11" s="1">
        <v>87649.9</v>
      </c>
      <c r="II11" s="1">
        <v>87653.4</v>
      </c>
      <c r="IJ11" s="1">
        <v>87656.8</v>
      </c>
      <c r="IK11" s="1">
        <v>87659.9</v>
      </c>
      <c r="IL11" s="1">
        <v>87662.9</v>
      </c>
      <c r="IM11" s="1">
        <v>87666</v>
      </c>
      <c r="IN11" s="1">
        <v>87669</v>
      </c>
      <c r="IO11" s="1">
        <v>87672.1</v>
      </c>
      <c r="IP11" s="1">
        <v>87675</v>
      </c>
      <c r="IQ11" s="1">
        <v>87678.2</v>
      </c>
      <c r="IR11" s="1">
        <v>87681.600000000006</v>
      </c>
      <c r="IS11" s="1">
        <v>87683.9</v>
      </c>
      <c r="IT11" s="1">
        <v>87684.5</v>
      </c>
      <c r="IU11" s="1">
        <v>87684.5</v>
      </c>
      <c r="IV11" s="1">
        <v>87684.5</v>
      </c>
      <c r="IW11" s="1">
        <v>87684.5</v>
      </c>
      <c r="IX11" s="1">
        <v>87684.5</v>
      </c>
      <c r="IY11" s="1">
        <v>87684.5</v>
      </c>
      <c r="IZ11" s="1">
        <v>87684.5</v>
      </c>
      <c r="JA11" s="1">
        <v>87684.5</v>
      </c>
      <c r="JB11" s="1">
        <v>87684.5</v>
      </c>
      <c r="JC11" s="1">
        <v>87684.5</v>
      </c>
      <c r="JD11" s="1">
        <v>87685.3</v>
      </c>
      <c r="JE11" s="1">
        <v>87687.7</v>
      </c>
      <c r="JF11" s="1">
        <v>87691</v>
      </c>
      <c r="JG11" s="1">
        <v>87694.5</v>
      </c>
      <c r="JH11" s="1">
        <v>87697.5</v>
      </c>
      <c r="JI11" s="1">
        <v>87700.5</v>
      </c>
      <c r="JJ11" s="1">
        <v>87703.3</v>
      </c>
      <c r="JK11" s="1">
        <v>87706.2</v>
      </c>
      <c r="JL11" s="1">
        <v>87709.1</v>
      </c>
      <c r="JM11" s="1">
        <v>87712</v>
      </c>
      <c r="JN11" s="1">
        <v>87714.9</v>
      </c>
      <c r="JO11" s="1">
        <v>87717.7</v>
      </c>
      <c r="JP11" s="1">
        <v>87720.4</v>
      </c>
      <c r="JQ11" s="1">
        <v>87722.5</v>
      </c>
      <c r="JR11" s="1">
        <v>87722.9</v>
      </c>
      <c r="JS11" s="1">
        <v>87722.9</v>
      </c>
      <c r="JT11" s="1">
        <v>87722.9</v>
      </c>
      <c r="JU11" s="1">
        <v>87722.9</v>
      </c>
      <c r="JV11" s="1">
        <v>87722.9</v>
      </c>
      <c r="JW11" s="1">
        <v>87722.9</v>
      </c>
      <c r="JX11" s="1">
        <v>87722.9</v>
      </c>
      <c r="JY11" s="1">
        <v>87722.9</v>
      </c>
      <c r="JZ11" s="1">
        <v>87722.9</v>
      </c>
      <c r="KA11" s="1">
        <v>87722.9</v>
      </c>
      <c r="KB11" s="1">
        <v>87724.4</v>
      </c>
      <c r="KC11" s="1">
        <v>87727.4</v>
      </c>
      <c r="KD11" s="1">
        <v>87730.4</v>
      </c>
      <c r="KE11" s="1">
        <v>87733.4</v>
      </c>
      <c r="KF11" s="1">
        <v>87736.4</v>
      </c>
      <c r="KG11" s="1">
        <v>87739.4</v>
      </c>
      <c r="KH11" s="1">
        <v>87742.399999999994</v>
      </c>
      <c r="KI11" s="1">
        <v>87745.3</v>
      </c>
      <c r="KJ11" s="1">
        <v>87748.3</v>
      </c>
      <c r="KK11" s="1">
        <v>87751.7</v>
      </c>
      <c r="KL11" s="1">
        <v>87754.9</v>
      </c>
      <c r="KM11" s="1">
        <v>87757.8</v>
      </c>
      <c r="KN11" s="1">
        <v>87760.6</v>
      </c>
      <c r="KO11" s="1">
        <v>87762.9</v>
      </c>
      <c r="KP11" s="1">
        <v>87763.5</v>
      </c>
      <c r="KQ11" s="1">
        <v>87763.5</v>
      </c>
      <c r="KR11" s="1">
        <v>87763.5</v>
      </c>
      <c r="KS11" s="1">
        <v>87763.5</v>
      </c>
      <c r="KT11" s="1">
        <v>87763.5</v>
      </c>
      <c r="KU11" s="1">
        <v>87763.5</v>
      </c>
      <c r="KV11" s="1">
        <v>87763.5</v>
      </c>
      <c r="KW11" s="1">
        <v>87763.5</v>
      </c>
      <c r="KX11" s="1">
        <v>87763.5</v>
      </c>
      <c r="KY11" s="1">
        <v>87763.6</v>
      </c>
      <c r="KZ11" s="1">
        <v>87765.1</v>
      </c>
      <c r="LA11" s="1">
        <v>87767.9</v>
      </c>
      <c r="LB11" s="1">
        <v>87770.9</v>
      </c>
      <c r="LC11" s="1">
        <v>87774</v>
      </c>
      <c r="LD11" s="1">
        <v>87776.9</v>
      </c>
      <c r="LE11" s="1">
        <v>87779.9</v>
      </c>
      <c r="LF11" s="1">
        <v>87783</v>
      </c>
      <c r="LG11" s="1">
        <v>87786.3</v>
      </c>
      <c r="LH11" s="1">
        <v>87789.9</v>
      </c>
      <c r="LI11" s="1">
        <v>87793.3</v>
      </c>
      <c r="LJ11" s="1">
        <v>87796.5</v>
      </c>
      <c r="LK11" s="1">
        <v>87799.4</v>
      </c>
      <c r="LL11" s="1">
        <v>87802.2</v>
      </c>
      <c r="LM11" s="1">
        <v>87804.5</v>
      </c>
      <c r="LN11" s="1">
        <v>87805.1</v>
      </c>
      <c r="LO11" s="1">
        <v>87805.1</v>
      </c>
      <c r="LP11" s="1">
        <v>87805.1</v>
      </c>
      <c r="LQ11" s="1">
        <v>87805.1</v>
      </c>
      <c r="LR11" s="1">
        <v>87805.1</v>
      </c>
      <c r="LS11" s="1">
        <v>87805.1</v>
      </c>
      <c r="LT11" s="1">
        <v>87805.1</v>
      </c>
      <c r="LU11" s="1">
        <v>87805.1</v>
      </c>
      <c r="LV11" s="1">
        <v>87805.1</v>
      </c>
      <c r="LW11" s="1">
        <v>87805.1</v>
      </c>
      <c r="LX11" s="1">
        <v>87807</v>
      </c>
      <c r="LY11" s="1">
        <v>87810.4</v>
      </c>
      <c r="LZ11" s="1">
        <v>87813.9</v>
      </c>
      <c r="MA11" s="1">
        <v>87817</v>
      </c>
      <c r="MB11" s="1">
        <v>87820</v>
      </c>
      <c r="MC11" s="1">
        <v>87823.3</v>
      </c>
      <c r="MD11" s="1">
        <v>87826.7</v>
      </c>
      <c r="ME11" s="1">
        <v>87829.7</v>
      </c>
      <c r="MF11" s="1">
        <v>87832.7</v>
      </c>
      <c r="MG11" s="1">
        <v>87835.6</v>
      </c>
      <c r="MH11" s="1">
        <v>87838.5</v>
      </c>
      <c r="MI11" s="1">
        <v>87841.4</v>
      </c>
      <c r="MJ11" s="1">
        <v>87844.3</v>
      </c>
      <c r="MK11" s="1">
        <v>87846.399999999994</v>
      </c>
      <c r="ML11" s="1">
        <v>87846.399999999994</v>
      </c>
      <c r="MM11" s="1">
        <v>87846.399999999994</v>
      </c>
      <c r="MN11" s="1">
        <v>87846.399999999994</v>
      </c>
      <c r="MO11" s="1">
        <v>87846.399999999994</v>
      </c>
      <c r="MP11" s="1">
        <v>87846.399999999994</v>
      </c>
      <c r="MQ11" s="1">
        <v>87846.399999999994</v>
      </c>
      <c r="MR11" s="1">
        <v>87846.399999999994</v>
      </c>
      <c r="MS11" s="1">
        <v>87846.399999999994</v>
      </c>
      <c r="MT11" s="1">
        <v>87846.399999999994</v>
      </c>
      <c r="MU11" s="1">
        <v>87846.399999999994</v>
      </c>
      <c r="MV11" s="1">
        <v>87848.2</v>
      </c>
      <c r="MW11" s="1">
        <v>87851.4</v>
      </c>
      <c r="MX11" s="1">
        <v>87854.5</v>
      </c>
      <c r="MY11" s="1">
        <v>87858</v>
      </c>
      <c r="MZ11" s="1">
        <v>87861.5</v>
      </c>
      <c r="NA11" s="1">
        <v>87864.7</v>
      </c>
      <c r="NB11" s="1">
        <v>87867.6</v>
      </c>
      <c r="NC11" s="1">
        <v>87870.5</v>
      </c>
      <c r="ND11" s="1">
        <v>87873.4</v>
      </c>
      <c r="NE11" s="1">
        <v>87876.800000000003</v>
      </c>
      <c r="NF11" s="1">
        <v>87880.1</v>
      </c>
      <c r="NG11" s="1">
        <v>87882.9</v>
      </c>
      <c r="NH11" s="1">
        <v>87885.7</v>
      </c>
      <c r="NI11" s="1">
        <v>87888.2</v>
      </c>
      <c r="NJ11" s="1">
        <v>87888.7</v>
      </c>
      <c r="NK11" s="1">
        <v>87888.7</v>
      </c>
      <c r="NL11" s="1">
        <v>87888.7</v>
      </c>
      <c r="NM11" s="1">
        <v>87888.7</v>
      </c>
      <c r="NN11" s="1">
        <v>87888.7</v>
      </c>
      <c r="NO11" s="1">
        <v>87888.7</v>
      </c>
      <c r="NP11" s="1">
        <v>87888.7</v>
      </c>
      <c r="NQ11" s="1">
        <v>87888.7</v>
      </c>
      <c r="NR11" s="1">
        <v>87888.7</v>
      </c>
      <c r="NS11" s="1">
        <v>87888.7</v>
      </c>
      <c r="NT11" s="1">
        <v>87889.2</v>
      </c>
      <c r="NU11" s="1">
        <v>87891.4</v>
      </c>
      <c r="NV11" s="1">
        <v>87894.5</v>
      </c>
      <c r="NW11" s="1">
        <v>87897.5</v>
      </c>
      <c r="NX11" s="1">
        <v>87900.5</v>
      </c>
      <c r="NY11" s="1">
        <v>87903.5</v>
      </c>
      <c r="NZ11" s="1">
        <v>87906.4</v>
      </c>
      <c r="OA11" s="1">
        <v>87909.4</v>
      </c>
      <c r="OB11" s="1">
        <v>87912.8</v>
      </c>
      <c r="OC11" s="1">
        <v>87916.1</v>
      </c>
      <c r="OD11" s="1">
        <v>87919.1</v>
      </c>
      <c r="OE11" s="1">
        <v>87922</v>
      </c>
      <c r="OF11" s="1">
        <v>87924.800000000003</v>
      </c>
      <c r="OG11" s="1">
        <v>87926.8</v>
      </c>
      <c r="OH11" s="1">
        <v>87926.9</v>
      </c>
      <c r="OI11" s="1">
        <v>87927.7</v>
      </c>
      <c r="OJ11" s="1">
        <v>87928.1</v>
      </c>
      <c r="OK11" s="1">
        <v>87928.1</v>
      </c>
      <c r="OL11" s="1">
        <v>87928.1</v>
      </c>
      <c r="OM11" s="1">
        <v>87928.1</v>
      </c>
      <c r="ON11" s="1">
        <v>87928.1</v>
      </c>
      <c r="OO11" s="1">
        <v>87928.1</v>
      </c>
      <c r="OP11" s="1">
        <v>87928.1</v>
      </c>
      <c r="OQ11" s="1">
        <v>87931</v>
      </c>
      <c r="OR11" s="1">
        <v>87934.2</v>
      </c>
      <c r="OS11" s="1">
        <v>87937.7</v>
      </c>
      <c r="OT11" s="1">
        <v>87941.8</v>
      </c>
      <c r="OU11" s="1">
        <v>87945.9</v>
      </c>
      <c r="OV11" s="1">
        <v>87949.8</v>
      </c>
      <c r="OW11" s="1">
        <v>87953.8</v>
      </c>
      <c r="OX11" s="1">
        <v>87957.8</v>
      </c>
      <c r="OY11" s="1">
        <v>87961.8</v>
      </c>
      <c r="OZ11" s="1">
        <v>87965.8</v>
      </c>
      <c r="PA11" s="1">
        <v>87969.9</v>
      </c>
      <c r="PB11" s="1">
        <v>87974.1</v>
      </c>
      <c r="PC11" s="1">
        <v>87977.8</v>
      </c>
      <c r="PD11" s="1">
        <v>87981</v>
      </c>
      <c r="PE11" s="1">
        <v>87983.9</v>
      </c>
      <c r="PF11" s="1">
        <v>87986.1</v>
      </c>
      <c r="PG11" s="1">
        <v>87986.4</v>
      </c>
      <c r="PH11" s="1">
        <v>87986.8</v>
      </c>
      <c r="PI11" s="1">
        <v>87987.4</v>
      </c>
      <c r="PJ11" s="1">
        <v>87987.5</v>
      </c>
      <c r="PK11" s="1">
        <v>87987.5</v>
      </c>
      <c r="PL11" s="1">
        <v>87987.6</v>
      </c>
      <c r="PM11" s="1">
        <v>87987.6</v>
      </c>
      <c r="PN11" s="1">
        <v>87988.3</v>
      </c>
      <c r="PO11" s="1">
        <v>87993.7</v>
      </c>
      <c r="PP11" s="1">
        <v>87999.5</v>
      </c>
      <c r="PQ11" s="1">
        <v>88002.7</v>
      </c>
      <c r="PR11" s="1">
        <v>88005.9</v>
      </c>
      <c r="PS11" s="1">
        <v>88009.1</v>
      </c>
      <c r="PT11" s="1">
        <v>88012.3</v>
      </c>
      <c r="PU11" s="1">
        <v>88015.5</v>
      </c>
      <c r="PV11" s="1">
        <v>88018.6</v>
      </c>
      <c r="PW11" s="1">
        <v>88021.7</v>
      </c>
      <c r="PX11" s="1">
        <v>88024.9</v>
      </c>
      <c r="PY11" s="1">
        <v>88028</v>
      </c>
      <c r="PZ11" s="1">
        <v>88031.4</v>
      </c>
      <c r="QA11" s="1">
        <v>88034.6</v>
      </c>
      <c r="QB11" s="1">
        <v>88037.6</v>
      </c>
      <c r="QC11" s="1">
        <v>88040.2</v>
      </c>
      <c r="QD11" s="1">
        <v>88041.3</v>
      </c>
      <c r="QE11" s="1">
        <v>88042.8</v>
      </c>
      <c r="QF11" s="1">
        <v>88043.199999999997</v>
      </c>
      <c r="QG11" s="1">
        <v>88043.3</v>
      </c>
      <c r="QH11" s="1">
        <v>88043.4</v>
      </c>
      <c r="QI11" s="1">
        <v>88043.4</v>
      </c>
      <c r="QJ11" s="1">
        <v>88043.6</v>
      </c>
      <c r="QK11" s="1">
        <v>88043.9</v>
      </c>
      <c r="QL11" s="1">
        <v>88043.9</v>
      </c>
      <c r="QM11" s="1">
        <v>88045.4</v>
      </c>
      <c r="QN11" s="1">
        <v>88049.2</v>
      </c>
      <c r="QO11" s="1">
        <v>88053.7</v>
      </c>
      <c r="QP11" s="1">
        <v>88057.9</v>
      </c>
      <c r="QQ11" s="1">
        <v>88062.2</v>
      </c>
      <c r="QR11" s="1">
        <v>88066.4</v>
      </c>
      <c r="QS11" s="1">
        <v>88070.5</v>
      </c>
      <c r="QT11" s="1">
        <v>88074.7</v>
      </c>
      <c r="QU11" s="1">
        <v>88078.8</v>
      </c>
      <c r="QV11" s="1">
        <v>88083</v>
      </c>
      <c r="QW11" s="1">
        <v>88086.7</v>
      </c>
      <c r="QX11" s="1">
        <v>88090.2</v>
      </c>
      <c r="QY11" s="1">
        <v>88093.8</v>
      </c>
      <c r="QZ11" s="1">
        <v>88097.4</v>
      </c>
      <c r="RA11" s="1">
        <v>88100</v>
      </c>
      <c r="RB11" s="1">
        <v>88101</v>
      </c>
      <c r="RC11" s="1">
        <v>88102.1</v>
      </c>
      <c r="RD11" s="1">
        <v>88102.3</v>
      </c>
      <c r="RE11" s="1">
        <v>88102.3</v>
      </c>
      <c r="RF11" s="1">
        <v>88102.3</v>
      </c>
      <c r="RG11" s="1">
        <v>88102.3</v>
      </c>
      <c r="RH11" s="1">
        <v>88102.3</v>
      </c>
      <c r="RI11" s="1">
        <v>88102.3</v>
      </c>
      <c r="RJ11" s="1">
        <v>88102.3</v>
      </c>
      <c r="RK11" s="1">
        <v>88103.4</v>
      </c>
      <c r="RL11" s="1">
        <v>88105.7</v>
      </c>
      <c r="RM11" s="1">
        <v>88108.9</v>
      </c>
      <c r="RN11" s="1">
        <v>88112.1</v>
      </c>
      <c r="RO11" s="1">
        <v>88115</v>
      </c>
      <c r="RP11" s="1">
        <v>88117.9</v>
      </c>
      <c r="RQ11" s="1">
        <v>88120.7</v>
      </c>
      <c r="RR11" s="1">
        <v>88124</v>
      </c>
      <c r="RS11" s="1">
        <v>88127.3</v>
      </c>
      <c r="RT11" s="1">
        <v>88130.2</v>
      </c>
      <c r="RU11" s="1">
        <v>88133</v>
      </c>
      <c r="RV11" s="1">
        <v>88135.9</v>
      </c>
      <c r="RW11" s="1">
        <v>88139.1</v>
      </c>
      <c r="RX11" s="1">
        <v>88141.9</v>
      </c>
      <c r="RY11" s="1">
        <v>88143.7</v>
      </c>
      <c r="RZ11" s="1">
        <v>88144</v>
      </c>
      <c r="SA11" s="1">
        <v>88144</v>
      </c>
      <c r="SB11" s="1">
        <v>88144</v>
      </c>
      <c r="SC11" s="1">
        <v>88144</v>
      </c>
      <c r="SD11" s="1">
        <v>88144</v>
      </c>
      <c r="SE11" s="1">
        <v>88144</v>
      </c>
      <c r="SF11" s="1">
        <v>88144</v>
      </c>
      <c r="SG11" s="1">
        <v>88144</v>
      </c>
      <c r="SH11" s="1">
        <v>88144</v>
      </c>
      <c r="SI11" s="1">
        <v>88144</v>
      </c>
      <c r="SJ11" s="1">
        <v>88145.5</v>
      </c>
      <c r="SK11" s="1">
        <v>88148.800000000003</v>
      </c>
      <c r="SL11" s="1">
        <v>88152</v>
      </c>
      <c r="SM11" s="1">
        <v>88155</v>
      </c>
      <c r="SN11" s="1">
        <v>88158.1</v>
      </c>
      <c r="SO11" s="1">
        <v>88161.3</v>
      </c>
      <c r="SP11" s="1">
        <v>88164.2</v>
      </c>
      <c r="SQ11" s="1">
        <v>88167.2</v>
      </c>
      <c r="SR11" s="1">
        <v>88170.1</v>
      </c>
      <c r="SS11" s="1">
        <v>88173</v>
      </c>
      <c r="ST11" s="1">
        <v>88175.8</v>
      </c>
      <c r="SU11" s="1">
        <v>88178.7</v>
      </c>
      <c r="SV11" s="1">
        <v>88181.5</v>
      </c>
      <c r="SW11" s="1">
        <v>88183.8</v>
      </c>
      <c r="SX11" s="1">
        <v>88184.3</v>
      </c>
      <c r="SY11" s="1">
        <v>88184.4</v>
      </c>
      <c r="SZ11" s="1">
        <v>88184.4</v>
      </c>
      <c r="TA11" s="1">
        <v>88184.4</v>
      </c>
      <c r="TB11" s="1">
        <v>88184.4</v>
      </c>
      <c r="TC11" s="1">
        <v>88184.4</v>
      </c>
      <c r="TD11" s="1">
        <v>88184.4</v>
      </c>
      <c r="TE11" s="1">
        <v>88184.4</v>
      </c>
      <c r="TF11" s="1">
        <v>88184.4</v>
      </c>
      <c r="TG11" s="1">
        <v>88184.4</v>
      </c>
      <c r="TH11" s="1">
        <v>88186.4</v>
      </c>
      <c r="TI11" s="1">
        <v>88189.4</v>
      </c>
      <c r="TJ11" s="1">
        <v>88192.4</v>
      </c>
      <c r="TK11" s="1">
        <v>88195.5</v>
      </c>
      <c r="TL11" s="1">
        <v>88198.7</v>
      </c>
      <c r="TM11" s="1">
        <v>88202.1</v>
      </c>
      <c r="TN11" s="1">
        <v>88205.2</v>
      </c>
      <c r="TO11" s="1">
        <v>88208.2</v>
      </c>
      <c r="TP11" s="1">
        <v>88211.1</v>
      </c>
      <c r="TQ11" s="1">
        <v>88214.1</v>
      </c>
      <c r="TR11" s="1">
        <v>88217</v>
      </c>
      <c r="TS11" s="1">
        <v>88219.9</v>
      </c>
      <c r="TT11" s="1">
        <v>88222.7</v>
      </c>
      <c r="TU11" s="1">
        <v>88224.9</v>
      </c>
      <c r="TV11" s="1">
        <v>88225.2</v>
      </c>
      <c r="TW11" s="1">
        <v>88227.199999999997</v>
      </c>
      <c r="TX11" s="1">
        <v>88233.1</v>
      </c>
      <c r="TY11" s="1">
        <v>88238.6</v>
      </c>
      <c r="TZ11" s="1">
        <v>88239.9</v>
      </c>
      <c r="UA11" s="1">
        <v>88240</v>
      </c>
      <c r="UB11" s="1">
        <v>88240</v>
      </c>
      <c r="UC11" s="1">
        <v>88240</v>
      </c>
      <c r="UD11" s="1">
        <v>88240.1</v>
      </c>
      <c r="UE11" s="1">
        <v>88244.6</v>
      </c>
      <c r="UF11" s="1">
        <v>88247</v>
      </c>
      <c r="UG11" s="1">
        <v>88249.4</v>
      </c>
      <c r="UH11" s="1">
        <v>88252.1</v>
      </c>
      <c r="UI11" s="1">
        <v>88255.2</v>
      </c>
      <c r="UJ11" s="1">
        <v>88257.8</v>
      </c>
      <c r="UK11" s="1">
        <v>88260.5</v>
      </c>
      <c r="UL11" s="1">
        <v>88263.2</v>
      </c>
      <c r="UM11" s="1">
        <v>88265.9</v>
      </c>
      <c r="UN11" s="1">
        <v>88268.5</v>
      </c>
      <c r="UO11" s="1">
        <v>88271.2</v>
      </c>
      <c r="UP11" s="1">
        <v>88273.9</v>
      </c>
      <c r="UQ11" s="1">
        <v>88277</v>
      </c>
      <c r="UR11" s="1">
        <v>88280</v>
      </c>
      <c r="US11" s="1">
        <v>88282.2</v>
      </c>
      <c r="UT11" s="1">
        <v>88282.8</v>
      </c>
      <c r="UU11" s="1">
        <v>88282.9</v>
      </c>
      <c r="UV11" s="1">
        <v>88282.9</v>
      </c>
      <c r="UW11" s="1">
        <v>88283</v>
      </c>
      <c r="UX11" s="1">
        <v>88283</v>
      </c>
      <c r="UY11" s="1">
        <v>88283.199999999997</v>
      </c>
      <c r="UZ11" s="1">
        <v>88283.199999999997</v>
      </c>
      <c r="VA11" s="1">
        <v>88283.3</v>
      </c>
      <c r="VB11" s="1">
        <v>88287.1</v>
      </c>
      <c r="VC11" s="1">
        <v>88294.7</v>
      </c>
      <c r="VD11" s="1">
        <v>88297.8</v>
      </c>
      <c r="VE11" s="1">
        <v>88301.6</v>
      </c>
      <c r="VF11" s="1">
        <v>88305.5</v>
      </c>
      <c r="VG11" s="1">
        <v>88309.4</v>
      </c>
      <c r="VH11" s="1">
        <v>88313.3</v>
      </c>
      <c r="VI11" s="1">
        <v>88316.800000000003</v>
      </c>
      <c r="VJ11" s="1">
        <v>88320.2</v>
      </c>
      <c r="VK11" s="1">
        <v>88323.6</v>
      </c>
      <c r="VL11" s="1">
        <v>88327</v>
      </c>
      <c r="VM11" s="1">
        <v>88330.5</v>
      </c>
      <c r="VN11" s="1">
        <v>88334</v>
      </c>
      <c r="VO11" s="1">
        <v>88337.5</v>
      </c>
      <c r="VP11" s="1">
        <v>88341</v>
      </c>
      <c r="VQ11" s="1">
        <v>88344.6</v>
      </c>
      <c r="VR11" s="1">
        <v>88347.6</v>
      </c>
      <c r="VS11" s="1">
        <v>88353.600000000006</v>
      </c>
      <c r="VT11" s="1">
        <v>88359.4</v>
      </c>
      <c r="VU11" s="1">
        <v>88361</v>
      </c>
      <c r="VV11" s="1">
        <v>88362.1</v>
      </c>
      <c r="VW11" s="1">
        <v>88363.4</v>
      </c>
      <c r="VX11" s="1">
        <v>88365.1</v>
      </c>
      <c r="VY11" s="1">
        <v>88369.2</v>
      </c>
      <c r="VZ11" s="1">
        <v>88371.3</v>
      </c>
      <c r="WA11" s="1">
        <v>88373.3</v>
      </c>
      <c r="WB11" s="1">
        <v>88374.2</v>
      </c>
      <c r="WC11" s="1">
        <v>88377.600000000006</v>
      </c>
      <c r="WD11" s="1">
        <v>88381.3</v>
      </c>
      <c r="WE11" s="1">
        <v>88384.9</v>
      </c>
      <c r="WF11" s="1">
        <v>88388.6</v>
      </c>
      <c r="WG11" s="1">
        <v>88392.1</v>
      </c>
      <c r="WH11" s="1">
        <v>88395.5</v>
      </c>
      <c r="WI11" s="1">
        <v>88398.9</v>
      </c>
      <c r="WJ11" s="1">
        <v>88402.3</v>
      </c>
      <c r="WK11" s="1">
        <v>88405.6</v>
      </c>
      <c r="WL11" s="1">
        <v>88409</v>
      </c>
      <c r="WM11" s="1">
        <v>88412.800000000003</v>
      </c>
      <c r="WN11" s="1">
        <v>88416.2</v>
      </c>
      <c r="WO11" s="1">
        <v>88418.7</v>
      </c>
      <c r="WP11" s="1">
        <v>88419.4</v>
      </c>
      <c r="WQ11" s="1">
        <v>88419.4</v>
      </c>
      <c r="WR11" s="1">
        <v>88422.6</v>
      </c>
      <c r="WS11" s="1">
        <v>88423.5</v>
      </c>
      <c r="WT11" s="1">
        <v>88423.6</v>
      </c>
      <c r="WU11" s="1">
        <v>88423.6</v>
      </c>
      <c r="WV11" s="1">
        <v>88423.8</v>
      </c>
      <c r="WW11" s="1">
        <v>88423.8</v>
      </c>
      <c r="WX11" s="1">
        <v>88423.8</v>
      </c>
      <c r="WY11" s="1">
        <v>88426.9</v>
      </c>
      <c r="WZ11" s="1">
        <v>88430.8</v>
      </c>
      <c r="XA11" s="1">
        <v>88434.5</v>
      </c>
      <c r="XB11" s="1">
        <v>88438.3</v>
      </c>
      <c r="XC11" s="1">
        <v>88441.8</v>
      </c>
      <c r="XD11" s="1">
        <v>88445.2</v>
      </c>
      <c r="XE11" s="1">
        <v>88448.5</v>
      </c>
      <c r="XF11" s="1">
        <v>88451.8</v>
      </c>
      <c r="XG11" s="1">
        <v>88455.1</v>
      </c>
      <c r="XH11" s="1">
        <v>88458.4</v>
      </c>
      <c r="XI11" s="1">
        <v>88461.6</v>
      </c>
      <c r="XJ11" s="1">
        <v>88464.8</v>
      </c>
      <c r="XK11" s="1">
        <v>88467.9</v>
      </c>
      <c r="XL11" s="1">
        <v>88471.4</v>
      </c>
      <c r="XM11" s="1">
        <v>88474.1</v>
      </c>
      <c r="XN11" s="1">
        <v>88475.1</v>
      </c>
      <c r="XO11" s="1">
        <v>88475.4</v>
      </c>
      <c r="XP11" s="1">
        <v>88476.9</v>
      </c>
      <c r="XQ11" s="1">
        <v>88478</v>
      </c>
      <c r="XR11" s="1">
        <v>88479</v>
      </c>
      <c r="XS11" s="1">
        <v>88479.4</v>
      </c>
      <c r="XT11" s="1">
        <v>88481.7</v>
      </c>
      <c r="XU11" s="1">
        <v>88482.2</v>
      </c>
      <c r="XV11" s="1">
        <v>88482.8</v>
      </c>
      <c r="XW11" s="1">
        <v>88486.6</v>
      </c>
      <c r="XX11" s="1">
        <v>88490</v>
      </c>
      <c r="XY11" s="1">
        <v>88493.4</v>
      </c>
      <c r="XZ11" s="1">
        <v>88497.1</v>
      </c>
      <c r="YA11" s="1">
        <v>88500.800000000003</v>
      </c>
      <c r="YB11" s="1">
        <v>88504.4</v>
      </c>
      <c r="YC11" s="1">
        <v>88508</v>
      </c>
      <c r="YD11" s="1">
        <v>88511.4</v>
      </c>
      <c r="YE11" s="1">
        <v>88514.9</v>
      </c>
      <c r="YF11" s="1">
        <v>88518.6</v>
      </c>
      <c r="YG11" s="1">
        <v>88522.5</v>
      </c>
      <c r="YH11" s="1">
        <v>88526.399999999994</v>
      </c>
      <c r="YI11" s="1">
        <v>88529.8</v>
      </c>
      <c r="YJ11" s="1">
        <v>88533.1</v>
      </c>
      <c r="YK11" s="1">
        <v>88535.3</v>
      </c>
      <c r="YL11" s="1">
        <v>88535.8</v>
      </c>
      <c r="YM11" s="1">
        <v>88535.8</v>
      </c>
      <c r="YN11" s="1">
        <v>88535.8</v>
      </c>
      <c r="YO11" s="1">
        <v>88535.8</v>
      </c>
      <c r="YP11" s="1">
        <v>88535.8</v>
      </c>
      <c r="YQ11" s="1">
        <v>88535.8</v>
      </c>
      <c r="YR11" s="1">
        <v>88535.8</v>
      </c>
      <c r="YS11" s="1">
        <v>88535.8</v>
      </c>
      <c r="YT11" s="1">
        <v>88536.1</v>
      </c>
      <c r="YU11" s="1">
        <v>88537.7</v>
      </c>
      <c r="YV11" s="1">
        <v>88541.7</v>
      </c>
      <c r="YW11" s="1">
        <v>88545.8</v>
      </c>
      <c r="YX11" s="1">
        <v>88550</v>
      </c>
      <c r="YY11" s="1">
        <v>88553.8</v>
      </c>
      <c r="YZ11" s="1">
        <v>88557.5</v>
      </c>
      <c r="ZA11" s="1">
        <v>88561.2</v>
      </c>
      <c r="ZB11" s="1">
        <v>88565</v>
      </c>
      <c r="ZC11" s="1">
        <v>88568.6</v>
      </c>
      <c r="ZD11" s="1">
        <v>88572.2</v>
      </c>
      <c r="ZE11" s="1">
        <v>88575.7</v>
      </c>
      <c r="ZF11" s="1">
        <v>88579.199999999997</v>
      </c>
      <c r="ZG11" s="1">
        <v>88582.6</v>
      </c>
      <c r="ZH11" s="1">
        <v>88585.9</v>
      </c>
      <c r="ZI11" s="1">
        <v>88588.800000000003</v>
      </c>
      <c r="ZJ11" s="1">
        <v>88589.5</v>
      </c>
      <c r="ZK11" s="1">
        <v>88589.5</v>
      </c>
      <c r="ZL11" s="1">
        <v>88589.5</v>
      </c>
      <c r="ZM11" s="1">
        <v>88589.5</v>
      </c>
      <c r="ZN11" s="1">
        <v>88589.5</v>
      </c>
      <c r="ZO11" s="1">
        <v>88589.5</v>
      </c>
      <c r="ZP11" s="1">
        <v>88589.5</v>
      </c>
      <c r="ZQ11" s="1">
        <v>88589.5</v>
      </c>
      <c r="ZR11" s="1">
        <v>88589.5</v>
      </c>
      <c r="ZS11" s="1">
        <v>88589.9</v>
      </c>
      <c r="ZT11" s="1">
        <v>88593.1</v>
      </c>
      <c r="ZU11" s="1">
        <v>88596.800000000003</v>
      </c>
      <c r="ZV11" s="1">
        <v>88600.3</v>
      </c>
      <c r="ZW11" s="1">
        <v>88603.8</v>
      </c>
      <c r="ZX11" s="1">
        <v>88607.5</v>
      </c>
      <c r="ZY11" s="1">
        <v>88611.1</v>
      </c>
      <c r="ZZ11" s="1">
        <v>88615.2</v>
      </c>
      <c r="AAA11" s="1">
        <v>88618.7</v>
      </c>
      <c r="AAB11" s="1">
        <v>88622.3</v>
      </c>
      <c r="AAC11" s="1">
        <v>88625.7</v>
      </c>
      <c r="AAD11" s="1">
        <v>88629.2</v>
      </c>
      <c r="AAE11" s="1">
        <v>88632.6</v>
      </c>
      <c r="AAF11" s="1">
        <v>88636.1</v>
      </c>
      <c r="AAG11" s="1">
        <v>88639.1</v>
      </c>
      <c r="AAH11" s="1">
        <v>88640.3</v>
      </c>
      <c r="AAI11" s="1">
        <v>88640.6</v>
      </c>
      <c r="AAJ11" s="1">
        <v>88641.1</v>
      </c>
      <c r="AAK11" s="1">
        <v>88641.1</v>
      </c>
      <c r="AAL11" s="1">
        <v>88641.1</v>
      </c>
      <c r="AAM11" s="1">
        <v>88641.3</v>
      </c>
      <c r="AAN11" s="1">
        <v>88641.3</v>
      </c>
      <c r="AAO11" s="1">
        <v>88642.4</v>
      </c>
      <c r="AAP11" s="1">
        <v>88642.4</v>
      </c>
      <c r="AAQ11" s="1">
        <v>88646.2</v>
      </c>
      <c r="AAR11" s="1">
        <v>88651.3</v>
      </c>
      <c r="AAS11" s="1">
        <v>88656.5</v>
      </c>
      <c r="AAT11" s="1">
        <v>88661.7</v>
      </c>
      <c r="AAU11" s="1">
        <v>88667</v>
      </c>
      <c r="AAV11" s="1">
        <v>88671.9</v>
      </c>
      <c r="AAW11" s="1">
        <v>88676.5</v>
      </c>
      <c r="AAX11" s="1">
        <v>88681</v>
      </c>
    </row>
    <row r="12" spans="1:750">
      <c r="A12" s="1">
        <v>11</v>
      </c>
      <c r="B12" s="1" t="s">
        <v>2</v>
      </c>
      <c r="C12" s="1" t="s">
        <v>3</v>
      </c>
      <c r="D12" s="1" t="s">
        <v>15</v>
      </c>
      <c r="E12" s="1" t="s">
        <v>5</v>
      </c>
      <c r="F12" s="1">
        <v>77646.5</v>
      </c>
      <c r="G12" s="1">
        <v>77671.600000000006</v>
      </c>
      <c r="H12" s="1">
        <v>77695.3</v>
      </c>
      <c r="I12" s="1">
        <v>77718.2</v>
      </c>
      <c r="J12" s="1">
        <v>77739.100000000006</v>
      </c>
      <c r="K12" s="1">
        <v>77758.899999999994</v>
      </c>
      <c r="L12" s="1">
        <v>77776.800000000003</v>
      </c>
      <c r="M12" s="1">
        <v>77795.8</v>
      </c>
      <c r="N12" s="1">
        <v>77814.7</v>
      </c>
      <c r="O12" s="1">
        <v>77833.8</v>
      </c>
      <c r="P12" s="1">
        <v>77852.399999999994</v>
      </c>
      <c r="Q12" s="1">
        <v>77876</v>
      </c>
      <c r="R12" s="1">
        <v>77898.8</v>
      </c>
      <c r="S12" s="1">
        <v>77921.899999999994</v>
      </c>
      <c r="T12" s="1">
        <v>77945.2</v>
      </c>
      <c r="U12" s="1">
        <v>77969.2</v>
      </c>
      <c r="V12" s="1">
        <v>78002.2</v>
      </c>
      <c r="W12" s="1">
        <v>78039.5</v>
      </c>
      <c r="X12" s="1">
        <v>78067.8</v>
      </c>
      <c r="Y12" s="1">
        <v>78093.7</v>
      </c>
      <c r="Z12" s="1">
        <v>78115.100000000006</v>
      </c>
      <c r="AA12" s="1">
        <v>78136.7</v>
      </c>
      <c r="AB12" s="1">
        <v>78159.199999999997</v>
      </c>
      <c r="AC12" s="1">
        <v>78182.100000000006</v>
      </c>
      <c r="AD12" s="1">
        <v>78206.100000000006</v>
      </c>
      <c r="AE12" s="1">
        <v>78229.600000000006</v>
      </c>
      <c r="AF12" s="1">
        <v>78253.399999999994</v>
      </c>
      <c r="AG12" s="1">
        <v>78278</v>
      </c>
      <c r="AH12" s="1">
        <v>78301.100000000006</v>
      </c>
      <c r="AI12" s="1">
        <v>78321.3</v>
      </c>
      <c r="AJ12" s="1">
        <v>78340.600000000006</v>
      </c>
      <c r="AK12" s="1">
        <v>78359.399999999994</v>
      </c>
      <c r="AL12" s="1">
        <v>78379.600000000006</v>
      </c>
      <c r="AM12" s="1">
        <v>78417.5</v>
      </c>
      <c r="AN12" s="1">
        <v>78460.7</v>
      </c>
      <c r="AO12" s="1">
        <v>78529.5</v>
      </c>
      <c r="AP12" s="1">
        <v>78590.3</v>
      </c>
      <c r="AQ12" s="1">
        <v>78662.3</v>
      </c>
      <c r="AR12" s="1">
        <v>78725.899999999994</v>
      </c>
      <c r="AS12" s="1">
        <v>78789.5</v>
      </c>
      <c r="AT12" s="1">
        <v>78854.100000000006</v>
      </c>
      <c r="AU12" s="1">
        <v>78906.8</v>
      </c>
      <c r="AV12" s="1">
        <v>78955.199999999997</v>
      </c>
      <c r="AW12" s="1">
        <v>78997</v>
      </c>
      <c r="AX12" s="1">
        <v>79035.7</v>
      </c>
      <c r="AY12" s="1">
        <v>79072.600000000006</v>
      </c>
      <c r="AZ12" s="1">
        <v>79104.7</v>
      </c>
      <c r="BA12" s="1">
        <v>79134</v>
      </c>
      <c r="BB12" s="1">
        <v>79163.100000000006</v>
      </c>
      <c r="BC12" s="1">
        <v>79191.7</v>
      </c>
      <c r="BD12" s="1">
        <v>79220.800000000003</v>
      </c>
      <c r="BE12" s="1">
        <v>79247.899999999994</v>
      </c>
      <c r="BF12" s="1">
        <v>79273</v>
      </c>
      <c r="BG12" s="1">
        <v>79295.899999999994</v>
      </c>
      <c r="BH12" s="1">
        <v>79315.100000000006</v>
      </c>
      <c r="BI12" s="1">
        <v>79336</v>
      </c>
      <c r="BJ12" s="1">
        <v>79358.2</v>
      </c>
      <c r="BK12" s="1">
        <v>79388</v>
      </c>
      <c r="BL12" s="1">
        <v>79424.2</v>
      </c>
      <c r="BM12" s="1">
        <v>79469</v>
      </c>
      <c r="BN12" s="1">
        <v>79523.7</v>
      </c>
      <c r="BO12" s="1">
        <v>79575.199999999997</v>
      </c>
      <c r="BP12" s="1">
        <v>79635</v>
      </c>
      <c r="BQ12" s="1">
        <v>79694.2</v>
      </c>
      <c r="BR12" s="1">
        <v>79752.800000000003</v>
      </c>
      <c r="BS12" s="1">
        <v>79826.8</v>
      </c>
      <c r="BT12" s="1">
        <v>79873.5</v>
      </c>
      <c r="BU12" s="1">
        <v>79907.5</v>
      </c>
      <c r="BV12" s="1">
        <v>79940.2</v>
      </c>
      <c r="BW12" s="1">
        <v>79972.399999999994</v>
      </c>
      <c r="BX12" s="1">
        <v>80000</v>
      </c>
      <c r="BY12" s="1">
        <v>80024.7</v>
      </c>
      <c r="BZ12" s="1">
        <v>80049.600000000006</v>
      </c>
      <c r="CA12" s="1">
        <v>80072.7</v>
      </c>
      <c r="CB12" s="1">
        <v>80094.899999999994</v>
      </c>
      <c r="CC12" s="1">
        <v>80119.100000000006</v>
      </c>
      <c r="CD12" s="1">
        <v>80141.899999999994</v>
      </c>
      <c r="CE12" s="1">
        <v>80164.399999999994</v>
      </c>
      <c r="CF12" s="1">
        <v>80186.2</v>
      </c>
      <c r="CG12" s="1">
        <v>80208.600000000006</v>
      </c>
      <c r="CH12" s="1">
        <v>80232.399999999994</v>
      </c>
      <c r="CI12" s="1">
        <v>80281</v>
      </c>
      <c r="CJ12" s="1">
        <v>80329.5</v>
      </c>
      <c r="CK12" s="1">
        <v>80382.899999999994</v>
      </c>
      <c r="CL12" s="1">
        <v>80441.399999999994</v>
      </c>
      <c r="CM12" s="1">
        <v>80495.8</v>
      </c>
      <c r="CN12" s="1">
        <v>80556.399999999994</v>
      </c>
      <c r="CO12" s="1">
        <v>80611.600000000006</v>
      </c>
      <c r="CP12" s="1">
        <v>80668.3</v>
      </c>
      <c r="CQ12" s="1">
        <v>80733.899999999994</v>
      </c>
      <c r="CR12" s="1">
        <v>80780.2</v>
      </c>
      <c r="CS12" s="1">
        <v>80815.600000000006</v>
      </c>
      <c r="CT12" s="1">
        <v>80845.5</v>
      </c>
      <c r="CU12" s="1">
        <v>80870.3</v>
      </c>
      <c r="CV12" s="1">
        <v>80893.3</v>
      </c>
      <c r="CW12" s="1">
        <v>80922.8</v>
      </c>
      <c r="CX12" s="1">
        <v>80952.600000000006</v>
      </c>
      <c r="CY12" s="1">
        <v>80981.899999999994</v>
      </c>
      <c r="CZ12" s="1">
        <v>81010</v>
      </c>
      <c r="DA12" s="1">
        <v>81035.100000000006</v>
      </c>
      <c r="DB12" s="1">
        <v>81057.3</v>
      </c>
      <c r="DC12" s="1">
        <v>81078.899999999994</v>
      </c>
      <c r="DD12" s="1">
        <v>81100.100000000006</v>
      </c>
      <c r="DE12" s="1">
        <v>81120.800000000003</v>
      </c>
      <c r="DF12" s="1">
        <v>81142.399999999994</v>
      </c>
      <c r="DG12" s="1">
        <v>81175.399999999994</v>
      </c>
      <c r="DH12" s="1">
        <v>81219.899999999994</v>
      </c>
      <c r="DI12" s="1">
        <v>81270</v>
      </c>
      <c r="DJ12" s="1">
        <v>81316.3</v>
      </c>
      <c r="DK12" s="1">
        <v>81362.100000000006</v>
      </c>
      <c r="DL12" s="1">
        <v>81407.100000000006</v>
      </c>
      <c r="DM12" s="1">
        <v>81457.600000000006</v>
      </c>
      <c r="DN12" s="1">
        <v>81509.100000000006</v>
      </c>
      <c r="DO12" s="1">
        <v>81557.5</v>
      </c>
      <c r="DP12" s="1">
        <v>81606.399999999994</v>
      </c>
      <c r="DQ12" s="1">
        <v>81644.5</v>
      </c>
      <c r="DR12" s="1">
        <v>81675.7</v>
      </c>
      <c r="DS12" s="1">
        <v>81704.800000000003</v>
      </c>
      <c r="DT12" s="1">
        <v>81730.899999999994</v>
      </c>
      <c r="DU12" s="1">
        <v>81756</v>
      </c>
      <c r="DV12" s="1">
        <v>81783</v>
      </c>
      <c r="DW12" s="1">
        <v>81810.2</v>
      </c>
      <c r="DX12" s="1">
        <v>81836.600000000006</v>
      </c>
      <c r="DY12" s="1">
        <v>81865.100000000006</v>
      </c>
      <c r="DZ12" s="1">
        <v>81890.399999999994</v>
      </c>
      <c r="EA12" s="1">
        <v>81915.199999999997</v>
      </c>
      <c r="EB12" s="1">
        <v>81939.8</v>
      </c>
      <c r="EC12" s="1">
        <v>81963.3</v>
      </c>
      <c r="ED12" s="1">
        <v>81987.8</v>
      </c>
      <c r="EE12" s="1">
        <v>82021.100000000006</v>
      </c>
      <c r="EF12" s="1">
        <v>82060.600000000006</v>
      </c>
      <c r="EG12" s="1">
        <v>82102.7</v>
      </c>
      <c r="EH12" s="1">
        <v>82151</v>
      </c>
      <c r="EI12" s="1">
        <v>82204</v>
      </c>
      <c r="EJ12" s="1">
        <v>82254.2</v>
      </c>
      <c r="EK12" s="1">
        <v>82298.8</v>
      </c>
      <c r="EL12" s="1">
        <v>82344.899999999994</v>
      </c>
      <c r="EM12" s="1">
        <v>82390.100000000006</v>
      </c>
      <c r="EN12" s="1">
        <v>82432.100000000006</v>
      </c>
      <c r="EO12" s="1">
        <v>82465.399999999994</v>
      </c>
      <c r="EP12" s="1">
        <v>82492.899999999994</v>
      </c>
      <c r="EQ12" s="1">
        <v>82518.2</v>
      </c>
      <c r="ER12" s="1">
        <v>82543.899999999994</v>
      </c>
      <c r="ES12" s="1">
        <v>82569.7</v>
      </c>
      <c r="ET12" s="1">
        <v>82595.5</v>
      </c>
      <c r="EU12" s="1">
        <v>82619.600000000006</v>
      </c>
      <c r="EV12" s="1">
        <v>82642.600000000006</v>
      </c>
      <c r="EW12" s="1">
        <v>82664.600000000006</v>
      </c>
      <c r="EX12" s="1">
        <v>82687.199999999997</v>
      </c>
      <c r="EY12" s="1">
        <v>82706.899999999994</v>
      </c>
      <c r="EZ12" s="1">
        <v>82726.8</v>
      </c>
      <c r="FA12" s="1">
        <v>82745.600000000006</v>
      </c>
      <c r="FB12" s="1">
        <v>82764.3</v>
      </c>
      <c r="FC12" s="1">
        <v>82784</v>
      </c>
      <c r="FD12" s="1">
        <v>82809.600000000006</v>
      </c>
      <c r="FE12" s="1">
        <v>82839.5</v>
      </c>
      <c r="FF12" s="1">
        <v>82868.600000000006</v>
      </c>
      <c r="FG12" s="1">
        <v>82893.100000000006</v>
      </c>
      <c r="FH12" s="1">
        <v>82916.7</v>
      </c>
      <c r="FI12" s="1">
        <v>82938.600000000006</v>
      </c>
      <c r="FJ12" s="1">
        <v>82961.399999999994</v>
      </c>
      <c r="FK12" s="1">
        <v>82984.2</v>
      </c>
      <c r="FL12" s="1">
        <v>83010.600000000006</v>
      </c>
      <c r="FM12" s="1">
        <v>83036.7</v>
      </c>
      <c r="FN12" s="1">
        <v>83063.5</v>
      </c>
      <c r="FO12" s="1">
        <v>83088.800000000003</v>
      </c>
      <c r="FP12" s="1">
        <v>83113.600000000006</v>
      </c>
      <c r="FQ12" s="1">
        <v>83138.7</v>
      </c>
      <c r="FR12" s="1">
        <v>83162.600000000006</v>
      </c>
      <c r="FS12" s="1">
        <v>83185.2</v>
      </c>
      <c r="FT12" s="1">
        <v>83207.100000000006</v>
      </c>
      <c r="FU12" s="1">
        <v>83228.2</v>
      </c>
      <c r="FV12" s="1">
        <v>83247.7</v>
      </c>
      <c r="FW12" s="1">
        <v>83266.600000000006</v>
      </c>
      <c r="FX12" s="1">
        <v>83285.100000000006</v>
      </c>
      <c r="FY12" s="1">
        <v>83303</v>
      </c>
      <c r="FZ12" s="1">
        <v>83320</v>
      </c>
      <c r="GA12" s="1">
        <v>83337.5</v>
      </c>
      <c r="GB12" s="1">
        <v>83355</v>
      </c>
      <c r="GC12" s="1">
        <v>83373.2</v>
      </c>
      <c r="GD12" s="1">
        <v>83390.8</v>
      </c>
      <c r="GE12" s="1">
        <v>83407.600000000006</v>
      </c>
      <c r="GF12" s="1">
        <v>83426.7</v>
      </c>
      <c r="GG12" s="1">
        <v>83446.3</v>
      </c>
      <c r="GH12" s="1">
        <v>83464.899999999994</v>
      </c>
      <c r="GI12" s="1">
        <v>83484.399999999994</v>
      </c>
      <c r="GJ12" s="1">
        <v>83504.100000000006</v>
      </c>
      <c r="GK12" s="1">
        <v>83523.7</v>
      </c>
      <c r="GL12" s="1">
        <v>83543.100000000006</v>
      </c>
      <c r="GM12" s="1">
        <v>83561.5</v>
      </c>
      <c r="GN12" s="1">
        <v>83579.7</v>
      </c>
      <c r="GO12" s="1">
        <v>83598.7</v>
      </c>
      <c r="GP12" s="1">
        <v>83617.5</v>
      </c>
      <c r="GQ12" s="1">
        <v>83636.5</v>
      </c>
      <c r="GR12" s="1">
        <v>83655.399999999994</v>
      </c>
      <c r="GS12" s="1">
        <v>83674.100000000006</v>
      </c>
      <c r="GT12" s="1">
        <v>83692.800000000003</v>
      </c>
      <c r="GU12" s="1">
        <v>83711.3</v>
      </c>
      <c r="GV12" s="1">
        <v>83729.8</v>
      </c>
      <c r="GW12" s="1">
        <v>83747.8</v>
      </c>
      <c r="GX12" s="1">
        <v>83764.800000000003</v>
      </c>
      <c r="GY12" s="1">
        <v>83781.7</v>
      </c>
      <c r="GZ12" s="1">
        <v>83799.600000000006</v>
      </c>
      <c r="HA12" s="1">
        <v>83818.2</v>
      </c>
      <c r="HB12" s="1">
        <v>83837.100000000006</v>
      </c>
      <c r="HC12" s="1">
        <v>83856.600000000006</v>
      </c>
      <c r="HD12" s="1">
        <v>83875.399999999994</v>
      </c>
      <c r="HE12" s="1">
        <v>83893.8</v>
      </c>
      <c r="HF12" s="1">
        <v>83912.8</v>
      </c>
      <c r="HG12" s="1">
        <v>83931.1</v>
      </c>
      <c r="HH12" s="1">
        <v>83949.4</v>
      </c>
      <c r="HI12" s="1">
        <v>83967.7</v>
      </c>
      <c r="HJ12" s="1">
        <v>83987.199999999997</v>
      </c>
      <c r="HK12" s="1">
        <v>84006.3</v>
      </c>
      <c r="HL12" s="1">
        <v>84025.3</v>
      </c>
      <c r="HM12" s="1">
        <v>84044.1</v>
      </c>
      <c r="HN12" s="1">
        <v>84065.600000000006</v>
      </c>
      <c r="HO12" s="1">
        <v>84086.6</v>
      </c>
      <c r="HP12" s="1">
        <v>84107.1</v>
      </c>
      <c r="HQ12" s="1">
        <v>84125.9</v>
      </c>
      <c r="HR12" s="1">
        <v>84145.2</v>
      </c>
      <c r="HS12" s="1">
        <v>84164.1</v>
      </c>
      <c r="HT12" s="1">
        <v>84182.7</v>
      </c>
      <c r="HU12" s="1">
        <v>84200.8</v>
      </c>
      <c r="HV12" s="1">
        <v>84219.4</v>
      </c>
      <c r="HW12" s="1">
        <v>84237.8</v>
      </c>
      <c r="HX12" s="1">
        <v>84256.4</v>
      </c>
      <c r="HY12" s="1">
        <v>84278.7</v>
      </c>
      <c r="HZ12" s="1">
        <v>84300.5</v>
      </c>
      <c r="IA12" s="1">
        <v>84323.5</v>
      </c>
      <c r="IB12" s="1">
        <v>84390.2</v>
      </c>
      <c r="IC12" s="1">
        <v>84445</v>
      </c>
      <c r="ID12" s="1">
        <v>84487.8</v>
      </c>
      <c r="IE12" s="1">
        <v>84510.5</v>
      </c>
      <c r="IF12" s="1">
        <v>84530.3</v>
      </c>
      <c r="IG12" s="1">
        <v>84547.9</v>
      </c>
      <c r="IH12" s="1">
        <v>84566.6</v>
      </c>
      <c r="II12" s="1">
        <v>84588.1</v>
      </c>
      <c r="IJ12" s="1">
        <v>84610.7</v>
      </c>
      <c r="IK12" s="1">
        <v>84634</v>
      </c>
      <c r="IL12" s="1">
        <v>84657.5</v>
      </c>
      <c r="IM12" s="1">
        <v>84680.1</v>
      </c>
      <c r="IN12" s="1">
        <v>84702.1</v>
      </c>
      <c r="IO12" s="1">
        <v>84723.1</v>
      </c>
      <c r="IP12" s="1">
        <v>84742</v>
      </c>
      <c r="IQ12" s="1">
        <v>84761.1</v>
      </c>
      <c r="IR12" s="1">
        <v>84779.9</v>
      </c>
      <c r="IS12" s="1">
        <v>84798</v>
      </c>
      <c r="IT12" s="1">
        <v>84816.7</v>
      </c>
      <c r="IU12" s="1">
        <v>84835.3</v>
      </c>
      <c r="IV12" s="1">
        <v>84854.1</v>
      </c>
      <c r="IW12" s="1">
        <v>84874.6</v>
      </c>
      <c r="IX12" s="1">
        <v>84895</v>
      </c>
      <c r="IY12" s="1">
        <v>84916.1</v>
      </c>
      <c r="IZ12" s="1">
        <v>84943.3</v>
      </c>
      <c r="JA12" s="1">
        <v>84970.1</v>
      </c>
      <c r="JB12" s="1">
        <v>84995.5</v>
      </c>
      <c r="JC12" s="1">
        <v>85016</v>
      </c>
      <c r="JD12" s="1">
        <v>85035.4</v>
      </c>
      <c r="JE12" s="1">
        <v>85054.399999999994</v>
      </c>
      <c r="JF12" s="1">
        <v>85074.5</v>
      </c>
      <c r="JG12" s="1">
        <v>85097.5</v>
      </c>
      <c r="JH12" s="1">
        <v>85119.8</v>
      </c>
      <c r="JI12" s="1">
        <v>85141.3</v>
      </c>
      <c r="JJ12" s="1">
        <v>85163.5</v>
      </c>
      <c r="JK12" s="1">
        <v>85185.5</v>
      </c>
      <c r="JL12" s="1">
        <v>85207.3</v>
      </c>
      <c r="JM12" s="1">
        <v>85227.5</v>
      </c>
      <c r="JN12" s="1">
        <v>85247.3</v>
      </c>
      <c r="JO12" s="1">
        <v>85266.5</v>
      </c>
      <c r="JP12" s="1">
        <v>85285.1</v>
      </c>
      <c r="JQ12" s="1">
        <v>85303.7</v>
      </c>
      <c r="JR12" s="1">
        <v>85322.9</v>
      </c>
      <c r="JS12" s="1">
        <v>85341.6</v>
      </c>
      <c r="JT12" s="1">
        <v>85360.3</v>
      </c>
      <c r="JU12" s="1">
        <v>85381.3</v>
      </c>
      <c r="JV12" s="1">
        <v>85402</v>
      </c>
      <c r="JW12" s="1">
        <v>85423.4</v>
      </c>
      <c r="JX12" s="1">
        <v>85447.3</v>
      </c>
      <c r="JY12" s="1">
        <v>85471.9</v>
      </c>
      <c r="JZ12" s="1">
        <v>85495</v>
      </c>
      <c r="KA12" s="1">
        <v>85516.800000000003</v>
      </c>
      <c r="KB12" s="1">
        <v>85537.1</v>
      </c>
      <c r="KC12" s="1">
        <v>85556.1</v>
      </c>
      <c r="KD12" s="1">
        <v>85577.1</v>
      </c>
      <c r="KE12" s="1">
        <v>85599.8</v>
      </c>
      <c r="KF12" s="1">
        <v>85622</v>
      </c>
      <c r="KG12" s="1">
        <v>85643.3</v>
      </c>
      <c r="KH12" s="1">
        <v>85664.5</v>
      </c>
      <c r="KI12" s="1">
        <v>85686.3</v>
      </c>
      <c r="KJ12" s="1">
        <v>85708.1</v>
      </c>
      <c r="KK12" s="1">
        <v>85727.5</v>
      </c>
      <c r="KL12" s="1">
        <v>85746.5</v>
      </c>
      <c r="KM12" s="1">
        <v>85766.2</v>
      </c>
      <c r="KN12" s="1">
        <v>85785.2</v>
      </c>
      <c r="KO12" s="1">
        <v>85803.9</v>
      </c>
      <c r="KP12" s="1">
        <v>85822.3</v>
      </c>
      <c r="KQ12" s="1">
        <v>85842.7</v>
      </c>
      <c r="KR12" s="1">
        <v>85865.3</v>
      </c>
      <c r="KS12" s="1">
        <v>85885.9</v>
      </c>
      <c r="KT12" s="1">
        <v>85908.4</v>
      </c>
      <c r="KU12" s="1">
        <v>85931.8</v>
      </c>
      <c r="KV12" s="1">
        <v>85957.1</v>
      </c>
      <c r="KW12" s="1">
        <v>85981.1</v>
      </c>
      <c r="KX12" s="1">
        <v>86005.1</v>
      </c>
      <c r="KY12" s="1">
        <v>86027.4</v>
      </c>
      <c r="KZ12" s="1">
        <v>86049</v>
      </c>
      <c r="LA12" s="1">
        <v>86070.399999999994</v>
      </c>
      <c r="LB12" s="1">
        <v>86091.4</v>
      </c>
      <c r="LC12" s="1">
        <v>86114.1</v>
      </c>
      <c r="LD12" s="1">
        <v>86136.6</v>
      </c>
      <c r="LE12" s="1">
        <v>86158.1</v>
      </c>
      <c r="LF12" s="1">
        <v>86181.7</v>
      </c>
      <c r="LG12" s="1">
        <v>86203.1</v>
      </c>
      <c r="LH12" s="1">
        <v>86225</v>
      </c>
      <c r="LI12" s="1">
        <v>86247</v>
      </c>
      <c r="LJ12" s="1">
        <v>86267.199999999997</v>
      </c>
      <c r="LK12" s="1">
        <v>86287</v>
      </c>
      <c r="LL12" s="1">
        <v>86306.3</v>
      </c>
      <c r="LM12" s="1">
        <v>86325.4</v>
      </c>
      <c r="LN12" s="1">
        <v>86344.3</v>
      </c>
      <c r="LO12" s="1">
        <v>86363.5</v>
      </c>
      <c r="LP12" s="1">
        <v>86382.1</v>
      </c>
      <c r="LQ12" s="1">
        <v>86399.9</v>
      </c>
      <c r="LR12" s="1">
        <v>86418.2</v>
      </c>
      <c r="LS12" s="1">
        <v>86436.6</v>
      </c>
      <c r="LT12" s="1">
        <v>86455.2</v>
      </c>
      <c r="LU12" s="1">
        <v>86473.8</v>
      </c>
      <c r="LV12" s="1">
        <v>86492.7</v>
      </c>
      <c r="LW12" s="1">
        <v>86511.4</v>
      </c>
      <c r="LX12" s="1">
        <v>86529.9</v>
      </c>
      <c r="LY12" s="1">
        <v>86548.1</v>
      </c>
      <c r="LZ12" s="1">
        <v>86567.2</v>
      </c>
      <c r="MA12" s="1">
        <v>86586.7</v>
      </c>
      <c r="MB12" s="1">
        <v>86606</v>
      </c>
      <c r="MC12" s="1">
        <v>86624.4</v>
      </c>
      <c r="MD12" s="1">
        <v>86642.8</v>
      </c>
      <c r="ME12" s="1">
        <v>86661.8</v>
      </c>
      <c r="MF12" s="1">
        <v>86680.8</v>
      </c>
      <c r="MG12" s="1">
        <v>86699.9</v>
      </c>
      <c r="MH12" s="1">
        <v>86718.8</v>
      </c>
      <c r="MI12" s="1">
        <v>86737.3</v>
      </c>
      <c r="MJ12" s="1">
        <v>86755.8</v>
      </c>
      <c r="MK12" s="1">
        <v>86774.6</v>
      </c>
      <c r="ML12" s="1">
        <v>86792.9</v>
      </c>
      <c r="MM12" s="1">
        <v>86811</v>
      </c>
      <c r="MN12" s="1">
        <v>86829.1</v>
      </c>
      <c r="MO12" s="1">
        <v>86849.600000000006</v>
      </c>
      <c r="MP12" s="1">
        <v>86869.8</v>
      </c>
      <c r="MQ12" s="1">
        <v>86890.5</v>
      </c>
      <c r="MR12" s="1">
        <v>86911</v>
      </c>
      <c r="MS12" s="1">
        <v>86931.6</v>
      </c>
      <c r="MT12" s="1">
        <v>86953.5</v>
      </c>
      <c r="MU12" s="1">
        <v>86976.8</v>
      </c>
      <c r="MV12" s="1">
        <v>87001.7</v>
      </c>
      <c r="MW12" s="1">
        <v>87024.6</v>
      </c>
      <c r="MX12" s="1">
        <v>87046.8</v>
      </c>
      <c r="MY12" s="1">
        <v>87069.4</v>
      </c>
      <c r="MZ12" s="1">
        <v>87090.8</v>
      </c>
      <c r="NA12" s="1">
        <v>87113.2</v>
      </c>
      <c r="NB12" s="1">
        <v>87135</v>
      </c>
      <c r="NC12" s="1">
        <v>87155.5</v>
      </c>
      <c r="ND12" s="1">
        <v>87176.5</v>
      </c>
      <c r="NE12" s="1">
        <v>87197.2</v>
      </c>
      <c r="NF12" s="1">
        <v>87218.2</v>
      </c>
      <c r="NG12" s="1">
        <v>87237.6</v>
      </c>
      <c r="NH12" s="1">
        <v>87255.8</v>
      </c>
      <c r="NI12" s="1">
        <v>87273.8</v>
      </c>
      <c r="NJ12" s="1">
        <v>87291.5</v>
      </c>
      <c r="NK12" s="1">
        <v>87309.5</v>
      </c>
      <c r="NL12" s="1">
        <v>87328</v>
      </c>
      <c r="NM12" s="1">
        <v>87348.2</v>
      </c>
      <c r="NN12" s="1">
        <v>87368.4</v>
      </c>
      <c r="NO12" s="1">
        <v>87392</v>
      </c>
      <c r="NP12" s="1">
        <v>87422</v>
      </c>
      <c r="NQ12" s="1">
        <v>87458.9</v>
      </c>
      <c r="NR12" s="1">
        <v>87493.2</v>
      </c>
      <c r="NS12" s="1">
        <v>87524.5</v>
      </c>
      <c r="NT12" s="1">
        <v>87551.8</v>
      </c>
      <c r="NU12" s="1">
        <v>87579.5</v>
      </c>
      <c r="NV12" s="1">
        <v>87604.5</v>
      </c>
      <c r="NW12" s="1">
        <v>87629.7</v>
      </c>
      <c r="NX12" s="1">
        <v>87653.9</v>
      </c>
      <c r="NY12" s="1">
        <v>87676.800000000003</v>
      </c>
      <c r="NZ12" s="1">
        <v>87699.4</v>
      </c>
      <c r="OA12" s="1">
        <v>87721.9</v>
      </c>
      <c r="OB12" s="1">
        <v>87744.3</v>
      </c>
      <c r="OC12" s="1">
        <v>87769.3</v>
      </c>
      <c r="OD12" s="1">
        <v>87794.1</v>
      </c>
      <c r="OE12" s="1">
        <v>87815.5</v>
      </c>
      <c r="OF12" s="1">
        <v>87835.5</v>
      </c>
      <c r="OG12" s="1">
        <v>87855.2</v>
      </c>
      <c r="OH12" s="1">
        <v>87876.9</v>
      </c>
      <c r="OI12" s="1">
        <v>87908.4</v>
      </c>
      <c r="OJ12" s="1">
        <v>87947.6</v>
      </c>
      <c r="OK12" s="1">
        <v>87987.7</v>
      </c>
      <c r="OL12" s="1">
        <v>88029.5</v>
      </c>
      <c r="OM12" s="1">
        <v>88069.8</v>
      </c>
      <c r="ON12" s="1">
        <v>88121.4</v>
      </c>
      <c r="OO12" s="1">
        <v>88182.2</v>
      </c>
      <c r="OP12" s="1">
        <v>88247.3</v>
      </c>
      <c r="OQ12" s="1">
        <v>88309.3</v>
      </c>
      <c r="OR12" s="1">
        <v>88357.4</v>
      </c>
      <c r="OS12" s="1">
        <v>88393.8</v>
      </c>
      <c r="OT12" s="1">
        <v>88426.6</v>
      </c>
      <c r="OU12" s="1">
        <v>88456.7</v>
      </c>
      <c r="OV12" s="1">
        <v>88484.5</v>
      </c>
      <c r="OW12" s="1">
        <v>88512.5</v>
      </c>
      <c r="OX12" s="1">
        <v>88540.4</v>
      </c>
      <c r="OY12" s="1">
        <v>88569.5</v>
      </c>
      <c r="OZ12" s="1">
        <v>88598.3</v>
      </c>
      <c r="PA12" s="1">
        <v>88625.600000000006</v>
      </c>
      <c r="PB12" s="1">
        <v>88652.3</v>
      </c>
      <c r="PC12" s="1">
        <v>88679.3</v>
      </c>
      <c r="PD12" s="1">
        <v>88705.600000000006</v>
      </c>
      <c r="PE12" s="1">
        <v>88730.8</v>
      </c>
      <c r="PF12" s="1">
        <v>88753.600000000006</v>
      </c>
      <c r="PG12" s="1">
        <v>88782</v>
      </c>
      <c r="PH12" s="1">
        <v>88821.8</v>
      </c>
      <c r="PI12" s="1">
        <v>88863</v>
      </c>
      <c r="PJ12" s="1">
        <v>88915.9</v>
      </c>
      <c r="PK12" s="1">
        <v>88969.8</v>
      </c>
      <c r="PL12" s="1">
        <v>89019.5</v>
      </c>
      <c r="PM12" s="1">
        <v>89067.3</v>
      </c>
      <c r="PN12" s="1">
        <v>89115.3</v>
      </c>
      <c r="PO12" s="1">
        <v>89161.600000000006</v>
      </c>
      <c r="PP12" s="1">
        <v>89195.5</v>
      </c>
      <c r="PQ12" s="1">
        <v>89222.6</v>
      </c>
      <c r="PR12" s="1">
        <v>89247.1</v>
      </c>
      <c r="PS12" s="1">
        <v>89273.2</v>
      </c>
      <c r="PT12" s="1">
        <v>89298.4</v>
      </c>
      <c r="PU12" s="1">
        <v>89325.1</v>
      </c>
      <c r="PV12" s="1">
        <v>89351.5</v>
      </c>
      <c r="PW12" s="1">
        <v>89374.6</v>
      </c>
      <c r="PX12" s="1">
        <v>89397.2</v>
      </c>
      <c r="PY12" s="1">
        <v>89419.3</v>
      </c>
      <c r="PZ12" s="1">
        <v>89438.399999999994</v>
      </c>
      <c r="QA12" s="1">
        <v>89459.1</v>
      </c>
      <c r="QB12" s="1">
        <v>89478.7</v>
      </c>
      <c r="QC12" s="1">
        <v>89498.1</v>
      </c>
      <c r="QD12" s="1">
        <v>89517.9</v>
      </c>
      <c r="QE12" s="1">
        <v>89543.5</v>
      </c>
      <c r="QF12" s="1">
        <v>89578.9</v>
      </c>
      <c r="QG12" s="1">
        <v>89619.199999999997</v>
      </c>
      <c r="QH12" s="1">
        <v>89663.3</v>
      </c>
      <c r="QI12" s="1">
        <v>89714.2</v>
      </c>
      <c r="QJ12" s="1">
        <v>89770.9</v>
      </c>
      <c r="QK12" s="1">
        <v>89826.5</v>
      </c>
      <c r="QL12" s="1">
        <v>89880.9</v>
      </c>
      <c r="QM12" s="1">
        <v>89940.6</v>
      </c>
      <c r="QN12" s="1">
        <v>89980.5</v>
      </c>
      <c r="QO12" s="1">
        <v>90010.8</v>
      </c>
      <c r="QP12" s="1">
        <v>90038.399999999994</v>
      </c>
      <c r="QQ12" s="1">
        <v>90064.6</v>
      </c>
      <c r="QR12" s="1">
        <v>90088.7</v>
      </c>
      <c r="QS12" s="1">
        <v>90111</v>
      </c>
      <c r="QT12" s="1">
        <v>90133.5</v>
      </c>
      <c r="QU12" s="1">
        <v>90156.7</v>
      </c>
      <c r="QV12" s="1">
        <v>90179.6</v>
      </c>
      <c r="QW12" s="1">
        <v>90202.2</v>
      </c>
      <c r="QX12" s="1">
        <v>90223.2</v>
      </c>
      <c r="QY12" s="1">
        <v>90242.3</v>
      </c>
      <c r="QZ12" s="1">
        <v>90262</v>
      </c>
      <c r="RA12" s="1">
        <v>90281</v>
      </c>
      <c r="RB12" s="1">
        <v>90301</v>
      </c>
      <c r="RC12" s="1">
        <v>90327.9</v>
      </c>
      <c r="RD12" s="1">
        <v>90356.4</v>
      </c>
      <c r="RE12" s="1">
        <v>90389.3</v>
      </c>
      <c r="RF12" s="1">
        <v>90423.5</v>
      </c>
      <c r="RG12" s="1">
        <v>90457.9</v>
      </c>
      <c r="RH12" s="1">
        <v>90499</v>
      </c>
      <c r="RI12" s="1">
        <v>90540.4</v>
      </c>
      <c r="RJ12" s="1">
        <v>90588.3</v>
      </c>
      <c r="RK12" s="1">
        <v>90633</v>
      </c>
      <c r="RL12" s="1">
        <v>90672</v>
      </c>
      <c r="RM12" s="1">
        <v>90702.1</v>
      </c>
      <c r="RN12" s="1">
        <v>90726.6</v>
      </c>
      <c r="RO12" s="1">
        <v>90749.2</v>
      </c>
      <c r="RP12" s="1">
        <v>90773.2</v>
      </c>
      <c r="RQ12" s="1">
        <v>90805.8</v>
      </c>
      <c r="RR12" s="1">
        <v>90832.8</v>
      </c>
      <c r="RS12" s="1">
        <v>90856.1</v>
      </c>
      <c r="RT12" s="1">
        <v>90879.1</v>
      </c>
      <c r="RU12" s="1">
        <v>90901.7</v>
      </c>
      <c r="RV12" s="1">
        <v>90922.9</v>
      </c>
      <c r="RW12" s="1">
        <v>90943.9</v>
      </c>
      <c r="RX12" s="1">
        <v>90963.9</v>
      </c>
      <c r="RY12" s="1">
        <v>90985.600000000006</v>
      </c>
      <c r="RZ12" s="1">
        <v>91006.8</v>
      </c>
      <c r="SA12" s="1">
        <v>91026.7</v>
      </c>
      <c r="SB12" s="1">
        <v>91047.6</v>
      </c>
      <c r="SC12" s="1">
        <v>91072.5</v>
      </c>
      <c r="SD12" s="1">
        <v>91097.8</v>
      </c>
      <c r="SE12" s="1">
        <v>91126.3</v>
      </c>
      <c r="SF12" s="1">
        <v>91155.9</v>
      </c>
      <c r="SG12" s="1">
        <v>91185</v>
      </c>
      <c r="SH12" s="1">
        <v>91213.1</v>
      </c>
      <c r="SI12" s="1">
        <v>91237.9</v>
      </c>
      <c r="SJ12" s="1">
        <v>91260.5</v>
      </c>
      <c r="SK12" s="1">
        <v>91282.4</v>
      </c>
      <c r="SL12" s="1">
        <v>91305.7</v>
      </c>
      <c r="SM12" s="1">
        <v>91329.2</v>
      </c>
      <c r="SN12" s="1">
        <v>91360.8</v>
      </c>
      <c r="SO12" s="1">
        <v>91391.4</v>
      </c>
      <c r="SP12" s="1">
        <v>91420.9</v>
      </c>
      <c r="SQ12" s="1">
        <v>91450.2</v>
      </c>
      <c r="SR12" s="1">
        <v>91475.9</v>
      </c>
      <c r="SS12" s="1">
        <v>91498</v>
      </c>
      <c r="ST12" s="1">
        <v>91520.3</v>
      </c>
      <c r="SU12" s="1">
        <v>91542.399999999994</v>
      </c>
      <c r="SV12" s="1">
        <v>91564.1</v>
      </c>
      <c r="SW12" s="1">
        <v>91584.3</v>
      </c>
      <c r="SX12" s="1">
        <v>91603.6</v>
      </c>
      <c r="SY12" s="1">
        <v>91622.5</v>
      </c>
      <c r="SZ12" s="1">
        <v>91641.7</v>
      </c>
      <c r="TA12" s="1">
        <v>91662.5</v>
      </c>
      <c r="TB12" s="1">
        <v>91686.6</v>
      </c>
      <c r="TC12" s="1">
        <v>91714.6</v>
      </c>
      <c r="TD12" s="1">
        <v>91745.4</v>
      </c>
      <c r="TE12" s="1">
        <v>91773.5</v>
      </c>
      <c r="TF12" s="1">
        <v>91799.8</v>
      </c>
      <c r="TG12" s="1">
        <v>91823.3</v>
      </c>
      <c r="TH12" s="1">
        <v>91845.8</v>
      </c>
      <c r="TI12" s="1">
        <v>91867.9</v>
      </c>
      <c r="TJ12" s="1">
        <v>91890.2</v>
      </c>
      <c r="TK12" s="1">
        <v>91920.8</v>
      </c>
      <c r="TL12" s="1">
        <v>91950.7</v>
      </c>
      <c r="TM12" s="1">
        <v>91978.1</v>
      </c>
      <c r="TN12" s="1">
        <v>92004.3</v>
      </c>
      <c r="TO12" s="1">
        <v>92030.3</v>
      </c>
      <c r="TP12" s="1">
        <v>92055.9</v>
      </c>
      <c r="TQ12" s="1">
        <v>92081.4</v>
      </c>
      <c r="TR12" s="1">
        <v>92106.1</v>
      </c>
      <c r="TS12" s="1">
        <v>92128</v>
      </c>
      <c r="TT12" s="1">
        <v>92148.800000000003</v>
      </c>
      <c r="TU12" s="1">
        <v>92170.2</v>
      </c>
      <c r="TV12" s="1">
        <v>92192.8</v>
      </c>
      <c r="TW12" s="1">
        <v>92222.7</v>
      </c>
      <c r="TX12" s="1">
        <v>92254.1</v>
      </c>
      <c r="TY12" s="1">
        <v>92291.4</v>
      </c>
      <c r="TZ12" s="1">
        <v>92331.7</v>
      </c>
      <c r="UA12" s="1">
        <v>92379.6</v>
      </c>
      <c r="UB12" s="1">
        <v>92436.5</v>
      </c>
      <c r="UC12" s="1">
        <v>92500.800000000003</v>
      </c>
      <c r="UD12" s="1">
        <v>92560</v>
      </c>
      <c r="UE12" s="1">
        <v>92612.6</v>
      </c>
      <c r="UF12" s="1">
        <v>92655</v>
      </c>
      <c r="UG12" s="1">
        <v>92689.4</v>
      </c>
      <c r="UH12" s="1">
        <v>92721.5</v>
      </c>
      <c r="UI12" s="1">
        <v>92751.6</v>
      </c>
      <c r="UJ12" s="1">
        <v>92783.1</v>
      </c>
      <c r="UK12" s="1">
        <v>92815.4</v>
      </c>
      <c r="UL12" s="1">
        <v>92847.5</v>
      </c>
      <c r="UM12" s="1">
        <v>92879.3</v>
      </c>
      <c r="UN12" s="1">
        <v>92904.1</v>
      </c>
      <c r="UO12" s="1">
        <v>92927.9</v>
      </c>
      <c r="UP12" s="1">
        <v>92951.6</v>
      </c>
      <c r="UQ12" s="1">
        <v>92974.5</v>
      </c>
      <c r="UR12" s="1">
        <v>92996.4</v>
      </c>
      <c r="US12" s="1">
        <v>93018.7</v>
      </c>
      <c r="UT12" s="1">
        <v>93042.9</v>
      </c>
      <c r="UU12" s="1">
        <v>93074.6</v>
      </c>
      <c r="UV12" s="1">
        <v>93111.6</v>
      </c>
      <c r="UW12" s="1">
        <v>93153.9</v>
      </c>
      <c r="UX12" s="1">
        <v>93193.9</v>
      </c>
      <c r="UY12" s="1">
        <v>93236.1</v>
      </c>
      <c r="UZ12" s="1">
        <v>93283.4</v>
      </c>
      <c r="VA12" s="1">
        <v>93334.3</v>
      </c>
      <c r="VB12" s="1">
        <v>93384.5</v>
      </c>
      <c r="VC12" s="1">
        <v>93426.6</v>
      </c>
      <c r="VD12" s="1">
        <v>93466.9</v>
      </c>
      <c r="VE12" s="1">
        <v>93502.7</v>
      </c>
      <c r="VF12" s="1">
        <v>93532.6</v>
      </c>
      <c r="VG12" s="1">
        <v>93560.9</v>
      </c>
      <c r="VH12" s="1">
        <v>93586.4</v>
      </c>
      <c r="VI12" s="1">
        <v>93613.1</v>
      </c>
      <c r="VJ12" s="1">
        <v>93640.5</v>
      </c>
      <c r="VK12" s="1">
        <v>93664.3</v>
      </c>
      <c r="VL12" s="1">
        <v>93687</v>
      </c>
      <c r="VM12" s="1">
        <v>93709.4</v>
      </c>
      <c r="VN12" s="1">
        <v>93731.8</v>
      </c>
      <c r="VO12" s="1">
        <v>93754</v>
      </c>
      <c r="VP12" s="1">
        <v>93775.4</v>
      </c>
      <c r="VQ12" s="1">
        <v>93795.9</v>
      </c>
      <c r="VR12" s="1">
        <v>93816.4</v>
      </c>
      <c r="VS12" s="1">
        <v>93843.4</v>
      </c>
      <c r="VT12" s="1">
        <v>93876.6</v>
      </c>
      <c r="VU12" s="1">
        <v>93908.5</v>
      </c>
      <c r="VV12" s="1">
        <v>93949.8</v>
      </c>
      <c r="VW12" s="1">
        <v>94000.8</v>
      </c>
      <c r="VX12" s="1">
        <v>94052.5</v>
      </c>
      <c r="VY12" s="1">
        <v>94102.3</v>
      </c>
      <c r="VZ12" s="1">
        <v>94145.9</v>
      </c>
      <c r="WA12" s="1">
        <v>94188.1</v>
      </c>
      <c r="WB12" s="1">
        <v>94222.7</v>
      </c>
      <c r="WC12" s="1">
        <v>94247.8</v>
      </c>
      <c r="WD12" s="1">
        <v>94271.6</v>
      </c>
      <c r="WE12" s="1">
        <v>94294.6</v>
      </c>
      <c r="WF12" s="1">
        <v>94318.9</v>
      </c>
      <c r="WG12" s="1">
        <v>94343.6</v>
      </c>
      <c r="WH12" s="1">
        <v>94367.9</v>
      </c>
      <c r="WI12" s="1">
        <v>94391.2</v>
      </c>
      <c r="WJ12" s="1">
        <v>94414</v>
      </c>
      <c r="WK12" s="1">
        <v>94438.7</v>
      </c>
      <c r="WL12" s="1">
        <v>94463.6</v>
      </c>
      <c r="WM12" s="1">
        <v>94487.1</v>
      </c>
      <c r="WN12" s="1">
        <v>94508.1</v>
      </c>
      <c r="WO12" s="1">
        <v>94528.4</v>
      </c>
      <c r="WP12" s="1">
        <v>94550.8</v>
      </c>
      <c r="WQ12" s="1">
        <v>94579.8</v>
      </c>
      <c r="WR12" s="1">
        <v>94611.6</v>
      </c>
      <c r="WS12" s="1">
        <v>94644</v>
      </c>
      <c r="WT12" s="1">
        <v>94681.3</v>
      </c>
      <c r="WU12" s="1">
        <v>94723.5</v>
      </c>
      <c r="WV12" s="1">
        <v>94773.1</v>
      </c>
      <c r="WW12" s="1">
        <v>94820.2</v>
      </c>
      <c r="WX12" s="1">
        <v>94874</v>
      </c>
      <c r="WY12" s="1">
        <v>94925.9</v>
      </c>
      <c r="WZ12" s="1">
        <v>94973.8</v>
      </c>
      <c r="XA12" s="1">
        <v>95013.2</v>
      </c>
      <c r="XB12" s="1">
        <v>95047.4</v>
      </c>
      <c r="XC12" s="1">
        <v>95075.8</v>
      </c>
      <c r="XD12" s="1">
        <v>95099.1</v>
      </c>
      <c r="XE12" s="1">
        <v>95123.6</v>
      </c>
      <c r="XF12" s="1">
        <v>95146.4</v>
      </c>
      <c r="XG12" s="1">
        <v>95170.5</v>
      </c>
      <c r="XH12" s="1">
        <v>95193.3</v>
      </c>
      <c r="XI12" s="1">
        <v>95215.4</v>
      </c>
      <c r="XJ12" s="1">
        <v>95237.2</v>
      </c>
      <c r="XK12" s="1">
        <v>95258.7</v>
      </c>
      <c r="XL12" s="1">
        <v>95280.3</v>
      </c>
      <c r="XM12" s="1">
        <v>95301.3</v>
      </c>
      <c r="XN12" s="1">
        <v>95323.1</v>
      </c>
      <c r="XO12" s="1">
        <v>95350.1</v>
      </c>
      <c r="XP12" s="1">
        <v>95379.5</v>
      </c>
      <c r="XQ12" s="1">
        <v>95408.5</v>
      </c>
      <c r="XR12" s="1">
        <v>95442</v>
      </c>
      <c r="XS12" s="1">
        <v>95477.2</v>
      </c>
      <c r="XT12" s="1">
        <v>95515.5</v>
      </c>
      <c r="XU12" s="1">
        <v>95559</v>
      </c>
      <c r="XV12" s="1">
        <v>95603.8</v>
      </c>
      <c r="XW12" s="1">
        <v>95644.800000000003</v>
      </c>
      <c r="XX12" s="1">
        <v>95677.7</v>
      </c>
      <c r="XY12" s="1">
        <v>95702</v>
      </c>
      <c r="XZ12" s="1">
        <v>95725.5</v>
      </c>
      <c r="YA12" s="1">
        <v>95746.9</v>
      </c>
      <c r="YB12" s="1">
        <v>95768.2</v>
      </c>
      <c r="YC12" s="1">
        <v>95789</v>
      </c>
      <c r="YD12" s="1">
        <v>95811.1</v>
      </c>
      <c r="YE12" s="1">
        <v>95834.4</v>
      </c>
      <c r="YF12" s="1">
        <v>95857.2</v>
      </c>
      <c r="YG12" s="1">
        <v>95880.6</v>
      </c>
      <c r="YH12" s="1">
        <v>95903</v>
      </c>
      <c r="YI12" s="1">
        <v>95924.6</v>
      </c>
      <c r="YJ12" s="1">
        <v>95944.3</v>
      </c>
      <c r="YK12" s="1">
        <v>95963.5</v>
      </c>
      <c r="YL12" s="1">
        <v>95982.6</v>
      </c>
      <c r="YM12" s="1">
        <v>96003.8</v>
      </c>
      <c r="YN12" s="1">
        <v>96024.7</v>
      </c>
      <c r="YO12" s="1">
        <v>96045.5</v>
      </c>
      <c r="YP12" s="1">
        <v>96066.5</v>
      </c>
      <c r="YQ12" s="1">
        <v>96087.9</v>
      </c>
      <c r="YR12" s="1">
        <v>96113.3</v>
      </c>
      <c r="YS12" s="1">
        <v>96144.5</v>
      </c>
      <c r="YT12" s="1">
        <v>96173.5</v>
      </c>
      <c r="YU12" s="1">
        <v>96196</v>
      </c>
      <c r="YV12" s="1">
        <v>96218.3</v>
      </c>
      <c r="YW12" s="1">
        <v>96239.3</v>
      </c>
      <c r="YX12" s="1">
        <v>96261.3</v>
      </c>
      <c r="YY12" s="1">
        <v>96283.3</v>
      </c>
      <c r="YZ12" s="1">
        <v>96305.5</v>
      </c>
      <c r="ZA12" s="1">
        <v>96327.5</v>
      </c>
      <c r="ZB12" s="1">
        <v>96349.8</v>
      </c>
      <c r="ZC12" s="1">
        <v>96371.8</v>
      </c>
      <c r="ZD12" s="1">
        <v>96393.600000000006</v>
      </c>
      <c r="ZE12" s="1">
        <v>96418</v>
      </c>
      <c r="ZF12" s="1">
        <v>96443.7</v>
      </c>
      <c r="ZG12" s="1">
        <v>96464.9</v>
      </c>
      <c r="ZH12" s="1">
        <v>96485.8</v>
      </c>
      <c r="ZI12" s="1">
        <v>96506.9</v>
      </c>
      <c r="ZJ12" s="1">
        <v>96528</v>
      </c>
      <c r="ZK12" s="1">
        <v>96549</v>
      </c>
      <c r="ZL12" s="1">
        <v>96570.1</v>
      </c>
      <c r="ZM12" s="1">
        <v>96597</v>
      </c>
      <c r="ZN12" s="1">
        <v>96622.1</v>
      </c>
      <c r="ZO12" s="1">
        <v>96651</v>
      </c>
      <c r="ZP12" s="1">
        <v>96683.6</v>
      </c>
      <c r="ZQ12" s="1">
        <v>96710.8</v>
      </c>
      <c r="ZR12" s="1">
        <v>96739.5</v>
      </c>
      <c r="ZS12" s="1">
        <v>96768.7</v>
      </c>
      <c r="ZT12" s="1">
        <v>96792.7</v>
      </c>
      <c r="ZU12" s="1">
        <v>96814.399999999994</v>
      </c>
      <c r="ZV12" s="1">
        <v>96836.5</v>
      </c>
      <c r="ZW12" s="1">
        <v>96858.8</v>
      </c>
      <c r="ZX12" s="1">
        <v>96881.600000000006</v>
      </c>
      <c r="ZY12" s="1">
        <v>96905.1</v>
      </c>
      <c r="ZZ12" s="1">
        <v>96928.9</v>
      </c>
      <c r="AAA12" s="1">
        <v>96952.6</v>
      </c>
      <c r="AAB12" s="1">
        <v>96976.1</v>
      </c>
      <c r="AAC12" s="1">
        <v>96999</v>
      </c>
      <c r="AAD12" s="1">
        <v>97020.7</v>
      </c>
      <c r="AAE12" s="1">
        <v>97040.4</v>
      </c>
      <c r="AAF12" s="1">
        <v>97059.5</v>
      </c>
      <c r="AAG12" s="1">
        <v>97081.3</v>
      </c>
      <c r="AAH12" s="1">
        <v>97105.4</v>
      </c>
      <c r="AAI12" s="1">
        <v>97136.5</v>
      </c>
      <c r="AAJ12" s="1">
        <v>97178.2</v>
      </c>
      <c r="AAK12" s="1">
        <v>97227.7</v>
      </c>
      <c r="AAL12" s="1">
        <v>97272.1</v>
      </c>
      <c r="AAM12" s="1">
        <v>97318.5</v>
      </c>
      <c r="AAN12" s="1">
        <v>97371.1</v>
      </c>
      <c r="AAO12" s="1">
        <v>97423.1</v>
      </c>
      <c r="AAP12" s="1">
        <v>97472.9</v>
      </c>
      <c r="AAQ12" s="1">
        <v>97523.9</v>
      </c>
      <c r="AAR12" s="1">
        <v>97567.1</v>
      </c>
      <c r="AAS12" s="1">
        <v>97598.5</v>
      </c>
      <c r="AAT12" s="1">
        <v>97627.8</v>
      </c>
      <c r="AAU12" s="1">
        <v>97661.3</v>
      </c>
      <c r="AAV12" s="1">
        <v>97690.4</v>
      </c>
      <c r="AAW12" s="1">
        <v>97717.4</v>
      </c>
      <c r="AAX12" s="1">
        <v>97744.2</v>
      </c>
    </row>
    <row r="13" spans="1:750">
      <c r="A13" s="1">
        <v>12</v>
      </c>
      <c r="B13" s="1" t="s">
        <v>2</v>
      </c>
      <c r="C13" s="1" t="s">
        <v>3</v>
      </c>
      <c r="D13" s="1" t="s">
        <v>16</v>
      </c>
      <c r="E13" s="1" t="s">
        <v>5</v>
      </c>
      <c r="F13" s="1">
        <v>39693.9</v>
      </c>
      <c r="G13" s="1">
        <v>39738.400000000001</v>
      </c>
      <c r="H13" s="1">
        <v>39782</v>
      </c>
      <c r="I13" s="1">
        <v>39824.9</v>
      </c>
      <c r="J13" s="1">
        <v>39868.199999999997</v>
      </c>
      <c r="K13" s="1">
        <v>39910.300000000003</v>
      </c>
      <c r="L13" s="1">
        <v>39951.599999999999</v>
      </c>
      <c r="M13" s="1">
        <v>39993.9</v>
      </c>
      <c r="N13" s="1">
        <v>40038.199999999997</v>
      </c>
      <c r="O13" s="1">
        <v>40081.5</v>
      </c>
      <c r="P13" s="1">
        <v>40124.9</v>
      </c>
      <c r="Q13" s="1">
        <v>40172</v>
      </c>
      <c r="R13" s="1">
        <v>40218.800000000003</v>
      </c>
      <c r="S13" s="1">
        <v>40265.699999999997</v>
      </c>
      <c r="T13" s="1">
        <v>40317.699999999997</v>
      </c>
      <c r="U13" s="1">
        <v>40368.300000000003</v>
      </c>
      <c r="V13" s="1">
        <v>40420.699999999997</v>
      </c>
      <c r="W13" s="1">
        <v>40472.400000000001</v>
      </c>
      <c r="X13" s="1">
        <v>40522</v>
      </c>
      <c r="Y13" s="1">
        <v>40570.800000000003</v>
      </c>
      <c r="Z13" s="1">
        <v>40617.300000000003</v>
      </c>
      <c r="AA13" s="1">
        <v>40662.800000000003</v>
      </c>
      <c r="AB13" s="1">
        <v>40710.400000000001</v>
      </c>
      <c r="AC13" s="1">
        <v>40756.300000000003</v>
      </c>
      <c r="AD13" s="1">
        <v>40801.4</v>
      </c>
      <c r="AE13" s="1">
        <v>40847.199999999997</v>
      </c>
      <c r="AF13" s="1">
        <v>40893.9</v>
      </c>
      <c r="AG13" s="1">
        <v>40939</v>
      </c>
      <c r="AH13" s="1">
        <v>40984.300000000003</v>
      </c>
      <c r="AI13" s="1">
        <v>41030.5</v>
      </c>
      <c r="AJ13" s="1">
        <v>41077</v>
      </c>
      <c r="AK13" s="1">
        <v>41121.199999999997</v>
      </c>
      <c r="AL13" s="1">
        <v>41165.800000000003</v>
      </c>
      <c r="AM13" s="1">
        <v>41220.400000000001</v>
      </c>
      <c r="AN13" s="1">
        <v>41273.699999999997</v>
      </c>
      <c r="AO13" s="1">
        <v>41337.300000000003</v>
      </c>
      <c r="AP13" s="1">
        <v>41399.9</v>
      </c>
      <c r="AQ13" s="1">
        <v>41458.5</v>
      </c>
      <c r="AR13" s="1">
        <v>41519.1</v>
      </c>
      <c r="AS13" s="1">
        <v>41591.1</v>
      </c>
      <c r="AT13" s="1">
        <v>41654.5</v>
      </c>
      <c r="AU13" s="1">
        <v>41711.599999999999</v>
      </c>
      <c r="AV13" s="1">
        <v>41766.699999999997</v>
      </c>
      <c r="AW13" s="1">
        <v>41813.9</v>
      </c>
      <c r="AX13" s="1">
        <v>41859.9</v>
      </c>
      <c r="AY13" s="1">
        <v>41905.4</v>
      </c>
      <c r="AZ13" s="1">
        <v>41953</v>
      </c>
      <c r="BA13" s="1">
        <v>42001.3</v>
      </c>
      <c r="BB13" s="1">
        <v>42046.9</v>
      </c>
      <c r="BC13" s="1">
        <v>42091.8</v>
      </c>
      <c r="BD13" s="1">
        <v>42139.3</v>
      </c>
      <c r="BE13" s="1">
        <v>42186.8</v>
      </c>
      <c r="BF13" s="1">
        <v>42233.9</v>
      </c>
      <c r="BG13" s="1">
        <v>42279.5</v>
      </c>
      <c r="BH13" s="1">
        <v>42323.5</v>
      </c>
      <c r="BI13" s="1">
        <v>42368.3</v>
      </c>
      <c r="BJ13" s="1">
        <v>42415.1</v>
      </c>
      <c r="BK13" s="1">
        <v>42467.6</v>
      </c>
      <c r="BL13" s="1">
        <v>42527.199999999997</v>
      </c>
      <c r="BM13" s="1">
        <v>42587.5</v>
      </c>
      <c r="BN13" s="1">
        <v>42651.4</v>
      </c>
      <c r="BO13" s="1">
        <v>42720.3</v>
      </c>
      <c r="BP13" s="1">
        <v>42788.6</v>
      </c>
      <c r="BQ13" s="1">
        <v>42855</v>
      </c>
      <c r="BR13" s="1">
        <v>42925.9</v>
      </c>
      <c r="BS13" s="1">
        <v>42993.9</v>
      </c>
      <c r="BT13" s="1">
        <v>43051.199999999997</v>
      </c>
      <c r="BU13" s="1">
        <v>43098.400000000001</v>
      </c>
      <c r="BV13" s="1">
        <v>43147.1</v>
      </c>
      <c r="BW13" s="1">
        <v>43193.7</v>
      </c>
      <c r="BX13" s="1">
        <v>43239.1</v>
      </c>
      <c r="BY13" s="1">
        <v>43284.1</v>
      </c>
      <c r="BZ13" s="1">
        <v>43329.1</v>
      </c>
      <c r="CA13" s="1">
        <v>43376.1</v>
      </c>
      <c r="CB13" s="1">
        <v>43422.2</v>
      </c>
      <c r="CC13" s="1">
        <v>43467.3</v>
      </c>
      <c r="CD13" s="1">
        <v>43510</v>
      </c>
      <c r="CE13" s="1">
        <v>43553</v>
      </c>
      <c r="CF13" s="1">
        <v>43596.2</v>
      </c>
      <c r="CG13" s="1">
        <v>43639.5</v>
      </c>
      <c r="CH13" s="1">
        <v>43685.7</v>
      </c>
      <c r="CI13" s="1">
        <v>43736.3</v>
      </c>
      <c r="CJ13" s="1">
        <v>43798</v>
      </c>
      <c r="CK13" s="1">
        <v>43864.9</v>
      </c>
      <c r="CL13" s="1">
        <v>43948.6</v>
      </c>
      <c r="CM13" s="1">
        <v>44032.2</v>
      </c>
      <c r="CN13" s="1">
        <v>44117.7</v>
      </c>
      <c r="CO13" s="1">
        <v>44189.7</v>
      </c>
      <c r="CP13" s="1">
        <v>44268.2</v>
      </c>
      <c r="CQ13" s="1">
        <v>44335.1</v>
      </c>
      <c r="CR13" s="1">
        <v>44391.6</v>
      </c>
      <c r="CS13" s="1">
        <v>44442.5</v>
      </c>
      <c r="CT13" s="1">
        <v>44490.2</v>
      </c>
      <c r="CU13" s="1">
        <v>44537.2</v>
      </c>
      <c r="CV13" s="1">
        <v>44584.6</v>
      </c>
      <c r="CW13" s="1">
        <v>44634.7</v>
      </c>
      <c r="CX13" s="1">
        <v>44681.4</v>
      </c>
      <c r="CY13" s="1">
        <v>44728.6</v>
      </c>
      <c r="CZ13" s="1">
        <v>44774.6</v>
      </c>
      <c r="DA13" s="1">
        <v>44822.9</v>
      </c>
      <c r="DB13" s="1">
        <v>44870.400000000001</v>
      </c>
      <c r="DC13" s="1">
        <v>44916.800000000003</v>
      </c>
      <c r="DD13" s="1">
        <v>44961.3</v>
      </c>
      <c r="DE13" s="1">
        <v>45005.8</v>
      </c>
      <c r="DF13" s="1">
        <v>45049.3</v>
      </c>
      <c r="DG13" s="1">
        <v>45094.6</v>
      </c>
      <c r="DH13" s="1">
        <v>45153.3</v>
      </c>
      <c r="DI13" s="1">
        <v>45213.8</v>
      </c>
      <c r="DJ13" s="1">
        <v>45271.5</v>
      </c>
      <c r="DK13" s="1">
        <v>45332.9</v>
      </c>
      <c r="DL13" s="1">
        <v>45397.599999999999</v>
      </c>
      <c r="DM13" s="1">
        <v>45470.9</v>
      </c>
      <c r="DN13" s="1">
        <v>45548.4</v>
      </c>
      <c r="DO13" s="1">
        <v>45613.3</v>
      </c>
      <c r="DP13" s="1">
        <v>45663.8</v>
      </c>
      <c r="DQ13" s="1">
        <v>45709</v>
      </c>
      <c r="DR13" s="1">
        <v>45752.6</v>
      </c>
      <c r="DS13" s="1">
        <v>45797.599999999999</v>
      </c>
      <c r="DT13" s="1">
        <v>45843</v>
      </c>
      <c r="DU13" s="1">
        <v>45890.8</v>
      </c>
      <c r="DV13" s="1">
        <v>45938.3</v>
      </c>
      <c r="DW13" s="1">
        <v>45983.8</v>
      </c>
      <c r="DX13" s="1">
        <v>46028.3</v>
      </c>
      <c r="DY13" s="1">
        <v>46072.3</v>
      </c>
      <c r="DZ13" s="1">
        <v>46115.199999999997</v>
      </c>
      <c r="EA13" s="1">
        <v>46158.5</v>
      </c>
      <c r="EB13" s="1">
        <v>46201.5</v>
      </c>
      <c r="EC13" s="1">
        <v>46243.9</v>
      </c>
      <c r="ED13" s="1">
        <v>46289.1</v>
      </c>
      <c r="EE13" s="1">
        <v>46337</v>
      </c>
      <c r="EF13" s="1">
        <v>46394.6</v>
      </c>
      <c r="EG13" s="1">
        <v>46463.7</v>
      </c>
      <c r="EH13" s="1">
        <v>46530.1</v>
      </c>
      <c r="EI13" s="1">
        <v>46594</v>
      </c>
      <c r="EJ13" s="1">
        <v>46658.3</v>
      </c>
      <c r="EK13" s="1">
        <v>46719.8</v>
      </c>
      <c r="EL13" s="1">
        <v>46774.2</v>
      </c>
      <c r="EM13" s="1">
        <v>46821.7</v>
      </c>
      <c r="EN13" s="1">
        <v>46867.199999999997</v>
      </c>
      <c r="EO13" s="1">
        <v>46909.9</v>
      </c>
      <c r="EP13" s="1">
        <v>46952.2</v>
      </c>
      <c r="EQ13" s="1">
        <v>46994</v>
      </c>
      <c r="ER13" s="1">
        <v>47034.9</v>
      </c>
      <c r="ES13" s="1">
        <v>47076.1</v>
      </c>
      <c r="ET13" s="1">
        <v>47114.3</v>
      </c>
      <c r="EU13" s="1">
        <v>47152.2</v>
      </c>
      <c r="EV13" s="1">
        <v>47189.7</v>
      </c>
      <c r="EW13" s="1">
        <v>47227.199999999997</v>
      </c>
      <c r="EX13" s="1">
        <v>47264.7</v>
      </c>
      <c r="EY13" s="1">
        <v>47301.5</v>
      </c>
      <c r="EZ13" s="1">
        <v>47338.8</v>
      </c>
      <c r="FA13" s="1">
        <v>47375.8</v>
      </c>
      <c r="FB13" s="1">
        <v>47412.7</v>
      </c>
      <c r="FC13" s="1">
        <v>47449.8</v>
      </c>
      <c r="FD13" s="1">
        <v>47486.7</v>
      </c>
      <c r="FE13" s="1">
        <v>47523.5</v>
      </c>
      <c r="FF13" s="1">
        <v>47560.2</v>
      </c>
      <c r="FG13" s="1">
        <v>47597.4</v>
      </c>
      <c r="FH13" s="1">
        <v>47633.5</v>
      </c>
      <c r="FI13" s="1">
        <v>47669.3</v>
      </c>
      <c r="FJ13" s="1">
        <v>47705.2</v>
      </c>
      <c r="FK13" s="1">
        <v>47744.2</v>
      </c>
      <c r="FL13" s="1">
        <v>47783.8</v>
      </c>
      <c r="FM13" s="1">
        <v>47823.5</v>
      </c>
      <c r="FN13" s="1">
        <v>47863.3</v>
      </c>
      <c r="FO13" s="1">
        <v>47901.9</v>
      </c>
      <c r="FP13" s="1">
        <v>47939.5</v>
      </c>
      <c r="FQ13" s="1">
        <v>47976.9</v>
      </c>
      <c r="FR13" s="1">
        <v>48013.4</v>
      </c>
      <c r="FS13" s="1">
        <v>48050.1</v>
      </c>
      <c r="FT13" s="1">
        <v>48086.8</v>
      </c>
      <c r="FU13" s="1">
        <v>48123.8</v>
      </c>
      <c r="FV13" s="1">
        <v>48160.7</v>
      </c>
      <c r="FW13" s="1">
        <v>48197.3</v>
      </c>
      <c r="FX13" s="1">
        <v>48233.8</v>
      </c>
      <c r="FY13" s="1">
        <v>48270.7</v>
      </c>
      <c r="FZ13" s="1">
        <v>48307.6</v>
      </c>
      <c r="GA13" s="1">
        <v>48344.4</v>
      </c>
      <c r="GB13" s="1">
        <v>48380.9</v>
      </c>
      <c r="GC13" s="1">
        <v>48417.599999999999</v>
      </c>
      <c r="GD13" s="1">
        <v>48454.6</v>
      </c>
      <c r="GE13" s="1">
        <v>48490.5</v>
      </c>
      <c r="GF13" s="1">
        <v>48527.199999999997</v>
      </c>
      <c r="GG13" s="1">
        <v>48563</v>
      </c>
      <c r="GH13" s="1">
        <v>48598.6</v>
      </c>
      <c r="GI13" s="1">
        <v>48635.4</v>
      </c>
      <c r="GJ13" s="1">
        <v>48672.6</v>
      </c>
      <c r="GK13" s="1">
        <v>48710.2</v>
      </c>
      <c r="GL13" s="1">
        <v>48748.2</v>
      </c>
      <c r="GM13" s="1">
        <v>48786.2</v>
      </c>
      <c r="GN13" s="1">
        <v>48823.9</v>
      </c>
      <c r="GO13" s="1">
        <v>48861.4</v>
      </c>
      <c r="GP13" s="1">
        <v>48898.7</v>
      </c>
      <c r="GQ13" s="1">
        <v>48936.2</v>
      </c>
      <c r="GR13" s="1">
        <v>48973</v>
      </c>
      <c r="GS13" s="1">
        <v>49010.5</v>
      </c>
      <c r="GT13" s="1">
        <v>49047.199999999997</v>
      </c>
      <c r="GU13" s="1">
        <v>49084.3</v>
      </c>
      <c r="GV13" s="1">
        <v>49120.5</v>
      </c>
      <c r="GW13" s="1">
        <v>49157.4</v>
      </c>
      <c r="GX13" s="1">
        <v>49193.4</v>
      </c>
      <c r="GY13" s="1">
        <v>49229.5</v>
      </c>
      <c r="GZ13" s="1">
        <v>49266</v>
      </c>
      <c r="HA13" s="1">
        <v>49303</v>
      </c>
      <c r="HB13" s="1">
        <v>49339.7</v>
      </c>
      <c r="HC13" s="1">
        <v>49376.800000000003</v>
      </c>
      <c r="HD13" s="1">
        <v>49414.2</v>
      </c>
      <c r="HE13" s="1">
        <v>49451.4</v>
      </c>
      <c r="HF13" s="1">
        <v>49488.2</v>
      </c>
      <c r="HG13" s="1">
        <v>49524.9</v>
      </c>
      <c r="HH13" s="1">
        <v>49562</v>
      </c>
      <c r="HI13" s="1">
        <v>49599</v>
      </c>
      <c r="HJ13" s="1">
        <v>49636.4</v>
      </c>
      <c r="HK13" s="1">
        <v>49674.1</v>
      </c>
      <c r="HL13" s="1">
        <v>49712.6</v>
      </c>
      <c r="HM13" s="1">
        <v>49750.8</v>
      </c>
      <c r="HN13" s="1">
        <v>49788.4</v>
      </c>
      <c r="HO13" s="1">
        <v>49826.1</v>
      </c>
      <c r="HP13" s="1">
        <v>49863.6</v>
      </c>
      <c r="HQ13" s="1">
        <v>49901.5</v>
      </c>
      <c r="HR13" s="1">
        <v>49939.5</v>
      </c>
      <c r="HS13" s="1">
        <v>49976.9</v>
      </c>
      <c r="HT13" s="1">
        <v>50014.2</v>
      </c>
      <c r="HU13" s="1">
        <v>50050.8</v>
      </c>
      <c r="HV13" s="1">
        <v>50087.4</v>
      </c>
      <c r="HW13" s="1">
        <v>50128.3</v>
      </c>
      <c r="HX13" s="1">
        <v>50169.4</v>
      </c>
      <c r="HY13" s="1">
        <v>50212.2</v>
      </c>
      <c r="HZ13" s="1">
        <v>50255.3</v>
      </c>
      <c r="IA13" s="1">
        <v>50300.7</v>
      </c>
      <c r="IB13" s="1">
        <v>50345.7</v>
      </c>
      <c r="IC13" s="1">
        <v>50391.7</v>
      </c>
      <c r="ID13" s="1">
        <v>50436.4</v>
      </c>
      <c r="IE13" s="1">
        <v>50479.3</v>
      </c>
      <c r="IF13" s="1">
        <v>50521.4</v>
      </c>
      <c r="IG13" s="1">
        <v>50559.8</v>
      </c>
      <c r="IH13" s="1">
        <v>50597.8</v>
      </c>
      <c r="II13" s="1">
        <v>50636.3</v>
      </c>
      <c r="IJ13" s="1">
        <v>50674.400000000001</v>
      </c>
      <c r="IK13" s="1">
        <v>50715.4</v>
      </c>
      <c r="IL13" s="1">
        <v>50754.1</v>
      </c>
      <c r="IM13" s="1">
        <v>50792.7</v>
      </c>
      <c r="IN13" s="1">
        <v>50831</v>
      </c>
      <c r="IO13" s="1">
        <v>50869.7</v>
      </c>
      <c r="IP13" s="1">
        <v>50907.199999999997</v>
      </c>
      <c r="IQ13" s="1">
        <v>50945.4</v>
      </c>
      <c r="IR13" s="1">
        <v>50982.3</v>
      </c>
      <c r="IS13" s="1">
        <v>51019.8</v>
      </c>
      <c r="IT13" s="1">
        <v>51057.2</v>
      </c>
      <c r="IU13" s="1">
        <v>51098.8</v>
      </c>
      <c r="IV13" s="1">
        <v>51141.3</v>
      </c>
      <c r="IW13" s="1">
        <v>51183.9</v>
      </c>
      <c r="IX13" s="1">
        <v>51226.8</v>
      </c>
      <c r="IY13" s="1">
        <v>51271.4</v>
      </c>
      <c r="IZ13" s="1">
        <v>51318.8</v>
      </c>
      <c r="JA13" s="1">
        <v>51367</v>
      </c>
      <c r="JB13" s="1">
        <v>51414.3</v>
      </c>
      <c r="JC13" s="1">
        <v>51459.4</v>
      </c>
      <c r="JD13" s="1">
        <v>51503.4</v>
      </c>
      <c r="JE13" s="1">
        <v>51545.7</v>
      </c>
      <c r="JF13" s="1">
        <v>51585.2</v>
      </c>
      <c r="JG13" s="1">
        <v>51624.3</v>
      </c>
      <c r="JH13" s="1">
        <v>51664.1</v>
      </c>
      <c r="JI13" s="1">
        <v>51703.199999999997</v>
      </c>
      <c r="JJ13" s="1">
        <v>51741.599999999999</v>
      </c>
      <c r="JK13" s="1">
        <v>51779.5</v>
      </c>
      <c r="JL13" s="1">
        <v>51817.5</v>
      </c>
      <c r="JM13" s="1">
        <v>51855.6</v>
      </c>
      <c r="JN13" s="1">
        <v>51893.5</v>
      </c>
      <c r="JO13" s="1">
        <v>51931</v>
      </c>
      <c r="JP13" s="1">
        <v>51968.2</v>
      </c>
      <c r="JQ13" s="1">
        <v>52005.8</v>
      </c>
      <c r="JR13" s="1">
        <v>52044.3</v>
      </c>
      <c r="JS13" s="1">
        <v>52089.1</v>
      </c>
      <c r="JT13" s="1">
        <v>52131.6</v>
      </c>
      <c r="JU13" s="1">
        <v>52174.2</v>
      </c>
      <c r="JV13" s="1">
        <v>52217.5</v>
      </c>
      <c r="JW13" s="1">
        <v>52263.199999999997</v>
      </c>
      <c r="JX13" s="1">
        <v>52311</v>
      </c>
      <c r="JY13" s="1">
        <v>52359.8</v>
      </c>
      <c r="JZ13" s="1">
        <v>52409.8</v>
      </c>
      <c r="KA13" s="1">
        <v>52459.6</v>
      </c>
      <c r="KB13" s="1">
        <v>52506.8</v>
      </c>
      <c r="KC13" s="1">
        <v>52550.5</v>
      </c>
      <c r="KD13" s="1">
        <v>52593.4</v>
      </c>
      <c r="KE13" s="1">
        <v>52635.5</v>
      </c>
      <c r="KF13" s="1">
        <v>52674.9</v>
      </c>
      <c r="KG13" s="1">
        <v>52714</v>
      </c>
      <c r="KH13" s="1">
        <v>52752.6</v>
      </c>
      <c r="KI13" s="1">
        <v>52790.9</v>
      </c>
      <c r="KJ13" s="1">
        <v>52828.9</v>
      </c>
      <c r="KK13" s="1">
        <v>52867.199999999997</v>
      </c>
      <c r="KL13" s="1">
        <v>52905.3</v>
      </c>
      <c r="KM13" s="1">
        <v>52943.199999999997</v>
      </c>
      <c r="KN13" s="1">
        <v>52980.800000000003</v>
      </c>
      <c r="KO13" s="1">
        <v>53019.199999999997</v>
      </c>
      <c r="KP13" s="1">
        <v>53057.9</v>
      </c>
      <c r="KQ13" s="1">
        <v>53098</v>
      </c>
      <c r="KR13" s="1">
        <v>53140.2</v>
      </c>
      <c r="KS13" s="1">
        <v>53183.8</v>
      </c>
      <c r="KT13" s="1">
        <v>53225.7</v>
      </c>
      <c r="KU13" s="1">
        <v>53269.3</v>
      </c>
      <c r="KV13" s="1">
        <v>53316.2</v>
      </c>
      <c r="KW13" s="1">
        <v>53362.2</v>
      </c>
      <c r="KX13" s="1">
        <v>53411.8</v>
      </c>
      <c r="KY13" s="1">
        <v>53457.8</v>
      </c>
      <c r="KZ13" s="1">
        <v>53502.400000000001</v>
      </c>
      <c r="LA13" s="1">
        <v>53549.1</v>
      </c>
      <c r="LB13" s="1">
        <v>53591.4</v>
      </c>
      <c r="LC13" s="1">
        <v>53632.5</v>
      </c>
      <c r="LD13" s="1">
        <v>53673.1</v>
      </c>
      <c r="LE13" s="1">
        <v>53712.800000000003</v>
      </c>
      <c r="LF13" s="1">
        <v>53752.2</v>
      </c>
      <c r="LG13" s="1">
        <v>53791.7</v>
      </c>
      <c r="LH13" s="1">
        <v>53830.7</v>
      </c>
      <c r="LI13" s="1">
        <v>53869.2</v>
      </c>
      <c r="LJ13" s="1">
        <v>53907.7</v>
      </c>
      <c r="LK13" s="1">
        <v>53946.5</v>
      </c>
      <c r="LL13" s="1">
        <v>53984.3</v>
      </c>
      <c r="LM13" s="1">
        <v>54022.5</v>
      </c>
      <c r="LN13" s="1">
        <v>54061.2</v>
      </c>
      <c r="LO13" s="1">
        <v>54101.2</v>
      </c>
      <c r="LP13" s="1">
        <v>54143.6</v>
      </c>
      <c r="LQ13" s="1">
        <v>54186.6</v>
      </c>
      <c r="LR13" s="1">
        <v>54230.8</v>
      </c>
      <c r="LS13" s="1">
        <v>54276</v>
      </c>
      <c r="LT13" s="1">
        <v>54323.5</v>
      </c>
      <c r="LU13" s="1">
        <v>54373.1</v>
      </c>
      <c r="LV13" s="1">
        <v>54422.8</v>
      </c>
      <c r="LW13" s="1">
        <v>54472.6</v>
      </c>
      <c r="LX13" s="1">
        <v>54522.2</v>
      </c>
      <c r="LY13" s="1">
        <v>54568.800000000003</v>
      </c>
      <c r="LZ13" s="1">
        <v>54613.599999999999</v>
      </c>
      <c r="MA13" s="1">
        <v>54655.5</v>
      </c>
      <c r="MB13" s="1">
        <v>54696.5</v>
      </c>
      <c r="MC13" s="1">
        <v>54738.1</v>
      </c>
      <c r="MD13" s="1">
        <v>54778.400000000001</v>
      </c>
      <c r="ME13" s="1">
        <v>54820.4</v>
      </c>
      <c r="MF13" s="1">
        <v>54862.6</v>
      </c>
      <c r="MG13" s="1">
        <v>54901.4</v>
      </c>
      <c r="MH13" s="1">
        <v>54940.4</v>
      </c>
      <c r="MI13" s="1">
        <v>54979.1</v>
      </c>
      <c r="MJ13" s="1">
        <v>55017.3</v>
      </c>
      <c r="MK13" s="1">
        <v>55055.5</v>
      </c>
      <c r="ML13" s="1">
        <v>55095.3</v>
      </c>
      <c r="MM13" s="1">
        <v>55137.8</v>
      </c>
      <c r="MN13" s="1">
        <v>55178.7</v>
      </c>
      <c r="MO13" s="1">
        <v>55220</v>
      </c>
      <c r="MP13" s="1">
        <v>55264.4</v>
      </c>
      <c r="MQ13" s="1">
        <v>55307.4</v>
      </c>
      <c r="MR13" s="1">
        <v>55350.1</v>
      </c>
      <c r="MS13" s="1">
        <v>55398.7</v>
      </c>
      <c r="MT13" s="1">
        <v>55444.2</v>
      </c>
      <c r="MU13" s="1">
        <v>55493</v>
      </c>
      <c r="MV13" s="1">
        <v>55539</v>
      </c>
      <c r="MW13" s="1">
        <v>55582</v>
      </c>
      <c r="MX13" s="1">
        <v>55624</v>
      </c>
      <c r="MY13" s="1">
        <v>55666.5</v>
      </c>
      <c r="MZ13" s="1">
        <v>55707.8</v>
      </c>
      <c r="NA13" s="1">
        <v>55748.6</v>
      </c>
      <c r="NB13" s="1">
        <v>55788.9</v>
      </c>
      <c r="NC13" s="1">
        <v>55829.4</v>
      </c>
      <c r="ND13" s="1">
        <v>55868.6</v>
      </c>
      <c r="NE13" s="1">
        <v>55907.7</v>
      </c>
      <c r="NF13" s="1">
        <v>55947.4</v>
      </c>
      <c r="NG13" s="1">
        <v>55987.6</v>
      </c>
      <c r="NH13" s="1">
        <v>56026.2</v>
      </c>
      <c r="NI13" s="1">
        <v>56064.9</v>
      </c>
      <c r="NJ13" s="1">
        <v>56104.7</v>
      </c>
      <c r="NK13" s="1">
        <v>56149.599999999999</v>
      </c>
      <c r="NL13" s="1">
        <v>56199</v>
      </c>
      <c r="NM13" s="1">
        <v>56245.9</v>
      </c>
      <c r="NN13" s="1">
        <v>56292.9</v>
      </c>
      <c r="NO13" s="1">
        <v>56342.5</v>
      </c>
      <c r="NP13" s="1">
        <v>56395.7</v>
      </c>
      <c r="NQ13" s="1">
        <v>56448.6</v>
      </c>
      <c r="NR13" s="1">
        <v>56501.7</v>
      </c>
      <c r="NS13" s="1">
        <v>56551.199999999997</v>
      </c>
      <c r="NT13" s="1">
        <v>56603.7</v>
      </c>
      <c r="NU13" s="1">
        <v>56651.7</v>
      </c>
      <c r="NV13" s="1">
        <v>56697.9</v>
      </c>
      <c r="NW13" s="1">
        <v>56743</v>
      </c>
      <c r="NX13" s="1">
        <v>56785.2</v>
      </c>
      <c r="NY13" s="1">
        <v>56827.5</v>
      </c>
      <c r="NZ13" s="1">
        <v>56871.1</v>
      </c>
      <c r="OA13" s="1">
        <v>56914.3</v>
      </c>
      <c r="OB13" s="1">
        <v>56954</v>
      </c>
      <c r="OC13" s="1">
        <v>56993.8</v>
      </c>
      <c r="OD13" s="1">
        <v>57033.599999999999</v>
      </c>
      <c r="OE13" s="1">
        <v>57072.800000000003</v>
      </c>
      <c r="OF13" s="1">
        <v>57111.7</v>
      </c>
      <c r="OG13" s="1">
        <v>57150.1</v>
      </c>
      <c r="OH13" s="1">
        <v>57189.599999999999</v>
      </c>
      <c r="OI13" s="1">
        <v>57236.2</v>
      </c>
      <c r="OJ13" s="1">
        <v>57291.199999999997</v>
      </c>
      <c r="OK13" s="1">
        <v>57343.8</v>
      </c>
      <c r="OL13" s="1">
        <v>57395.8</v>
      </c>
      <c r="OM13" s="1">
        <v>57459.5</v>
      </c>
      <c r="ON13" s="1">
        <v>57533.8</v>
      </c>
      <c r="OO13" s="1">
        <v>57605.1</v>
      </c>
      <c r="OP13" s="1">
        <v>57670.6</v>
      </c>
      <c r="OQ13" s="1">
        <v>57726.3</v>
      </c>
      <c r="OR13" s="1">
        <v>57778.1</v>
      </c>
      <c r="OS13" s="1">
        <v>57825.8</v>
      </c>
      <c r="OT13" s="1">
        <v>57871.7</v>
      </c>
      <c r="OU13" s="1">
        <v>57914.2</v>
      </c>
      <c r="OV13" s="1">
        <v>57957.8</v>
      </c>
      <c r="OW13" s="1">
        <v>57998.3</v>
      </c>
      <c r="OX13" s="1">
        <v>58037.9</v>
      </c>
      <c r="OY13" s="1">
        <v>58076.3</v>
      </c>
      <c r="OZ13" s="1">
        <v>58114.400000000001</v>
      </c>
      <c r="PA13" s="1">
        <v>58152.9</v>
      </c>
      <c r="PB13" s="1">
        <v>58191.6</v>
      </c>
      <c r="PC13" s="1">
        <v>58232.1</v>
      </c>
      <c r="PD13" s="1">
        <v>58271.199999999997</v>
      </c>
      <c r="PE13" s="1">
        <v>58307.8</v>
      </c>
      <c r="PF13" s="1">
        <v>58343.199999999997</v>
      </c>
      <c r="PG13" s="1">
        <v>58381.1</v>
      </c>
      <c r="PH13" s="1">
        <v>58439.3</v>
      </c>
      <c r="PI13" s="1">
        <v>58508.3</v>
      </c>
      <c r="PJ13" s="1">
        <v>58582.9</v>
      </c>
      <c r="PK13" s="1">
        <v>58657.8</v>
      </c>
      <c r="PL13" s="1">
        <v>58729.599999999999</v>
      </c>
      <c r="PM13" s="1">
        <v>58808.3</v>
      </c>
      <c r="PN13" s="1">
        <v>58891.7</v>
      </c>
      <c r="PO13" s="1">
        <v>58957.4</v>
      </c>
      <c r="PP13" s="1">
        <v>59008.3</v>
      </c>
      <c r="PQ13" s="1">
        <v>59055.3</v>
      </c>
      <c r="PR13" s="1">
        <v>59102.9</v>
      </c>
      <c r="PS13" s="1">
        <v>59145.4</v>
      </c>
      <c r="PT13" s="1">
        <v>59186.8</v>
      </c>
      <c r="PU13" s="1">
        <v>59227.6</v>
      </c>
      <c r="PV13" s="1">
        <v>59270.1</v>
      </c>
      <c r="PW13" s="1">
        <v>59310.9</v>
      </c>
      <c r="PX13" s="1">
        <v>59350.7</v>
      </c>
      <c r="PY13" s="1">
        <v>59390.400000000001</v>
      </c>
      <c r="PZ13" s="1">
        <v>59430.1</v>
      </c>
      <c r="QA13" s="1">
        <v>59469.599999999999</v>
      </c>
      <c r="QB13" s="1">
        <v>59508.800000000003</v>
      </c>
      <c r="QC13" s="1">
        <v>59548.2</v>
      </c>
      <c r="QD13" s="1">
        <v>59589.1</v>
      </c>
      <c r="QE13" s="1">
        <v>59636.5</v>
      </c>
      <c r="QF13" s="1">
        <v>59687.8</v>
      </c>
      <c r="QG13" s="1">
        <v>59749.599999999999</v>
      </c>
      <c r="QH13" s="1">
        <v>59809.8</v>
      </c>
      <c r="QI13" s="1">
        <v>59870.7</v>
      </c>
      <c r="QJ13" s="1">
        <v>59935.7</v>
      </c>
      <c r="QK13" s="1">
        <v>60000.4</v>
      </c>
      <c r="QL13" s="1">
        <v>60063.8</v>
      </c>
      <c r="QM13" s="1">
        <v>60121.7</v>
      </c>
      <c r="QN13" s="1">
        <v>60171.199999999997</v>
      </c>
      <c r="QO13" s="1">
        <v>60215.7</v>
      </c>
      <c r="QP13" s="1">
        <v>60257.7</v>
      </c>
      <c r="QQ13" s="1">
        <v>60298.400000000001</v>
      </c>
      <c r="QR13" s="1">
        <v>60338.9</v>
      </c>
      <c r="QS13" s="1">
        <v>60379.4</v>
      </c>
      <c r="QT13" s="1">
        <v>60419.6</v>
      </c>
      <c r="QU13" s="1">
        <v>60460.9</v>
      </c>
      <c r="QV13" s="1">
        <v>60503.5</v>
      </c>
      <c r="QW13" s="1">
        <v>60543.9</v>
      </c>
      <c r="QX13" s="1">
        <v>60583.9</v>
      </c>
      <c r="QY13" s="1">
        <v>60623.9</v>
      </c>
      <c r="QZ13" s="1">
        <v>60664.2</v>
      </c>
      <c r="RA13" s="1">
        <v>60704</v>
      </c>
      <c r="RB13" s="1">
        <v>60744.800000000003</v>
      </c>
      <c r="RC13" s="1">
        <v>60789.599999999999</v>
      </c>
      <c r="RD13" s="1">
        <v>60843.9</v>
      </c>
      <c r="RE13" s="1">
        <v>60906.5</v>
      </c>
      <c r="RF13" s="1">
        <v>60968.2</v>
      </c>
      <c r="RG13" s="1">
        <v>61024.3</v>
      </c>
      <c r="RH13" s="1">
        <v>61082.3</v>
      </c>
      <c r="RI13" s="1">
        <v>61142.3</v>
      </c>
      <c r="RJ13" s="1">
        <v>61205.1</v>
      </c>
      <c r="RK13" s="1">
        <v>61266.7</v>
      </c>
      <c r="RL13" s="1">
        <v>61323.4</v>
      </c>
      <c r="RM13" s="1">
        <v>61371</v>
      </c>
      <c r="RN13" s="1">
        <v>61416.2</v>
      </c>
      <c r="RO13" s="1">
        <v>61462.3</v>
      </c>
      <c r="RP13" s="1">
        <v>61507.8</v>
      </c>
      <c r="RQ13" s="1">
        <v>61552.4</v>
      </c>
      <c r="RR13" s="1">
        <v>61595</v>
      </c>
      <c r="RS13" s="1">
        <v>61637.2</v>
      </c>
      <c r="RT13" s="1">
        <v>61678.8</v>
      </c>
      <c r="RU13" s="1">
        <v>61719.9</v>
      </c>
      <c r="RV13" s="1">
        <v>61762.8</v>
      </c>
      <c r="RW13" s="1">
        <v>61806.400000000001</v>
      </c>
      <c r="RX13" s="1">
        <v>61848</v>
      </c>
      <c r="RY13" s="1">
        <v>61887.7</v>
      </c>
      <c r="RZ13" s="1">
        <v>61928.3</v>
      </c>
      <c r="SA13" s="1">
        <v>61968.9</v>
      </c>
      <c r="SB13" s="1">
        <v>62012.7</v>
      </c>
      <c r="SC13" s="1">
        <v>62054.7</v>
      </c>
      <c r="SD13" s="1">
        <v>62098.5</v>
      </c>
      <c r="SE13" s="1">
        <v>62145.3</v>
      </c>
      <c r="SF13" s="1">
        <v>62190.9</v>
      </c>
      <c r="SG13" s="1">
        <v>62240.6</v>
      </c>
      <c r="SH13" s="1">
        <v>62287.5</v>
      </c>
      <c r="SI13" s="1">
        <v>62336.2</v>
      </c>
      <c r="SJ13" s="1">
        <v>62381.9</v>
      </c>
      <c r="SK13" s="1">
        <v>62425</v>
      </c>
      <c r="SL13" s="1">
        <v>62470.1</v>
      </c>
      <c r="SM13" s="1">
        <v>62514.400000000001</v>
      </c>
      <c r="SN13" s="1">
        <v>62559.4</v>
      </c>
      <c r="SO13" s="1">
        <v>62603.9</v>
      </c>
      <c r="SP13" s="1">
        <v>62648.7</v>
      </c>
      <c r="SQ13" s="1">
        <v>62690.8</v>
      </c>
      <c r="SR13" s="1">
        <v>62731.6</v>
      </c>
      <c r="SS13" s="1">
        <v>62772.3</v>
      </c>
      <c r="ST13" s="1">
        <v>62815.1</v>
      </c>
      <c r="SU13" s="1">
        <v>62855.5</v>
      </c>
      <c r="SV13" s="1">
        <v>62895</v>
      </c>
      <c r="SW13" s="1">
        <v>62934.5</v>
      </c>
      <c r="SX13" s="1">
        <v>62975.6</v>
      </c>
      <c r="SY13" s="1">
        <v>63018.6</v>
      </c>
      <c r="SZ13" s="1">
        <v>63059.9</v>
      </c>
      <c r="TA13" s="1">
        <v>63102.5</v>
      </c>
      <c r="TB13" s="1">
        <v>63147.9</v>
      </c>
      <c r="TC13" s="1">
        <v>63192.6</v>
      </c>
      <c r="TD13" s="1">
        <v>63242.6</v>
      </c>
      <c r="TE13" s="1">
        <v>63289.1</v>
      </c>
      <c r="TF13" s="1">
        <v>63343.1</v>
      </c>
      <c r="TG13" s="1">
        <v>63392.2</v>
      </c>
      <c r="TH13" s="1">
        <v>63437.8</v>
      </c>
      <c r="TI13" s="1">
        <v>63484.800000000003</v>
      </c>
      <c r="TJ13" s="1">
        <v>63529.5</v>
      </c>
      <c r="TK13" s="1">
        <v>63571.6</v>
      </c>
      <c r="TL13" s="1">
        <v>63614.7</v>
      </c>
      <c r="TM13" s="1">
        <v>63660.1</v>
      </c>
      <c r="TN13" s="1">
        <v>63705.2</v>
      </c>
      <c r="TO13" s="1">
        <v>63749.3</v>
      </c>
      <c r="TP13" s="1">
        <v>63790.5</v>
      </c>
      <c r="TQ13" s="1">
        <v>63831.3</v>
      </c>
      <c r="TR13" s="1">
        <v>63871.5</v>
      </c>
      <c r="TS13" s="1">
        <v>63913.3</v>
      </c>
      <c r="TT13" s="1">
        <v>63952.9</v>
      </c>
      <c r="TU13" s="1">
        <v>63992.5</v>
      </c>
      <c r="TV13" s="1">
        <v>64032.3</v>
      </c>
      <c r="TW13" s="1">
        <v>64086.400000000001</v>
      </c>
      <c r="TX13" s="1">
        <v>64145.9</v>
      </c>
      <c r="TY13" s="1">
        <v>64213.5</v>
      </c>
      <c r="TZ13" s="1">
        <v>64276.4</v>
      </c>
      <c r="UA13" s="1">
        <v>64337.3</v>
      </c>
      <c r="UB13" s="1">
        <v>64398.8</v>
      </c>
      <c r="UC13" s="1">
        <v>64455.7</v>
      </c>
      <c r="UD13" s="1">
        <v>64521.4</v>
      </c>
      <c r="UE13" s="1">
        <v>64580.3</v>
      </c>
      <c r="UF13" s="1">
        <v>64627.7</v>
      </c>
      <c r="UG13" s="1">
        <v>64673.3</v>
      </c>
      <c r="UH13" s="1">
        <v>64717.8</v>
      </c>
      <c r="UI13" s="1">
        <v>64757.5</v>
      </c>
      <c r="UJ13" s="1">
        <v>64799.4</v>
      </c>
      <c r="UK13" s="1">
        <v>64841</v>
      </c>
      <c r="UL13" s="1">
        <v>64883.199999999997</v>
      </c>
      <c r="UM13" s="1">
        <v>64925</v>
      </c>
      <c r="UN13" s="1">
        <v>64964.6</v>
      </c>
      <c r="UO13" s="1">
        <v>65003.199999999997</v>
      </c>
      <c r="UP13" s="1">
        <v>65043.7</v>
      </c>
      <c r="UQ13" s="1">
        <v>65086.8</v>
      </c>
      <c r="UR13" s="1">
        <v>65124.3</v>
      </c>
      <c r="US13" s="1">
        <v>65161.5</v>
      </c>
      <c r="UT13" s="1">
        <v>65199.4</v>
      </c>
      <c r="UU13" s="1">
        <v>65245.4</v>
      </c>
      <c r="UV13" s="1">
        <v>65296.6</v>
      </c>
      <c r="UW13" s="1">
        <v>65344.5</v>
      </c>
      <c r="UX13" s="1">
        <v>65399.1</v>
      </c>
      <c r="UY13" s="1">
        <v>65456.4</v>
      </c>
      <c r="UZ13" s="1">
        <v>65512.2</v>
      </c>
      <c r="VA13" s="1">
        <v>65578.7</v>
      </c>
      <c r="VB13" s="1">
        <v>65640</v>
      </c>
      <c r="VC13" s="1">
        <v>65696.399999999994</v>
      </c>
      <c r="VD13" s="1">
        <v>65744.800000000003</v>
      </c>
      <c r="VE13" s="1">
        <v>65790</v>
      </c>
      <c r="VF13" s="1">
        <v>65833.100000000006</v>
      </c>
      <c r="VG13" s="1">
        <v>65874.3</v>
      </c>
      <c r="VH13" s="1">
        <v>65913.100000000006</v>
      </c>
      <c r="VI13" s="1">
        <v>65950.8</v>
      </c>
      <c r="VJ13" s="1">
        <v>65987.5</v>
      </c>
      <c r="VK13" s="1">
        <v>66024</v>
      </c>
      <c r="VL13" s="1">
        <v>66060.3</v>
      </c>
      <c r="VM13" s="1">
        <v>66098.7</v>
      </c>
      <c r="VN13" s="1">
        <v>66138.2</v>
      </c>
      <c r="VO13" s="1">
        <v>66178.100000000006</v>
      </c>
      <c r="VP13" s="1">
        <v>66215.8</v>
      </c>
      <c r="VQ13" s="1">
        <v>66252.600000000006</v>
      </c>
      <c r="VR13" s="1">
        <v>66288.100000000006</v>
      </c>
      <c r="VS13" s="1">
        <v>66331</v>
      </c>
      <c r="VT13" s="1">
        <v>66376</v>
      </c>
      <c r="VU13" s="1">
        <v>66421.8</v>
      </c>
      <c r="VV13" s="1">
        <v>66474.8</v>
      </c>
      <c r="VW13" s="1">
        <v>66522.5</v>
      </c>
      <c r="VX13" s="1">
        <v>66581.8</v>
      </c>
      <c r="VY13" s="1">
        <v>66641.100000000006</v>
      </c>
      <c r="VZ13" s="1">
        <v>66696.7</v>
      </c>
      <c r="WA13" s="1">
        <v>66746.7</v>
      </c>
      <c r="WB13" s="1">
        <v>66793.899999999994</v>
      </c>
      <c r="WC13" s="1">
        <v>66836.5</v>
      </c>
      <c r="WD13" s="1">
        <v>66877.899999999994</v>
      </c>
      <c r="WE13" s="1">
        <v>66919.3</v>
      </c>
      <c r="WF13" s="1">
        <v>66963.5</v>
      </c>
      <c r="WG13" s="1">
        <v>67001.5</v>
      </c>
      <c r="WH13" s="1">
        <v>67038.3</v>
      </c>
      <c r="WI13" s="1">
        <v>67075.100000000006</v>
      </c>
      <c r="WJ13" s="1">
        <v>67114.600000000006</v>
      </c>
      <c r="WK13" s="1">
        <v>67153.100000000006</v>
      </c>
      <c r="WL13" s="1">
        <v>67190.5</v>
      </c>
      <c r="WM13" s="1">
        <v>67229</v>
      </c>
      <c r="WN13" s="1">
        <v>67266.600000000006</v>
      </c>
      <c r="WO13" s="1">
        <v>67301.3</v>
      </c>
      <c r="WP13" s="1">
        <v>67336.5</v>
      </c>
      <c r="WQ13" s="1">
        <v>67380.100000000006</v>
      </c>
      <c r="WR13" s="1">
        <v>67425.600000000006</v>
      </c>
      <c r="WS13" s="1">
        <v>67478.7</v>
      </c>
      <c r="WT13" s="1">
        <v>67530.8</v>
      </c>
      <c r="WU13" s="1">
        <v>67584.899999999994</v>
      </c>
      <c r="WV13" s="1">
        <v>67641.399999999994</v>
      </c>
      <c r="WW13" s="1">
        <v>67699.3</v>
      </c>
      <c r="WX13" s="1">
        <v>67756.399999999994</v>
      </c>
      <c r="WY13" s="1">
        <v>67809.899999999994</v>
      </c>
      <c r="WZ13" s="1">
        <v>67860.899999999994</v>
      </c>
      <c r="XA13" s="1">
        <v>67909.899999999994</v>
      </c>
      <c r="XB13" s="1">
        <v>67953.899999999994</v>
      </c>
      <c r="XC13" s="1">
        <v>67997.399999999994</v>
      </c>
      <c r="XD13" s="1">
        <v>68041.3</v>
      </c>
      <c r="XE13" s="1">
        <v>68083.199999999997</v>
      </c>
      <c r="XF13" s="1">
        <v>68121.100000000006</v>
      </c>
      <c r="XG13" s="1">
        <v>68158.3</v>
      </c>
      <c r="XH13" s="1">
        <v>68195.100000000006</v>
      </c>
      <c r="XI13" s="1">
        <v>68231.899999999994</v>
      </c>
      <c r="XJ13" s="1">
        <v>68268.3</v>
      </c>
      <c r="XK13" s="1">
        <v>68304.100000000006</v>
      </c>
      <c r="XL13" s="1">
        <v>68339.7</v>
      </c>
      <c r="XM13" s="1">
        <v>68375.600000000006</v>
      </c>
      <c r="XN13" s="1">
        <v>68413</v>
      </c>
      <c r="XO13" s="1">
        <v>68456.7</v>
      </c>
      <c r="XP13" s="1">
        <v>68502.899999999994</v>
      </c>
      <c r="XQ13" s="1">
        <v>68548.600000000006</v>
      </c>
      <c r="XR13" s="1">
        <v>68596.600000000006</v>
      </c>
      <c r="XS13" s="1">
        <v>68646.8</v>
      </c>
      <c r="XT13" s="1">
        <v>68695.3</v>
      </c>
      <c r="XU13" s="1">
        <v>68745.899999999994</v>
      </c>
      <c r="XV13" s="1">
        <v>68798.3</v>
      </c>
      <c r="XW13" s="1">
        <v>68849.100000000006</v>
      </c>
      <c r="XX13" s="1">
        <v>68895.199999999997</v>
      </c>
      <c r="XY13" s="1">
        <v>68941</v>
      </c>
      <c r="XZ13" s="1">
        <v>68983.399999999994</v>
      </c>
      <c r="YA13" s="1">
        <v>69025.899999999994</v>
      </c>
      <c r="YB13" s="1">
        <v>69066.8</v>
      </c>
      <c r="YC13" s="1">
        <v>69108.5</v>
      </c>
      <c r="YD13" s="1">
        <v>69148.800000000003</v>
      </c>
      <c r="YE13" s="1">
        <v>69187</v>
      </c>
      <c r="YF13" s="1">
        <v>69223.8</v>
      </c>
      <c r="YG13" s="1">
        <v>69261.100000000006</v>
      </c>
      <c r="YH13" s="1">
        <v>69297.899999999994</v>
      </c>
      <c r="YI13" s="1">
        <v>69334.5</v>
      </c>
      <c r="YJ13" s="1">
        <v>69371.8</v>
      </c>
      <c r="YK13" s="1">
        <v>69411</v>
      </c>
      <c r="YL13" s="1">
        <v>69448.2</v>
      </c>
      <c r="YM13" s="1">
        <v>69488.600000000006</v>
      </c>
      <c r="YN13" s="1">
        <v>69532.3</v>
      </c>
      <c r="YO13" s="1">
        <v>69575.8</v>
      </c>
      <c r="YP13" s="1">
        <v>69620</v>
      </c>
      <c r="YQ13" s="1">
        <v>69663.7</v>
      </c>
      <c r="YR13" s="1">
        <v>69707.3</v>
      </c>
      <c r="YS13" s="1">
        <v>69751.7</v>
      </c>
      <c r="YT13" s="1">
        <v>69796.7</v>
      </c>
      <c r="YU13" s="1">
        <v>69839.5</v>
      </c>
      <c r="YV13" s="1">
        <v>69881.3</v>
      </c>
      <c r="YW13" s="1">
        <v>69920.5</v>
      </c>
      <c r="YX13" s="1">
        <v>69959.399999999994</v>
      </c>
      <c r="YY13" s="1">
        <v>69999.100000000006</v>
      </c>
      <c r="YZ13" s="1">
        <v>70044.100000000006</v>
      </c>
      <c r="ZA13" s="1">
        <v>70086.600000000006</v>
      </c>
      <c r="ZB13" s="1">
        <v>70125.399999999994</v>
      </c>
      <c r="ZC13" s="1">
        <v>70164.100000000006</v>
      </c>
      <c r="ZD13" s="1">
        <v>70202.7</v>
      </c>
      <c r="ZE13" s="1">
        <v>70242.7</v>
      </c>
      <c r="ZF13" s="1">
        <v>70282.5</v>
      </c>
      <c r="ZG13" s="1">
        <v>70319.7</v>
      </c>
      <c r="ZH13" s="1">
        <v>70356.3</v>
      </c>
      <c r="ZI13" s="1">
        <v>70392.399999999994</v>
      </c>
      <c r="ZJ13" s="1">
        <v>70429.100000000006</v>
      </c>
      <c r="ZK13" s="1">
        <v>70468.100000000006</v>
      </c>
      <c r="ZL13" s="1">
        <v>70508.899999999994</v>
      </c>
      <c r="ZM13" s="1">
        <v>70549.600000000006</v>
      </c>
      <c r="ZN13" s="1">
        <v>70590.899999999994</v>
      </c>
      <c r="ZO13" s="1">
        <v>70633.7</v>
      </c>
      <c r="ZP13" s="1">
        <v>70675.600000000006</v>
      </c>
      <c r="ZQ13" s="1">
        <v>70718.8</v>
      </c>
      <c r="ZR13" s="1">
        <v>70764.600000000006</v>
      </c>
      <c r="ZS13" s="1">
        <v>70810.2</v>
      </c>
      <c r="ZT13" s="1">
        <v>70853.2</v>
      </c>
      <c r="ZU13" s="1">
        <v>70894</v>
      </c>
      <c r="ZV13" s="1">
        <v>70932.7</v>
      </c>
      <c r="ZW13" s="1">
        <v>70969.3</v>
      </c>
      <c r="ZX13" s="1">
        <v>71007</v>
      </c>
      <c r="ZY13" s="1">
        <v>71045.399999999994</v>
      </c>
      <c r="ZZ13" s="1">
        <v>71086</v>
      </c>
      <c r="AAA13" s="1">
        <v>71124.600000000006</v>
      </c>
      <c r="AAB13" s="1">
        <v>71161.8</v>
      </c>
      <c r="AAC13" s="1">
        <v>71199.399999999994</v>
      </c>
      <c r="AAD13" s="1">
        <v>71236.399999999994</v>
      </c>
      <c r="AAE13" s="1">
        <v>71274.3</v>
      </c>
      <c r="AAF13" s="1">
        <v>71312.800000000003</v>
      </c>
      <c r="AAG13" s="1">
        <v>71349.2</v>
      </c>
      <c r="AAH13" s="1">
        <v>71386.3</v>
      </c>
      <c r="AAI13" s="1">
        <v>71435.8</v>
      </c>
      <c r="AAJ13" s="1">
        <v>71492</v>
      </c>
      <c r="AAK13" s="1">
        <v>71555.3</v>
      </c>
      <c r="AAL13" s="1">
        <v>71618.100000000006</v>
      </c>
      <c r="AAM13" s="1">
        <v>71682.100000000006</v>
      </c>
      <c r="AAN13" s="1">
        <v>71755.399999999994</v>
      </c>
      <c r="AAO13" s="1">
        <v>71835.199999999997</v>
      </c>
      <c r="AAP13" s="1">
        <v>71904.899999999994</v>
      </c>
      <c r="AAQ13" s="1">
        <v>71961.2</v>
      </c>
      <c r="AAR13" s="1">
        <v>72011.3</v>
      </c>
      <c r="AAS13" s="1">
        <v>72057.5</v>
      </c>
      <c r="AAT13" s="1">
        <v>72100.2</v>
      </c>
      <c r="AAU13" s="1">
        <v>72141.7</v>
      </c>
      <c r="AAV13" s="1">
        <v>72181.2</v>
      </c>
      <c r="AAW13" s="1">
        <v>72223.399999999994</v>
      </c>
      <c r="AAX13" s="1">
        <v>72263.3</v>
      </c>
    </row>
    <row r="14" spans="1:750">
      <c r="A14" s="1">
        <v>13</v>
      </c>
      <c r="B14" s="1" t="s">
        <v>2</v>
      </c>
      <c r="C14" s="1" t="s">
        <v>3</v>
      </c>
      <c r="D14" s="1" t="s">
        <v>17</v>
      </c>
      <c r="E14" s="1" t="s">
        <v>5</v>
      </c>
      <c r="F14" s="1">
        <v>52836.5</v>
      </c>
      <c r="G14" s="1">
        <v>52891.1</v>
      </c>
      <c r="H14" s="1">
        <v>52945.7</v>
      </c>
      <c r="I14" s="1">
        <v>53000.2</v>
      </c>
      <c r="J14" s="1">
        <v>53054.8</v>
      </c>
      <c r="K14" s="1">
        <v>53109.4</v>
      </c>
      <c r="L14" s="1">
        <v>53163.9</v>
      </c>
      <c r="M14" s="1">
        <v>53216.5</v>
      </c>
      <c r="N14" s="1">
        <v>53266.6</v>
      </c>
      <c r="O14" s="1">
        <v>53316.6</v>
      </c>
      <c r="P14" s="1">
        <v>53363</v>
      </c>
      <c r="Q14" s="1">
        <v>53407.3</v>
      </c>
      <c r="R14" s="1">
        <v>53448.5</v>
      </c>
      <c r="S14" s="1">
        <v>53491</v>
      </c>
      <c r="T14" s="1">
        <v>53533.4</v>
      </c>
      <c r="U14" s="1">
        <v>53576.2</v>
      </c>
      <c r="V14" s="1">
        <v>53620.2</v>
      </c>
      <c r="W14" s="1">
        <v>53670.3</v>
      </c>
      <c r="X14" s="1">
        <v>53722.7</v>
      </c>
      <c r="Y14" s="1">
        <v>53778.2</v>
      </c>
      <c r="Z14" s="1">
        <v>53834.5</v>
      </c>
      <c r="AA14" s="1">
        <v>53890.6</v>
      </c>
      <c r="AB14" s="1">
        <v>53946.3</v>
      </c>
      <c r="AC14" s="1">
        <v>54001.7</v>
      </c>
      <c r="AD14" s="1">
        <v>54057.3</v>
      </c>
      <c r="AE14" s="1">
        <v>54112.7</v>
      </c>
      <c r="AF14" s="1">
        <v>54168.1</v>
      </c>
      <c r="AG14" s="1">
        <v>54223.199999999997</v>
      </c>
      <c r="AH14" s="1">
        <v>54278.7</v>
      </c>
      <c r="AI14" s="1">
        <v>54336</v>
      </c>
      <c r="AJ14" s="1">
        <v>54390.5</v>
      </c>
      <c r="AK14" s="1">
        <v>54444</v>
      </c>
      <c r="AL14" s="1">
        <v>54495.5</v>
      </c>
      <c r="AM14" s="1">
        <v>54549.8</v>
      </c>
      <c r="AN14" s="1">
        <v>54606.3</v>
      </c>
      <c r="AO14" s="1">
        <v>54663.1</v>
      </c>
      <c r="AP14" s="1">
        <v>54719</v>
      </c>
      <c r="AQ14" s="1">
        <v>54774.7</v>
      </c>
      <c r="AR14" s="1">
        <v>54829.599999999999</v>
      </c>
      <c r="AS14" s="1">
        <v>54883</v>
      </c>
      <c r="AT14" s="1">
        <v>54938.9</v>
      </c>
      <c r="AU14" s="1">
        <v>54994.8</v>
      </c>
      <c r="AV14" s="1">
        <v>55049.599999999999</v>
      </c>
      <c r="AW14" s="1">
        <v>55104.800000000003</v>
      </c>
      <c r="AX14" s="1">
        <v>55159.3</v>
      </c>
      <c r="AY14" s="1">
        <v>55214.6</v>
      </c>
      <c r="AZ14" s="1">
        <v>55270.3</v>
      </c>
      <c r="BA14" s="1">
        <v>55325.4</v>
      </c>
      <c r="BB14" s="1">
        <v>55379.9</v>
      </c>
      <c r="BC14" s="1">
        <v>55434.3</v>
      </c>
      <c r="BD14" s="1">
        <v>55488.1</v>
      </c>
      <c r="BE14" s="1">
        <v>55542.7</v>
      </c>
      <c r="BF14" s="1">
        <v>55597.3</v>
      </c>
      <c r="BG14" s="1">
        <v>55654.1</v>
      </c>
      <c r="BH14" s="1">
        <v>55708.3</v>
      </c>
      <c r="BI14" s="1">
        <v>55761.7</v>
      </c>
      <c r="BJ14" s="1">
        <v>55812.7</v>
      </c>
      <c r="BK14" s="1">
        <v>55864.9</v>
      </c>
      <c r="BL14" s="1">
        <v>55919.199999999997</v>
      </c>
      <c r="BM14" s="1">
        <v>55977.8</v>
      </c>
      <c r="BN14" s="1">
        <v>56035.1</v>
      </c>
      <c r="BO14" s="1">
        <v>56091</v>
      </c>
      <c r="BP14" s="1">
        <v>56147.1</v>
      </c>
      <c r="BQ14" s="1">
        <v>56206.2</v>
      </c>
      <c r="BR14" s="1">
        <v>56264.800000000003</v>
      </c>
      <c r="BS14" s="1">
        <v>56322.8</v>
      </c>
      <c r="BT14" s="1">
        <v>56382.400000000001</v>
      </c>
      <c r="BU14" s="1">
        <v>56437.9</v>
      </c>
      <c r="BV14" s="1">
        <v>56494.7</v>
      </c>
      <c r="BW14" s="1">
        <v>56551.6</v>
      </c>
      <c r="BX14" s="1">
        <v>56607.4</v>
      </c>
      <c r="BY14" s="1">
        <v>56663.5</v>
      </c>
      <c r="BZ14" s="1">
        <v>56719</v>
      </c>
      <c r="CA14" s="1">
        <v>56774.400000000001</v>
      </c>
      <c r="CB14" s="1">
        <v>56829.5</v>
      </c>
      <c r="CC14" s="1">
        <v>56884.6</v>
      </c>
      <c r="CD14" s="1">
        <v>56940.2</v>
      </c>
      <c r="CE14" s="1">
        <v>56995.7</v>
      </c>
      <c r="CF14" s="1">
        <v>57050.7</v>
      </c>
      <c r="CG14" s="1">
        <v>57105.1</v>
      </c>
      <c r="CH14" s="1">
        <v>57156.9</v>
      </c>
      <c r="CI14" s="1">
        <v>57208.2</v>
      </c>
      <c r="CJ14" s="1">
        <v>57256.3</v>
      </c>
      <c r="CK14" s="1">
        <v>57303.199999999997</v>
      </c>
      <c r="CL14" s="1">
        <v>57346.8</v>
      </c>
      <c r="CM14" s="1">
        <v>57393.4</v>
      </c>
      <c r="CN14" s="1">
        <v>57439.199999999997</v>
      </c>
      <c r="CO14" s="1">
        <v>57491</v>
      </c>
      <c r="CP14" s="1">
        <v>57540.1</v>
      </c>
      <c r="CQ14" s="1">
        <v>57595.5</v>
      </c>
      <c r="CR14" s="1">
        <v>57651.1</v>
      </c>
      <c r="CS14" s="1">
        <v>57709.1</v>
      </c>
      <c r="CT14" s="1">
        <v>57765.7</v>
      </c>
      <c r="CU14" s="1">
        <v>57822.1</v>
      </c>
      <c r="CV14" s="1">
        <v>57879</v>
      </c>
      <c r="CW14" s="1">
        <v>57936.800000000003</v>
      </c>
      <c r="CX14" s="1">
        <v>57992.5</v>
      </c>
      <c r="CY14" s="1">
        <v>58049.2</v>
      </c>
      <c r="CZ14" s="1">
        <v>58104.9</v>
      </c>
      <c r="DA14" s="1">
        <v>58162.400000000001</v>
      </c>
      <c r="DB14" s="1">
        <v>58218.3</v>
      </c>
      <c r="DC14" s="1">
        <v>58276.1</v>
      </c>
      <c r="DD14" s="1">
        <v>58331.8</v>
      </c>
      <c r="DE14" s="1">
        <v>58387.3</v>
      </c>
      <c r="DF14" s="1">
        <v>58443.199999999997</v>
      </c>
      <c r="DG14" s="1">
        <v>58501</v>
      </c>
      <c r="DH14" s="1">
        <v>58557.4</v>
      </c>
      <c r="DI14" s="1">
        <v>58613.4</v>
      </c>
      <c r="DJ14" s="1">
        <v>58671.5</v>
      </c>
      <c r="DK14" s="1">
        <v>58724.6</v>
      </c>
      <c r="DL14" s="1">
        <v>58775.8</v>
      </c>
      <c r="DM14" s="1">
        <v>58827.7</v>
      </c>
      <c r="DN14" s="1">
        <v>58878.5</v>
      </c>
      <c r="DO14" s="1">
        <v>58935.8</v>
      </c>
      <c r="DP14" s="1">
        <v>58994.8</v>
      </c>
      <c r="DQ14" s="1">
        <v>59052.5</v>
      </c>
      <c r="DR14" s="1">
        <v>59111.1</v>
      </c>
      <c r="DS14" s="1">
        <v>59165.599999999999</v>
      </c>
      <c r="DT14" s="1">
        <v>59221.5</v>
      </c>
      <c r="DU14" s="1">
        <v>59277</v>
      </c>
      <c r="DV14" s="1">
        <v>59331.7</v>
      </c>
      <c r="DW14" s="1">
        <v>59386.2</v>
      </c>
      <c r="DX14" s="1">
        <v>59440.3</v>
      </c>
      <c r="DY14" s="1">
        <v>59494.7</v>
      </c>
      <c r="DZ14" s="1">
        <v>59550.1</v>
      </c>
      <c r="EA14" s="1">
        <v>59605.2</v>
      </c>
      <c r="EB14" s="1">
        <v>59659.3</v>
      </c>
      <c r="EC14" s="1">
        <v>59712.6</v>
      </c>
      <c r="ED14" s="1">
        <v>59765</v>
      </c>
      <c r="EE14" s="1">
        <v>59817.599999999999</v>
      </c>
      <c r="EF14" s="1">
        <v>59870.8</v>
      </c>
      <c r="EG14" s="1">
        <v>59922.9</v>
      </c>
      <c r="EH14" s="1">
        <v>59972.9</v>
      </c>
      <c r="EI14" s="1">
        <v>60019.7</v>
      </c>
      <c r="EJ14" s="1">
        <v>60069.2</v>
      </c>
      <c r="EK14" s="1">
        <v>60124.3</v>
      </c>
      <c r="EL14" s="1">
        <v>60183.3</v>
      </c>
      <c r="EM14" s="1">
        <v>60243.7</v>
      </c>
      <c r="EN14" s="1">
        <v>60302.2</v>
      </c>
      <c r="EO14" s="1">
        <v>60358.1</v>
      </c>
      <c r="EP14" s="1">
        <v>60414</v>
      </c>
      <c r="EQ14" s="1">
        <v>60470.9</v>
      </c>
      <c r="ER14" s="1">
        <v>60526.1</v>
      </c>
      <c r="ES14" s="1">
        <v>60581.5</v>
      </c>
      <c r="ET14" s="1">
        <v>60636.800000000003</v>
      </c>
      <c r="EU14" s="1">
        <v>60692.1</v>
      </c>
      <c r="EV14" s="1">
        <v>60748</v>
      </c>
      <c r="EW14" s="1">
        <v>60803.3</v>
      </c>
      <c r="EX14" s="1">
        <v>60858.2</v>
      </c>
      <c r="EY14" s="1">
        <v>60913.4</v>
      </c>
      <c r="EZ14" s="1">
        <v>60968.7</v>
      </c>
      <c r="FA14" s="1">
        <v>61023.8</v>
      </c>
      <c r="FB14" s="1">
        <v>61077.5</v>
      </c>
      <c r="FC14" s="1">
        <v>61132</v>
      </c>
      <c r="FD14" s="1">
        <v>61189</v>
      </c>
      <c r="FE14" s="1">
        <v>61248.1</v>
      </c>
      <c r="FF14" s="1">
        <v>61308.2</v>
      </c>
      <c r="FG14" s="1">
        <v>61367.1</v>
      </c>
      <c r="FH14" s="1">
        <v>61425.4</v>
      </c>
      <c r="FI14" s="1">
        <v>61483.199999999997</v>
      </c>
      <c r="FJ14" s="1">
        <v>61540.3</v>
      </c>
      <c r="FK14" s="1">
        <v>61594.400000000001</v>
      </c>
      <c r="FL14" s="1">
        <v>61647.8</v>
      </c>
      <c r="FM14" s="1">
        <v>61701.9</v>
      </c>
      <c r="FN14" s="1">
        <v>61756.5</v>
      </c>
      <c r="FO14" s="1">
        <v>61810.7</v>
      </c>
      <c r="FP14" s="1">
        <v>61865.2</v>
      </c>
      <c r="FQ14" s="1">
        <v>61919.199999999997</v>
      </c>
      <c r="FR14" s="1">
        <v>61973.4</v>
      </c>
      <c r="FS14" s="1">
        <v>62027.9</v>
      </c>
      <c r="FT14" s="1">
        <v>62081.8</v>
      </c>
      <c r="FU14" s="1">
        <v>62135.4</v>
      </c>
      <c r="FV14" s="1">
        <v>62189.7</v>
      </c>
      <c r="FW14" s="1">
        <v>62243.8</v>
      </c>
      <c r="FX14" s="1">
        <v>62297.4</v>
      </c>
      <c r="FY14" s="1">
        <v>62351.6</v>
      </c>
      <c r="FZ14" s="1">
        <v>62405</v>
      </c>
      <c r="GA14" s="1">
        <v>62458.8</v>
      </c>
      <c r="GB14" s="1">
        <v>62511.8</v>
      </c>
      <c r="GC14" s="1">
        <v>62565.3</v>
      </c>
      <c r="GD14" s="1">
        <v>62619.5</v>
      </c>
      <c r="GE14" s="1">
        <v>62673.2</v>
      </c>
      <c r="GF14" s="1">
        <v>62727.1</v>
      </c>
      <c r="GG14" s="1">
        <v>62780.9</v>
      </c>
      <c r="GH14" s="1">
        <v>62834.6</v>
      </c>
      <c r="GI14" s="1">
        <v>62888.5</v>
      </c>
      <c r="GJ14" s="1">
        <v>62942.1</v>
      </c>
      <c r="GK14" s="1">
        <v>62996.4</v>
      </c>
      <c r="GL14" s="1">
        <v>63050.400000000001</v>
      </c>
      <c r="GM14" s="1">
        <v>63104.4</v>
      </c>
      <c r="GN14" s="1">
        <v>63158.3</v>
      </c>
      <c r="GO14" s="1">
        <v>63212</v>
      </c>
      <c r="GP14" s="1">
        <v>63265.9</v>
      </c>
      <c r="GQ14" s="1">
        <v>63319.8</v>
      </c>
      <c r="GR14" s="1">
        <v>63373.599999999999</v>
      </c>
      <c r="GS14" s="1">
        <v>63427.3</v>
      </c>
      <c r="GT14" s="1">
        <v>63481.4</v>
      </c>
      <c r="GU14" s="1">
        <v>63535</v>
      </c>
      <c r="GV14" s="1">
        <v>63588.800000000003</v>
      </c>
      <c r="GW14" s="1">
        <v>63642.400000000001</v>
      </c>
      <c r="GX14" s="1">
        <v>63695.8</v>
      </c>
      <c r="GY14" s="1">
        <v>63749.2</v>
      </c>
      <c r="GZ14" s="1">
        <v>63801.1</v>
      </c>
      <c r="HA14" s="1">
        <v>63851</v>
      </c>
      <c r="HB14" s="1">
        <v>63897.9</v>
      </c>
      <c r="HC14" s="1">
        <v>63946.1</v>
      </c>
      <c r="HD14" s="1">
        <v>63995.9</v>
      </c>
      <c r="HE14" s="1">
        <v>64046.2</v>
      </c>
      <c r="HF14" s="1">
        <v>64098</v>
      </c>
      <c r="HG14" s="1">
        <v>64150.400000000001</v>
      </c>
      <c r="HH14" s="1">
        <v>64203</v>
      </c>
      <c r="HI14" s="1">
        <v>64255.5</v>
      </c>
      <c r="HJ14" s="1">
        <v>64308.2</v>
      </c>
      <c r="HK14" s="1">
        <v>64360.9</v>
      </c>
      <c r="HL14" s="1">
        <v>64413.5</v>
      </c>
      <c r="HM14" s="1">
        <v>64466</v>
      </c>
      <c r="HN14" s="1">
        <v>64518.5</v>
      </c>
      <c r="HO14" s="1">
        <v>64571.1</v>
      </c>
      <c r="HP14" s="1">
        <v>64623.7</v>
      </c>
      <c r="HQ14" s="1">
        <v>64676.1</v>
      </c>
      <c r="HR14" s="1">
        <v>64728.7</v>
      </c>
      <c r="HS14" s="1">
        <v>64783.9</v>
      </c>
      <c r="HT14" s="1">
        <v>64836.5</v>
      </c>
      <c r="HU14" s="1">
        <v>64888.800000000003</v>
      </c>
      <c r="HV14" s="1">
        <v>64941.4</v>
      </c>
      <c r="HW14" s="1">
        <v>64991.1</v>
      </c>
      <c r="HX14" s="1">
        <v>65038</v>
      </c>
      <c r="HY14" s="1">
        <v>65085.2</v>
      </c>
      <c r="HZ14" s="1">
        <v>65129.599999999999</v>
      </c>
      <c r="IA14" s="1">
        <v>65174.400000000001</v>
      </c>
      <c r="IB14" s="1">
        <v>65218.6</v>
      </c>
      <c r="IC14" s="1">
        <v>65262.8</v>
      </c>
      <c r="ID14" s="1">
        <v>65308</v>
      </c>
      <c r="IE14" s="1">
        <v>65356.3</v>
      </c>
      <c r="IF14" s="1">
        <v>65409.4</v>
      </c>
      <c r="IG14" s="1">
        <v>65463.1</v>
      </c>
      <c r="IH14" s="1">
        <v>65517.5</v>
      </c>
      <c r="II14" s="1">
        <v>65571.600000000006</v>
      </c>
      <c r="IJ14" s="1">
        <v>65625.3</v>
      </c>
      <c r="IK14" s="1">
        <v>65680.7</v>
      </c>
      <c r="IL14" s="1">
        <v>65734.100000000006</v>
      </c>
      <c r="IM14" s="1">
        <v>65787.5</v>
      </c>
      <c r="IN14" s="1">
        <v>65840.600000000006</v>
      </c>
      <c r="IO14" s="1">
        <v>65893.7</v>
      </c>
      <c r="IP14" s="1">
        <v>65946.899999999994</v>
      </c>
      <c r="IQ14" s="1">
        <v>66002.8</v>
      </c>
      <c r="IR14" s="1">
        <v>66056.5</v>
      </c>
      <c r="IS14" s="1">
        <v>66109.399999999994</v>
      </c>
      <c r="IT14" s="1">
        <v>66159.600000000006</v>
      </c>
      <c r="IU14" s="1">
        <v>66206.2</v>
      </c>
      <c r="IV14" s="1">
        <v>66250.899999999994</v>
      </c>
      <c r="IW14" s="1">
        <v>66295.600000000006</v>
      </c>
      <c r="IX14" s="1">
        <v>66336.800000000003</v>
      </c>
      <c r="IY14" s="1">
        <v>66375.899999999994</v>
      </c>
      <c r="IZ14" s="1">
        <v>66415.399999999994</v>
      </c>
      <c r="JA14" s="1">
        <v>66456.399999999994</v>
      </c>
      <c r="JB14" s="1">
        <v>66500.100000000006</v>
      </c>
      <c r="JC14" s="1">
        <v>66548</v>
      </c>
      <c r="JD14" s="1">
        <v>66600.600000000006</v>
      </c>
      <c r="JE14" s="1">
        <v>66655.3</v>
      </c>
      <c r="JF14" s="1">
        <v>66711.199999999997</v>
      </c>
      <c r="JG14" s="1">
        <v>66766.600000000006</v>
      </c>
      <c r="JH14" s="1">
        <v>66821.600000000006</v>
      </c>
      <c r="JI14" s="1">
        <v>66875.7</v>
      </c>
      <c r="JJ14" s="1">
        <v>66930.5</v>
      </c>
      <c r="JK14" s="1">
        <v>66985.100000000006</v>
      </c>
      <c r="JL14" s="1">
        <v>67039.399999999994</v>
      </c>
      <c r="JM14" s="1">
        <v>67093.7</v>
      </c>
      <c r="JN14" s="1">
        <v>67148.100000000006</v>
      </c>
      <c r="JO14" s="1">
        <v>67202.899999999994</v>
      </c>
      <c r="JP14" s="1">
        <v>67257.100000000006</v>
      </c>
      <c r="JQ14" s="1">
        <v>67310.600000000006</v>
      </c>
      <c r="JR14" s="1">
        <v>67361.2</v>
      </c>
      <c r="JS14" s="1">
        <v>67409.7</v>
      </c>
      <c r="JT14" s="1">
        <v>67453.899999999994</v>
      </c>
      <c r="JU14" s="1">
        <v>67495.399999999994</v>
      </c>
      <c r="JV14" s="1">
        <v>67535.8</v>
      </c>
      <c r="JW14" s="1">
        <v>67574.899999999994</v>
      </c>
      <c r="JX14" s="1">
        <v>67614.5</v>
      </c>
      <c r="JY14" s="1">
        <v>67655.199999999997</v>
      </c>
      <c r="JZ14" s="1">
        <v>67699.100000000006</v>
      </c>
      <c r="KA14" s="1">
        <v>67746.7</v>
      </c>
      <c r="KB14" s="1">
        <v>67798.399999999994</v>
      </c>
      <c r="KC14" s="1">
        <v>67853.2</v>
      </c>
      <c r="KD14" s="1">
        <v>67908.7</v>
      </c>
      <c r="KE14" s="1">
        <v>67963.8</v>
      </c>
      <c r="KF14" s="1">
        <v>68018.7</v>
      </c>
      <c r="KG14" s="1">
        <v>68073.600000000006</v>
      </c>
      <c r="KH14" s="1">
        <v>68127.899999999994</v>
      </c>
      <c r="KI14" s="1">
        <v>68182.100000000006</v>
      </c>
      <c r="KJ14" s="1">
        <v>68236.5</v>
      </c>
      <c r="KK14" s="1">
        <v>68290.5</v>
      </c>
      <c r="KL14" s="1">
        <v>68344.399999999994</v>
      </c>
      <c r="KM14" s="1">
        <v>68398.899999999994</v>
      </c>
      <c r="KN14" s="1">
        <v>68452.399999999994</v>
      </c>
      <c r="KO14" s="1">
        <v>68505.5</v>
      </c>
      <c r="KP14" s="1">
        <v>68555.899999999994</v>
      </c>
      <c r="KQ14" s="1">
        <v>68604.3</v>
      </c>
      <c r="KR14" s="1">
        <v>68649.600000000006</v>
      </c>
      <c r="KS14" s="1">
        <v>68698.399999999994</v>
      </c>
      <c r="KT14" s="1">
        <v>68744</v>
      </c>
      <c r="KU14" s="1">
        <v>68789.2</v>
      </c>
      <c r="KV14" s="1">
        <v>68836.399999999994</v>
      </c>
      <c r="KW14" s="1">
        <v>68875.600000000006</v>
      </c>
      <c r="KX14" s="1">
        <v>68920.899999999994</v>
      </c>
      <c r="KY14" s="1">
        <v>68969.5</v>
      </c>
      <c r="KZ14" s="1">
        <v>69023.100000000006</v>
      </c>
      <c r="LA14" s="1">
        <v>69076.5</v>
      </c>
      <c r="LB14" s="1">
        <v>69132.600000000006</v>
      </c>
      <c r="LC14" s="1">
        <v>69186.7</v>
      </c>
      <c r="LD14" s="1">
        <v>69241</v>
      </c>
      <c r="LE14" s="1">
        <v>69297</v>
      </c>
      <c r="LF14" s="1">
        <v>69350.8</v>
      </c>
      <c r="LG14" s="1">
        <v>69405</v>
      </c>
      <c r="LH14" s="1">
        <v>69459.100000000006</v>
      </c>
      <c r="LI14" s="1">
        <v>69513.899999999994</v>
      </c>
      <c r="LJ14" s="1">
        <v>69568.2</v>
      </c>
      <c r="LK14" s="1">
        <v>69623.8</v>
      </c>
      <c r="LL14" s="1">
        <v>69677.899999999994</v>
      </c>
      <c r="LM14" s="1">
        <v>69731.100000000006</v>
      </c>
      <c r="LN14" s="1">
        <v>69782.2</v>
      </c>
      <c r="LO14" s="1">
        <v>69830.3</v>
      </c>
      <c r="LP14" s="1">
        <v>69874.600000000006</v>
      </c>
      <c r="LQ14" s="1">
        <v>69916.899999999994</v>
      </c>
      <c r="LR14" s="1">
        <v>69957.100000000006</v>
      </c>
      <c r="LS14" s="1">
        <v>69996.399999999994</v>
      </c>
      <c r="LT14" s="1">
        <v>70037.3</v>
      </c>
      <c r="LU14" s="1">
        <v>70079.8</v>
      </c>
      <c r="LV14" s="1">
        <v>70125.5</v>
      </c>
      <c r="LW14" s="1">
        <v>70175.7</v>
      </c>
      <c r="LX14" s="1">
        <v>70227.3</v>
      </c>
      <c r="LY14" s="1">
        <v>70283.7</v>
      </c>
      <c r="LZ14" s="1">
        <v>70338.8</v>
      </c>
      <c r="MA14" s="1">
        <v>70395.5</v>
      </c>
      <c r="MB14" s="1">
        <v>70450</v>
      </c>
      <c r="MC14" s="1">
        <v>70507</v>
      </c>
      <c r="MD14" s="1">
        <v>70561.5</v>
      </c>
      <c r="ME14" s="1">
        <v>70616.100000000006</v>
      </c>
      <c r="MF14" s="1">
        <v>70670.5</v>
      </c>
      <c r="MG14" s="1">
        <v>70725.899999999994</v>
      </c>
      <c r="MH14" s="1">
        <v>70780.5</v>
      </c>
      <c r="MI14" s="1">
        <v>70835.899999999994</v>
      </c>
      <c r="MJ14" s="1">
        <v>70889.399999999994</v>
      </c>
      <c r="MK14" s="1">
        <v>70943.5</v>
      </c>
      <c r="ML14" s="1">
        <v>70995.3</v>
      </c>
      <c r="MM14" s="1">
        <v>71042.399999999994</v>
      </c>
      <c r="MN14" s="1">
        <v>71089.399999999994</v>
      </c>
      <c r="MO14" s="1">
        <v>71138.5</v>
      </c>
      <c r="MP14" s="1">
        <v>71179.8</v>
      </c>
      <c r="MQ14" s="1">
        <v>71219</v>
      </c>
      <c r="MR14" s="1">
        <v>71267.7</v>
      </c>
      <c r="MS14" s="1">
        <v>71315.7</v>
      </c>
      <c r="MT14" s="1">
        <v>71361.5</v>
      </c>
      <c r="MU14" s="1">
        <v>71412</v>
      </c>
      <c r="MV14" s="1">
        <v>71464.800000000003</v>
      </c>
      <c r="MW14" s="1">
        <v>71520.3</v>
      </c>
      <c r="MX14" s="1">
        <v>71575.8</v>
      </c>
      <c r="MY14" s="1">
        <v>71630.8</v>
      </c>
      <c r="MZ14" s="1">
        <v>71685.8</v>
      </c>
      <c r="NA14" s="1">
        <v>71740.3</v>
      </c>
      <c r="NB14" s="1">
        <v>71794.600000000006</v>
      </c>
      <c r="NC14" s="1">
        <v>71848.899999999994</v>
      </c>
      <c r="ND14" s="1">
        <v>71902.7</v>
      </c>
      <c r="NE14" s="1">
        <v>71956.800000000003</v>
      </c>
      <c r="NF14" s="1">
        <v>72010.899999999994</v>
      </c>
      <c r="NG14" s="1">
        <v>72066.399999999994</v>
      </c>
      <c r="NH14" s="1">
        <v>72119.600000000006</v>
      </c>
      <c r="NI14" s="1">
        <v>72173.899999999994</v>
      </c>
      <c r="NJ14" s="1">
        <v>72223.399999999994</v>
      </c>
      <c r="NK14" s="1">
        <v>72269.899999999994</v>
      </c>
      <c r="NL14" s="1">
        <v>72313.7</v>
      </c>
      <c r="NM14" s="1">
        <v>72358.100000000006</v>
      </c>
      <c r="NN14" s="1">
        <v>72401.2</v>
      </c>
      <c r="NO14" s="1">
        <v>72442.3</v>
      </c>
      <c r="NP14" s="1">
        <v>72483</v>
      </c>
      <c r="NQ14" s="1">
        <v>72525</v>
      </c>
      <c r="NR14" s="1">
        <v>72570.2</v>
      </c>
      <c r="NS14" s="1">
        <v>72619.7</v>
      </c>
      <c r="NT14" s="1">
        <v>72672.100000000006</v>
      </c>
      <c r="NU14" s="1">
        <v>72726.899999999994</v>
      </c>
      <c r="NV14" s="1">
        <v>72783.199999999997</v>
      </c>
      <c r="NW14" s="1">
        <v>72838.8</v>
      </c>
      <c r="NX14" s="1">
        <v>72894.7</v>
      </c>
      <c r="NY14" s="1">
        <v>72950</v>
      </c>
      <c r="NZ14" s="1">
        <v>73004.7</v>
      </c>
      <c r="OA14" s="1">
        <v>73059.5</v>
      </c>
      <c r="OB14" s="1">
        <v>73114.3</v>
      </c>
      <c r="OC14" s="1">
        <v>73168.800000000003</v>
      </c>
      <c r="OD14" s="1">
        <v>73224</v>
      </c>
      <c r="OE14" s="1">
        <v>73279.100000000006</v>
      </c>
      <c r="OF14" s="1">
        <v>73334</v>
      </c>
      <c r="OG14" s="1">
        <v>73388.2</v>
      </c>
      <c r="OH14" s="1">
        <v>73439.8</v>
      </c>
      <c r="OI14" s="1">
        <v>73490.899999999994</v>
      </c>
      <c r="OJ14" s="1">
        <v>73539.5</v>
      </c>
      <c r="OK14" s="1">
        <v>73585.2</v>
      </c>
      <c r="OL14" s="1">
        <v>73631.3</v>
      </c>
      <c r="OM14" s="1">
        <v>73678.8</v>
      </c>
      <c r="ON14" s="1">
        <v>73726.7</v>
      </c>
      <c r="OO14" s="1">
        <v>73771.399999999994</v>
      </c>
      <c r="OP14" s="1">
        <v>73819.100000000006</v>
      </c>
      <c r="OQ14" s="1">
        <v>73870.2</v>
      </c>
      <c r="OR14" s="1">
        <v>73925.100000000006</v>
      </c>
      <c r="OS14" s="1">
        <v>73981</v>
      </c>
      <c r="OT14" s="1">
        <v>74037</v>
      </c>
      <c r="OU14" s="1">
        <v>74092.800000000003</v>
      </c>
      <c r="OV14" s="1">
        <v>74148.100000000006</v>
      </c>
      <c r="OW14" s="1">
        <v>74204.2</v>
      </c>
      <c r="OX14" s="1">
        <v>74259</v>
      </c>
      <c r="OY14" s="1">
        <v>74313.7</v>
      </c>
      <c r="OZ14" s="1">
        <v>74368.3</v>
      </c>
      <c r="PA14" s="1">
        <v>74422.7</v>
      </c>
      <c r="PB14" s="1">
        <v>74477.7</v>
      </c>
      <c r="PC14" s="1">
        <v>74533.399999999994</v>
      </c>
      <c r="PD14" s="1">
        <v>74588.5</v>
      </c>
      <c r="PE14" s="1">
        <v>74643.3</v>
      </c>
      <c r="PF14" s="1">
        <v>74696.600000000006</v>
      </c>
      <c r="PG14" s="1">
        <v>74746</v>
      </c>
      <c r="PH14" s="1">
        <v>74794</v>
      </c>
      <c r="PI14" s="1">
        <v>74844.899999999994</v>
      </c>
      <c r="PJ14" s="1">
        <v>74894.100000000006</v>
      </c>
      <c r="PK14" s="1">
        <v>74938.8</v>
      </c>
      <c r="PL14" s="1">
        <v>74981.3</v>
      </c>
      <c r="PM14" s="1">
        <v>75027.5</v>
      </c>
      <c r="PN14" s="1">
        <v>75082.7</v>
      </c>
      <c r="PO14" s="1">
        <v>75139.600000000006</v>
      </c>
      <c r="PP14" s="1">
        <v>75195.899999999994</v>
      </c>
      <c r="PQ14" s="1">
        <v>75251.399999999994</v>
      </c>
      <c r="PR14" s="1">
        <v>75307.5</v>
      </c>
      <c r="PS14" s="1">
        <v>75363.100000000006</v>
      </c>
      <c r="PT14" s="1">
        <v>75418.8</v>
      </c>
      <c r="PU14" s="1">
        <v>75475.5</v>
      </c>
      <c r="PV14" s="1">
        <v>75530</v>
      </c>
      <c r="PW14" s="1">
        <v>75585.3</v>
      </c>
      <c r="PX14" s="1">
        <v>75639</v>
      </c>
      <c r="PY14" s="1">
        <v>75693.100000000006</v>
      </c>
      <c r="PZ14" s="1">
        <v>75747.399999999994</v>
      </c>
      <c r="QA14" s="1">
        <v>75802.8</v>
      </c>
      <c r="QB14" s="1">
        <v>75856.5</v>
      </c>
      <c r="QC14" s="1">
        <v>75911.5</v>
      </c>
      <c r="QD14" s="1">
        <v>75961.600000000006</v>
      </c>
      <c r="QE14" s="1">
        <v>76011.8</v>
      </c>
      <c r="QF14" s="1">
        <v>76061</v>
      </c>
      <c r="QG14" s="1">
        <v>76110.2</v>
      </c>
      <c r="QH14" s="1">
        <v>76155.899999999994</v>
      </c>
      <c r="QI14" s="1">
        <v>76200.399999999994</v>
      </c>
      <c r="QJ14" s="1">
        <v>76243.899999999994</v>
      </c>
      <c r="QK14" s="1">
        <v>76288.399999999994</v>
      </c>
      <c r="QL14" s="1">
        <v>76335.5</v>
      </c>
      <c r="QM14" s="1">
        <v>76386.899999999994</v>
      </c>
      <c r="QN14" s="1">
        <v>76441.600000000006</v>
      </c>
      <c r="QO14" s="1">
        <v>76498.399999999994</v>
      </c>
      <c r="QP14" s="1">
        <v>76554.8</v>
      </c>
      <c r="QQ14" s="1">
        <v>76610.600000000006</v>
      </c>
      <c r="QR14" s="1">
        <v>76666.100000000006</v>
      </c>
      <c r="QS14" s="1">
        <v>76721.100000000006</v>
      </c>
      <c r="QT14" s="1">
        <v>76775.399999999994</v>
      </c>
      <c r="QU14" s="1">
        <v>76830.2</v>
      </c>
      <c r="QV14" s="1">
        <v>76884.399999999994</v>
      </c>
      <c r="QW14" s="1">
        <v>76938.7</v>
      </c>
      <c r="QX14" s="1">
        <v>76993.5</v>
      </c>
      <c r="QY14" s="1">
        <v>77048.5</v>
      </c>
      <c r="QZ14" s="1">
        <v>77102.899999999994</v>
      </c>
      <c r="RA14" s="1">
        <v>77157.100000000006</v>
      </c>
      <c r="RB14" s="1">
        <v>77208</v>
      </c>
      <c r="RC14" s="1">
        <v>77258.2</v>
      </c>
      <c r="RD14" s="1">
        <v>77304.100000000006</v>
      </c>
      <c r="RE14" s="1">
        <v>77349.100000000006</v>
      </c>
      <c r="RF14" s="1">
        <v>77396</v>
      </c>
      <c r="RG14" s="1">
        <v>77441.100000000006</v>
      </c>
      <c r="RH14" s="1">
        <v>77487.100000000006</v>
      </c>
      <c r="RI14" s="1">
        <v>77532.899999999994</v>
      </c>
      <c r="RJ14" s="1">
        <v>77582.8</v>
      </c>
      <c r="RK14" s="1">
        <v>77635.899999999994</v>
      </c>
      <c r="RL14" s="1">
        <v>77692.3</v>
      </c>
      <c r="RM14" s="1">
        <v>77748.600000000006</v>
      </c>
      <c r="RN14" s="1">
        <v>77805</v>
      </c>
      <c r="RO14" s="1">
        <v>77861.2</v>
      </c>
      <c r="RP14" s="1">
        <v>77916.7</v>
      </c>
      <c r="RQ14" s="1">
        <v>77972.800000000003</v>
      </c>
      <c r="RR14" s="1">
        <v>78028.399999999994</v>
      </c>
      <c r="RS14" s="1">
        <v>78084.3</v>
      </c>
      <c r="RT14" s="1">
        <v>78139.899999999994</v>
      </c>
      <c r="RU14" s="1">
        <v>78194.899999999994</v>
      </c>
      <c r="RV14" s="1">
        <v>78249.899999999994</v>
      </c>
      <c r="RW14" s="1">
        <v>78306.5</v>
      </c>
      <c r="RX14" s="1">
        <v>78361.7</v>
      </c>
      <c r="RY14" s="1">
        <v>78416.5</v>
      </c>
      <c r="RZ14" s="1">
        <v>78469.3</v>
      </c>
      <c r="SA14" s="1">
        <v>78521</v>
      </c>
      <c r="SB14" s="1">
        <v>78570.899999999994</v>
      </c>
      <c r="SC14" s="1">
        <v>78618.8</v>
      </c>
      <c r="SD14" s="1">
        <v>78664.800000000003</v>
      </c>
      <c r="SE14" s="1">
        <v>78711.199999999997</v>
      </c>
      <c r="SF14" s="1">
        <v>78755.199999999997</v>
      </c>
      <c r="SG14" s="1">
        <v>78797.399999999994</v>
      </c>
      <c r="SH14" s="1">
        <v>78843.3</v>
      </c>
      <c r="SI14" s="1">
        <v>78894</v>
      </c>
      <c r="SJ14" s="1">
        <v>78947.3</v>
      </c>
      <c r="SK14" s="1">
        <v>79003.199999999997</v>
      </c>
      <c r="SL14" s="1">
        <v>79059.399999999994</v>
      </c>
      <c r="SM14" s="1">
        <v>79115.5</v>
      </c>
      <c r="SN14" s="1">
        <v>79171</v>
      </c>
      <c r="SO14" s="1">
        <v>79228.7</v>
      </c>
      <c r="SP14" s="1">
        <v>79284.800000000003</v>
      </c>
      <c r="SQ14" s="1">
        <v>79340.800000000003</v>
      </c>
      <c r="SR14" s="1">
        <v>79396.5</v>
      </c>
      <c r="SS14" s="1">
        <v>79451.8</v>
      </c>
      <c r="ST14" s="1">
        <v>79507.199999999997</v>
      </c>
      <c r="SU14" s="1">
        <v>79562.5</v>
      </c>
      <c r="SV14" s="1">
        <v>79617.7</v>
      </c>
      <c r="SW14" s="1">
        <v>79672.5</v>
      </c>
      <c r="SX14" s="1">
        <v>79725.7</v>
      </c>
      <c r="SY14" s="1">
        <v>79777.7</v>
      </c>
      <c r="SZ14" s="1">
        <v>79828.5</v>
      </c>
      <c r="TA14" s="1">
        <v>79873.5</v>
      </c>
      <c r="TB14" s="1">
        <v>79915.100000000006</v>
      </c>
      <c r="TC14" s="1">
        <v>79954.5</v>
      </c>
      <c r="TD14" s="1">
        <v>79994.5</v>
      </c>
      <c r="TE14" s="1">
        <v>80036.399999999994</v>
      </c>
      <c r="TF14" s="1">
        <v>80081.899999999994</v>
      </c>
      <c r="TG14" s="1">
        <v>80134.100000000006</v>
      </c>
      <c r="TH14" s="1">
        <v>80188.100000000006</v>
      </c>
      <c r="TI14" s="1">
        <v>80244.2</v>
      </c>
      <c r="TJ14" s="1">
        <v>80300.600000000006</v>
      </c>
      <c r="TK14" s="1">
        <v>80356.5</v>
      </c>
      <c r="TL14" s="1">
        <v>80412.3</v>
      </c>
      <c r="TM14" s="1">
        <v>80467.7</v>
      </c>
      <c r="TN14" s="1">
        <v>80523.100000000006</v>
      </c>
      <c r="TO14" s="1">
        <v>80578.2</v>
      </c>
      <c r="TP14" s="1">
        <v>80633.100000000006</v>
      </c>
      <c r="TQ14" s="1">
        <v>80687.899999999994</v>
      </c>
      <c r="TR14" s="1">
        <v>80742.7</v>
      </c>
      <c r="TS14" s="1">
        <v>80798.899999999994</v>
      </c>
      <c r="TT14" s="1">
        <v>80853</v>
      </c>
      <c r="TU14" s="1">
        <v>80906.5</v>
      </c>
      <c r="TV14" s="1">
        <v>80956.800000000003</v>
      </c>
      <c r="TW14" s="1">
        <v>81007.3</v>
      </c>
      <c r="TX14" s="1">
        <v>81058.5</v>
      </c>
      <c r="TY14" s="1">
        <v>81115</v>
      </c>
      <c r="TZ14" s="1">
        <v>81167.5</v>
      </c>
      <c r="UA14" s="1">
        <v>81217.399999999994</v>
      </c>
      <c r="UB14" s="1">
        <v>81266.8</v>
      </c>
      <c r="UC14" s="1">
        <v>81319.100000000006</v>
      </c>
      <c r="UD14" s="1">
        <v>81369.5</v>
      </c>
      <c r="UE14" s="1">
        <v>81422.100000000006</v>
      </c>
      <c r="UF14" s="1">
        <v>81477.5</v>
      </c>
      <c r="UG14" s="1">
        <v>81534.3</v>
      </c>
      <c r="UH14" s="1">
        <v>81591.399999999994</v>
      </c>
      <c r="UI14" s="1">
        <v>81647.5</v>
      </c>
      <c r="UJ14" s="1">
        <v>81703.7</v>
      </c>
      <c r="UK14" s="1">
        <v>81759.5</v>
      </c>
      <c r="UL14" s="1">
        <v>81815.5</v>
      </c>
      <c r="UM14" s="1">
        <v>81870.399999999994</v>
      </c>
      <c r="UN14" s="1">
        <v>81925.399999999994</v>
      </c>
      <c r="UO14" s="1">
        <v>81980.100000000006</v>
      </c>
      <c r="UP14" s="1">
        <v>82035.100000000006</v>
      </c>
      <c r="UQ14" s="1">
        <v>82093.899999999994</v>
      </c>
      <c r="UR14" s="1">
        <v>82148.5</v>
      </c>
      <c r="US14" s="1">
        <v>82202.7</v>
      </c>
      <c r="UT14" s="1">
        <v>82254.100000000006</v>
      </c>
      <c r="UU14" s="1">
        <v>82303.5</v>
      </c>
      <c r="UV14" s="1">
        <v>82351.5</v>
      </c>
      <c r="UW14" s="1">
        <v>82403.199999999997</v>
      </c>
      <c r="UX14" s="1">
        <v>82451.399999999994</v>
      </c>
      <c r="UY14" s="1">
        <v>82502.7</v>
      </c>
      <c r="UZ14" s="1">
        <v>82550</v>
      </c>
      <c r="VA14" s="1">
        <v>82598.399999999994</v>
      </c>
      <c r="VB14" s="1">
        <v>82653.399999999994</v>
      </c>
      <c r="VC14" s="1">
        <v>82710.600000000006</v>
      </c>
      <c r="VD14" s="1">
        <v>82767.100000000006</v>
      </c>
      <c r="VE14" s="1">
        <v>82824.100000000006</v>
      </c>
      <c r="VF14" s="1">
        <v>82881.399999999994</v>
      </c>
      <c r="VG14" s="1">
        <v>82938.2</v>
      </c>
      <c r="VH14" s="1">
        <v>82993.8</v>
      </c>
      <c r="VI14" s="1">
        <v>83048.600000000006</v>
      </c>
      <c r="VJ14" s="1">
        <v>83103.100000000006</v>
      </c>
      <c r="VK14" s="1">
        <v>83157.899999999994</v>
      </c>
      <c r="VL14" s="1">
        <v>83212.399999999994</v>
      </c>
      <c r="VM14" s="1">
        <v>83267.399999999994</v>
      </c>
      <c r="VN14" s="1">
        <v>83321.899999999994</v>
      </c>
      <c r="VO14" s="1">
        <v>83377.5</v>
      </c>
      <c r="VP14" s="1">
        <v>83433</v>
      </c>
      <c r="VQ14" s="1">
        <v>83487.899999999994</v>
      </c>
      <c r="VR14" s="1">
        <v>83542.100000000006</v>
      </c>
      <c r="VS14" s="1">
        <v>83598.100000000006</v>
      </c>
      <c r="VT14" s="1">
        <v>83653.5</v>
      </c>
      <c r="VU14" s="1">
        <v>83706.399999999994</v>
      </c>
      <c r="VV14" s="1">
        <v>83756.7</v>
      </c>
      <c r="VW14" s="1">
        <v>83806.7</v>
      </c>
      <c r="VX14" s="1">
        <v>83857.100000000006</v>
      </c>
      <c r="VY14" s="1">
        <v>83911.3</v>
      </c>
      <c r="VZ14" s="1">
        <v>83964.6</v>
      </c>
      <c r="WA14" s="1">
        <v>84016.2</v>
      </c>
      <c r="WB14" s="1">
        <v>84069.8</v>
      </c>
      <c r="WC14" s="1">
        <v>84125.3</v>
      </c>
      <c r="WD14" s="1">
        <v>84181.5</v>
      </c>
      <c r="WE14" s="1">
        <v>84237.9</v>
      </c>
      <c r="WF14" s="1">
        <v>84294.1</v>
      </c>
      <c r="WG14" s="1">
        <v>84351.5</v>
      </c>
      <c r="WH14" s="1">
        <v>84406.9</v>
      </c>
      <c r="WI14" s="1">
        <v>84462.3</v>
      </c>
      <c r="WJ14" s="1">
        <v>84517.5</v>
      </c>
      <c r="WK14" s="1">
        <v>84571.7</v>
      </c>
      <c r="WL14" s="1">
        <v>84625.9</v>
      </c>
      <c r="WM14" s="1">
        <v>84681.4</v>
      </c>
      <c r="WN14" s="1">
        <v>84736</v>
      </c>
      <c r="WO14" s="1">
        <v>84790</v>
      </c>
      <c r="WP14" s="1">
        <v>84841.4</v>
      </c>
      <c r="WQ14" s="1">
        <v>84890.2</v>
      </c>
      <c r="WR14" s="1">
        <v>84942.1</v>
      </c>
      <c r="WS14" s="1">
        <v>84992.4</v>
      </c>
      <c r="WT14" s="1">
        <v>85037.5</v>
      </c>
      <c r="WU14" s="1">
        <v>85084.3</v>
      </c>
      <c r="WV14" s="1">
        <v>85128.2</v>
      </c>
      <c r="WW14" s="1">
        <v>85172.5</v>
      </c>
      <c r="WX14" s="1">
        <v>85220.9</v>
      </c>
      <c r="WY14" s="1">
        <v>85271.8</v>
      </c>
      <c r="WZ14" s="1">
        <v>85327.1</v>
      </c>
      <c r="XA14" s="1">
        <v>85381.9</v>
      </c>
      <c r="XB14" s="1">
        <v>85436.4</v>
      </c>
      <c r="XC14" s="1">
        <v>85490.9</v>
      </c>
      <c r="XD14" s="1">
        <v>85545.1</v>
      </c>
      <c r="XE14" s="1">
        <v>85601.4</v>
      </c>
      <c r="XF14" s="1">
        <v>85655.1</v>
      </c>
      <c r="XG14" s="1">
        <v>85708.800000000003</v>
      </c>
      <c r="XH14" s="1">
        <v>85762.3</v>
      </c>
      <c r="XI14" s="1">
        <v>85816</v>
      </c>
      <c r="XJ14" s="1">
        <v>85869.5</v>
      </c>
      <c r="XK14" s="1">
        <v>85925.6</v>
      </c>
      <c r="XL14" s="1">
        <v>85979.4</v>
      </c>
      <c r="XM14" s="1">
        <v>86032.6</v>
      </c>
      <c r="XN14" s="1">
        <v>86083.6</v>
      </c>
      <c r="XO14" s="1">
        <v>86131.4</v>
      </c>
      <c r="XP14" s="1">
        <v>86181.5</v>
      </c>
      <c r="XQ14" s="1">
        <v>86234.2</v>
      </c>
      <c r="XR14" s="1">
        <v>86287.9</v>
      </c>
      <c r="XS14" s="1">
        <v>86339.3</v>
      </c>
      <c r="XT14" s="1">
        <v>86390.8</v>
      </c>
      <c r="XU14" s="1">
        <v>86441.600000000006</v>
      </c>
      <c r="XV14" s="1">
        <v>86492.800000000003</v>
      </c>
      <c r="XW14" s="1">
        <v>86545.3</v>
      </c>
      <c r="XX14" s="1">
        <v>86600.7</v>
      </c>
      <c r="XY14" s="1">
        <v>86657.7</v>
      </c>
      <c r="XZ14" s="1">
        <v>86715.199999999997</v>
      </c>
      <c r="YA14" s="1">
        <v>86772.800000000003</v>
      </c>
      <c r="YB14" s="1">
        <v>86829.3</v>
      </c>
      <c r="YC14" s="1">
        <v>86885.3</v>
      </c>
      <c r="YD14" s="1">
        <v>86940.800000000003</v>
      </c>
      <c r="YE14" s="1">
        <v>86997.2</v>
      </c>
      <c r="YF14" s="1">
        <v>87052.6</v>
      </c>
      <c r="YG14" s="1">
        <v>87107.5</v>
      </c>
      <c r="YH14" s="1">
        <v>87162.3</v>
      </c>
      <c r="YI14" s="1">
        <v>87217.8</v>
      </c>
      <c r="YJ14" s="1">
        <v>87272.8</v>
      </c>
      <c r="YK14" s="1">
        <v>87326.9</v>
      </c>
      <c r="YL14" s="1">
        <v>87378.5</v>
      </c>
      <c r="YM14" s="1">
        <v>87427.7</v>
      </c>
      <c r="YN14" s="1">
        <v>87473.9</v>
      </c>
      <c r="YO14" s="1">
        <v>87517.4</v>
      </c>
      <c r="YP14" s="1">
        <v>87559.2</v>
      </c>
      <c r="YQ14" s="1">
        <v>87599.8</v>
      </c>
      <c r="YR14" s="1">
        <v>87641.3</v>
      </c>
      <c r="YS14" s="1">
        <v>87683.6</v>
      </c>
      <c r="YT14" s="1">
        <v>87730.8</v>
      </c>
      <c r="YU14" s="1">
        <v>87784</v>
      </c>
      <c r="YV14" s="1">
        <v>87840.1</v>
      </c>
      <c r="YW14" s="1">
        <v>87896.1</v>
      </c>
      <c r="YX14" s="1">
        <v>87952.6</v>
      </c>
      <c r="YY14" s="1">
        <v>88008.5</v>
      </c>
      <c r="YZ14" s="1">
        <v>88064.6</v>
      </c>
      <c r="ZA14" s="1">
        <v>88119.9</v>
      </c>
      <c r="ZB14" s="1">
        <v>88175.5</v>
      </c>
      <c r="ZC14" s="1">
        <v>88231.2</v>
      </c>
      <c r="ZD14" s="1">
        <v>88286.5</v>
      </c>
      <c r="ZE14" s="1">
        <v>88341.5</v>
      </c>
      <c r="ZF14" s="1">
        <v>88396.7</v>
      </c>
      <c r="ZG14" s="1">
        <v>88451.8</v>
      </c>
      <c r="ZH14" s="1">
        <v>88506.8</v>
      </c>
      <c r="ZI14" s="1">
        <v>88560.9</v>
      </c>
      <c r="ZJ14" s="1">
        <v>88612.5</v>
      </c>
      <c r="ZK14" s="1">
        <v>88661.7</v>
      </c>
      <c r="ZL14" s="1">
        <v>88707.4</v>
      </c>
      <c r="ZM14" s="1">
        <v>88750.1</v>
      </c>
      <c r="ZN14" s="1">
        <v>88791.5</v>
      </c>
      <c r="ZO14" s="1">
        <v>88831.5</v>
      </c>
      <c r="ZP14" s="1">
        <v>88872.1</v>
      </c>
      <c r="ZQ14" s="1">
        <v>88919</v>
      </c>
      <c r="ZR14" s="1">
        <v>88967.4</v>
      </c>
      <c r="ZS14" s="1">
        <v>89016.7</v>
      </c>
      <c r="ZT14" s="1">
        <v>89070.7</v>
      </c>
      <c r="ZU14" s="1">
        <v>89125.2</v>
      </c>
      <c r="ZV14" s="1">
        <v>89180</v>
      </c>
      <c r="ZW14" s="1">
        <v>89234.7</v>
      </c>
      <c r="ZX14" s="1">
        <v>89290</v>
      </c>
      <c r="ZY14" s="1">
        <v>89345</v>
      </c>
      <c r="ZZ14" s="1">
        <v>89399.3</v>
      </c>
      <c r="AAA14" s="1">
        <v>89454.399999999994</v>
      </c>
      <c r="AAB14" s="1">
        <v>89508.9</v>
      </c>
      <c r="AAC14" s="1">
        <v>89563.5</v>
      </c>
      <c r="AAD14" s="1">
        <v>89618.4</v>
      </c>
      <c r="AAE14" s="1">
        <v>89673.2</v>
      </c>
      <c r="AAF14" s="1">
        <v>89727.7</v>
      </c>
      <c r="AAG14" s="1">
        <v>89782.2</v>
      </c>
      <c r="AAH14" s="1">
        <v>89833.600000000006</v>
      </c>
      <c r="AAI14" s="1">
        <v>89883.8</v>
      </c>
      <c r="AAJ14" s="1">
        <v>89935.4</v>
      </c>
      <c r="AAK14" s="1">
        <v>89985.600000000006</v>
      </c>
      <c r="AAL14" s="1">
        <v>90036.2</v>
      </c>
      <c r="AAM14" s="1">
        <v>90085.9</v>
      </c>
      <c r="AAN14" s="1">
        <v>90130.6</v>
      </c>
      <c r="AAO14" s="1">
        <v>90179.5</v>
      </c>
      <c r="AAP14" s="1">
        <v>90229.8</v>
      </c>
      <c r="AAQ14" s="1">
        <v>90281.9</v>
      </c>
      <c r="AAR14" s="1">
        <v>90337.5</v>
      </c>
      <c r="AAS14" s="1">
        <v>90394.1</v>
      </c>
      <c r="AAT14" s="1">
        <v>90451.1</v>
      </c>
      <c r="AAU14" s="1">
        <v>90507.5</v>
      </c>
      <c r="AAV14" s="1">
        <v>90563.9</v>
      </c>
      <c r="AAW14" s="1">
        <v>90619.9</v>
      </c>
      <c r="AAX14" s="1">
        <v>90675.1</v>
      </c>
    </row>
    <row r="15" spans="1:750">
      <c r="A15" s="1">
        <v>14</v>
      </c>
      <c r="B15" s="1" t="s">
        <v>2</v>
      </c>
      <c r="C15" s="1" t="s">
        <v>3</v>
      </c>
      <c r="D15" s="1" t="s">
        <v>18</v>
      </c>
      <c r="E15" s="1" t="s">
        <v>5</v>
      </c>
      <c r="F15" s="1">
        <v>71093.100000000006</v>
      </c>
      <c r="G15" s="1">
        <v>71112.7</v>
      </c>
      <c r="H15" s="1">
        <v>71133.8</v>
      </c>
      <c r="I15" s="1">
        <v>71154.600000000006</v>
      </c>
      <c r="J15" s="1">
        <v>71175.600000000006</v>
      </c>
      <c r="K15" s="1">
        <v>71197.8</v>
      </c>
      <c r="L15" s="1">
        <v>71217.399999999994</v>
      </c>
      <c r="M15" s="1">
        <v>71235.399999999994</v>
      </c>
      <c r="N15" s="1">
        <v>71255.399999999994</v>
      </c>
      <c r="O15" s="1">
        <v>71276.600000000006</v>
      </c>
      <c r="P15" s="1">
        <v>71298</v>
      </c>
      <c r="Q15" s="1">
        <v>71319.600000000006</v>
      </c>
      <c r="R15" s="1">
        <v>71341</v>
      </c>
      <c r="S15" s="1">
        <v>71361.100000000006</v>
      </c>
      <c r="T15" s="1">
        <v>71384.399999999994</v>
      </c>
      <c r="U15" s="1">
        <v>71406.600000000006</v>
      </c>
      <c r="V15" s="1">
        <v>71428.399999999994</v>
      </c>
      <c r="W15" s="1">
        <v>71451.600000000006</v>
      </c>
      <c r="X15" s="1">
        <v>71474.2</v>
      </c>
      <c r="Y15" s="1">
        <v>71493.100000000006</v>
      </c>
      <c r="Z15" s="1">
        <v>71514.399999999994</v>
      </c>
      <c r="AA15" s="1">
        <v>71537.3</v>
      </c>
      <c r="AB15" s="1">
        <v>71559.199999999997</v>
      </c>
      <c r="AC15" s="1">
        <v>71581.8</v>
      </c>
      <c r="AD15" s="1">
        <v>71604.100000000006</v>
      </c>
      <c r="AE15" s="1">
        <v>71624.800000000003</v>
      </c>
      <c r="AF15" s="1">
        <v>71648.7</v>
      </c>
      <c r="AG15" s="1">
        <v>71671.199999999997</v>
      </c>
      <c r="AH15" s="1">
        <v>71693</v>
      </c>
      <c r="AI15" s="1">
        <v>71716.3</v>
      </c>
      <c r="AJ15" s="1">
        <v>71740.800000000003</v>
      </c>
      <c r="AK15" s="1">
        <v>71784.7</v>
      </c>
      <c r="AL15" s="1">
        <v>71840.7</v>
      </c>
      <c r="AM15" s="1">
        <v>71907.899999999994</v>
      </c>
      <c r="AN15" s="1">
        <v>71989.399999999994</v>
      </c>
      <c r="AO15" s="1">
        <v>72068.600000000006</v>
      </c>
      <c r="AP15" s="1">
        <v>72151.199999999997</v>
      </c>
      <c r="AQ15" s="1">
        <v>72236.800000000003</v>
      </c>
      <c r="AR15" s="1">
        <v>72321.600000000006</v>
      </c>
      <c r="AS15" s="1">
        <v>72400.3</v>
      </c>
      <c r="AT15" s="1">
        <v>72469.7</v>
      </c>
      <c r="AU15" s="1">
        <v>72539.199999999997</v>
      </c>
      <c r="AV15" s="1">
        <v>72610.100000000006</v>
      </c>
      <c r="AW15" s="1">
        <v>72682.399999999994</v>
      </c>
      <c r="AX15" s="1">
        <v>72747.8</v>
      </c>
      <c r="AY15" s="1">
        <v>72806.5</v>
      </c>
      <c r="AZ15" s="1">
        <v>72834.600000000006</v>
      </c>
      <c r="BA15" s="1">
        <v>72855.899999999994</v>
      </c>
      <c r="BB15" s="1">
        <v>72876.2</v>
      </c>
      <c r="BC15" s="1">
        <v>72895</v>
      </c>
      <c r="BD15" s="1">
        <v>72915.7</v>
      </c>
      <c r="BE15" s="1">
        <v>72935</v>
      </c>
      <c r="BF15" s="1">
        <v>72954.100000000006</v>
      </c>
      <c r="BG15" s="1">
        <v>72973.899999999994</v>
      </c>
      <c r="BH15" s="1">
        <v>72995.100000000006</v>
      </c>
      <c r="BI15" s="1">
        <v>73017.100000000006</v>
      </c>
      <c r="BJ15" s="1">
        <v>73044.100000000006</v>
      </c>
      <c r="BK15" s="1">
        <v>73085.100000000006</v>
      </c>
      <c r="BL15" s="1">
        <v>73141.100000000006</v>
      </c>
      <c r="BM15" s="1">
        <v>73212.600000000006</v>
      </c>
      <c r="BN15" s="1">
        <v>73278.600000000006</v>
      </c>
      <c r="BO15" s="1">
        <v>73347.8</v>
      </c>
      <c r="BP15" s="1">
        <v>73427.899999999994</v>
      </c>
      <c r="BQ15" s="1">
        <v>73488</v>
      </c>
      <c r="BR15" s="1">
        <v>73521.8</v>
      </c>
      <c r="BS15" s="1">
        <v>73555.7</v>
      </c>
      <c r="BT15" s="1">
        <v>73587.100000000006</v>
      </c>
      <c r="BU15" s="1">
        <v>73612.3</v>
      </c>
      <c r="BV15" s="1">
        <v>73635.3</v>
      </c>
      <c r="BW15" s="1">
        <v>73658.899999999994</v>
      </c>
      <c r="BX15" s="1">
        <v>73683.199999999997</v>
      </c>
      <c r="BY15" s="1">
        <v>73703.899999999994</v>
      </c>
      <c r="BZ15" s="1">
        <v>73723.399999999994</v>
      </c>
      <c r="CA15" s="1">
        <v>73742.600000000006</v>
      </c>
      <c r="CB15" s="1">
        <v>73762.5</v>
      </c>
      <c r="CC15" s="1">
        <v>73781.5</v>
      </c>
      <c r="CD15" s="1">
        <v>73800.7</v>
      </c>
      <c r="CE15" s="1">
        <v>73820.399999999994</v>
      </c>
      <c r="CF15" s="1">
        <v>73842</v>
      </c>
      <c r="CG15" s="1">
        <v>73864</v>
      </c>
      <c r="CH15" s="1">
        <v>73887.899999999994</v>
      </c>
      <c r="CI15" s="1">
        <v>73929.600000000006</v>
      </c>
      <c r="CJ15" s="1">
        <v>73984.600000000006</v>
      </c>
      <c r="CK15" s="1">
        <v>74054.3</v>
      </c>
      <c r="CL15" s="1">
        <v>74121.5</v>
      </c>
      <c r="CM15" s="1">
        <v>74194.3</v>
      </c>
      <c r="CN15" s="1">
        <v>74268.899999999994</v>
      </c>
      <c r="CO15" s="1">
        <v>74330.8</v>
      </c>
      <c r="CP15" s="1">
        <v>74366.7</v>
      </c>
      <c r="CQ15" s="1">
        <v>74400.7</v>
      </c>
      <c r="CR15" s="1">
        <v>74427.899999999994</v>
      </c>
      <c r="CS15" s="1">
        <v>74452.3</v>
      </c>
      <c r="CT15" s="1">
        <v>74476.2</v>
      </c>
      <c r="CU15" s="1">
        <v>74501</v>
      </c>
      <c r="CV15" s="1">
        <v>74524.399999999994</v>
      </c>
      <c r="CW15" s="1">
        <v>74545</v>
      </c>
      <c r="CX15" s="1">
        <v>74564.3</v>
      </c>
      <c r="CY15" s="1">
        <v>74583.199999999997</v>
      </c>
      <c r="CZ15" s="1">
        <v>74603</v>
      </c>
      <c r="DA15" s="1">
        <v>74623.199999999997</v>
      </c>
      <c r="DB15" s="1">
        <v>74641.899999999994</v>
      </c>
      <c r="DC15" s="1">
        <v>74662.100000000006</v>
      </c>
      <c r="DD15" s="1">
        <v>74682.8</v>
      </c>
      <c r="DE15" s="1">
        <v>74703.7</v>
      </c>
      <c r="DF15" s="1">
        <v>74726.2</v>
      </c>
      <c r="DG15" s="1">
        <v>74764.7</v>
      </c>
      <c r="DH15" s="1">
        <v>74823.100000000006</v>
      </c>
      <c r="DI15" s="1">
        <v>74886.7</v>
      </c>
      <c r="DJ15" s="1">
        <v>74959.3</v>
      </c>
      <c r="DK15" s="1">
        <v>75030.8</v>
      </c>
      <c r="DL15" s="1">
        <v>75102.8</v>
      </c>
      <c r="DM15" s="1">
        <v>75161.7</v>
      </c>
      <c r="DN15" s="1">
        <v>75196.3</v>
      </c>
      <c r="DO15" s="1">
        <v>75229.2</v>
      </c>
      <c r="DP15" s="1">
        <v>75258.2</v>
      </c>
      <c r="DQ15" s="1">
        <v>75282.2</v>
      </c>
      <c r="DR15" s="1">
        <v>75305.5</v>
      </c>
      <c r="DS15" s="1">
        <v>75328.3</v>
      </c>
      <c r="DT15" s="1">
        <v>75350.399999999994</v>
      </c>
      <c r="DU15" s="1">
        <v>75371</v>
      </c>
      <c r="DV15" s="1">
        <v>75391.100000000006</v>
      </c>
      <c r="DW15" s="1">
        <v>75410.100000000006</v>
      </c>
      <c r="DX15" s="1">
        <v>75431.3</v>
      </c>
      <c r="DY15" s="1">
        <v>75450.2</v>
      </c>
      <c r="DZ15" s="1">
        <v>75469.100000000006</v>
      </c>
      <c r="EA15" s="1">
        <v>75488.800000000003</v>
      </c>
      <c r="EB15" s="1">
        <v>75510.7</v>
      </c>
      <c r="EC15" s="1">
        <v>75531.899999999994</v>
      </c>
      <c r="ED15" s="1">
        <v>75556.2</v>
      </c>
      <c r="EE15" s="1">
        <v>75595.3</v>
      </c>
      <c r="EF15" s="1">
        <v>75658.2</v>
      </c>
      <c r="EG15" s="1">
        <v>75726.2</v>
      </c>
      <c r="EH15" s="1">
        <v>75794.399999999994</v>
      </c>
      <c r="EI15" s="1">
        <v>75871</v>
      </c>
      <c r="EJ15" s="1">
        <v>75952.800000000003</v>
      </c>
      <c r="EK15" s="1">
        <v>76012.5</v>
      </c>
      <c r="EL15" s="1">
        <v>76051.7</v>
      </c>
      <c r="EM15" s="1">
        <v>76090.399999999994</v>
      </c>
      <c r="EN15" s="1">
        <v>76121.3</v>
      </c>
      <c r="EO15" s="1">
        <v>76145.899999999994</v>
      </c>
      <c r="EP15" s="1">
        <v>76171.7</v>
      </c>
      <c r="EQ15" s="1">
        <v>76196.800000000003</v>
      </c>
      <c r="ER15" s="1">
        <v>76224</v>
      </c>
      <c r="ES15" s="1">
        <v>76244.5</v>
      </c>
      <c r="ET15" s="1">
        <v>76264.399999999994</v>
      </c>
      <c r="EU15" s="1">
        <v>76284.2</v>
      </c>
      <c r="EV15" s="1">
        <v>76304.399999999994</v>
      </c>
      <c r="EW15" s="1">
        <v>76323</v>
      </c>
      <c r="EX15" s="1">
        <v>76341.5</v>
      </c>
      <c r="EY15" s="1">
        <v>76362.100000000006</v>
      </c>
      <c r="EZ15" s="1">
        <v>76382.899999999994</v>
      </c>
      <c r="FA15" s="1">
        <v>76403.100000000006</v>
      </c>
      <c r="FB15" s="1">
        <v>76425.2</v>
      </c>
      <c r="FC15" s="1">
        <v>76456.3</v>
      </c>
      <c r="FD15" s="1">
        <v>76522.600000000006</v>
      </c>
      <c r="FE15" s="1">
        <v>76592.7</v>
      </c>
      <c r="FF15" s="1">
        <v>76664.600000000006</v>
      </c>
      <c r="FG15" s="1">
        <v>76742.2</v>
      </c>
      <c r="FH15" s="1">
        <v>76820.5</v>
      </c>
      <c r="FI15" s="1">
        <v>76878.8</v>
      </c>
      <c r="FJ15" s="1">
        <v>76918.2</v>
      </c>
      <c r="FK15" s="1">
        <v>76947.600000000006</v>
      </c>
      <c r="FL15" s="1">
        <v>76967.7</v>
      </c>
      <c r="FM15" s="1">
        <v>76982</v>
      </c>
      <c r="FN15" s="1">
        <v>76998.600000000006</v>
      </c>
      <c r="FO15" s="1">
        <v>77015.100000000006</v>
      </c>
      <c r="FP15" s="1">
        <v>77030.7</v>
      </c>
      <c r="FQ15" s="1">
        <v>77047.600000000006</v>
      </c>
      <c r="FR15" s="1">
        <v>77063</v>
      </c>
      <c r="FS15" s="1">
        <v>77077.3</v>
      </c>
      <c r="FT15" s="1">
        <v>77093.8</v>
      </c>
      <c r="FU15" s="1">
        <v>77108.800000000003</v>
      </c>
      <c r="FV15" s="1">
        <v>77123.899999999994</v>
      </c>
      <c r="FW15" s="1">
        <v>77139.7</v>
      </c>
      <c r="FX15" s="1">
        <v>77154.8</v>
      </c>
      <c r="FY15" s="1">
        <v>77169.100000000006</v>
      </c>
      <c r="FZ15" s="1">
        <v>77183.5</v>
      </c>
      <c r="GA15" s="1">
        <v>77199.3</v>
      </c>
      <c r="GB15" s="1">
        <v>77214.8</v>
      </c>
      <c r="GC15" s="1">
        <v>77229.899999999994</v>
      </c>
      <c r="GD15" s="1">
        <v>77244.600000000006</v>
      </c>
      <c r="GE15" s="1">
        <v>77258.8</v>
      </c>
      <c r="GF15" s="1">
        <v>77273.100000000006</v>
      </c>
      <c r="GG15" s="1">
        <v>77287</v>
      </c>
      <c r="GH15" s="1">
        <v>77300.800000000003</v>
      </c>
      <c r="GI15" s="1">
        <v>77316.600000000006</v>
      </c>
      <c r="GJ15" s="1">
        <v>77331.5</v>
      </c>
      <c r="GK15" s="1">
        <v>77345.100000000006</v>
      </c>
      <c r="GL15" s="1">
        <v>77359.899999999994</v>
      </c>
      <c r="GM15" s="1">
        <v>77375.7</v>
      </c>
      <c r="GN15" s="1">
        <v>77391.8</v>
      </c>
      <c r="GO15" s="1">
        <v>77407.3</v>
      </c>
      <c r="GP15" s="1">
        <v>77422.8</v>
      </c>
      <c r="GQ15" s="1">
        <v>77438.100000000006</v>
      </c>
      <c r="GR15" s="1">
        <v>77453.5</v>
      </c>
      <c r="GS15" s="1">
        <v>77468.2</v>
      </c>
      <c r="GT15" s="1">
        <v>77482.899999999994</v>
      </c>
      <c r="GU15" s="1">
        <v>77499.3</v>
      </c>
      <c r="GV15" s="1">
        <v>77514.5</v>
      </c>
      <c r="GW15" s="1">
        <v>77530.600000000006</v>
      </c>
      <c r="GX15" s="1">
        <v>77545.2</v>
      </c>
      <c r="GY15" s="1">
        <v>77561.7</v>
      </c>
      <c r="GZ15" s="1">
        <v>77577.399999999994</v>
      </c>
      <c r="HA15" s="1">
        <v>77593.100000000006</v>
      </c>
      <c r="HB15" s="1">
        <v>77608.5</v>
      </c>
      <c r="HC15" s="1">
        <v>77623.399999999994</v>
      </c>
      <c r="HD15" s="1">
        <v>77639.5</v>
      </c>
      <c r="HE15" s="1">
        <v>77654.7</v>
      </c>
      <c r="HF15" s="1">
        <v>77671</v>
      </c>
      <c r="HG15" s="1">
        <v>77686.899999999994</v>
      </c>
      <c r="HH15" s="1">
        <v>77701.7</v>
      </c>
      <c r="HI15" s="1">
        <v>77715.8</v>
      </c>
      <c r="HJ15" s="1">
        <v>77731.399999999994</v>
      </c>
      <c r="HK15" s="1">
        <v>77747.3</v>
      </c>
      <c r="HL15" s="1">
        <v>77763.100000000006</v>
      </c>
      <c r="HM15" s="1">
        <v>77778.8</v>
      </c>
      <c r="HN15" s="1">
        <v>77795</v>
      </c>
      <c r="HO15" s="1">
        <v>77810.5</v>
      </c>
      <c r="HP15" s="1">
        <v>77826.399999999994</v>
      </c>
      <c r="HQ15" s="1">
        <v>77842</v>
      </c>
      <c r="HR15" s="1">
        <v>77857.600000000006</v>
      </c>
      <c r="HS15" s="1">
        <v>77874.2</v>
      </c>
      <c r="HT15" s="1">
        <v>77889.5</v>
      </c>
      <c r="HU15" s="1">
        <v>77904.100000000006</v>
      </c>
      <c r="HV15" s="1">
        <v>77919</v>
      </c>
      <c r="HW15" s="1">
        <v>77935.100000000006</v>
      </c>
      <c r="HX15" s="1">
        <v>77950.7</v>
      </c>
      <c r="HY15" s="1">
        <v>77971.100000000006</v>
      </c>
      <c r="HZ15" s="1">
        <v>77992.899999999994</v>
      </c>
      <c r="IA15" s="1">
        <v>78009</v>
      </c>
      <c r="IB15" s="1">
        <v>78025.7</v>
      </c>
      <c r="IC15" s="1">
        <v>78042.600000000006</v>
      </c>
      <c r="ID15" s="1">
        <v>78060.2</v>
      </c>
      <c r="IE15" s="1">
        <v>78077.100000000006</v>
      </c>
      <c r="IF15" s="1">
        <v>78093.5</v>
      </c>
      <c r="IG15" s="1">
        <v>78108.399999999994</v>
      </c>
      <c r="IH15" s="1">
        <v>78124.7</v>
      </c>
      <c r="II15" s="1">
        <v>78141.7</v>
      </c>
      <c r="IJ15" s="1">
        <v>78158.5</v>
      </c>
      <c r="IK15" s="1">
        <v>78175.3</v>
      </c>
      <c r="IL15" s="1">
        <v>78191</v>
      </c>
      <c r="IM15" s="1">
        <v>78206.100000000006</v>
      </c>
      <c r="IN15" s="1">
        <v>78223</v>
      </c>
      <c r="IO15" s="1">
        <v>78238.7</v>
      </c>
      <c r="IP15" s="1">
        <v>78254.2</v>
      </c>
      <c r="IQ15" s="1">
        <v>78270.7</v>
      </c>
      <c r="IR15" s="1">
        <v>78286</v>
      </c>
      <c r="IS15" s="1">
        <v>78301.399999999994</v>
      </c>
      <c r="IT15" s="1">
        <v>78316.7</v>
      </c>
      <c r="IU15" s="1">
        <v>78333.7</v>
      </c>
      <c r="IV15" s="1">
        <v>78350.3</v>
      </c>
      <c r="IW15" s="1">
        <v>78366.899999999994</v>
      </c>
      <c r="IX15" s="1">
        <v>78383.199999999997</v>
      </c>
      <c r="IY15" s="1">
        <v>78398.899999999994</v>
      </c>
      <c r="IZ15" s="1">
        <v>78415.100000000006</v>
      </c>
      <c r="JA15" s="1">
        <v>78432</v>
      </c>
      <c r="JB15" s="1">
        <v>78448.899999999994</v>
      </c>
      <c r="JC15" s="1">
        <v>78466.2</v>
      </c>
      <c r="JD15" s="1">
        <v>78482.899999999994</v>
      </c>
      <c r="JE15" s="1">
        <v>78498.399999999994</v>
      </c>
      <c r="JF15" s="1">
        <v>78514.899999999994</v>
      </c>
      <c r="JG15" s="1">
        <v>78532.3</v>
      </c>
      <c r="JH15" s="1">
        <v>78549.5</v>
      </c>
      <c r="JI15" s="1">
        <v>78566.5</v>
      </c>
      <c r="JJ15" s="1">
        <v>78583.5</v>
      </c>
      <c r="JK15" s="1">
        <v>78598.899999999994</v>
      </c>
      <c r="JL15" s="1">
        <v>78615.8</v>
      </c>
      <c r="JM15" s="1">
        <v>78632</v>
      </c>
      <c r="JN15" s="1">
        <v>78647.8</v>
      </c>
      <c r="JO15" s="1">
        <v>78664.399999999994</v>
      </c>
      <c r="JP15" s="1">
        <v>78680.2</v>
      </c>
      <c r="JQ15" s="1">
        <v>78695.600000000006</v>
      </c>
      <c r="JR15" s="1">
        <v>78711.100000000006</v>
      </c>
      <c r="JS15" s="1">
        <v>78728.2</v>
      </c>
      <c r="JT15" s="1">
        <v>78745.2</v>
      </c>
      <c r="JU15" s="1">
        <v>78762.100000000006</v>
      </c>
      <c r="JV15" s="1">
        <v>78778.5</v>
      </c>
      <c r="JW15" s="1">
        <v>78794.899999999994</v>
      </c>
      <c r="JX15" s="1">
        <v>78811.7</v>
      </c>
      <c r="JY15" s="1">
        <v>78829.100000000006</v>
      </c>
      <c r="JZ15" s="1">
        <v>78847</v>
      </c>
      <c r="KA15" s="1">
        <v>78865.8</v>
      </c>
      <c r="KB15" s="1">
        <v>78882.600000000006</v>
      </c>
      <c r="KC15" s="1">
        <v>78898.5</v>
      </c>
      <c r="KD15" s="1">
        <v>78915.3</v>
      </c>
      <c r="KE15" s="1">
        <v>78933.2</v>
      </c>
      <c r="KF15" s="1">
        <v>78950.2</v>
      </c>
      <c r="KG15" s="1">
        <v>78967.600000000006</v>
      </c>
      <c r="KH15" s="1">
        <v>78985</v>
      </c>
      <c r="KI15" s="1">
        <v>79001.2</v>
      </c>
      <c r="KJ15" s="1">
        <v>79018.2</v>
      </c>
      <c r="KK15" s="1">
        <v>79035</v>
      </c>
      <c r="KL15" s="1">
        <v>79051.3</v>
      </c>
      <c r="KM15" s="1">
        <v>79068.800000000003</v>
      </c>
      <c r="KN15" s="1">
        <v>79084.7</v>
      </c>
      <c r="KO15" s="1">
        <v>79100.399999999994</v>
      </c>
      <c r="KP15" s="1">
        <v>79116.899999999994</v>
      </c>
      <c r="KQ15" s="1">
        <v>79134.3</v>
      </c>
      <c r="KR15" s="1">
        <v>79152</v>
      </c>
      <c r="KS15" s="1">
        <v>79169.5</v>
      </c>
      <c r="KT15" s="1">
        <v>79186.899999999994</v>
      </c>
      <c r="KU15" s="1">
        <v>79202.8</v>
      </c>
      <c r="KV15" s="1">
        <v>79220.7</v>
      </c>
      <c r="KW15" s="1">
        <v>79238.2</v>
      </c>
      <c r="KX15" s="1">
        <v>79256.3</v>
      </c>
      <c r="KY15" s="1">
        <v>79274.7</v>
      </c>
      <c r="KZ15" s="1">
        <v>79293.100000000006</v>
      </c>
      <c r="LA15" s="1">
        <v>79309</v>
      </c>
      <c r="LB15" s="1">
        <v>79326.600000000006</v>
      </c>
      <c r="LC15" s="1">
        <v>79345.8</v>
      </c>
      <c r="LD15" s="1">
        <v>79363.199999999997</v>
      </c>
      <c r="LE15" s="1">
        <v>79380.399999999994</v>
      </c>
      <c r="LF15" s="1">
        <v>79397.399999999994</v>
      </c>
      <c r="LG15" s="1">
        <v>79414.2</v>
      </c>
      <c r="LH15" s="1">
        <v>79431.199999999997</v>
      </c>
      <c r="LI15" s="1">
        <v>79447.399999999994</v>
      </c>
      <c r="LJ15" s="1">
        <v>79464.7</v>
      </c>
      <c r="LK15" s="1">
        <v>79481.899999999994</v>
      </c>
      <c r="LL15" s="1">
        <v>79498.2</v>
      </c>
      <c r="LM15" s="1">
        <v>79512.7</v>
      </c>
      <c r="LN15" s="1">
        <v>79529.5</v>
      </c>
      <c r="LO15" s="1">
        <v>79546.7</v>
      </c>
      <c r="LP15" s="1">
        <v>79563.7</v>
      </c>
      <c r="LQ15" s="1">
        <v>79582.399999999994</v>
      </c>
      <c r="LR15" s="1">
        <v>79600.2</v>
      </c>
      <c r="LS15" s="1">
        <v>79616.7</v>
      </c>
      <c r="LT15" s="1">
        <v>79635</v>
      </c>
      <c r="LU15" s="1">
        <v>79652.7</v>
      </c>
      <c r="LV15" s="1">
        <v>79670.399999999994</v>
      </c>
      <c r="LW15" s="1">
        <v>79690.5</v>
      </c>
      <c r="LX15" s="1">
        <v>79708.2</v>
      </c>
      <c r="LY15" s="1">
        <v>79724.2</v>
      </c>
      <c r="LZ15" s="1">
        <v>79742.2</v>
      </c>
      <c r="MA15" s="1">
        <v>79760.399999999994</v>
      </c>
      <c r="MB15" s="1">
        <v>79777.899999999994</v>
      </c>
      <c r="MC15" s="1">
        <v>79795.3</v>
      </c>
      <c r="MD15" s="1">
        <v>79813.2</v>
      </c>
      <c r="ME15" s="1">
        <v>79830.7</v>
      </c>
      <c r="MF15" s="1">
        <v>79848.100000000006</v>
      </c>
      <c r="MG15" s="1">
        <v>79865.600000000006</v>
      </c>
      <c r="MH15" s="1">
        <v>79882.5</v>
      </c>
      <c r="MI15" s="1">
        <v>79900.100000000006</v>
      </c>
      <c r="MJ15" s="1">
        <v>79916.7</v>
      </c>
      <c r="MK15" s="1">
        <v>79931.600000000006</v>
      </c>
      <c r="ML15" s="1">
        <v>79948.399999999994</v>
      </c>
      <c r="MM15" s="1">
        <v>79965.8</v>
      </c>
      <c r="MN15" s="1">
        <v>79983.199999999997</v>
      </c>
      <c r="MO15" s="1">
        <v>80000.399999999994</v>
      </c>
      <c r="MP15" s="1">
        <v>80017.100000000006</v>
      </c>
      <c r="MQ15" s="1">
        <v>80034.3</v>
      </c>
      <c r="MR15" s="1">
        <v>80052</v>
      </c>
      <c r="MS15" s="1">
        <v>80069.3</v>
      </c>
      <c r="MT15" s="1">
        <v>80086.7</v>
      </c>
      <c r="MU15" s="1">
        <v>80105.8</v>
      </c>
      <c r="MV15" s="1">
        <v>80123.7</v>
      </c>
      <c r="MW15" s="1">
        <v>80140.5</v>
      </c>
      <c r="MX15" s="1">
        <v>80159</v>
      </c>
      <c r="MY15" s="1">
        <v>80177.899999999994</v>
      </c>
      <c r="MZ15" s="1">
        <v>80197.399999999994</v>
      </c>
      <c r="NA15" s="1">
        <v>80216.100000000006</v>
      </c>
      <c r="NB15" s="1">
        <v>80235.100000000006</v>
      </c>
      <c r="NC15" s="1">
        <v>80253.2</v>
      </c>
      <c r="ND15" s="1">
        <v>80271.899999999994</v>
      </c>
      <c r="NE15" s="1">
        <v>80290.8</v>
      </c>
      <c r="NF15" s="1">
        <v>80308.3</v>
      </c>
      <c r="NG15" s="1">
        <v>80326.8</v>
      </c>
      <c r="NH15" s="1">
        <v>80344.2</v>
      </c>
      <c r="NI15" s="1">
        <v>80362.2</v>
      </c>
      <c r="NJ15" s="1">
        <v>80381.100000000006</v>
      </c>
      <c r="NK15" s="1">
        <v>80399.7</v>
      </c>
      <c r="NL15" s="1">
        <v>80419.199999999997</v>
      </c>
      <c r="NM15" s="1">
        <v>80443.199999999997</v>
      </c>
      <c r="NN15" s="1">
        <v>80463.600000000006</v>
      </c>
      <c r="NO15" s="1">
        <v>80481.600000000006</v>
      </c>
      <c r="NP15" s="1">
        <v>80502.2</v>
      </c>
      <c r="NQ15" s="1">
        <v>80522.600000000006</v>
      </c>
      <c r="NR15" s="1">
        <v>80541.8</v>
      </c>
      <c r="NS15" s="1">
        <v>80562.7</v>
      </c>
      <c r="NT15" s="1">
        <v>80582.2</v>
      </c>
      <c r="NU15" s="1">
        <v>80600.399999999994</v>
      </c>
      <c r="NV15" s="1">
        <v>80620.399999999994</v>
      </c>
      <c r="NW15" s="1">
        <v>80640.899999999994</v>
      </c>
      <c r="NX15" s="1">
        <v>80660.399999999994</v>
      </c>
      <c r="NY15" s="1">
        <v>80679.899999999994</v>
      </c>
      <c r="NZ15" s="1">
        <v>80699.3</v>
      </c>
      <c r="OA15" s="1">
        <v>80717.600000000006</v>
      </c>
      <c r="OB15" s="1">
        <v>80736.5</v>
      </c>
      <c r="OC15" s="1">
        <v>80755</v>
      </c>
      <c r="OD15" s="1">
        <v>80774.3</v>
      </c>
      <c r="OE15" s="1">
        <v>80793.5</v>
      </c>
      <c r="OF15" s="1">
        <v>80814.3</v>
      </c>
      <c r="OG15" s="1">
        <v>80833.7</v>
      </c>
      <c r="OH15" s="1">
        <v>80858.8</v>
      </c>
      <c r="OI15" s="1">
        <v>80895.5</v>
      </c>
      <c r="OJ15" s="1">
        <v>80946.7</v>
      </c>
      <c r="OK15" s="1">
        <v>81016.399999999994</v>
      </c>
      <c r="OL15" s="1">
        <v>81081.100000000006</v>
      </c>
      <c r="OM15" s="1">
        <v>81146.899999999994</v>
      </c>
      <c r="ON15" s="1">
        <v>81220.399999999994</v>
      </c>
      <c r="OO15" s="1">
        <v>81277</v>
      </c>
      <c r="OP15" s="1">
        <v>81305.2</v>
      </c>
      <c r="OQ15" s="1">
        <v>81331.8</v>
      </c>
      <c r="OR15" s="1">
        <v>81356.2</v>
      </c>
      <c r="OS15" s="1">
        <v>81375.399999999994</v>
      </c>
      <c r="OT15" s="1">
        <v>81395.7</v>
      </c>
      <c r="OU15" s="1">
        <v>81418.5</v>
      </c>
      <c r="OV15" s="1">
        <v>81439.600000000006</v>
      </c>
      <c r="OW15" s="1">
        <v>81458.899999999994</v>
      </c>
      <c r="OX15" s="1">
        <v>81477.7</v>
      </c>
      <c r="OY15" s="1">
        <v>81494.5</v>
      </c>
      <c r="OZ15" s="1">
        <v>81512.600000000006</v>
      </c>
      <c r="PA15" s="1">
        <v>81529.899999999994</v>
      </c>
      <c r="PB15" s="1">
        <v>81547.899999999994</v>
      </c>
      <c r="PC15" s="1">
        <v>81566.3</v>
      </c>
      <c r="PD15" s="1">
        <v>81586.2</v>
      </c>
      <c r="PE15" s="1">
        <v>81604.7</v>
      </c>
      <c r="PF15" s="1">
        <v>81628.100000000006</v>
      </c>
      <c r="PG15" s="1">
        <v>81664.100000000006</v>
      </c>
      <c r="PH15" s="1">
        <v>81713.899999999994</v>
      </c>
      <c r="PI15" s="1">
        <v>81778.8</v>
      </c>
      <c r="PJ15" s="1">
        <v>81845.600000000006</v>
      </c>
      <c r="PK15" s="1">
        <v>81917.399999999994</v>
      </c>
      <c r="PL15" s="1">
        <v>81997.8</v>
      </c>
      <c r="PM15" s="1">
        <v>82053.5</v>
      </c>
      <c r="PN15" s="1">
        <v>82086</v>
      </c>
      <c r="PO15" s="1">
        <v>82116.3</v>
      </c>
      <c r="PP15" s="1">
        <v>82144.800000000003</v>
      </c>
      <c r="PQ15" s="1">
        <v>82170.3</v>
      </c>
      <c r="PR15" s="1">
        <v>82196</v>
      </c>
      <c r="PS15" s="1">
        <v>82222.899999999994</v>
      </c>
      <c r="PT15" s="1">
        <v>82249.7</v>
      </c>
      <c r="PU15" s="1">
        <v>82271.8</v>
      </c>
      <c r="PV15" s="1">
        <v>82292.7</v>
      </c>
      <c r="PW15" s="1">
        <v>82312.2</v>
      </c>
      <c r="PX15" s="1">
        <v>82332.800000000003</v>
      </c>
      <c r="PY15" s="1">
        <v>82352.800000000003</v>
      </c>
      <c r="PZ15" s="1">
        <v>82372.2</v>
      </c>
      <c r="QA15" s="1">
        <v>82392.5</v>
      </c>
      <c r="QB15" s="1">
        <v>82415.3</v>
      </c>
      <c r="QC15" s="1">
        <v>82436.800000000003</v>
      </c>
      <c r="QD15" s="1">
        <v>82460.600000000006</v>
      </c>
      <c r="QE15" s="1">
        <v>82496.100000000006</v>
      </c>
      <c r="QF15" s="1">
        <v>82547.600000000006</v>
      </c>
      <c r="QG15" s="1">
        <v>82610.8</v>
      </c>
      <c r="QH15" s="1">
        <v>82672.399999999994</v>
      </c>
      <c r="QI15" s="1">
        <v>82742.8</v>
      </c>
      <c r="QJ15" s="1">
        <v>82813.899999999994</v>
      </c>
      <c r="QK15" s="1">
        <v>82870</v>
      </c>
      <c r="QL15" s="1">
        <v>82907.7</v>
      </c>
      <c r="QM15" s="1">
        <v>82945.8</v>
      </c>
      <c r="QN15" s="1">
        <v>82986.5</v>
      </c>
      <c r="QO15" s="1">
        <v>83029.2</v>
      </c>
      <c r="QP15" s="1">
        <v>83070.100000000006</v>
      </c>
      <c r="QQ15" s="1">
        <v>83117</v>
      </c>
      <c r="QR15" s="1">
        <v>83156</v>
      </c>
      <c r="QS15" s="1">
        <v>83179.100000000006</v>
      </c>
      <c r="QT15" s="1">
        <v>83199.8</v>
      </c>
      <c r="QU15" s="1">
        <v>83218.899999999994</v>
      </c>
      <c r="QV15" s="1">
        <v>83241.2</v>
      </c>
      <c r="QW15" s="1">
        <v>83261.7</v>
      </c>
      <c r="QX15" s="1">
        <v>83282</v>
      </c>
      <c r="QY15" s="1">
        <v>83302.899999999994</v>
      </c>
      <c r="QZ15" s="1">
        <v>83325.5</v>
      </c>
      <c r="RA15" s="1">
        <v>83347.199999999997</v>
      </c>
      <c r="RB15" s="1">
        <v>83372.5</v>
      </c>
      <c r="RC15" s="1">
        <v>83408.3</v>
      </c>
      <c r="RD15" s="1">
        <v>83462.899999999994</v>
      </c>
      <c r="RE15" s="1">
        <v>83530.899999999994</v>
      </c>
      <c r="RF15" s="1">
        <v>83593.2</v>
      </c>
      <c r="RG15" s="1">
        <v>83659.7</v>
      </c>
      <c r="RH15" s="1">
        <v>83736.800000000003</v>
      </c>
      <c r="RI15" s="1">
        <v>83793</v>
      </c>
      <c r="RJ15" s="1">
        <v>83817</v>
      </c>
      <c r="RK15" s="1">
        <v>83841.2</v>
      </c>
      <c r="RL15" s="1">
        <v>83864.399999999994</v>
      </c>
      <c r="RM15" s="1">
        <v>83883.600000000006</v>
      </c>
      <c r="RN15" s="1">
        <v>83904.9</v>
      </c>
      <c r="RO15" s="1">
        <v>83927.1</v>
      </c>
      <c r="RP15" s="1">
        <v>83946.1</v>
      </c>
      <c r="RQ15" s="1">
        <v>83963.7</v>
      </c>
      <c r="RR15" s="1">
        <v>83980.7</v>
      </c>
      <c r="RS15" s="1">
        <v>83996.9</v>
      </c>
      <c r="RT15" s="1">
        <v>84014.8</v>
      </c>
      <c r="RU15" s="1">
        <v>84031.5</v>
      </c>
      <c r="RV15" s="1">
        <v>84047.9</v>
      </c>
      <c r="RW15" s="1">
        <v>84065.3</v>
      </c>
      <c r="RX15" s="1">
        <v>84082.4</v>
      </c>
      <c r="RY15" s="1">
        <v>84097.8</v>
      </c>
      <c r="RZ15" s="1">
        <v>84114.4</v>
      </c>
      <c r="SA15" s="1">
        <v>84132.1</v>
      </c>
      <c r="SB15" s="1">
        <v>84150.3</v>
      </c>
      <c r="SC15" s="1">
        <v>84168.7</v>
      </c>
      <c r="SD15" s="1">
        <v>84186.6</v>
      </c>
      <c r="SE15" s="1">
        <v>84203.7</v>
      </c>
      <c r="SF15" s="1">
        <v>84221.7</v>
      </c>
      <c r="SG15" s="1">
        <v>84240.5</v>
      </c>
      <c r="SH15" s="1">
        <v>84258.7</v>
      </c>
      <c r="SI15" s="1">
        <v>84278.5</v>
      </c>
      <c r="SJ15" s="1">
        <v>84296.5</v>
      </c>
      <c r="SK15" s="1">
        <v>84312.2</v>
      </c>
      <c r="SL15" s="1">
        <v>84329.600000000006</v>
      </c>
      <c r="SM15" s="1">
        <v>84348.4</v>
      </c>
      <c r="SN15" s="1">
        <v>84367.8</v>
      </c>
      <c r="SO15" s="1">
        <v>84385.4</v>
      </c>
      <c r="SP15" s="1">
        <v>84402.6</v>
      </c>
      <c r="SQ15" s="1">
        <v>84419.4</v>
      </c>
      <c r="SR15" s="1">
        <v>84437.2</v>
      </c>
      <c r="SS15" s="1">
        <v>84454.6</v>
      </c>
      <c r="ST15" s="1">
        <v>84471.3</v>
      </c>
      <c r="SU15" s="1">
        <v>84489.1</v>
      </c>
      <c r="SV15" s="1">
        <v>84506.7</v>
      </c>
      <c r="SW15" s="1">
        <v>84521.5</v>
      </c>
      <c r="SX15" s="1">
        <v>84538.1</v>
      </c>
      <c r="SY15" s="1">
        <v>84556.2</v>
      </c>
      <c r="SZ15" s="1">
        <v>84573.8</v>
      </c>
      <c r="TA15" s="1">
        <v>84592</v>
      </c>
      <c r="TB15" s="1">
        <v>84610.3</v>
      </c>
      <c r="TC15" s="1">
        <v>84628.1</v>
      </c>
      <c r="TD15" s="1">
        <v>84646.1</v>
      </c>
      <c r="TE15" s="1">
        <v>84663.5</v>
      </c>
      <c r="TF15" s="1">
        <v>84681.3</v>
      </c>
      <c r="TG15" s="1">
        <v>84699.9</v>
      </c>
      <c r="TH15" s="1">
        <v>84718</v>
      </c>
      <c r="TI15" s="1">
        <v>84733.5</v>
      </c>
      <c r="TJ15" s="1">
        <v>84750.8</v>
      </c>
      <c r="TK15" s="1">
        <v>84768.4</v>
      </c>
      <c r="TL15" s="1">
        <v>84787</v>
      </c>
      <c r="TM15" s="1">
        <v>84804.6</v>
      </c>
      <c r="TN15" s="1">
        <v>84822.2</v>
      </c>
      <c r="TO15" s="1">
        <v>84839.2</v>
      </c>
      <c r="TP15" s="1">
        <v>84857.1</v>
      </c>
      <c r="TQ15" s="1">
        <v>84874.5</v>
      </c>
      <c r="TR15" s="1">
        <v>84892.3</v>
      </c>
      <c r="TS15" s="1">
        <v>84910.1</v>
      </c>
      <c r="TT15" s="1">
        <v>84930</v>
      </c>
      <c r="TU15" s="1">
        <v>84950.7</v>
      </c>
      <c r="TV15" s="1">
        <v>84974.2</v>
      </c>
      <c r="TW15" s="1">
        <v>85010.9</v>
      </c>
      <c r="TX15" s="1">
        <v>85066</v>
      </c>
      <c r="TY15" s="1">
        <v>85133.8</v>
      </c>
      <c r="TZ15" s="1">
        <v>85197.8</v>
      </c>
      <c r="UA15" s="1">
        <v>85270.399999999994</v>
      </c>
      <c r="UB15" s="1">
        <v>85345.7</v>
      </c>
      <c r="UC15" s="1">
        <v>85404.2</v>
      </c>
      <c r="UD15" s="1">
        <v>85440.8</v>
      </c>
      <c r="UE15" s="1">
        <v>85475.6</v>
      </c>
      <c r="UF15" s="1">
        <v>85508.3</v>
      </c>
      <c r="UG15" s="1">
        <v>85534.8</v>
      </c>
      <c r="UH15" s="1">
        <v>85555.6</v>
      </c>
      <c r="UI15" s="1">
        <v>85575</v>
      </c>
      <c r="UJ15" s="1">
        <v>85594.7</v>
      </c>
      <c r="UK15" s="1">
        <v>85612.3</v>
      </c>
      <c r="UL15" s="1">
        <v>85630.6</v>
      </c>
      <c r="UM15" s="1">
        <v>85647.3</v>
      </c>
      <c r="UN15" s="1">
        <v>85664.8</v>
      </c>
      <c r="UO15" s="1">
        <v>85681.8</v>
      </c>
      <c r="UP15" s="1">
        <v>85699.5</v>
      </c>
      <c r="UQ15" s="1">
        <v>85717.2</v>
      </c>
      <c r="UR15" s="1">
        <v>85736.2</v>
      </c>
      <c r="US15" s="1">
        <v>85755.5</v>
      </c>
      <c r="UT15" s="1">
        <v>85783.9</v>
      </c>
      <c r="UU15" s="1">
        <v>85821.9</v>
      </c>
      <c r="UV15" s="1">
        <v>85877.8</v>
      </c>
      <c r="UW15" s="1">
        <v>85948.5</v>
      </c>
      <c r="UX15" s="1">
        <v>86014.1</v>
      </c>
      <c r="UY15" s="1">
        <v>86082.5</v>
      </c>
      <c r="UZ15" s="1">
        <v>86158.8</v>
      </c>
      <c r="VA15" s="1">
        <v>86211.6</v>
      </c>
      <c r="VB15" s="1">
        <v>86241.4</v>
      </c>
      <c r="VC15" s="1">
        <v>86265.9</v>
      </c>
      <c r="VD15" s="1">
        <v>86290.2</v>
      </c>
      <c r="VE15" s="1">
        <v>86310.7</v>
      </c>
      <c r="VF15" s="1">
        <v>86334</v>
      </c>
      <c r="VG15" s="1">
        <v>86358</v>
      </c>
      <c r="VH15" s="1">
        <v>86381.4</v>
      </c>
      <c r="VI15" s="1">
        <v>86399.7</v>
      </c>
      <c r="VJ15" s="1">
        <v>86417.9</v>
      </c>
      <c r="VK15" s="1">
        <v>86433.9</v>
      </c>
      <c r="VL15" s="1">
        <v>86451.199999999997</v>
      </c>
      <c r="VM15" s="1">
        <v>86468</v>
      </c>
      <c r="VN15" s="1">
        <v>86485.2</v>
      </c>
      <c r="VO15" s="1">
        <v>86502.8</v>
      </c>
      <c r="VP15" s="1">
        <v>86523.3</v>
      </c>
      <c r="VQ15" s="1">
        <v>86542.1</v>
      </c>
      <c r="VR15" s="1">
        <v>86567.7</v>
      </c>
      <c r="VS15" s="1">
        <v>86604.4</v>
      </c>
      <c r="VT15" s="1">
        <v>86653.6</v>
      </c>
      <c r="VU15" s="1">
        <v>86722.3</v>
      </c>
      <c r="VV15" s="1">
        <v>86791.7</v>
      </c>
      <c r="VW15" s="1">
        <v>86861.7</v>
      </c>
      <c r="VX15" s="1">
        <v>86935.4</v>
      </c>
      <c r="VY15" s="1">
        <v>86989.7</v>
      </c>
      <c r="VZ15" s="1">
        <v>87016.3</v>
      </c>
      <c r="WA15" s="1">
        <v>87043.1</v>
      </c>
      <c r="WB15" s="1">
        <v>87069.9</v>
      </c>
      <c r="WC15" s="1">
        <v>87092.7</v>
      </c>
      <c r="WD15" s="1">
        <v>87116.9</v>
      </c>
      <c r="WE15" s="1">
        <v>87138.4</v>
      </c>
      <c r="WF15" s="1">
        <v>87160</v>
      </c>
      <c r="WG15" s="1">
        <v>87179.4</v>
      </c>
      <c r="WH15" s="1">
        <v>87198.399999999994</v>
      </c>
      <c r="WI15" s="1">
        <v>87216.4</v>
      </c>
      <c r="WJ15" s="1">
        <v>87236</v>
      </c>
      <c r="WK15" s="1">
        <v>87254.5</v>
      </c>
      <c r="WL15" s="1">
        <v>87273.3</v>
      </c>
      <c r="WM15" s="1">
        <v>87293.3</v>
      </c>
      <c r="WN15" s="1">
        <v>87313.8</v>
      </c>
      <c r="WO15" s="1">
        <v>87334.2</v>
      </c>
      <c r="WP15" s="1">
        <v>87358.7</v>
      </c>
      <c r="WQ15" s="1">
        <v>87397.3</v>
      </c>
      <c r="WR15" s="1">
        <v>87452.6</v>
      </c>
      <c r="WS15" s="1">
        <v>87525.1</v>
      </c>
      <c r="WT15" s="1">
        <v>87592.8</v>
      </c>
      <c r="WU15" s="1">
        <v>87659.199999999997</v>
      </c>
      <c r="WV15" s="1">
        <v>87733.6</v>
      </c>
      <c r="WW15" s="1">
        <v>87786.3</v>
      </c>
      <c r="WX15" s="1">
        <v>87817.2</v>
      </c>
      <c r="WY15" s="1">
        <v>87846.3</v>
      </c>
      <c r="WZ15" s="1">
        <v>87874.7</v>
      </c>
      <c r="XA15" s="1">
        <v>87899.5</v>
      </c>
      <c r="XB15" s="1">
        <v>87924.9</v>
      </c>
      <c r="XC15" s="1">
        <v>87951.3</v>
      </c>
      <c r="XD15" s="1">
        <v>87976.2</v>
      </c>
      <c r="XE15" s="1">
        <v>87997.5</v>
      </c>
      <c r="XF15" s="1">
        <v>88017.5</v>
      </c>
      <c r="XG15" s="1">
        <v>88036.5</v>
      </c>
      <c r="XH15" s="1">
        <v>88056.4</v>
      </c>
      <c r="XI15" s="1">
        <v>88075.8</v>
      </c>
      <c r="XJ15" s="1">
        <v>88094.9</v>
      </c>
      <c r="XK15" s="1">
        <v>88115</v>
      </c>
      <c r="XL15" s="1">
        <v>88136.1</v>
      </c>
      <c r="XM15" s="1">
        <v>88157.4</v>
      </c>
      <c r="XN15" s="1">
        <v>88184.3</v>
      </c>
      <c r="XO15" s="1">
        <v>88232.1</v>
      </c>
      <c r="XP15" s="1">
        <v>88290.2</v>
      </c>
      <c r="XQ15" s="1">
        <v>88355.6</v>
      </c>
      <c r="XR15" s="1">
        <v>88418.8</v>
      </c>
      <c r="XS15" s="1">
        <v>88491.3</v>
      </c>
      <c r="XT15" s="1">
        <v>88563.4</v>
      </c>
      <c r="XU15" s="1">
        <v>88623.3</v>
      </c>
      <c r="XV15" s="1">
        <v>88657.9</v>
      </c>
      <c r="XW15" s="1">
        <v>88693.6</v>
      </c>
      <c r="XX15" s="1">
        <v>88725.2</v>
      </c>
      <c r="XY15" s="1">
        <v>88751.8</v>
      </c>
      <c r="XZ15" s="1">
        <v>88778.7</v>
      </c>
      <c r="YA15" s="1">
        <v>88806.3</v>
      </c>
      <c r="YB15" s="1">
        <v>88831.7</v>
      </c>
      <c r="YC15" s="1">
        <v>88852.800000000003</v>
      </c>
      <c r="YD15" s="1">
        <v>88874.1</v>
      </c>
      <c r="YE15" s="1">
        <v>88893</v>
      </c>
      <c r="YF15" s="1">
        <v>88913.9</v>
      </c>
      <c r="YG15" s="1">
        <v>88935.4</v>
      </c>
      <c r="YH15" s="1">
        <v>88956.1</v>
      </c>
      <c r="YI15" s="1">
        <v>88976.9</v>
      </c>
      <c r="YJ15" s="1">
        <v>88996.7</v>
      </c>
      <c r="YK15" s="1">
        <v>89014.7</v>
      </c>
      <c r="YL15" s="1">
        <v>89034.6</v>
      </c>
      <c r="YM15" s="1">
        <v>89056.3</v>
      </c>
      <c r="YN15" s="1">
        <v>89077.5</v>
      </c>
      <c r="YO15" s="1">
        <v>89098.8</v>
      </c>
      <c r="YP15" s="1">
        <v>89119.9</v>
      </c>
      <c r="YQ15" s="1">
        <v>89138.8</v>
      </c>
      <c r="YR15" s="1">
        <v>89160.1</v>
      </c>
      <c r="YS15" s="1">
        <v>89182</v>
      </c>
      <c r="YT15" s="1">
        <v>89202.4</v>
      </c>
      <c r="YU15" s="1">
        <v>89223.5</v>
      </c>
      <c r="YV15" s="1">
        <v>89244.4</v>
      </c>
      <c r="YW15" s="1">
        <v>89263.7</v>
      </c>
      <c r="YX15" s="1">
        <v>89283.9</v>
      </c>
      <c r="YY15" s="1">
        <v>89304.6</v>
      </c>
      <c r="YZ15" s="1">
        <v>89325.7</v>
      </c>
      <c r="ZA15" s="1">
        <v>89345.5</v>
      </c>
      <c r="ZB15" s="1">
        <v>89364.9</v>
      </c>
      <c r="ZC15" s="1">
        <v>89383.2</v>
      </c>
      <c r="ZD15" s="1">
        <v>89402.2</v>
      </c>
      <c r="ZE15" s="1">
        <v>89422</v>
      </c>
      <c r="ZF15" s="1">
        <v>89441</v>
      </c>
      <c r="ZG15" s="1">
        <v>89460.5</v>
      </c>
      <c r="ZH15" s="1">
        <v>89479.5</v>
      </c>
      <c r="ZI15" s="1">
        <v>89495.7</v>
      </c>
      <c r="ZJ15" s="1">
        <v>89514.6</v>
      </c>
      <c r="ZK15" s="1">
        <v>89533.5</v>
      </c>
      <c r="ZL15" s="1">
        <v>89551.5</v>
      </c>
      <c r="ZM15" s="1">
        <v>89571.199999999997</v>
      </c>
      <c r="ZN15" s="1">
        <v>89590.7</v>
      </c>
      <c r="ZO15" s="1">
        <v>89608.4</v>
      </c>
      <c r="ZP15" s="1">
        <v>89627.199999999997</v>
      </c>
      <c r="ZQ15" s="1">
        <v>89646.9</v>
      </c>
      <c r="ZR15" s="1">
        <v>89667.7</v>
      </c>
      <c r="ZS15" s="1">
        <v>89687</v>
      </c>
      <c r="ZT15" s="1">
        <v>89705.3</v>
      </c>
      <c r="ZU15" s="1">
        <v>89721.600000000006</v>
      </c>
      <c r="ZV15" s="1">
        <v>89741.3</v>
      </c>
      <c r="ZW15" s="1">
        <v>89760.4</v>
      </c>
      <c r="ZX15" s="1">
        <v>89779.3</v>
      </c>
      <c r="ZY15" s="1">
        <v>89799.1</v>
      </c>
      <c r="ZZ15" s="1">
        <v>89818.4</v>
      </c>
      <c r="AAA15" s="1">
        <v>89835.9</v>
      </c>
      <c r="AAB15" s="1">
        <v>89856.3</v>
      </c>
      <c r="AAC15" s="1">
        <v>89874.9</v>
      </c>
      <c r="AAD15" s="1">
        <v>89894.399999999994</v>
      </c>
      <c r="AAE15" s="1">
        <v>89913.9</v>
      </c>
      <c r="AAF15" s="1">
        <v>89934.2</v>
      </c>
      <c r="AAG15" s="1">
        <v>89956.1</v>
      </c>
      <c r="AAH15" s="1">
        <v>89981.1</v>
      </c>
      <c r="AAI15" s="1">
        <v>90016.5</v>
      </c>
      <c r="AAJ15" s="1">
        <v>90068.5</v>
      </c>
      <c r="AAK15" s="1">
        <v>90138</v>
      </c>
      <c r="AAL15" s="1">
        <v>90205.4</v>
      </c>
      <c r="AAM15" s="1">
        <v>90274.9</v>
      </c>
      <c r="AAN15" s="1">
        <v>90348.2</v>
      </c>
      <c r="AAO15" s="1">
        <v>90405.1</v>
      </c>
      <c r="AAP15" s="1">
        <v>90435.4</v>
      </c>
      <c r="AAQ15" s="1">
        <v>90463.6</v>
      </c>
      <c r="AAR15" s="1">
        <v>90490.2</v>
      </c>
      <c r="AAS15" s="1">
        <v>90512</v>
      </c>
      <c r="AAT15" s="1">
        <v>90535.3</v>
      </c>
      <c r="AAU15" s="1">
        <v>90559.1</v>
      </c>
      <c r="AAV15" s="1">
        <v>90582.3</v>
      </c>
      <c r="AAW15" s="1">
        <v>90602</v>
      </c>
      <c r="AAX15" s="1">
        <v>90621.1</v>
      </c>
    </row>
    <row r="16" spans="1:750">
      <c r="A16" s="1">
        <v>15</v>
      </c>
      <c r="B16" s="1" t="s">
        <v>2</v>
      </c>
      <c r="C16" s="1" t="s">
        <v>3</v>
      </c>
      <c r="D16" s="1" t="s">
        <v>19</v>
      </c>
      <c r="E16" s="1" t="s">
        <v>5</v>
      </c>
      <c r="F16" s="1">
        <v>50480</v>
      </c>
      <c r="G16" s="1">
        <v>50480</v>
      </c>
      <c r="H16" s="1">
        <v>50480</v>
      </c>
      <c r="I16" s="1">
        <v>50480</v>
      </c>
      <c r="J16" s="1">
        <v>50480</v>
      </c>
      <c r="K16" s="1">
        <v>50480</v>
      </c>
      <c r="L16" s="1">
        <v>50480</v>
      </c>
      <c r="M16" s="1">
        <v>50481</v>
      </c>
      <c r="N16" s="1">
        <v>50482</v>
      </c>
      <c r="O16" s="1">
        <v>50486</v>
      </c>
      <c r="P16" s="1">
        <v>50493</v>
      </c>
      <c r="Q16" s="1">
        <v>50503</v>
      </c>
      <c r="R16" s="1">
        <v>50517</v>
      </c>
      <c r="S16" s="1">
        <v>50528</v>
      </c>
      <c r="T16" s="1">
        <v>50544</v>
      </c>
      <c r="U16" s="1">
        <v>50556</v>
      </c>
      <c r="V16" s="1">
        <v>50569</v>
      </c>
      <c r="W16" s="1">
        <v>50578</v>
      </c>
      <c r="X16" s="1">
        <v>50583</v>
      </c>
      <c r="Y16" s="1">
        <v>50584</v>
      </c>
      <c r="Z16" s="1">
        <v>50584</v>
      </c>
      <c r="AA16" s="1">
        <v>50584</v>
      </c>
      <c r="AB16" s="1">
        <v>50584</v>
      </c>
      <c r="AC16" s="1">
        <v>50584</v>
      </c>
      <c r="AD16" s="1">
        <v>50584</v>
      </c>
      <c r="AE16" s="1">
        <v>50584</v>
      </c>
      <c r="AF16" s="1">
        <v>50584</v>
      </c>
      <c r="AG16" s="1">
        <v>50584</v>
      </c>
      <c r="AH16" s="1">
        <v>50584</v>
      </c>
      <c r="AI16" s="1">
        <v>50584</v>
      </c>
      <c r="AJ16" s="1">
        <v>50584</v>
      </c>
      <c r="AK16" s="1">
        <v>50584</v>
      </c>
      <c r="AL16" s="1">
        <v>50586</v>
      </c>
      <c r="AM16" s="1">
        <v>50588</v>
      </c>
      <c r="AN16" s="1">
        <v>50590</v>
      </c>
      <c r="AO16" s="1">
        <v>50592</v>
      </c>
      <c r="AP16" s="1">
        <v>50595</v>
      </c>
      <c r="AQ16" s="1">
        <v>50598</v>
      </c>
      <c r="AR16" s="1">
        <v>50602</v>
      </c>
      <c r="AS16" s="1">
        <v>50608</v>
      </c>
      <c r="AT16" s="1">
        <v>50610</v>
      </c>
      <c r="AU16" s="1">
        <v>50611</v>
      </c>
      <c r="AV16" s="1">
        <v>50613</v>
      </c>
      <c r="AW16" s="1">
        <v>50613</v>
      </c>
      <c r="AX16" s="1">
        <v>50613</v>
      </c>
      <c r="AY16" s="1">
        <v>50613</v>
      </c>
      <c r="AZ16" s="1">
        <v>50613</v>
      </c>
      <c r="BA16" s="1">
        <v>50613</v>
      </c>
      <c r="BB16" s="1">
        <v>50613</v>
      </c>
      <c r="BC16" s="1">
        <v>50613</v>
      </c>
      <c r="BD16" s="1">
        <v>50613</v>
      </c>
      <c r="BE16" s="1">
        <v>50613</v>
      </c>
      <c r="BF16" s="1">
        <v>50613</v>
      </c>
      <c r="BG16" s="1">
        <v>50613</v>
      </c>
      <c r="BH16" s="1">
        <v>50613</v>
      </c>
      <c r="BI16" s="1">
        <v>50614</v>
      </c>
      <c r="BJ16" s="1">
        <v>50615</v>
      </c>
      <c r="BK16" s="1">
        <v>50619</v>
      </c>
      <c r="BL16" s="1">
        <v>50628</v>
      </c>
      <c r="BM16" s="1">
        <v>50639</v>
      </c>
      <c r="BN16" s="1">
        <v>50647</v>
      </c>
      <c r="BO16" s="1">
        <v>50658</v>
      </c>
      <c r="BP16" s="1">
        <v>50665</v>
      </c>
      <c r="BQ16" s="1">
        <v>50669</v>
      </c>
      <c r="BR16" s="1">
        <v>50673</v>
      </c>
      <c r="BS16" s="1">
        <v>50679</v>
      </c>
      <c r="BT16" s="1">
        <v>50680</v>
      </c>
      <c r="BU16" s="1">
        <v>50680</v>
      </c>
      <c r="BV16" s="1">
        <v>50680</v>
      </c>
      <c r="BW16" s="1">
        <v>50680</v>
      </c>
      <c r="BX16" s="1">
        <v>50680</v>
      </c>
      <c r="BY16" s="1">
        <v>50680</v>
      </c>
      <c r="BZ16" s="1">
        <v>50680</v>
      </c>
      <c r="CA16" s="1">
        <v>50680</v>
      </c>
      <c r="CB16" s="1">
        <v>50680</v>
      </c>
      <c r="CC16" s="1">
        <v>50680</v>
      </c>
      <c r="CD16" s="1">
        <v>50680</v>
      </c>
      <c r="CE16" s="1">
        <v>50680</v>
      </c>
      <c r="CF16" s="1">
        <v>50680</v>
      </c>
      <c r="CG16" s="1">
        <v>50681</v>
      </c>
      <c r="CH16" s="1">
        <v>50682</v>
      </c>
      <c r="CI16" s="1">
        <v>50685</v>
      </c>
      <c r="CJ16" s="1">
        <v>50693</v>
      </c>
      <c r="CK16" s="1">
        <v>50703</v>
      </c>
      <c r="CL16" s="1">
        <v>50718</v>
      </c>
      <c r="CM16" s="1">
        <v>50729</v>
      </c>
      <c r="CN16" s="1">
        <v>50743</v>
      </c>
      <c r="CO16" s="1">
        <v>50751</v>
      </c>
      <c r="CP16" s="1">
        <v>50763</v>
      </c>
      <c r="CQ16" s="1">
        <v>50769</v>
      </c>
      <c r="CR16" s="1">
        <v>50771</v>
      </c>
      <c r="CS16" s="1">
        <v>50771</v>
      </c>
      <c r="CT16" s="1">
        <v>50771</v>
      </c>
      <c r="CU16" s="1">
        <v>50771</v>
      </c>
      <c r="CV16" s="1">
        <v>50771</v>
      </c>
      <c r="CW16" s="1">
        <v>50771</v>
      </c>
      <c r="CX16" s="1">
        <v>50771</v>
      </c>
      <c r="CY16" s="1">
        <v>50771</v>
      </c>
      <c r="CZ16" s="1">
        <v>50771</v>
      </c>
      <c r="DA16" s="1">
        <v>50771</v>
      </c>
      <c r="DB16" s="1">
        <v>50771</v>
      </c>
      <c r="DC16" s="1">
        <v>50771</v>
      </c>
      <c r="DD16" s="1">
        <v>50771</v>
      </c>
      <c r="DE16" s="1">
        <v>50772</v>
      </c>
      <c r="DF16" s="1">
        <v>50772</v>
      </c>
      <c r="DG16" s="1">
        <v>50773</v>
      </c>
      <c r="DH16" s="1">
        <v>50778</v>
      </c>
      <c r="DI16" s="1">
        <v>50785</v>
      </c>
      <c r="DJ16" s="1">
        <v>50790</v>
      </c>
      <c r="DK16" s="1">
        <v>50795</v>
      </c>
      <c r="DL16" s="1">
        <v>50801</v>
      </c>
      <c r="DM16" s="1">
        <v>50810</v>
      </c>
      <c r="DN16" s="1">
        <v>50816</v>
      </c>
      <c r="DO16" s="1">
        <v>50819</v>
      </c>
      <c r="DP16" s="1">
        <v>50820</v>
      </c>
      <c r="DQ16" s="1">
        <v>50820</v>
      </c>
      <c r="DR16" s="1">
        <v>50820</v>
      </c>
      <c r="DS16" s="1">
        <v>50820</v>
      </c>
      <c r="DT16" s="1">
        <v>50820</v>
      </c>
      <c r="DU16" s="1">
        <v>50820</v>
      </c>
      <c r="DV16" s="1">
        <v>50820</v>
      </c>
      <c r="DW16" s="1">
        <v>50820</v>
      </c>
      <c r="DX16" s="1">
        <v>50820</v>
      </c>
      <c r="DY16" s="1">
        <v>50820</v>
      </c>
      <c r="DZ16" s="1">
        <v>50820</v>
      </c>
      <c r="EA16" s="1">
        <v>50820</v>
      </c>
      <c r="EB16" s="1">
        <v>50820</v>
      </c>
      <c r="EC16" s="1">
        <v>50821</v>
      </c>
      <c r="ED16" s="1">
        <v>50823</v>
      </c>
      <c r="EE16" s="1">
        <v>50826</v>
      </c>
      <c r="EF16" s="1">
        <v>50834</v>
      </c>
      <c r="EG16" s="1">
        <v>50843</v>
      </c>
      <c r="EH16" s="1">
        <v>50852</v>
      </c>
      <c r="EI16" s="1">
        <v>50866</v>
      </c>
      <c r="EJ16" s="1">
        <v>50879</v>
      </c>
      <c r="EK16" s="1">
        <v>50887</v>
      </c>
      <c r="EL16" s="1">
        <v>50893</v>
      </c>
      <c r="EM16" s="1">
        <v>50897</v>
      </c>
      <c r="EN16" s="1">
        <v>50899</v>
      </c>
      <c r="EO16" s="1">
        <v>50899</v>
      </c>
      <c r="EP16" s="1">
        <v>50899</v>
      </c>
      <c r="EQ16" s="1">
        <v>50899</v>
      </c>
      <c r="ER16" s="1">
        <v>50899</v>
      </c>
      <c r="ES16" s="1">
        <v>50899</v>
      </c>
      <c r="ET16" s="1">
        <v>50899</v>
      </c>
      <c r="EU16" s="1">
        <v>50899</v>
      </c>
      <c r="EV16" s="1">
        <v>50899</v>
      </c>
      <c r="EW16" s="1">
        <v>50899</v>
      </c>
      <c r="EX16" s="1">
        <v>50899</v>
      </c>
      <c r="EY16" s="1">
        <v>50899</v>
      </c>
      <c r="EZ16" s="1">
        <v>50899</v>
      </c>
      <c r="FA16" s="1">
        <v>50899</v>
      </c>
      <c r="FB16" s="1">
        <v>50900</v>
      </c>
      <c r="FC16" s="1">
        <v>50902</v>
      </c>
      <c r="FD16" s="1">
        <v>50904</v>
      </c>
      <c r="FE16" s="1">
        <v>50907</v>
      </c>
      <c r="FF16" s="1">
        <v>50909</v>
      </c>
      <c r="FG16" s="1">
        <v>50912</v>
      </c>
      <c r="FH16" s="1">
        <v>50914</v>
      </c>
      <c r="FI16" s="1">
        <v>50916</v>
      </c>
      <c r="FJ16" s="1">
        <v>50918</v>
      </c>
      <c r="FK16" s="1">
        <v>50918</v>
      </c>
      <c r="FL16" s="1">
        <v>50918</v>
      </c>
      <c r="FM16" s="1">
        <v>50918</v>
      </c>
      <c r="FN16" s="1">
        <v>50918</v>
      </c>
      <c r="FO16" s="1">
        <v>50918</v>
      </c>
      <c r="FP16" s="1">
        <v>50918</v>
      </c>
      <c r="FQ16" s="1">
        <v>50918</v>
      </c>
      <c r="FR16" s="1">
        <v>50918</v>
      </c>
      <c r="FS16" s="1">
        <v>50918</v>
      </c>
      <c r="FT16" s="1">
        <v>50918</v>
      </c>
      <c r="FU16" s="1">
        <v>50918</v>
      </c>
      <c r="FV16" s="1">
        <v>50918</v>
      </c>
      <c r="FW16" s="1">
        <v>50918</v>
      </c>
      <c r="FX16" s="1">
        <v>50918</v>
      </c>
      <c r="FY16" s="1">
        <v>50918</v>
      </c>
      <c r="FZ16" s="1">
        <v>50918</v>
      </c>
      <c r="GA16" s="1">
        <v>50919</v>
      </c>
      <c r="GB16" s="1">
        <v>50919</v>
      </c>
      <c r="GC16" s="1">
        <v>50920</v>
      </c>
      <c r="GD16" s="1">
        <v>50920</v>
      </c>
      <c r="GE16" s="1">
        <v>50920</v>
      </c>
      <c r="GF16" s="1">
        <v>50920</v>
      </c>
      <c r="GG16" s="1">
        <v>50920</v>
      </c>
      <c r="GH16" s="1">
        <v>50920</v>
      </c>
      <c r="GI16" s="1">
        <v>50920</v>
      </c>
      <c r="GJ16" s="1">
        <v>50920</v>
      </c>
      <c r="GK16" s="1">
        <v>50920</v>
      </c>
      <c r="GL16" s="1">
        <v>50920</v>
      </c>
      <c r="GM16" s="1">
        <v>50920</v>
      </c>
      <c r="GN16" s="1">
        <v>50920</v>
      </c>
      <c r="GO16" s="1">
        <v>50920</v>
      </c>
      <c r="GP16" s="1">
        <v>50920</v>
      </c>
      <c r="GQ16" s="1">
        <v>50920</v>
      </c>
      <c r="GR16" s="1">
        <v>50920</v>
      </c>
      <c r="GS16" s="1">
        <v>50920</v>
      </c>
      <c r="GT16" s="1">
        <v>50920</v>
      </c>
      <c r="GU16" s="1">
        <v>50920</v>
      </c>
      <c r="GV16" s="1">
        <v>50920</v>
      </c>
      <c r="GW16" s="1">
        <v>50920</v>
      </c>
      <c r="GX16" s="1">
        <v>50920</v>
      </c>
      <c r="GY16" s="1">
        <v>50920</v>
      </c>
      <c r="GZ16" s="1">
        <v>50921</v>
      </c>
      <c r="HA16" s="1">
        <v>50924</v>
      </c>
      <c r="HB16" s="1">
        <v>50928</v>
      </c>
      <c r="HC16" s="1">
        <v>50932</v>
      </c>
      <c r="HD16" s="1">
        <v>50934</v>
      </c>
      <c r="HE16" s="1">
        <v>50936</v>
      </c>
      <c r="HF16" s="1">
        <v>50936</v>
      </c>
      <c r="HG16" s="1">
        <v>50936</v>
      </c>
      <c r="HH16" s="1">
        <v>50936</v>
      </c>
      <c r="HI16" s="1">
        <v>50936</v>
      </c>
      <c r="HJ16" s="1">
        <v>50936</v>
      </c>
      <c r="HK16" s="1">
        <v>50936</v>
      </c>
      <c r="HL16" s="1">
        <v>50936</v>
      </c>
      <c r="HM16" s="1">
        <v>50936</v>
      </c>
      <c r="HN16" s="1">
        <v>50936</v>
      </c>
      <c r="HO16" s="1">
        <v>50936</v>
      </c>
      <c r="HP16" s="1">
        <v>50936</v>
      </c>
      <c r="HQ16" s="1">
        <v>50936</v>
      </c>
      <c r="HR16" s="1">
        <v>50936</v>
      </c>
      <c r="HS16" s="1">
        <v>50936</v>
      </c>
      <c r="HT16" s="1">
        <v>50936</v>
      </c>
      <c r="HU16" s="1">
        <v>50936</v>
      </c>
      <c r="HV16" s="1">
        <v>50937</v>
      </c>
      <c r="HW16" s="1">
        <v>50939</v>
      </c>
      <c r="HX16" s="1">
        <v>50944</v>
      </c>
      <c r="HY16" s="1">
        <v>50951</v>
      </c>
      <c r="HZ16" s="1">
        <v>50961</v>
      </c>
      <c r="IA16" s="1">
        <v>50975</v>
      </c>
      <c r="IB16" s="1">
        <v>50989</v>
      </c>
      <c r="IC16" s="1">
        <v>51002</v>
      </c>
      <c r="ID16" s="1">
        <v>51011</v>
      </c>
      <c r="IE16" s="1">
        <v>51017</v>
      </c>
      <c r="IF16" s="1">
        <v>51017</v>
      </c>
      <c r="IG16" s="1">
        <v>51017</v>
      </c>
      <c r="IH16" s="1">
        <v>51017</v>
      </c>
      <c r="II16" s="1">
        <v>51017</v>
      </c>
      <c r="IJ16" s="1">
        <v>51017</v>
      </c>
      <c r="IK16" s="1">
        <v>51017</v>
      </c>
      <c r="IL16" s="1">
        <v>51017</v>
      </c>
      <c r="IM16" s="1">
        <v>51017</v>
      </c>
      <c r="IN16" s="1">
        <v>51017</v>
      </c>
      <c r="IO16" s="1">
        <v>51017</v>
      </c>
      <c r="IP16" s="1">
        <v>51017</v>
      </c>
      <c r="IQ16" s="1">
        <v>51017</v>
      </c>
      <c r="IR16" s="1">
        <v>51017</v>
      </c>
      <c r="IS16" s="1">
        <v>51018</v>
      </c>
      <c r="IT16" s="1">
        <v>51019</v>
      </c>
      <c r="IU16" s="1">
        <v>51025</v>
      </c>
      <c r="IV16" s="1">
        <v>51033</v>
      </c>
      <c r="IW16" s="1">
        <v>51046</v>
      </c>
      <c r="IX16" s="1">
        <v>51061</v>
      </c>
      <c r="IY16" s="1">
        <v>51077</v>
      </c>
      <c r="IZ16" s="1">
        <v>51093</v>
      </c>
      <c r="JA16" s="1">
        <v>51108</v>
      </c>
      <c r="JB16" s="1">
        <v>51120</v>
      </c>
      <c r="JC16" s="1">
        <v>51129</v>
      </c>
      <c r="JD16" s="1">
        <v>51132</v>
      </c>
      <c r="JE16" s="1">
        <v>51132</v>
      </c>
      <c r="JF16" s="1">
        <v>51132</v>
      </c>
      <c r="JG16" s="1">
        <v>51132</v>
      </c>
      <c r="JH16" s="1">
        <v>51132</v>
      </c>
      <c r="JI16" s="1">
        <v>51132</v>
      </c>
      <c r="JJ16" s="1">
        <v>51132</v>
      </c>
      <c r="JK16" s="1">
        <v>51132</v>
      </c>
      <c r="JL16" s="1">
        <v>51132</v>
      </c>
      <c r="JM16" s="1">
        <v>51132</v>
      </c>
      <c r="JN16" s="1">
        <v>51132</v>
      </c>
      <c r="JO16" s="1">
        <v>51132</v>
      </c>
      <c r="JP16" s="1">
        <v>51132</v>
      </c>
      <c r="JQ16" s="1">
        <v>51133</v>
      </c>
      <c r="JR16" s="1">
        <v>51134</v>
      </c>
      <c r="JS16" s="1">
        <v>51138</v>
      </c>
      <c r="JT16" s="1">
        <v>51148</v>
      </c>
      <c r="JU16" s="1">
        <v>51161</v>
      </c>
      <c r="JV16" s="1">
        <v>51176</v>
      </c>
      <c r="JW16" s="1">
        <v>51192</v>
      </c>
      <c r="JX16" s="1">
        <v>51207</v>
      </c>
      <c r="JY16" s="1">
        <v>51222</v>
      </c>
      <c r="JZ16" s="1">
        <v>51235</v>
      </c>
      <c r="KA16" s="1">
        <v>51244</v>
      </c>
      <c r="KB16" s="1">
        <v>51250</v>
      </c>
      <c r="KC16" s="1">
        <v>51251</v>
      </c>
      <c r="KD16" s="1">
        <v>51251</v>
      </c>
      <c r="KE16" s="1">
        <v>51251</v>
      </c>
      <c r="KF16" s="1">
        <v>51251</v>
      </c>
      <c r="KG16" s="1">
        <v>51251</v>
      </c>
      <c r="KH16" s="1">
        <v>51251</v>
      </c>
      <c r="KI16" s="1">
        <v>51251</v>
      </c>
      <c r="KJ16" s="1">
        <v>51251</v>
      </c>
      <c r="KK16" s="1">
        <v>51251</v>
      </c>
      <c r="KL16" s="1">
        <v>51251</v>
      </c>
      <c r="KM16" s="1">
        <v>51251</v>
      </c>
      <c r="KN16" s="1">
        <v>51251</v>
      </c>
      <c r="KO16" s="1">
        <v>51251</v>
      </c>
      <c r="KP16" s="1">
        <v>51252</v>
      </c>
      <c r="KQ16" s="1">
        <v>51256</v>
      </c>
      <c r="KR16" s="1">
        <v>51266</v>
      </c>
      <c r="KS16" s="1">
        <v>51276</v>
      </c>
      <c r="KT16" s="1">
        <v>51289</v>
      </c>
      <c r="KU16" s="1">
        <v>51304</v>
      </c>
      <c r="KV16" s="1">
        <v>51320</v>
      </c>
      <c r="KW16" s="1">
        <v>51335</v>
      </c>
      <c r="KX16" s="1">
        <v>51347</v>
      </c>
      <c r="KY16" s="1">
        <v>51355</v>
      </c>
      <c r="KZ16" s="1">
        <v>51360</v>
      </c>
      <c r="LA16" s="1">
        <v>51361</v>
      </c>
      <c r="LB16" s="1">
        <v>51361</v>
      </c>
      <c r="LC16" s="1">
        <v>51361</v>
      </c>
      <c r="LD16" s="1">
        <v>51361</v>
      </c>
      <c r="LE16" s="1">
        <v>51361</v>
      </c>
      <c r="LF16" s="1">
        <v>51361</v>
      </c>
      <c r="LG16" s="1">
        <v>51361</v>
      </c>
      <c r="LH16" s="1">
        <v>51361</v>
      </c>
      <c r="LI16" s="1">
        <v>51361</v>
      </c>
      <c r="LJ16" s="1">
        <v>51361</v>
      </c>
      <c r="LK16" s="1">
        <v>51361</v>
      </c>
      <c r="LL16" s="1">
        <v>51361</v>
      </c>
      <c r="LM16" s="1">
        <v>51361</v>
      </c>
      <c r="LN16" s="1">
        <v>51362</v>
      </c>
      <c r="LO16" s="1">
        <v>51367</v>
      </c>
      <c r="LP16" s="1">
        <v>51377</v>
      </c>
      <c r="LQ16" s="1">
        <v>51390</v>
      </c>
      <c r="LR16" s="1">
        <v>51405</v>
      </c>
      <c r="LS16" s="1">
        <v>51420</v>
      </c>
      <c r="LT16" s="1">
        <v>51435</v>
      </c>
      <c r="LU16" s="1">
        <v>51449</v>
      </c>
      <c r="LV16" s="1">
        <v>51462</v>
      </c>
      <c r="LW16" s="1">
        <v>51471</v>
      </c>
      <c r="LX16" s="1">
        <v>51476</v>
      </c>
      <c r="LY16" s="1">
        <v>51477</v>
      </c>
      <c r="LZ16" s="1">
        <v>51477</v>
      </c>
      <c r="MA16" s="1">
        <v>51477</v>
      </c>
      <c r="MB16" s="1">
        <v>51477</v>
      </c>
      <c r="MC16" s="1">
        <v>51477</v>
      </c>
      <c r="MD16" s="1">
        <v>51477</v>
      </c>
      <c r="ME16" s="1">
        <v>51477</v>
      </c>
      <c r="MF16" s="1">
        <v>51477</v>
      </c>
      <c r="MG16" s="1">
        <v>51477</v>
      </c>
      <c r="MH16" s="1">
        <v>51477</v>
      </c>
      <c r="MI16" s="1">
        <v>51477</v>
      </c>
      <c r="MJ16" s="1">
        <v>51477</v>
      </c>
      <c r="MK16" s="1">
        <v>51477</v>
      </c>
      <c r="ML16" s="1">
        <v>51479</v>
      </c>
      <c r="MM16" s="1">
        <v>51483</v>
      </c>
      <c r="MN16" s="1">
        <v>51491</v>
      </c>
      <c r="MO16" s="1">
        <v>51503</v>
      </c>
      <c r="MP16" s="1">
        <v>51517</v>
      </c>
      <c r="MQ16" s="1">
        <v>51533</v>
      </c>
      <c r="MR16" s="1">
        <v>51544</v>
      </c>
      <c r="MS16" s="1">
        <v>51558</v>
      </c>
      <c r="MT16" s="1">
        <v>51571</v>
      </c>
      <c r="MU16" s="1">
        <v>51580</v>
      </c>
      <c r="MV16" s="1">
        <v>51585</v>
      </c>
      <c r="MW16" s="1">
        <v>51586</v>
      </c>
      <c r="MX16" s="1">
        <v>51586</v>
      </c>
      <c r="MY16" s="1">
        <v>51586</v>
      </c>
      <c r="MZ16" s="1">
        <v>51586</v>
      </c>
      <c r="NA16" s="1">
        <v>51586</v>
      </c>
      <c r="NB16" s="1">
        <v>51586</v>
      </c>
      <c r="NC16" s="1">
        <v>51586</v>
      </c>
      <c r="ND16" s="1">
        <v>51586</v>
      </c>
      <c r="NE16" s="1">
        <v>51586</v>
      </c>
      <c r="NF16" s="1">
        <v>51586</v>
      </c>
      <c r="NG16" s="1">
        <v>51586</v>
      </c>
      <c r="NH16" s="1">
        <v>51586</v>
      </c>
      <c r="NI16" s="1">
        <v>51586</v>
      </c>
      <c r="NJ16" s="1">
        <v>51588</v>
      </c>
      <c r="NK16" s="1">
        <v>51592</v>
      </c>
      <c r="NL16" s="1">
        <v>51604</v>
      </c>
      <c r="NM16" s="1">
        <v>51617</v>
      </c>
      <c r="NN16" s="1">
        <v>51631</v>
      </c>
      <c r="NO16" s="1">
        <v>51646</v>
      </c>
      <c r="NP16" s="1">
        <v>51662</v>
      </c>
      <c r="NQ16" s="1">
        <v>51677</v>
      </c>
      <c r="NR16" s="1">
        <v>51689</v>
      </c>
      <c r="NS16" s="1">
        <v>51697</v>
      </c>
      <c r="NT16" s="1">
        <v>51701</v>
      </c>
      <c r="NU16" s="1">
        <v>51702</v>
      </c>
      <c r="NV16" s="1">
        <v>51702</v>
      </c>
      <c r="NW16" s="1">
        <v>51702</v>
      </c>
      <c r="NX16" s="1">
        <v>51702</v>
      </c>
      <c r="NY16" s="1">
        <v>51702</v>
      </c>
      <c r="NZ16" s="1">
        <v>51702</v>
      </c>
      <c r="OA16" s="1">
        <v>51702</v>
      </c>
      <c r="OB16" s="1">
        <v>51702</v>
      </c>
      <c r="OC16" s="1">
        <v>51702</v>
      </c>
      <c r="OD16" s="1">
        <v>51702</v>
      </c>
      <c r="OE16" s="1">
        <v>51702</v>
      </c>
      <c r="OF16" s="1">
        <v>51702</v>
      </c>
      <c r="OG16" s="1">
        <v>51703</v>
      </c>
      <c r="OH16" s="1">
        <v>51705</v>
      </c>
      <c r="OI16" s="1">
        <v>51709</v>
      </c>
      <c r="OJ16" s="1">
        <v>51718</v>
      </c>
      <c r="OK16" s="1">
        <v>51730</v>
      </c>
      <c r="OL16" s="1">
        <v>51745</v>
      </c>
      <c r="OM16" s="1">
        <v>51760</v>
      </c>
      <c r="ON16" s="1">
        <v>51775</v>
      </c>
      <c r="OO16" s="1">
        <v>51790</v>
      </c>
      <c r="OP16" s="1">
        <v>51802</v>
      </c>
      <c r="OQ16" s="1">
        <v>51810</v>
      </c>
      <c r="OR16" s="1">
        <v>51814</v>
      </c>
      <c r="OS16" s="1">
        <v>51814</v>
      </c>
      <c r="OT16" s="1">
        <v>51814</v>
      </c>
      <c r="OU16" s="1">
        <v>51814</v>
      </c>
      <c r="OV16" s="1">
        <v>51814</v>
      </c>
      <c r="OW16" s="1">
        <v>51814</v>
      </c>
      <c r="OX16" s="1">
        <v>51814</v>
      </c>
      <c r="OY16" s="1">
        <v>51814</v>
      </c>
      <c r="OZ16" s="1">
        <v>51814</v>
      </c>
      <c r="PA16" s="1">
        <v>51814</v>
      </c>
      <c r="PB16" s="1">
        <v>51814</v>
      </c>
      <c r="PC16" s="1">
        <v>51814</v>
      </c>
      <c r="PD16" s="1">
        <v>51814</v>
      </c>
      <c r="PE16" s="1">
        <v>51814</v>
      </c>
      <c r="PF16" s="1">
        <v>51815</v>
      </c>
      <c r="PG16" s="1">
        <v>51820</v>
      </c>
      <c r="PH16" s="1">
        <v>51831</v>
      </c>
      <c r="PI16" s="1">
        <v>51844</v>
      </c>
      <c r="PJ16" s="1">
        <v>51860</v>
      </c>
      <c r="PK16" s="1">
        <v>51876</v>
      </c>
      <c r="PL16" s="1">
        <v>51892</v>
      </c>
      <c r="PM16" s="1">
        <v>51907</v>
      </c>
      <c r="PN16" s="1">
        <v>51918</v>
      </c>
      <c r="PO16" s="1">
        <v>51925</v>
      </c>
      <c r="PP16" s="1">
        <v>51925</v>
      </c>
      <c r="PQ16" s="1">
        <v>51926</v>
      </c>
      <c r="PR16" s="1">
        <v>51926</v>
      </c>
      <c r="PS16" s="1">
        <v>51926</v>
      </c>
      <c r="PT16" s="1">
        <v>51926</v>
      </c>
      <c r="PU16" s="1">
        <v>51926</v>
      </c>
      <c r="PV16" s="1">
        <v>51926</v>
      </c>
      <c r="PW16" s="1">
        <v>51926</v>
      </c>
      <c r="PX16" s="1">
        <v>51926</v>
      </c>
      <c r="PY16" s="1">
        <v>51926</v>
      </c>
      <c r="PZ16" s="1">
        <v>51926</v>
      </c>
      <c r="QA16" s="1">
        <v>51926</v>
      </c>
      <c r="QB16" s="1">
        <v>51926</v>
      </c>
      <c r="QC16" s="1">
        <v>51926</v>
      </c>
      <c r="QD16" s="1">
        <v>51927</v>
      </c>
      <c r="QE16" s="1">
        <v>51932</v>
      </c>
      <c r="QF16" s="1">
        <v>51942</v>
      </c>
      <c r="QG16" s="1">
        <v>51956</v>
      </c>
      <c r="QH16" s="1">
        <v>51971</v>
      </c>
      <c r="QI16" s="1">
        <v>51988</v>
      </c>
      <c r="QJ16" s="1">
        <v>52004</v>
      </c>
      <c r="QK16" s="1">
        <v>52019</v>
      </c>
      <c r="QL16" s="1">
        <v>52032</v>
      </c>
      <c r="QM16" s="1">
        <v>52042</v>
      </c>
      <c r="QN16" s="1">
        <v>52046</v>
      </c>
      <c r="QO16" s="1">
        <v>52047</v>
      </c>
      <c r="QP16" s="1">
        <v>52047</v>
      </c>
      <c r="QQ16" s="1">
        <v>52047</v>
      </c>
      <c r="QR16" s="1">
        <v>52047</v>
      </c>
      <c r="QS16" s="1">
        <v>52047</v>
      </c>
      <c r="QT16" s="1">
        <v>52047</v>
      </c>
      <c r="QU16" s="1">
        <v>52047</v>
      </c>
      <c r="QV16" s="1">
        <v>52047</v>
      </c>
      <c r="QW16" s="1">
        <v>52047</v>
      </c>
      <c r="QX16" s="1">
        <v>52047</v>
      </c>
      <c r="QY16" s="1">
        <v>52047</v>
      </c>
      <c r="QZ16" s="1">
        <v>52047</v>
      </c>
      <c r="RA16" s="1">
        <v>52048</v>
      </c>
      <c r="RB16" s="1">
        <v>52049</v>
      </c>
      <c r="RC16" s="1">
        <v>52053</v>
      </c>
      <c r="RD16" s="1">
        <v>52063</v>
      </c>
      <c r="RE16" s="1">
        <v>52076</v>
      </c>
      <c r="RF16" s="1">
        <v>52091</v>
      </c>
      <c r="RG16" s="1">
        <v>52107</v>
      </c>
      <c r="RH16" s="1">
        <v>52120</v>
      </c>
      <c r="RI16" s="1">
        <v>52134</v>
      </c>
      <c r="RJ16" s="1">
        <v>52147</v>
      </c>
      <c r="RK16" s="1">
        <v>52156</v>
      </c>
      <c r="RL16" s="1">
        <v>52160</v>
      </c>
      <c r="RM16" s="1">
        <v>52161</v>
      </c>
      <c r="RN16" s="1">
        <v>52161</v>
      </c>
      <c r="RO16" s="1">
        <v>52161</v>
      </c>
      <c r="RP16" s="1">
        <v>52161</v>
      </c>
      <c r="RQ16" s="1">
        <v>52161</v>
      </c>
      <c r="RR16" s="1">
        <v>52161</v>
      </c>
      <c r="RS16" s="1">
        <v>52161</v>
      </c>
      <c r="RT16" s="1">
        <v>52161</v>
      </c>
      <c r="RU16" s="1">
        <v>52161</v>
      </c>
      <c r="RV16" s="1">
        <v>52161</v>
      </c>
      <c r="RW16" s="1">
        <v>52161</v>
      </c>
      <c r="RX16" s="1">
        <v>52161</v>
      </c>
      <c r="RY16" s="1">
        <v>52161</v>
      </c>
      <c r="RZ16" s="1">
        <v>52162</v>
      </c>
      <c r="SA16" s="1">
        <v>52165</v>
      </c>
      <c r="SB16" s="1">
        <v>52171</v>
      </c>
      <c r="SC16" s="1">
        <v>52180</v>
      </c>
      <c r="SD16" s="1">
        <v>52195</v>
      </c>
      <c r="SE16" s="1">
        <v>52210</v>
      </c>
      <c r="SF16" s="1">
        <v>52226</v>
      </c>
      <c r="SG16" s="1">
        <v>52241</v>
      </c>
      <c r="SH16" s="1">
        <v>52252</v>
      </c>
      <c r="SI16" s="1">
        <v>52261</v>
      </c>
      <c r="SJ16" s="1">
        <v>52266</v>
      </c>
      <c r="SK16" s="1">
        <v>52266</v>
      </c>
      <c r="SL16" s="1">
        <v>52266</v>
      </c>
      <c r="SM16" s="1">
        <v>52266</v>
      </c>
      <c r="SN16" s="1">
        <v>52266</v>
      </c>
      <c r="SO16" s="1">
        <v>52266</v>
      </c>
      <c r="SP16" s="1">
        <v>52266</v>
      </c>
      <c r="SQ16" s="1">
        <v>52266</v>
      </c>
      <c r="SR16" s="1">
        <v>52266</v>
      </c>
      <c r="SS16" s="1">
        <v>52266</v>
      </c>
      <c r="ST16" s="1">
        <v>52266</v>
      </c>
      <c r="SU16" s="1">
        <v>52266</v>
      </c>
      <c r="SV16" s="1">
        <v>52266</v>
      </c>
      <c r="SW16" s="1">
        <v>52266</v>
      </c>
      <c r="SX16" s="1">
        <v>52268</v>
      </c>
      <c r="SY16" s="1">
        <v>52270</v>
      </c>
      <c r="SZ16" s="1">
        <v>52277</v>
      </c>
      <c r="TA16" s="1">
        <v>52289</v>
      </c>
      <c r="TB16" s="1">
        <v>52303</v>
      </c>
      <c r="TC16" s="1">
        <v>52319</v>
      </c>
      <c r="TD16" s="1">
        <v>52334</v>
      </c>
      <c r="TE16" s="1">
        <v>52348</v>
      </c>
      <c r="TF16" s="1">
        <v>52360</v>
      </c>
      <c r="TG16" s="1">
        <v>52366</v>
      </c>
      <c r="TH16" s="1">
        <v>52369</v>
      </c>
      <c r="TI16" s="1">
        <v>52369</v>
      </c>
      <c r="TJ16" s="1">
        <v>52369</v>
      </c>
      <c r="TK16" s="1">
        <v>52369</v>
      </c>
      <c r="TL16" s="1">
        <v>52369</v>
      </c>
      <c r="TM16" s="1">
        <v>52369</v>
      </c>
      <c r="TN16" s="1">
        <v>52369</v>
      </c>
      <c r="TO16" s="1">
        <v>52369</v>
      </c>
      <c r="TP16" s="1">
        <v>52369</v>
      </c>
      <c r="TQ16" s="1">
        <v>52369</v>
      </c>
      <c r="TR16" s="1">
        <v>52369</v>
      </c>
      <c r="TS16" s="1">
        <v>52369</v>
      </c>
      <c r="TT16" s="1">
        <v>52369</v>
      </c>
      <c r="TU16" s="1">
        <v>52370</v>
      </c>
      <c r="TV16" s="1">
        <v>52372</v>
      </c>
      <c r="TW16" s="1">
        <v>52376</v>
      </c>
      <c r="TX16" s="1">
        <v>52381</v>
      </c>
      <c r="TY16" s="1">
        <v>52388</v>
      </c>
      <c r="TZ16" s="1">
        <v>52402</v>
      </c>
      <c r="UA16" s="1">
        <v>52417</v>
      </c>
      <c r="UB16" s="1">
        <v>52432</v>
      </c>
      <c r="UC16" s="1">
        <v>52446</v>
      </c>
      <c r="UD16" s="1">
        <v>52458</v>
      </c>
      <c r="UE16" s="1">
        <v>52466</v>
      </c>
      <c r="UF16" s="1">
        <v>52470</v>
      </c>
      <c r="UG16" s="1">
        <v>52471</v>
      </c>
      <c r="UH16" s="1">
        <v>52471</v>
      </c>
      <c r="UI16" s="1">
        <v>52471</v>
      </c>
      <c r="UJ16" s="1">
        <v>52471</v>
      </c>
      <c r="UK16" s="1">
        <v>52471</v>
      </c>
      <c r="UL16" s="1">
        <v>52471</v>
      </c>
      <c r="UM16" s="1">
        <v>52471</v>
      </c>
      <c r="UN16" s="1">
        <v>52471</v>
      </c>
      <c r="UO16" s="1">
        <v>52471</v>
      </c>
      <c r="UP16" s="1">
        <v>52471</v>
      </c>
      <c r="UQ16" s="1">
        <v>52471</v>
      </c>
      <c r="UR16" s="1">
        <v>52471</v>
      </c>
      <c r="US16" s="1">
        <v>52471</v>
      </c>
      <c r="UT16" s="1">
        <v>52472</v>
      </c>
      <c r="UU16" s="1">
        <v>52477</v>
      </c>
      <c r="UV16" s="1">
        <v>52487</v>
      </c>
      <c r="UW16" s="1">
        <v>52500</v>
      </c>
      <c r="UX16" s="1">
        <v>52514</v>
      </c>
      <c r="UY16" s="1">
        <v>52529</v>
      </c>
      <c r="UZ16" s="1">
        <v>52544</v>
      </c>
      <c r="VA16" s="1">
        <v>52559</v>
      </c>
      <c r="VB16" s="1">
        <v>52567</v>
      </c>
      <c r="VC16" s="1">
        <v>52570</v>
      </c>
      <c r="VD16" s="1">
        <v>52573</v>
      </c>
      <c r="VE16" s="1">
        <v>52573</v>
      </c>
      <c r="VF16" s="1">
        <v>52573</v>
      </c>
      <c r="VG16" s="1">
        <v>52573</v>
      </c>
      <c r="VH16" s="1">
        <v>52573</v>
      </c>
      <c r="VI16" s="1">
        <v>52573</v>
      </c>
      <c r="VJ16" s="1">
        <v>52573</v>
      </c>
      <c r="VK16" s="1">
        <v>52573</v>
      </c>
      <c r="VL16" s="1">
        <v>52573</v>
      </c>
      <c r="VM16" s="1">
        <v>52573</v>
      </c>
      <c r="VN16" s="1">
        <v>52573</v>
      </c>
      <c r="VO16" s="1">
        <v>52573</v>
      </c>
      <c r="VP16" s="1">
        <v>52573</v>
      </c>
      <c r="VQ16" s="1">
        <v>52573</v>
      </c>
      <c r="VR16" s="1">
        <v>52574</v>
      </c>
      <c r="VS16" s="1">
        <v>52574</v>
      </c>
      <c r="VT16" s="1">
        <v>52576</v>
      </c>
      <c r="VU16" s="1">
        <v>52583</v>
      </c>
      <c r="VV16" s="1">
        <v>52592</v>
      </c>
      <c r="VW16" s="1">
        <v>52602</v>
      </c>
      <c r="VX16" s="1">
        <v>52613</v>
      </c>
      <c r="VY16" s="1">
        <v>52620</v>
      </c>
      <c r="VZ16" s="1">
        <v>52627</v>
      </c>
      <c r="WA16" s="1">
        <v>52634</v>
      </c>
      <c r="WB16" s="1">
        <v>52638</v>
      </c>
      <c r="WC16" s="1">
        <v>52639</v>
      </c>
      <c r="WD16" s="1">
        <v>52639</v>
      </c>
      <c r="WE16" s="1">
        <v>52639</v>
      </c>
      <c r="WF16" s="1">
        <v>52639</v>
      </c>
      <c r="WG16" s="1">
        <v>52639</v>
      </c>
      <c r="WH16" s="1">
        <v>52639</v>
      </c>
      <c r="WI16" s="1">
        <v>52639</v>
      </c>
      <c r="WJ16" s="1">
        <v>52639</v>
      </c>
      <c r="WK16" s="1">
        <v>52639</v>
      </c>
      <c r="WL16" s="1">
        <v>52639</v>
      </c>
      <c r="WM16" s="1">
        <v>52639</v>
      </c>
      <c r="WN16" s="1">
        <v>52639</v>
      </c>
      <c r="WO16" s="1">
        <v>52639</v>
      </c>
      <c r="WP16" s="1">
        <v>52641</v>
      </c>
      <c r="WQ16" s="1">
        <v>52646</v>
      </c>
      <c r="WR16" s="1">
        <v>52652</v>
      </c>
      <c r="WS16" s="1">
        <v>52662</v>
      </c>
      <c r="WT16" s="1">
        <v>52676</v>
      </c>
      <c r="WU16" s="1">
        <v>52686</v>
      </c>
      <c r="WV16" s="1">
        <v>52700</v>
      </c>
      <c r="WW16" s="1">
        <v>52714</v>
      </c>
      <c r="WX16" s="1">
        <v>52726</v>
      </c>
      <c r="WY16" s="1">
        <v>52735</v>
      </c>
      <c r="WZ16" s="1">
        <v>52739</v>
      </c>
      <c r="XA16" s="1">
        <v>52740</v>
      </c>
      <c r="XB16" s="1">
        <v>52740</v>
      </c>
      <c r="XC16" s="1">
        <v>52740</v>
      </c>
      <c r="XD16" s="1">
        <v>52740</v>
      </c>
      <c r="XE16" s="1">
        <v>52740</v>
      </c>
      <c r="XF16" s="1">
        <v>52740</v>
      </c>
      <c r="XG16" s="1">
        <v>52740</v>
      </c>
      <c r="XH16" s="1">
        <v>52740</v>
      </c>
      <c r="XI16" s="1">
        <v>52740</v>
      </c>
      <c r="XJ16" s="1">
        <v>52740</v>
      </c>
      <c r="XK16" s="1">
        <v>52740</v>
      </c>
      <c r="XL16" s="1">
        <v>52740</v>
      </c>
      <c r="XM16" s="1">
        <v>52740</v>
      </c>
      <c r="XN16" s="1">
        <v>52742</v>
      </c>
      <c r="XO16" s="1">
        <v>52747</v>
      </c>
      <c r="XP16" s="1">
        <v>52756</v>
      </c>
      <c r="XQ16" s="1">
        <v>52765</v>
      </c>
      <c r="XR16" s="1">
        <v>52780</v>
      </c>
      <c r="XS16" s="1">
        <v>52795</v>
      </c>
      <c r="XT16" s="1">
        <v>52808</v>
      </c>
      <c r="XU16" s="1">
        <v>52821</v>
      </c>
      <c r="XV16" s="1">
        <v>52832</v>
      </c>
      <c r="XW16" s="1">
        <v>52840</v>
      </c>
      <c r="XX16" s="1">
        <v>52844</v>
      </c>
      <c r="XY16" s="1">
        <v>52844</v>
      </c>
      <c r="XZ16" s="1">
        <v>52844</v>
      </c>
      <c r="YA16" s="1">
        <v>52844</v>
      </c>
      <c r="YB16" s="1">
        <v>52844</v>
      </c>
      <c r="YC16" s="1">
        <v>52844</v>
      </c>
      <c r="YD16" s="1">
        <v>52844</v>
      </c>
      <c r="YE16" s="1">
        <v>52844</v>
      </c>
      <c r="YF16" s="1">
        <v>52844</v>
      </c>
      <c r="YG16" s="1">
        <v>52844</v>
      </c>
      <c r="YH16" s="1">
        <v>52844</v>
      </c>
      <c r="YI16" s="1">
        <v>52844</v>
      </c>
      <c r="YJ16" s="1">
        <v>52844</v>
      </c>
      <c r="YK16" s="1">
        <v>52845</v>
      </c>
      <c r="YL16" s="1">
        <v>52847</v>
      </c>
      <c r="YM16" s="1">
        <v>52852</v>
      </c>
      <c r="YN16" s="1">
        <v>52861</v>
      </c>
      <c r="YO16" s="1">
        <v>52873</v>
      </c>
      <c r="YP16" s="1">
        <v>52888</v>
      </c>
      <c r="YQ16" s="1">
        <v>52904</v>
      </c>
      <c r="YR16" s="1">
        <v>52918</v>
      </c>
      <c r="YS16" s="1">
        <v>52933</v>
      </c>
      <c r="YT16" s="1">
        <v>52943</v>
      </c>
      <c r="YU16" s="1">
        <v>52946</v>
      </c>
      <c r="YV16" s="1">
        <v>52946</v>
      </c>
      <c r="YW16" s="1">
        <v>52946</v>
      </c>
      <c r="YX16" s="1">
        <v>52946</v>
      </c>
      <c r="YY16" s="1">
        <v>52946</v>
      </c>
      <c r="YZ16" s="1">
        <v>52946</v>
      </c>
      <c r="ZA16" s="1">
        <v>52946</v>
      </c>
      <c r="ZB16" s="1">
        <v>52946</v>
      </c>
      <c r="ZC16" s="1">
        <v>52946</v>
      </c>
      <c r="ZD16" s="1">
        <v>52946</v>
      </c>
      <c r="ZE16" s="1">
        <v>52946</v>
      </c>
      <c r="ZF16" s="1">
        <v>52946</v>
      </c>
      <c r="ZG16" s="1">
        <v>52946</v>
      </c>
      <c r="ZH16" s="1">
        <v>52946</v>
      </c>
      <c r="ZI16" s="1">
        <v>52946</v>
      </c>
      <c r="ZJ16" s="1">
        <v>52947</v>
      </c>
      <c r="ZK16" s="1">
        <v>52952</v>
      </c>
      <c r="ZL16" s="1">
        <v>52962</v>
      </c>
      <c r="ZM16" s="1">
        <v>52975</v>
      </c>
      <c r="ZN16" s="1">
        <v>52990</v>
      </c>
      <c r="ZO16" s="1">
        <v>53006</v>
      </c>
      <c r="ZP16" s="1">
        <v>53021</v>
      </c>
      <c r="ZQ16" s="1">
        <v>53029</v>
      </c>
      <c r="ZR16" s="1">
        <v>53035</v>
      </c>
      <c r="ZS16" s="1">
        <v>53041</v>
      </c>
      <c r="ZT16" s="1">
        <v>53042</v>
      </c>
      <c r="ZU16" s="1">
        <v>53042</v>
      </c>
      <c r="ZV16" s="1">
        <v>53042</v>
      </c>
      <c r="ZW16" s="1">
        <v>53042</v>
      </c>
      <c r="ZX16" s="1">
        <v>53042</v>
      </c>
      <c r="ZY16" s="1">
        <v>53042</v>
      </c>
      <c r="ZZ16" s="1">
        <v>53042</v>
      </c>
      <c r="AAA16" s="1">
        <v>53042</v>
      </c>
      <c r="AAB16" s="1">
        <v>53042</v>
      </c>
      <c r="AAC16" s="1">
        <v>53042</v>
      </c>
      <c r="AAD16" s="1">
        <v>53042</v>
      </c>
      <c r="AAE16" s="1">
        <v>53042</v>
      </c>
      <c r="AAF16" s="1">
        <v>53042</v>
      </c>
      <c r="AAG16" s="1">
        <v>53042</v>
      </c>
      <c r="AAH16" s="1">
        <v>53043</v>
      </c>
      <c r="AAI16" s="1">
        <v>53049</v>
      </c>
      <c r="AAJ16" s="1">
        <v>53059</v>
      </c>
      <c r="AAK16" s="1">
        <v>53072</v>
      </c>
      <c r="AAL16" s="1">
        <v>53087</v>
      </c>
      <c r="AAM16" s="1">
        <v>53103</v>
      </c>
      <c r="AAN16" s="1">
        <v>53120</v>
      </c>
      <c r="AAO16" s="1">
        <v>53133</v>
      </c>
      <c r="AAP16" s="1">
        <v>53145</v>
      </c>
      <c r="AAQ16" s="1">
        <v>53154</v>
      </c>
      <c r="AAR16" s="1">
        <v>53158</v>
      </c>
      <c r="AAS16" s="1">
        <v>53158</v>
      </c>
      <c r="AAT16" s="1">
        <v>53158</v>
      </c>
      <c r="AAU16" s="1">
        <v>53158</v>
      </c>
      <c r="AAV16" s="1">
        <v>53158</v>
      </c>
      <c r="AAW16" s="1">
        <v>53158</v>
      </c>
      <c r="AAX16" s="1">
        <v>53158</v>
      </c>
    </row>
    <row r="17" spans="1:726">
      <c r="A17" s="1">
        <v>16</v>
      </c>
      <c r="B17" s="1" t="s">
        <v>2</v>
      </c>
      <c r="C17" s="1" t="s">
        <v>3</v>
      </c>
      <c r="D17" s="1" t="s">
        <v>20</v>
      </c>
      <c r="E17" s="1" t="s">
        <v>5</v>
      </c>
      <c r="F17" s="1">
        <v>78605</v>
      </c>
      <c r="G17" s="1">
        <v>78605</v>
      </c>
      <c r="H17" s="1">
        <v>78605</v>
      </c>
      <c r="I17" s="1">
        <v>78605</v>
      </c>
      <c r="J17" s="1">
        <v>78605</v>
      </c>
      <c r="K17" s="1">
        <v>78605</v>
      </c>
      <c r="L17" s="1">
        <v>78605</v>
      </c>
      <c r="M17" s="1">
        <v>78606</v>
      </c>
      <c r="N17" s="1">
        <v>78610</v>
      </c>
      <c r="O17" s="1">
        <v>78617</v>
      </c>
      <c r="P17" s="1">
        <v>78629</v>
      </c>
      <c r="Q17" s="1">
        <v>78644</v>
      </c>
      <c r="R17" s="1">
        <v>78664</v>
      </c>
      <c r="S17" s="1">
        <v>78682</v>
      </c>
      <c r="T17" s="1">
        <v>78705</v>
      </c>
      <c r="U17" s="1">
        <v>78724</v>
      </c>
      <c r="V17" s="1">
        <v>78744</v>
      </c>
      <c r="W17" s="1">
        <v>78758</v>
      </c>
      <c r="X17" s="1">
        <v>78765</v>
      </c>
      <c r="Y17" s="1">
        <v>78766</v>
      </c>
      <c r="Z17" s="1">
        <v>78766</v>
      </c>
      <c r="AA17" s="1">
        <v>78766</v>
      </c>
      <c r="AB17" s="1">
        <v>78766</v>
      </c>
      <c r="AC17" s="1">
        <v>78766</v>
      </c>
      <c r="AD17" s="1">
        <v>78766</v>
      </c>
      <c r="AE17" s="1">
        <v>78766</v>
      </c>
      <c r="AF17" s="1">
        <v>78766</v>
      </c>
      <c r="AG17" s="1">
        <v>78766</v>
      </c>
      <c r="AH17" s="1">
        <v>78766</v>
      </c>
      <c r="AI17" s="1">
        <v>78766</v>
      </c>
      <c r="AJ17" s="1">
        <v>78766</v>
      </c>
      <c r="AK17" s="1">
        <v>78767</v>
      </c>
      <c r="AL17" s="1">
        <v>78770</v>
      </c>
      <c r="AM17" s="1">
        <v>78773</v>
      </c>
      <c r="AN17" s="1">
        <v>78776</v>
      </c>
      <c r="AO17" s="1">
        <v>78779</v>
      </c>
      <c r="AP17" s="1">
        <v>78785</v>
      </c>
      <c r="AQ17" s="1">
        <v>78789</v>
      </c>
      <c r="AR17" s="1">
        <v>78796</v>
      </c>
      <c r="AS17" s="1">
        <v>78805</v>
      </c>
      <c r="AT17" s="1">
        <v>78808</v>
      </c>
      <c r="AU17" s="1">
        <v>78810</v>
      </c>
      <c r="AV17" s="1">
        <v>78813</v>
      </c>
      <c r="AW17" s="1">
        <v>78814</v>
      </c>
      <c r="AX17" s="1">
        <v>78814</v>
      </c>
      <c r="AY17" s="1">
        <v>78814</v>
      </c>
      <c r="AZ17" s="1">
        <v>78814</v>
      </c>
      <c r="BA17" s="1">
        <v>78814</v>
      </c>
      <c r="BB17" s="1">
        <v>78814</v>
      </c>
      <c r="BC17" s="1">
        <v>78814</v>
      </c>
      <c r="BD17" s="1">
        <v>78814</v>
      </c>
      <c r="BE17" s="1">
        <v>78814</v>
      </c>
      <c r="BF17" s="1">
        <v>78814</v>
      </c>
      <c r="BG17" s="1">
        <v>78814</v>
      </c>
      <c r="BH17" s="1">
        <v>78814</v>
      </c>
      <c r="BI17" s="1">
        <v>78814</v>
      </c>
      <c r="BJ17" s="1">
        <v>78817</v>
      </c>
      <c r="BK17" s="1">
        <v>78826</v>
      </c>
      <c r="BL17" s="1">
        <v>78840</v>
      </c>
      <c r="BM17" s="1">
        <v>78857</v>
      </c>
      <c r="BN17" s="1">
        <v>78869</v>
      </c>
      <c r="BO17" s="1">
        <v>78887</v>
      </c>
      <c r="BP17" s="1">
        <v>78898</v>
      </c>
      <c r="BQ17" s="1">
        <v>78903</v>
      </c>
      <c r="BR17" s="1">
        <v>78910</v>
      </c>
      <c r="BS17" s="1">
        <v>78919</v>
      </c>
      <c r="BT17" s="1">
        <v>78920</v>
      </c>
      <c r="BU17" s="1">
        <v>78921</v>
      </c>
      <c r="BV17" s="1">
        <v>78921</v>
      </c>
      <c r="BW17" s="1">
        <v>78921</v>
      </c>
      <c r="BX17" s="1">
        <v>78921</v>
      </c>
      <c r="BY17" s="1">
        <v>78921</v>
      </c>
      <c r="BZ17" s="1">
        <v>78921</v>
      </c>
      <c r="CA17" s="1">
        <v>78921</v>
      </c>
      <c r="CB17" s="1">
        <v>78921</v>
      </c>
      <c r="CC17" s="1">
        <v>78921</v>
      </c>
      <c r="CD17" s="1">
        <v>78921</v>
      </c>
      <c r="CE17" s="1">
        <v>78921</v>
      </c>
      <c r="CF17" s="1">
        <v>78921</v>
      </c>
      <c r="CG17" s="1">
        <v>78921</v>
      </c>
      <c r="CH17" s="1">
        <v>78924</v>
      </c>
      <c r="CI17" s="1">
        <v>78932</v>
      </c>
      <c r="CJ17" s="1">
        <v>78945</v>
      </c>
      <c r="CK17" s="1">
        <v>78960</v>
      </c>
      <c r="CL17" s="1">
        <v>78982</v>
      </c>
      <c r="CM17" s="1">
        <v>78999</v>
      </c>
      <c r="CN17" s="1">
        <v>79021</v>
      </c>
      <c r="CO17" s="1">
        <v>79034</v>
      </c>
      <c r="CP17" s="1">
        <v>79052</v>
      </c>
      <c r="CQ17" s="1">
        <v>79061</v>
      </c>
      <c r="CR17" s="1">
        <v>79064</v>
      </c>
      <c r="CS17" s="1">
        <v>79064</v>
      </c>
      <c r="CT17" s="1">
        <v>79064</v>
      </c>
      <c r="CU17" s="1">
        <v>79064</v>
      </c>
      <c r="CV17" s="1">
        <v>79064</v>
      </c>
      <c r="CW17" s="1">
        <v>79064</v>
      </c>
      <c r="CX17" s="1">
        <v>79064</v>
      </c>
      <c r="CY17" s="1">
        <v>79064</v>
      </c>
      <c r="CZ17" s="1">
        <v>79064</v>
      </c>
      <c r="DA17" s="1">
        <v>79064</v>
      </c>
      <c r="DB17" s="1">
        <v>79064</v>
      </c>
      <c r="DC17" s="1">
        <v>79064</v>
      </c>
      <c r="DD17" s="1">
        <v>79064</v>
      </c>
      <c r="DE17" s="1">
        <v>79065</v>
      </c>
      <c r="DF17" s="1">
        <v>79065</v>
      </c>
      <c r="DG17" s="1">
        <v>79066</v>
      </c>
      <c r="DH17" s="1">
        <v>79075</v>
      </c>
      <c r="DI17" s="1">
        <v>79086</v>
      </c>
      <c r="DJ17" s="1">
        <v>79093</v>
      </c>
      <c r="DK17" s="1">
        <v>79101</v>
      </c>
      <c r="DL17" s="1">
        <v>79111</v>
      </c>
      <c r="DM17" s="1">
        <v>79124</v>
      </c>
      <c r="DN17" s="1">
        <v>79135</v>
      </c>
      <c r="DO17" s="1">
        <v>79139</v>
      </c>
      <c r="DP17" s="1">
        <v>79140</v>
      </c>
      <c r="DQ17" s="1">
        <v>79141</v>
      </c>
      <c r="DR17" s="1">
        <v>79141</v>
      </c>
      <c r="DS17" s="1">
        <v>79141</v>
      </c>
      <c r="DT17" s="1">
        <v>79141</v>
      </c>
      <c r="DU17" s="1">
        <v>79141</v>
      </c>
      <c r="DV17" s="1">
        <v>79141</v>
      </c>
      <c r="DW17" s="1">
        <v>79141</v>
      </c>
      <c r="DX17" s="1">
        <v>79141</v>
      </c>
      <c r="DY17" s="1">
        <v>79141</v>
      </c>
      <c r="DZ17" s="1">
        <v>79141</v>
      </c>
      <c r="EA17" s="1">
        <v>79141</v>
      </c>
      <c r="EB17" s="1">
        <v>79141</v>
      </c>
      <c r="EC17" s="1">
        <v>79142</v>
      </c>
      <c r="ED17" s="1">
        <v>79145</v>
      </c>
      <c r="EE17" s="1">
        <v>79151</v>
      </c>
      <c r="EF17" s="1">
        <v>79164</v>
      </c>
      <c r="EG17" s="1">
        <v>79177</v>
      </c>
      <c r="EH17" s="1">
        <v>79192</v>
      </c>
      <c r="EI17" s="1">
        <v>79213</v>
      </c>
      <c r="EJ17" s="1">
        <v>79232</v>
      </c>
      <c r="EK17" s="1">
        <v>79245</v>
      </c>
      <c r="EL17" s="1">
        <v>79254</v>
      </c>
      <c r="EM17" s="1">
        <v>79260</v>
      </c>
      <c r="EN17" s="1">
        <v>79263</v>
      </c>
      <c r="EO17" s="1">
        <v>79264</v>
      </c>
      <c r="EP17" s="1">
        <v>79264</v>
      </c>
      <c r="EQ17" s="1">
        <v>79264</v>
      </c>
      <c r="ER17" s="1">
        <v>79264</v>
      </c>
      <c r="ES17" s="1">
        <v>79264</v>
      </c>
      <c r="ET17" s="1">
        <v>79264</v>
      </c>
      <c r="EU17" s="1">
        <v>79264</v>
      </c>
      <c r="EV17" s="1">
        <v>79264</v>
      </c>
      <c r="EW17" s="1">
        <v>79264</v>
      </c>
      <c r="EX17" s="1">
        <v>79264</v>
      </c>
      <c r="EY17" s="1">
        <v>79264</v>
      </c>
      <c r="EZ17" s="1">
        <v>79264</v>
      </c>
      <c r="FA17" s="1">
        <v>79264</v>
      </c>
      <c r="FB17" s="1">
        <v>79265</v>
      </c>
      <c r="FC17" s="1">
        <v>79268</v>
      </c>
      <c r="FD17" s="1">
        <v>79272</v>
      </c>
      <c r="FE17" s="1">
        <v>79276</v>
      </c>
      <c r="FF17" s="1">
        <v>79280</v>
      </c>
      <c r="FG17" s="1">
        <v>79284</v>
      </c>
      <c r="FH17" s="1">
        <v>79288</v>
      </c>
      <c r="FI17" s="1">
        <v>79290</v>
      </c>
      <c r="FJ17" s="1">
        <v>79293</v>
      </c>
      <c r="FK17" s="1">
        <v>79294</v>
      </c>
      <c r="FL17" s="1">
        <v>79294</v>
      </c>
      <c r="FM17" s="1">
        <v>79294</v>
      </c>
      <c r="FN17" s="1">
        <v>79294</v>
      </c>
      <c r="FO17" s="1">
        <v>79294</v>
      </c>
      <c r="FP17" s="1">
        <v>79294</v>
      </c>
      <c r="FQ17" s="1">
        <v>79294</v>
      </c>
      <c r="FR17" s="1">
        <v>79294</v>
      </c>
      <c r="FS17" s="1">
        <v>79294</v>
      </c>
      <c r="FT17" s="1">
        <v>79294</v>
      </c>
      <c r="FU17" s="1">
        <v>79294</v>
      </c>
      <c r="FV17" s="1">
        <v>79294</v>
      </c>
      <c r="FW17" s="1">
        <v>79294</v>
      </c>
      <c r="FX17" s="1">
        <v>79294</v>
      </c>
      <c r="FY17" s="1">
        <v>79294</v>
      </c>
      <c r="FZ17" s="1">
        <v>79294</v>
      </c>
      <c r="GA17" s="1">
        <v>79295</v>
      </c>
      <c r="GB17" s="1">
        <v>79296</v>
      </c>
      <c r="GC17" s="1">
        <v>79296</v>
      </c>
      <c r="GD17" s="1">
        <v>79296</v>
      </c>
      <c r="GE17" s="1">
        <v>79296</v>
      </c>
      <c r="GF17" s="1">
        <v>79296</v>
      </c>
      <c r="GG17" s="1">
        <v>79296</v>
      </c>
      <c r="GH17" s="1">
        <v>79296</v>
      </c>
      <c r="GI17" s="1">
        <v>79296</v>
      </c>
      <c r="GJ17" s="1">
        <v>79296</v>
      </c>
      <c r="GK17" s="1">
        <v>79296</v>
      </c>
      <c r="GL17" s="1">
        <v>79296</v>
      </c>
      <c r="GM17" s="1">
        <v>79296</v>
      </c>
      <c r="GN17" s="1">
        <v>79296</v>
      </c>
      <c r="GO17" s="1">
        <v>79296</v>
      </c>
      <c r="GP17" s="1">
        <v>79296</v>
      </c>
      <c r="GQ17" s="1">
        <v>79296</v>
      </c>
      <c r="GR17" s="1">
        <v>79296</v>
      </c>
      <c r="GS17" s="1">
        <v>79296</v>
      </c>
      <c r="GT17" s="1">
        <v>79296</v>
      </c>
      <c r="GU17" s="1">
        <v>79296</v>
      </c>
      <c r="GV17" s="1">
        <v>79296</v>
      </c>
      <c r="GW17" s="1">
        <v>79296</v>
      </c>
      <c r="GX17" s="1">
        <v>79296</v>
      </c>
      <c r="GY17" s="1">
        <v>79297</v>
      </c>
      <c r="GZ17" s="1">
        <v>79298</v>
      </c>
      <c r="HA17" s="1">
        <v>79303</v>
      </c>
      <c r="HB17" s="1">
        <v>79310</v>
      </c>
      <c r="HC17" s="1">
        <v>79316</v>
      </c>
      <c r="HD17" s="1">
        <v>79320</v>
      </c>
      <c r="HE17" s="1">
        <v>79322</v>
      </c>
      <c r="HF17" s="1">
        <v>79323</v>
      </c>
      <c r="HG17" s="1">
        <v>79323</v>
      </c>
      <c r="HH17" s="1">
        <v>79323</v>
      </c>
      <c r="HI17" s="1">
        <v>79323</v>
      </c>
      <c r="HJ17" s="1">
        <v>79323</v>
      </c>
      <c r="HK17" s="1">
        <v>79323</v>
      </c>
      <c r="HL17" s="1">
        <v>79323</v>
      </c>
      <c r="HM17" s="1">
        <v>79323</v>
      </c>
      <c r="HN17" s="1">
        <v>79323</v>
      </c>
      <c r="HO17" s="1">
        <v>79323</v>
      </c>
      <c r="HP17" s="1">
        <v>79323</v>
      </c>
      <c r="HQ17" s="1">
        <v>79323</v>
      </c>
      <c r="HR17" s="1">
        <v>79323</v>
      </c>
      <c r="HS17" s="1">
        <v>79323</v>
      </c>
      <c r="HT17" s="1">
        <v>79323</v>
      </c>
      <c r="HU17" s="1">
        <v>79323</v>
      </c>
      <c r="HV17" s="1">
        <v>79324</v>
      </c>
      <c r="HW17" s="1">
        <v>79328</v>
      </c>
      <c r="HX17" s="1">
        <v>79336</v>
      </c>
      <c r="HY17" s="1">
        <v>79346</v>
      </c>
      <c r="HZ17" s="1">
        <v>79362</v>
      </c>
      <c r="IA17" s="1">
        <v>79383</v>
      </c>
      <c r="IB17" s="1">
        <v>79404</v>
      </c>
      <c r="IC17" s="1">
        <v>79425</v>
      </c>
      <c r="ID17" s="1">
        <v>79438</v>
      </c>
      <c r="IE17" s="1">
        <v>79447</v>
      </c>
      <c r="IF17" s="1">
        <v>79448</v>
      </c>
      <c r="IG17" s="1">
        <v>79448</v>
      </c>
      <c r="IH17" s="1">
        <v>79448</v>
      </c>
      <c r="II17" s="1">
        <v>79448</v>
      </c>
      <c r="IJ17" s="1">
        <v>79448</v>
      </c>
      <c r="IK17" s="1">
        <v>79448</v>
      </c>
      <c r="IL17" s="1">
        <v>79448</v>
      </c>
      <c r="IM17" s="1">
        <v>79448</v>
      </c>
      <c r="IN17" s="1">
        <v>79448</v>
      </c>
      <c r="IO17" s="1">
        <v>79448</v>
      </c>
      <c r="IP17" s="1">
        <v>79448</v>
      </c>
      <c r="IQ17" s="1">
        <v>79448</v>
      </c>
      <c r="IR17" s="1">
        <v>79448</v>
      </c>
      <c r="IS17" s="1">
        <v>79449</v>
      </c>
      <c r="IT17" s="1">
        <v>79452</v>
      </c>
      <c r="IU17" s="1">
        <v>79462</v>
      </c>
      <c r="IV17" s="1">
        <v>79474</v>
      </c>
      <c r="IW17" s="1">
        <v>79494</v>
      </c>
      <c r="IX17" s="1">
        <v>79516</v>
      </c>
      <c r="IY17" s="1">
        <v>79541</v>
      </c>
      <c r="IZ17" s="1">
        <v>79565</v>
      </c>
      <c r="JA17" s="1">
        <v>79588</v>
      </c>
      <c r="JB17" s="1">
        <v>79607</v>
      </c>
      <c r="JC17" s="1">
        <v>79620</v>
      </c>
      <c r="JD17" s="1">
        <v>79625</v>
      </c>
      <c r="JE17" s="1">
        <v>79625</v>
      </c>
      <c r="JF17" s="1">
        <v>79625</v>
      </c>
      <c r="JG17" s="1">
        <v>79625</v>
      </c>
      <c r="JH17" s="1">
        <v>79625</v>
      </c>
      <c r="JI17" s="1">
        <v>79625</v>
      </c>
      <c r="JJ17" s="1">
        <v>79625</v>
      </c>
      <c r="JK17" s="1">
        <v>79625</v>
      </c>
      <c r="JL17" s="1">
        <v>79625</v>
      </c>
      <c r="JM17" s="1">
        <v>79625</v>
      </c>
      <c r="JN17" s="1">
        <v>79625</v>
      </c>
      <c r="JO17" s="1">
        <v>79625</v>
      </c>
      <c r="JP17" s="1">
        <v>79625</v>
      </c>
      <c r="JQ17" s="1">
        <v>79626</v>
      </c>
      <c r="JR17" s="1">
        <v>79630</v>
      </c>
      <c r="JS17" s="1">
        <v>79638</v>
      </c>
      <c r="JT17" s="1">
        <v>79653</v>
      </c>
      <c r="JU17" s="1">
        <v>79673</v>
      </c>
      <c r="JV17" s="1">
        <v>79696</v>
      </c>
      <c r="JW17" s="1">
        <v>79720</v>
      </c>
      <c r="JX17" s="1">
        <v>79743</v>
      </c>
      <c r="JY17" s="1">
        <v>79765</v>
      </c>
      <c r="JZ17" s="1">
        <v>79785</v>
      </c>
      <c r="KA17" s="1">
        <v>79799</v>
      </c>
      <c r="KB17" s="1">
        <v>79808</v>
      </c>
      <c r="KC17" s="1">
        <v>79810</v>
      </c>
      <c r="KD17" s="1">
        <v>79810</v>
      </c>
      <c r="KE17" s="1">
        <v>79810</v>
      </c>
      <c r="KF17" s="1">
        <v>79810</v>
      </c>
      <c r="KG17" s="1">
        <v>79810</v>
      </c>
      <c r="KH17" s="1">
        <v>79810</v>
      </c>
      <c r="KI17" s="1">
        <v>79810</v>
      </c>
      <c r="KJ17" s="1">
        <v>79810</v>
      </c>
      <c r="KK17" s="1">
        <v>79810</v>
      </c>
      <c r="KL17" s="1">
        <v>79810</v>
      </c>
      <c r="KM17" s="1">
        <v>79810</v>
      </c>
      <c r="KN17" s="1">
        <v>79810</v>
      </c>
      <c r="KO17" s="1">
        <v>79810</v>
      </c>
      <c r="KP17" s="1">
        <v>79813</v>
      </c>
      <c r="KQ17" s="1">
        <v>79821</v>
      </c>
      <c r="KR17" s="1">
        <v>79835</v>
      </c>
      <c r="KS17" s="1">
        <v>79851</v>
      </c>
      <c r="KT17" s="1">
        <v>79871</v>
      </c>
      <c r="KU17" s="1">
        <v>79893</v>
      </c>
      <c r="KV17" s="1">
        <v>79917</v>
      </c>
      <c r="KW17" s="1">
        <v>79940</v>
      </c>
      <c r="KX17" s="1">
        <v>79958</v>
      </c>
      <c r="KY17" s="1">
        <v>79971</v>
      </c>
      <c r="KZ17" s="1">
        <v>79979</v>
      </c>
      <c r="LA17" s="1">
        <v>79981</v>
      </c>
      <c r="LB17" s="1">
        <v>79981</v>
      </c>
      <c r="LC17" s="1">
        <v>79981</v>
      </c>
      <c r="LD17" s="1">
        <v>79981</v>
      </c>
      <c r="LE17" s="1">
        <v>79981</v>
      </c>
      <c r="LF17" s="1">
        <v>79981</v>
      </c>
      <c r="LG17" s="1">
        <v>79981</v>
      </c>
      <c r="LH17" s="1">
        <v>79981</v>
      </c>
      <c r="LI17" s="1">
        <v>79981</v>
      </c>
      <c r="LJ17" s="1">
        <v>79981</v>
      </c>
      <c r="LK17" s="1">
        <v>79981</v>
      </c>
      <c r="LL17" s="1">
        <v>79981</v>
      </c>
      <c r="LM17" s="1">
        <v>79981</v>
      </c>
      <c r="LN17" s="1">
        <v>79983</v>
      </c>
      <c r="LO17" s="1">
        <v>79993</v>
      </c>
      <c r="LP17" s="1">
        <v>80009</v>
      </c>
      <c r="LQ17" s="1">
        <v>80029</v>
      </c>
      <c r="LR17" s="1">
        <v>80051</v>
      </c>
      <c r="LS17" s="1">
        <v>80075</v>
      </c>
      <c r="LT17" s="1">
        <v>80097</v>
      </c>
      <c r="LU17" s="1">
        <v>80119</v>
      </c>
      <c r="LV17" s="1">
        <v>80137</v>
      </c>
      <c r="LW17" s="1">
        <v>80151</v>
      </c>
      <c r="LX17" s="1">
        <v>80159</v>
      </c>
      <c r="LY17" s="1">
        <v>80160</v>
      </c>
      <c r="LZ17" s="1">
        <v>80160</v>
      </c>
      <c r="MA17" s="1">
        <v>80160</v>
      </c>
      <c r="MB17" s="1">
        <v>80160</v>
      </c>
      <c r="MC17" s="1">
        <v>80160</v>
      </c>
      <c r="MD17" s="1">
        <v>80160</v>
      </c>
      <c r="ME17" s="1">
        <v>80160</v>
      </c>
      <c r="MF17" s="1">
        <v>80160</v>
      </c>
      <c r="MG17" s="1">
        <v>80160</v>
      </c>
      <c r="MH17" s="1">
        <v>80160</v>
      </c>
      <c r="MI17" s="1">
        <v>80160</v>
      </c>
      <c r="MJ17" s="1">
        <v>80160</v>
      </c>
      <c r="MK17" s="1">
        <v>80161</v>
      </c>
      <c r="ML17" s="1">
        <v>80165</v>
      </c>
      <c r="MM17" s="1">
        <v>80173</v>
      </c>
      <c r="MN17" s="1">
        <v>80185</v>
      </c>
      <c r="MO17" s="1">
        <v>80204</v>
      </c>
      <c r="MP17" s="1">
        <v>80225</v>
      </c>
      <c r="MQ17" s="1">
        <v>80249</v>
      </c>
      <c r="MR17" s="1">
        <v>80265</v>
      </c>
      <c r="MS17" s="1">
        <v>80288</v>
      </c>
      <c r="MT17" s="1">
        <v>80307</v>
      </c>
      <c r="MU17" s="1">
        <v>80321</v>
      </c>
      <c r="MV17" s="1">
        <v>80328</v>
      </c>
      <c r="MW17" s="1">
        <v>80329</v>
      </c>
      <c r="MX17" s="1">
        <v>80329</v>
      </c>
      <c r="MY17" s="1">
        <v>80329</v>
      </c>
      <c r="MZ17" s="1">
        <v>80329</v>
      </c>
      <c r="NA17" s="1">
        <v>80329</v>
      </c>
      <c r="NB17" s="1">
        <v>80329</v>
      </c>
      <c r="NC17" s="1">
        <v>80329</v>
      </c>
      <c r="ND17" s="1">
        <v>80329</v>
      </c>
      <c r="NE17" s="1">
        <v>80329</v>
      </c>
      <c r="NF17" s="1">
        <v>80329</v>
      </c>
      <c r="NG17" s="1">
        <v>80329</v>
      </c>
      <c r="NH17" s="1">
        <v>80329</v>
      </c>
      <c r="NI17" s="1">
        <v>80330</v>
      </c>
      <c r="NJ17" s="1">
        <v>80334</v>
      </c>
      <c r="NK17" s="1">
        <v>80343</v>
      </c>
      <c r="NL17" s="1">
        <v>80360</v>
      </c>
      <c r="NM17" s="1">
        <v>80381</v>
      </c>
      <c r="NN17" s="1">
        <v>80402</v>
      </c>
      <c r="NO17" s="1">
        <v>80425</v>
      </c>
      <c r="NP17" s="1">
        <v>80449</v>
      </c>
      <c r="NQ17" s="1">
        <v>80471</v>
      </c>
      <c r="NR17" s="1">
        <v>80489</v>
      </c>
      <c r="NS17" s="1">
        <v>80501</v>
      </c>
      <c r="NT17" s="1">
        <v>80509</v>
      </c>
      <c r="NU17" s="1">
        <v>80510</v>
      </c>
      <c r="NV17" s="1">
        <v>80510</v>
      </c>
      <c r="NW17" s="1">
        <v>80510</v>
      </c>
      <c r="NX17" s="1">
        <v>80510</v>
      </c>
      <c r="NY17" s="1">
        <v>80510</v>
      </c>
      <c r="NZ17" s="1">
        <v>80510</v>
      </c>
      <c r="OA17" s="1">
        <v>80510</v>
      </c>
      <c r="OB17" s="1">
        <v>80510</v>
      </c>
      <c r="OC17" s="1">
        <v>80510</v>
      </c>
      <c r="OD17" s="1">
        <v>80510</v>
      </c>
      <c r="OE17" s="1">
        <v>80510</v>
      </c>
      <c r="OF17" s="1">
        <v>80510</v>
      </c>
      <c r="OG17" s="1">
        <v>80511</v>
      </c>
      <c r="OH17" s="1">
        <v>80514</v>
      </c>
      <c r="OI17" s="1">
        <v>80522</v>
      </c>
      <c r="OJ17" s="1">
        <v>80535</v>
      </c>
      <c r="OK17" s="1">
        <v>80555</v>
      </c>
      <c r="OL17" s="1">
        <v>80577</v>
      </c>
      <c r="OM17" s="1">
        <v>80601</v>
      </c>
      <c r="ON17" s="1">
        <v>80624</v>
      </c>
      <c r="OO17" s="1">
        <v>80645</v>
      </c>
      <c r="OP17" s="1">
        <v>80664</v>
      </c>
      <c r="OQ17" s="1">
        <v>80677</v>
      </c>
      <c r="OR17" s="1">
        <v>80682</v>
      </c>
      <c r="OS17" s="1">
        <v>80683</v>
      </c>
      <c r="OT17" s="1">
        <v>80683</v>
      </c>
      <c r="OU17" s="1">
        <v>80683</v>
      </c>
      <c r="OV17" s="1">
        <v>80683</v>
      </c>
      <c r="OW17" s="1">
        <v>80683</v>
      </c>
      <c r="OX17" s="1">
        <v>80683</v>
      </c>
      <c r="OY17" s="1">
        <v>80683</v>
      </c>
      <c r="OZ17" s="1">
        <v>80683</v>
      </c>
      <c r="PA17" s="1">
        <v>80683</v>
      </c>
      <c r="PB17" s="1">
        <v>80683</v>
      </c>
      <c r="PC17" s="1">
        <v>80683</v>
      </c>
      <c r="PD17" s="1">
        <v>80683</v>
      </c>
      <c r="PE17" s="1">
        <v>80683</v>
      </c>
      <c r="PF17" s="1">
        <v>80684</v>
      </c>
      <c r="PG17" s="1">
        <v>80694</v>
      </c>
      <c r="PH17" s="1">
        <v>80712</v>
      </c>
      <c r="PI17" s="1">
        <v>80732</v>
      </c>
      <c r="PJ17" s="1">
        <v>80755</v>
      </c>
      <c r="PK17" s="1">
        <v>80780</v>
      </c>
      <c r="PL17" s="1">
        <v>80804</v>
      </c>
      <c r="PM17" s="1">
        <v>80827</v>
      </c>
      <c r="PN17" s="1">
        <v>80844</v>
      </c>
      <c r="PO17" s="1">
        <v>80855</v>
      </c>
      <c r="PP17" s="1">
        <v>80855</v>
      </c>
      <c r="PQ17" s="1">
        <v>80856</v>
      </c>
      <c r="PR17" s="1">
        <v>80856</v>
      </c>
      <c r="PS17" s="1">
        <v>80856</v>
      </c>
      <c r="PT17" s="1">
        <v>80856</v>
      </c>
      <c r="PU17" s="1">
        <v>80856</v>
      </c>
      <c r="PV17" s="1">
        <v>80856</v>
      </c>
      <c r="PW17" s="1">
        <v>80856</v>
      </c>
      <c r="PX17" s="1">
        <v>80856</v>
      </c>
      <c r="PY17" s="1">
        <v>80856</v>
      </c>
      <c r="PZ17" s="1">
        <v>80856</v>
      </c>
      <c r="QA17" s="1">
        <v>80856</v>
      </c>
      <c r="QB17" s="1">
        <v>80856</v>
      </c>
      <c r="QC17" s="1">
        <v>80856</v>
      </c>
      <c r="QD17" s="1">
        <v>80859</v>
      </c>
      <c r="QE17" s="1">
        <v>80868</v>
      </c>
      <c r="QF17" s="1">
        <v>80883</v>
      </c>
      <c r="QG17" s="1">
        <v>80904</v>
      </c>
      <c r="QH17" s="1">
        <v>80928</v>
      </c>
      <c r="QI17" s="1">
        <v>80953</v>
      </c>
      <c r="QJ17" s="1">
        <v>80978</v>
      </c>
      <c r="QK17" s="1">
        <v>81001</v>
      </c>
      <c r="QL17" s="1">
        <v>81021</v>
      </c>
      <c r="QM17" s="1">
        <v>81035</v>
      </c>
      <c r="QN17" s="1">
        <v>81042</v>
      </c>
      <c r="QO17" s="1">
        <v>81043</v>
      </c>
      <c r="QP17" s="1">
        <v>81043</v>
      </c>
      <c r="QQ17" s="1">
        <v>81043</v>
      </c>
      <c r="QR17" s="1">
        <v>81043</v>
      </c>
      <c r="QS17" s="1">
        <v>81043</v>
      </c>
      <c r="QT17" s="1">
        <v>81043</v>
      </c>
      <c r="QU17" s="1">
        <v>81043</v>
      </c>
      <c r="QV17" s="1">
        <v>81043</v>
      </c>
      <c r="QW17" s="1">
        <v>81043</v>
      </c>
      <c r="QX17" s="1">
        <v>81043</v>
      </c>
      <c r="QY17" s="1">
        <v>81043</v>
      </c>
      <c r="QZ17" s="1">
        <v>81043</v>
      </c>
      <c r="RA17" s="1">
        <v>81044</v>
      </c>
      <c r="RB17" s="1">
        <v>81047</v>
      </c>
      <c r="RC17" s="1">
        <v>81056</v>
      </c>
      <c r="RD17" s="1">
        <v>81071</v>
      </c>
      <c r="RE17" s="1">
        <v>81091</v>
      </c>
      <c r="RF17" s="1">
        <v>81114</v>
      </c>
      <c r="RG17" s="1">
        <v>81138</v>
      </c>
      <c r="RH17" s="1">
        <v>81158</v>
      </c>
      <c r="RI17" s="1">
        <v>81180</v>
      </c>
      <c r="RJ17" s="1">
        <v>81198</v>
      </c>
      <c r="RK17" s="1">
        <v>81212</v>
      </c>
      <c r="RL17" s="1">
        <v>81219</v>
      </c>
      <c r="RM17" s="1">
        <v>81220</v>
      </c>
      <c r="RN17" s="1">
        <v>81220</v>
      </c>
      <c r="RO17" s="1">
        <v>81220</v>
      </c>
      <c r="RP17" s="1">
        <v>81220</v>
      </c>
      <c r="RQ17" s="1">
        <v>81220</v>
      </c>
      <c r="RR17" s="1">
        <v>81220</v>
      </c>
      <c r="RS17" s="1">
        <v>81220</v>
      </c>
      <c r="RT17" s="1">
        <v>81220</v>
      </c>
      <c r="RU17" s="1">
        <v>81220</v>
      </c>
      <c r="RV17" s="1">
        <v>81220</v>
      </c>
      <c r="RW17" s="1">
        <v>81220</v>
      </c>
      <c r="RX17" s="1">
        <v>81220</v>
      </c>
      <c r="RY17" s="1">
        <v>81220</v>
      </c>
      <c r="RZ17" s="1">
        <v>81223</v>
      </c>
      <c r="SA17" s="1">
        <v>81228</v>
      </c>
      <c r="SB17" s="1">
        <v>81236</v>
      </c>
      <c r="SC17" s="1">
        <v>81251</v>
      </c>
      <c r="SD17" s="1">
        <v>81273</v>
      </c>
      <c r="SE17" s="1">
        <v>81297</v>
      </c>
      <c r="SF17" s="1">
        <v>81321</v>
      </c>
      <c r="SG17" s="1">
        <v>81342</v>
      </c>
      <c r="SH17" s="1">
        <v>81360</v>
      </c>
      <c r="SI17" s="1">
        <v>81374</v>
      </c>
      <c r="SJ17" s="1">
        <v>81381</v>
      </c>
      <c r="SK17" s="1">
        <v>81382</v>
      </c>
      <c r="SL17" s="1">
        <v>81382</v>
      </c>
      <c r="SM17" s="1">
        <v>81382</v>
      </c>
      <c r="SN17" s="1">
        <v>81382</v>
      </c>
      <c r="SO17" s="1">
        <v>81382</v>
      </c>
      <c r="SP17" s="1">
        <v>81382</v>
      </c>
      <c r="SQ17" s="1">
        <v>81382</v>
      </c>
      <c r="SR17" s="1">
        <v>81382</v>
      </c>
      <c r="SS17" s="1">
        <v>81382</v>
      </c>
      <c r="ST17" s="1">
        <v>81382</v>
      </c>
      <c r="SU17" s="1">
        <v>81382</v>
      </c>
      <c r="SV17" s="1">
        <v>81382</v>
      </c>
      <c r="SW17" s="1">
        <v>81382</v>
      </c>
      <c r="SX17" s="1">
        <v>81384</v>
      </c>
      <c r="SY17" s="1">
        <v>81388</v>
      </c>
      <c r="SZ17" s="1">
        <v>81399</v>
      </c>
      <c r="TA17" s="1">
        <v>81417</v>
      </c>
      <c r="TB17" s="1">
        <v>81439</v>
      </c>
      <c r="TC17" s="1">
        <v>81462</v>
      </c>
      <c r="TD17" s="1">
        <v>81486</v>
      </c>
      <c r="TE17" s="1">
        <v>81507</v>
      </c>
      <c r="TF17" s="1">
        <v>81524</v>
      </c>
      <c r="TG17" s="1">
        <v>81534</v>
      </c>
      <c r="TH17" s="1">
        <v>81539</v>
      </c>
      <c r="TI17" s="1">
        <v>81539</v>
      </c>
      <c r="TJ17" s="1">
        <v>81539</v>
      </c>
      <c r="TK17" s="1">
        <v>81539</v>
      </c>
      <c r="TL17" s="1">
        <v>81539</v>
      </c>
      <c r="TM17" s="1">
        <v>81539</v>
      </c>
      <c r="TN17" s="1">
        <v>81539</v>
      </c>
      <c r="TO17" s="1">
        <v>81539</v>
      </c>
      <c r="TP17" s="1">
        <v>81539</v>
      </c>
      <c r="TQ17" s="1">
        <v>81539</v>
      </c>
      <c r="TR17" s="1">
        <v>81539</v>
      </c>
      <c r="TS17" s="1">
        <v>81539</v>
      </c>
      <c r="TT17" s="1">
        <v>81539</v>
      </c>
      <c r="TU17" s="1">
        <v>81540</v>
      </c>
      <c r="TV17" s="1">
        <v>81544</v>
      </c>
      <c r="TW17" s="1">
        <v>81551</v>
      </c>
      <c r="TX17" s="1">
        <v>81559</v>
      </c>
      <c r="TY17" s="1">
        <v>81570</v>
      </c>
      <c r="TZ17" s="1">
        <v>81591</v>
      </c>
      <c r="UA17" s="1">
        <v>81614</v>
      </c>
      <c r="UB17" s="1">
        <v>81637</v>
      </c>
      <c r="UC17" s="1">
        <v>81658</v>
      </c>
      <c r="UD17" s="1">
        <v>81675</v>
      </c>
      <c r="UE17" s="1">
        <v>81688</v>
      </c>
      <c r="UF17" s="1">
        <v>81695</v>
      </c>
      <c r="UG17" s="1">
        <v>81695</v>
      </c>
      <c r="UH17" s="1">
        <v>81695</v>
      </c>
      <c r="UI17" s="1">
        <v>81695</v>
      </c>
      <c r="UJ17" s="1">
        <v>81695</v>
      </c>
      <c r="UK17" s="1">
        <v>81695</v>
      </c>
      <c r="UL17" s="1">
        <v>81695</v>
      </c>
      <c r="UM17" s="1">
        <v>81695</v>
      </c>
      <c r="UN17" s="1">
        <v>81695</v>
      </c>
      <c r="UO17" s="1">
        <v>81695</v>
      </c>
      <c r="UP17" s="1">
        <v>81695</v>
      </c>
      <c r="UQ17" s="1">
        <v>81695</v>
      </c>
      <c r="UR17" s="1">
        <v>81695</v>
      </c>
      <c r="US17" s="1">
        <v>81696</v>
      </c>
      <c r="UT17" s="1">
        <v>81698</v>
      </c>
      <c r="UU17" s="1">
        <v>81708</v>
      </c>
      <c r="UV17" s="1">
        <v>81723</v>
      </c>
      <c r="UW17" s="1">
        <v>81742</v>
      </c>
      <c r="UX17" s="1">
        <v>81764</v>
      </c>
      <c r="UY17" s="1">
        <v>81787</v>
      </c>
      <c r="UZ17" s="1">
        <v>81810</v>
      </c>
      <c r="VA17" s="1">
        <v>81832</v>
      </c>
      <c r="VB17" s="1">
        <v>81845</v>
      </c>
      <c r="VC17" s="1">
        <v>81848</v>
      </c>
      <c r="VD17" s="1">
        <v>81853</v>
      </c>
      <c r="VE17" s="1">
        <v>81854</v>
      </c>
      <c r="VF17" s="1">
        <v>81854</v>
      </c>
      <c r="VG17" s="1">
        <v>81854</v>
      </c>
      <c r="VH17" s="1">
        <v>81854</v>
      </c>
      <c r="VI17" s="1">
        <v>81854</v>
      </c>
      <c r="VJ17" s="1">
        <v>81854</v>
      </c>
      <c r="VK17" s="1">
        <v>81854</v>
      </c>
      <c r="VL17" s="1">
        <v>81854</v>
      </c>
      <c r="VM17" s="1">
        <v>81854</v>
      </c>
      <c r="VN17" s="1">
        <v>81854</v>
      </c>
      <c r="VO17" s="1">
        <v>81854</v>
      </c>
      <c r="VP17" s="1">
        <v>81854</v>
      </c>
      <c r="VQ17" s="1">
        <v>81854</v>
      </c>
      <c r="VR17" s="1">
        <v>81855</v>
      </c>
      <c r="VS17" s="1">
        <v>81856</v>
      </c>
      <c r="VT17" s="1">
        <v>81859</v>
      </c>
      <c r="VU17" s="1">
        <v>81869</v>
      </c>
      <c r="VV17" s="1">
        <v>81883</v>
      </c>
      <c r="VW17" s="1">
        <v>81898</v>
      </c>
      <c r="VX17" s="1">
        <v>81915</v>
      </c>
      <c r="VY17" s="1">
        <v>81926</v>
      </c>
      <c r="VZ17" s="1">
        <v>81937</v>
      </c>
      <c r="WA17" s="1">
        <v>81948</v>
      </c>
      <c r="WB17" s="1">
        <v>81954</v>
      </c>
      <c r="WC17" s="1">
        <v>81955</v>
      </c>
      <c r="WD17" s="1">
        <v>81955</v>
      </c>
      <c r="WE17" s="1">
        <v>81955</v>
      </c>
      <c r="WF17" s="1">
        <v>81955</v>
      </c>
      <c r="WG17" s="1">
        <v>81955</v>
      </c>
      <c r="WH17" s="1">
        <v>81955</v>
      </c>
      <c r="WI17" s="1">
        <v>81955</v>
      </c>
      <c r="WJ17" s="1">
        <v>81955</v>
      </c>
      <c r="WK17" s="1">
        <v>81955</v>
      </c>
      <c r="WL17" s="1">
        <v>81955</v>
      </c>
      <c r="WM17" s="1">
        <v>81955</v>
      </c>
      <c r="WN17" s="1">
        <v>81955</v>
      </c>
      <c r="WO17" s="1">
        <v>81956</v>
      </c>
      <c r="WP17" s="1">
        <v>81959</v>
      </c>
      <c r="WQ17" s="1">
        <v>81969</v>
      </c>
      <c r="WR17" s="1">
        <v>81977</v>
      </c>
      <c r="WS17" s="1">
        <v>81993</v>
      </c>
      <c r="WT17" s="1">
        <v>82014</v>
      </c>
      <c r="WU17" s="1">
        <v>82031</v>
      </c>
      <c r="WV17" s="1">
        <v>82051</v>
      </c>
      <c r="WW17" s="1">
        <v>82073</v>
      </c>
      <c r="WX17" s="1">
        <v>82091</v>
      </c>
      <c r="WY17" s="1">
        <v>82105</v>
      </c>
      <c r="WZ17" s="1">
        <v>82111</v>
      </c>
      <c r="XA17" s="1">
        <v>82112</v>
      </c>
      <c r="XB17" s="1">
        <v>82112</v>
      </c>
      <c r="XC17" s="1">
        <v>82112</v>
      </c>
      <c r="XD17" s="1">
        <v>82112</v>
      </c>
      <c r="XE17" s="1">
        <v>82112</v>
      </c>
      <c r="XF17" s="1">
        <v>82112</v>
      </c>
      <c r="XG17" s="1">
        <v>82112</v>
      </c>
      <c r="XH17" s="1">
        <v>82112</v>
      </c>
      <c r="XI17" s="1">
        <v>82112</v>
      </c>
      <c r="XJ17" s="1">
        <v>82112</v>
      </c>
      <c r="XK17" s="1">
        <v>82112</v>
      </c>
      <c r="XL17" s="1">
        <v>82112</v>
      </c>
      <c r="XM17" s="1">
        <v>82113</v>
      </c>
      <c r="XN17" s="1">
        <v>82116</v>
      </c>
      <c r="XO17" s="1">
        <v>82125</v>
      </c>
      <c r="XP17" s="1">
        <v>82138</v>
      </c>
      <c r="XQ17" s="1">
        <v>82153</v>
      </c>
      <c r="XR17" s="1">
        <v>82175</v>
      </c>
      <c r="XS17" s="1">
        <v>82199</v>
      </c>
      <c r="XT17" s="1">
        <v>82217</v>
      </c>
      <c r="XU17" s="1">
        <v>82238</v>
      </c>
      <c r="XV17" s="1">
        <v>82254</v>
      </c>
      <c r="XW17" s="1">
        <v>82267</v>
      </c>
      <c r="XX17" s="1">
        <v>82273</v>
      </c>
      <c r="XY17" s="1">
        <v>82273</v>
      </c>
      <c r="XZ17" s="1">
        <v>82273</v>
      </c>
      <c r="YA17" s="1">
        <v>82273</v>
      </c>
      <c r="YB17" s="1">
        <v>82273</v>
      </c>
      <c r="YC17" s="1">
        <v>82273</v>
      </c>
      <c r="YD17" s="1">
        <v>82273</v>
      </c>
      <c r="YE17" s="1">
        <v>82273</v>
      </c>
      <c r="YF17" s="1">
        <v>82273</v>
      </c>
      <c r="YG17" s="1">
        <v>82273</v>
      </c>
      <c r="YH17" s="1">
        <v>82273</v>
      </c>
      <c r="YI17" s="1">
        <v>82273</v>
      </c>
      <c r="YJ17" s="1">
        <v>82273</v>
      </c>
      <c r="YK17" s="1">
        <v>82274</v>
      </c>
      <c r="YL17" s="1">
        <v>82278</v>
      </c>
      <c r="YM17" s="1">
        <v>82286</v>
      </c>
      <c r="YN17" s="1">
        <v>82300</v>
      </c>
      <c r="YO17" s="1">
        <v>82320</v>
      </c>
      <c r="YP17" s="1">
        <v>82342</v>
      </c>
      <c r="YQ17" s="1">
        <v>82366</v>
      </c>
      <c r="YR17" s="1">
        <v>82388</v>
      </c>
      <c r="YS17" s="1">
        <v>82410</v>
      </c>
      <c r="YT17" s="1">
        <v>82425</v>
      </c>
      <c r="YU17" s="1">
        <v>82430</v>
      </c>
      <c r="YV17" s="1">
        <v>82430</v>
      </c>
      <c r="YW17" s="1">
        <v>82430</v>
      </c>
      <c r="YX17" s="1">
        <v>82430</v>
      </c>
      <c r="YY17" s="1">
        <v>82430</v>
      </c>
      <c r="YZ17" s="1">
        <v>82430</v>
      </c>
      <c r="ZA17" s="1">
        <v>82430</v>
      </c>
      <c r="ZB17" s="1">
        <v>82430</v>
      </c>
      <c r="ZC17" s="1">
        <v>82430</v>
      </c>
      <c r="ZD17" s="1">
        <v>82430</v>
      </c>
      <c r="ZE17" s="1">
        <v>82430</v>
      </c>
      <c r="ZF17" s="1">
        <v>82430</v>
      </c>
      <c r="ZG17" s="1">
        <v>82430</v>
      </c>
      <c r="ZH17" s="1">
        <v>82430</v>
      </c>
      <c r="ZI17" s="1">
        <v>82431</v>
      </c>
      <c r="ZJ17" s="1">
        <v>82434</v>
      </c>
      <c r="ZK17" s="1">
        <v>82442</v>
      </c>
      <c r="ZL17" s="1">
        <v>82457</v>
      </c>
      <c r="ZM17" s="1">
        <v>82476</v>
      </c>
      <c r="ZN17" s="1">
        <v>82500</v>
      </c>
      <c r="ZO17" s="1">
        <v>82524</v>
      </c>
      <c r="ZP17" s="1">
        <v>82547</v>
      </c>
      <c r="ZQ17" s="1">
        <v>82559</v>
      </c>
      <c r="ZR17" s="1">
        <v>82569</v>
      </c>
      <c r="ZS17" s="1">
        <v>82579</v>
      </c>
      <c r="ZT17" s="1">
        <v>82579</v>
      </c>
      <c r="ZU17" s="1">
        <v>82579</v>
      </c>
      <c r="ZV17" s="1">
        <v>82579</v>
      </c>
      <c r="ZW17" s="1">
        <v>82579</v>
      </c>
      <c r="ZX17" s="1">
        <v>82579</v>
      </c>
      <c r="ZY17" s="1">
        <v>82579</v>
      </c>
      <c r="ZZ17" s="1">
        <v>82579</v>
      </c>
      <c r="AAA17" s="1">
        <v>82579</v>
      </c>
      <c r="AAB17" s="1">
        <v>82579</v>
      </c>
      <c r="AAC17" s="1">
        <v>82579</v>
      </c>
      <c r="AAD17" s="1">
        <v>82579</v>
      </c>
      <c r="AAE17" s="1">
        <v>82579</v>
      </c>
      <c r="AAF17" s="1">
        <v>82579</v>
      </c>
      <c r="AAG17" s="1">
        <v>82580</v>
      </c>
      <c r="AAH17" s="1">
        <v>82583</v>
      </c>
      <c r="AAI17" s="1">
        <v>82593</v>
      </c>
      <c r="AAJ17" s="1">
        <v>82608</v>
      </c>
      <c r="AAK17" s="1">
        <v>82628</v>
      </c>
      <c r="AAL17" s="1">
        <v>82651</v>
      </c>
      <c r="AAM17" s="1">
        <v>82676</v>
      </c>
      <c r="AAN17" s="1">
        <v>82700</v>
      </c>
      <c r="AAO17" s="1">
        <v>82721</v>
      </c>
      <c r="AAP17" s="1">
        <v>82739</v>
      </c>
      <c r="AAQ17" s="1">
        <v>82752</v>
      </c>
      <c r="AAR17" s="1">
        <v>82759</v>
      </c>
      <c r="AAS17" s="1">
        <v>82759</v>
      </c>
      <c r="AAT17" s="1">
        <v>82759</v>
      </c>
      <c r="AAU17" s="1">
        <v>82759</v>
      </c>
      <c r="AAV17" s="1">
        <v>82759</v>
      </c>
      <c r="AAW17" s="1">
        <v>82759</v>
      </c>
      <c r="AAX17" s="1">
        <v>82759</v>
      </c>
    </row>
    <row r="18" spans="1:726">
      <c r="A18" s="1">
        <v>25</v>
      </c>
      <c r="B18" s="1" t="s">
        <v>21</v>
      </c>
      <c r="C18" s="1" t="s">
        <v>3</v>
      </c>
      <c r="D18" s="1" t="s">
        <v>22</v>
      </c>
      <c r="E18" s="1" t="s">
        <v>5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  <c r="FM18" s="1">
        <v>0</v>
      </c>
      <c r="FN18" s="1">
        <v>0</v>
      </c>
      <c r="FO18" s="1">
        <v>0</v>
      </c>
      <c r="FP18" s="1">
        <v>0</v>
      </c>
      <c r="FQ18" s="1">
        <v>0</v>
      </c>
      <c r="FR18" s="1">
        <v>0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  <c r="FY18" s="1">
        <v>0</v>
      </c>
      <c r="FZ18" s="1">
        <v>0</v>
      </c>
      <c r="GA18" s="1">
        <v>0</v>
      </c>
      <c r="GB18" s="1">
        <v>0</v>
      </c>
      <c r="GC18" s="1">
        <v>0</v>
      </c>
      <c r="GD18" s="1">
        <v>0</v>
      </c>
      <c r="GE18" s="1">
        <v>0</v>
      </c>
      <c r="GF18" s="1">
        <v>0</v>
      </c>
      <c r="GG18" s="1">
        <v>0</v>
      </c>
      <c r="GH18" s="1">
        <v>0</v>
      </c>
      <c r="GI18" s="1">
        <v>0</v>
      </c>
      <c r="GJ18" s="1">
        <v>0</v>
      </c>
      <c r="GK18" s="1">
        <v>0</v>
      </c>
      <c r="GL18" s="1">
        <v>0</v>
      </c>
      <c r="GM18" s="1">
        <v>0</v>
      </c>
      <c r="GN18" s="1">
        <v>0</v>
      </c>
      <c r="GO18" s="1">
        <v>0</v>
      </c>
      <c r="GP18" s="1">
        <v>0</v>
      </c>
      <c r="GQ18" s="1">
        <v>0</v>
      </c>
      <c r="GR18" s="1">
        <v>0</v>
      </c>
      <c r="GS18" s="1">
        <v>0</v>
      </c>
      <c r="GT18" s="1">
        <v>0</v>
      </c>
      <c r="GU18" s="1">
        <v>0</v>
      </c>
      <c r="GV18" s="1">
        <v>0</v>
      </c>
      <c r="GW18" s="1">
        <v>0</v>
      </c>
      <c r="GX18" s="1">
        <v>0</v>
      </c>
      <c r="GY18" s="1">
        <v>0</v>
      </c>
      <c r="GZ18" s="1">
        <v>0</v>
      </c>
      <c r="HA18" s="1">
        <v>0</v>
      </c>
      <c r="HB18" s="1">
        <v>0</v>
      </c>
      <c r="HC18" s="1">
        <v>0</v>
      </c>
      <c r="HD18" s="1">
        <v>0</v>
      </c>
      <c r="HE18" s="1">
        <v>0</v>
      </c>
      <c r="HF18" s="1">
        <v>0</v>
      </c>
      <c r="HG18" s="1">
        <v>0</v>
      </c>
      <c r="HH18" s="1">
        <v>0</v>
      </c>
      <c r="HI18" s="1">
        <v>0</v>
      </c>
      <c r="HJ18" s="1">
        <v>0</v>
      </c>
      <c r="HK18" s="1">
        <v>0</v>
      </c>
      <c r="HL18" s="1">
        <v>0</v>
      </c>
      <c r="HM18" s="1">
        <v>0</v>
      </c>
      <c r="HN18" s="1">
        <v>0</v>
      </c>
      <c r="HO18" s="1">
        <v>0</v>
      </c>
      <c r="HP18" s="1">
        <v>0</v>
      </c>
      <c r="HQ18" s="1">
        <v>0</v>
      </c>
      <c r="HR18" s="1">
        <v>0</v>
      </c>
      <c r="HS18" s="1">
        <v>0</v>
      </c>
      <c r="HT18" s="1">
        <v>0</v>
      </c>
      <c r="HU18" s="1">
        <v>0</v>
      </c>
      <c r="HV18" s="1">
        <v>0</v>
      </c>
      <c r="HW18" s="1">
        <v>0</v>
      </c>
      <c r="HX18" s="1">
        <v>0</v>
      </c>
      <c r="HY18" s="1">
        <v>0</v>
      </c>
      <c r="HZ18" s="1">
        <v>0</v>
      </c>
      <c r="IA18" s="1">
        <v>0</v>
      </c>
      <c r="IB18" s="1">
        <v>0</v>
      </c>
      <c r="IC18" s="1">
        <v>0</v>
      </c>
      <c r="ID18" s="1">
        <v>0</v>
      </c>
      <c r="IE18" s="1">
        <v>0</v>
      </c>
      <c r="IF18" s="1">
        <v>0</v>
      </c>
      <c r="IG18" s="1">
        <v>0</v>
      </c>
      <c r="IH18" s="1">
        <v>0</v>
      </c>
      <c r="II18" s="1">
        <v>0</v>
      </c>
      <c r="IJ18" s="1">
        <v>0</v>
      </c>
      <c r="IK18" s="1">
        <v>0</v>
      </c>
      <c r="IL18" s="1">
        <v>0</v>
      </c>
      <c r="IM18" s="1">
        <v>0</v>
      </c>
      <c r="IN18" s="1">
        <v>0</v>
      </c>
      <c r="IO18" s="1">
        <v>0</v>
      </c>
      <c r="IP18" s="1">
        <v>0</v>
      </c>
      <c r="IQ18" s="1">
        <v>0</v>
      </c>
      <c r="IR18" s="1">
        <v>0</v>
      </c>
      <c r="IS18" s="1">
        <v>0</v>
      </c>
      <c r="IT18" s="1">
        <v>0</v>
      </c>
      <c r="IU18" s="1">
        <v>0</v>
      </c>
      <c r="IV18" s="1">
        <v>0</v>
      </c>
      <c r="IW18" s="1">
        <v>0</v>
      </c>
      <c r="IX18" s="1">
        <v>0</v>
      </c>
      <c r="IY18" s="1">
        <v>0</v>
      </c>
      <c r="IZ18" s="1">
        <v>0</v>
      </c>
      <c r="JA18" s="1">
        <v>0</v>
      </c>
      <c r="JB18" s="1">
        <v>0</v>
      </c>
      <c r="JC18" s="1">
        <v>0</v>
      </c>
      <c r="JD18" s="1">
        <v>0</v>
      </c>
      <c r="JE18" s="1">
        <v>0</v>
      </c>
      <c r="JF18" s="1">
        <v>0</v>
      </c>
      <c r="JG18" s="1">
        <v>0</v>
      </c>
      <c r="JH18" s="1">
        <v>0</v>
      </c>
      <c r="JI18" s="1">
        <v>0</v>
      </c>
      <c r="JJ18" s="1">
        <v>0</v>
      </c>
      <c r="JK18" s="1">
        <v>0</v>
      </c>
      <c r="JL18" s="1">
        <v>0</v>
      </c>
      <c r="JM18" s="1">
        <v>0</v>
      </c>
      <c r="JN18" s="1">
        <v>0</v>
      </c>
      <c r="JO18" s="1">
        <v>0</v>
      </c>
      <c r="JP18" s="1">
        <v>0</v>
      </c>
      <c r="JQ18" s="1">
        <v>0</v>
      </c>
      <c r="JR18" s="1">
        <v>0</v>
      </c>
      <c r="JS18" s="1">
        <v>0</v>
      </c>
      <c r="JT18" s="1">
        <v>0</v>
      </c>
      <c r="JU18" s="1">
        <v>0</v>
      </c>
      <c r="JV18" s="1">
        <v>0</v>
      </c>
      <c r="JW18" s="1">
        <v>0</v>
      </c>
      <c r="JX18" s="1">
        <v>0</v>
      </c>
      <c r="JY18" s="1">
        <v>0</v>
      </c>
      <c r="JZ18" s="1">
        <v>0</v>
      </c>
      <c r="KA18" s="1">
        <v>0</v>
      </c>
      <c r="KB18" s="1">
        <v>0</v>
      </c>
      <c r="KC18" s="1">
        <v>0</v>
      </c>
      <c r="KD18" s="1">
        <v>0</v>
      </c>
      <c r="KE18" s="1">
        <v>0</v>
      </c>
      <c r="KF18" s="1">
        <v>0</v>
      </c>
      <c r="KG18" s="1">
        <v>0</v>
      </c>
      <c r="KH18" s="1">
        <v>0</v>
      </c>
      <c r="KI18" s="1">
        <v>0</v>
      </c>
      <c r="KJ18" s="1">
        <v>0</v>
      </c>
      <c r="KK18" s="1">
        <v>0</v>
      </c>
      <c r="KL18" s="1">
        <v>0</v>
      </c>
      <c r="KM18" s="1">
        <v>0</v>
      </c>
      <c r="KN18" s="1">
        <v>0</v>
      </c>
      <c r="KO18" s="1">
        <v>0</v>
      </c>
      <c r="KP18" s="1">
        <v>0</v>
      </c>
      <c r="KQ18" s="1">
        <v>0</v>
      </c>
      <c r="KR18" s="1">
        <v>0</v>
      </c>
      <c r="KS18" s="1">
        <v>0</v>
      </c>
      <c r="KT18" s="1">
        <v>0</v>
      </c>
      <c r="KU18" s="1">
        <v>0</v>
      </c>
      <c r="KV18" s="1">
        <v>0</v>
      </c>
      <c r="KW18" s="1">
        <v>0</v>
      </c>
      <c r="KX18" s="1">
        <v>0</v>
      </c>
      <c r="KY18" s="1">
        <v>0</v>
      </c>
      <c r="KZ18" s="1">
        <v>0</v>
      </c>
      <c r="LA18" s="1">
        <v>0</v>
      </c>
      <c r="LB18" s="1">
        <v>0</v>
      </c>
      <c r="LC18" s="1">
        <v>0</v>
      </c>
      <c r="LD18" s="1">
        <v>0</v>
      </c>
      <c r="LE18" s="1">
        <v>0</v>
      </c>
      <c r="LF18" s="1">
        <v>0</v>
      </c>
      <c r="LG18" s="1">
        <v>0</v>
      </c>
      <c r="LH18" s="1">
        <v>0</v>
      </c>
      <c r="LI18" s="1">
        <v>0</v>
      </c>
      <c r="LJ18" s="1">
        <v>0</v>
      </c>
      <c r="LK18" s="1">
        <v>0</v>
      </c>
      <c r="LL18" s="1">
        <v>0</v>
      </c>
      <c r="LM18" s="1">
        <v>0</v>
      </c>
      <c r="LN18" s="1">
        <v>0</v>
      </c>
      <c r="LO18" s="1">
        <v>0</v>
      </c>
      <c r="LP18" s="1">
        <v>0</v>
      </c>
      <c r="LQ18" s="1">
        <v>0</v>
      </c>
      <c r="LR18" s="1">
        <v>0</v>
      </c>
      <c r="LS18" s="1">
        <v>0</v>
      </c>
      <c r="LT18" s="1">
        <v>0</v>
      </c>
      <c r="LU18" s="1">
        <v>0</v>
      </c>
      <c r="LV18" s="1">
        <v>0</v>
      </c>
      <c r="LW18" s="1">
        <v>0</v>
      </c>
      <c r="LX18" s="1">
        <v>0</v>
      </c>
      <c r="LY18" s="1">
        <v>0</v>
      </c>
      <c r="LZ18" s="1">
        <v>0</v>
      </c>
      <c r="MA18" s="1">
        <v>0</v>
      </c>
      <c r="MB18" s="1">
        <v>0</v>
      </c>
      <c r="MC18" s="1">
        <v>0</v>
      </c>
      <c r="MD18" s="1">
        <v>0</v>
      </c>
      <c r="ME18" s="1">
        <v>0</v>
      </c>
      <c r="MF18" s="1">
        <v>0</v>
      </c>
      <c r="MG18" s="1">
        <v>0</v>
      </c>
      <c r="MH18" s="1">
        <v>0</v>
      </c>
      <c r="MI18" s="1">
        <v>0</v>
      </c>
      <c r="MJ18" s="1">
        <v>0</v>
      </c>
      <c r="MK18" s="1">
        <v>0</v>
      </c>
      <c r="ML18" s="1">
        <v>0</v>
      </c>
      <c r="MM18" s="1">
        <v>0</v>
      </c>
      <c r="MN18" s="1">
        <v>0</v>
      </c>
      <c r="MO18" s="1">
        <v>0</v>
      </c>
      <c r="MP18" s="1">
        <v>0</v>
      </c>
      <c r="MQ18" s="1">
        <v>0</v>
      </c>
      <c r="MR18" s="1">
        <v>0</v>
      </c>
      <c r="MS18" s="1">
        <v>0</v>
      </c>
      <c r="MT18" s="1">
        <v>0</v>
      </c>
      <c r="MU18" s="1">
        <v>0</v>
      </c>
      <c r="MV18" s="1">
        <v>0</v>
      </c>
      <c r="MW18" s="1">
        <v>0</v>
      </c>
      <c r="MX18" s="1">
        <v>0</v>
      </c>
      <c r="MY18" s="1">
        <v>0</v>
      </c>
      <c r="MZ18" s="1">
        <v>0</v>
      </c>
      <c r="NA18" s="1">
        <v>0</v>
      </c>
      <c r="NB18" s="1">
        <v>0</v>
      </c>
      <c r="NC18" s="1">
        <v>0</v>
      </c>
      <c r="ND18" s="1">
        <v>0</v>
      </c>
      <c r="NE18" s="1">
        <v>0</v>
      </c>
      <c r="NF18" s="1">
        <v>0</v>
      </c>
      <c r="NG18" s="1">
        <v>0</v>
      </c>
      <c r="NH18" s="1">
        <v>0</v>
      </c>
      <c r="NI18" s="1">
        <v>0</v>
      </c>
      <c r="NJ18" s="1">
        <v>0</v>
      </c>
      <c r="NK18" s="1">
        <v>0</v>
      </c>
      <c r="NL18" s="1">
        <v>0</v>
      </c>
      <c r="NM18" s="1">
        <v>0</v>
      </c>
      <c r="NN18" s="1">
        <v>0</v>
      </c>
      <c r="NO18" s="1">
        <v>0</v>
      </c>
      <c r="NP18" s="1">
        <v>0</v>
      </c>
      <c r="NQ18" s="1">
        <v>0</v>
      </c>
      <c r="NR18" s="1">
        <v>0</v>
      </c>
      <c r="NS18" s="1">
        <v>0</v>
      </c>
      <c r="NT18" s="1">
        <v>0</v>
      </c>
      <c r="NU18" s="1">
        <v>0</v>
      </c>
      <c r="NV18" s="1">
        <v>0</v>
      </c>
      <c r="NW18" s="1">
        <v>0</v>
      </c>
      <c r="NX18" s="1">
        <v>0</v>
      </c>
      <c r="NY18" s="1">
        <v>0</v>
      </c>
      <c r="NZ18" s="1">
        <v>0</v>
      </c>
      <c r="OA18" s="1">
        <v>0</v>
      </c>
      <c r="OB18" s="1">
        <v>0</v>
      </c>
      <c r="OC18" s="1">
        <v>0</v>
      </c>
      <c r="OD18" s="1">
        <v>0</v>
      </c>
      <c r="OE18" s="1">
        <v>0</v>
      </c>
      <c r="OF18" s="1">
        <v>0</v>
      </c>
      <c r="OG18" s="1">
        <v>0</v>
      </c>
      <c r="OH18" s="1">
        <v>0</v>
      </c>
      <c r="OI18" s="1">
        <v>0</v>
      </c>
      <c r="OJ18" s="1">
        <v>0</v>
      </c>
      <c r="OK18" s="1">
        <v>0</v>
      </c>
      <c r="OL18" s="1">
        <v>0</v>
      </c>
      <c r="OM18" s="1">
        <v>0</v>
      </c>
      <c r="ON18" s="1">
        <v>0</v>
      </c>
      <c r="OO18" s="1">
        <v>0</v>
      </c>
      <c r="OP18" s="1">
        <v>0</v>
      </c>
      <c r="OQ18" s="1">
        <v>0</v>
      </c>
      <c r="OR18" s="1">
        <v>0</v>
      </c>
      <c r="OS18" s="1">
        <v>0</v>
      </c>
      <c r="OT18" s="1">
        <v>0</v>
      </c>
      <c r="OU18" s="1">
        <v>0</v>
      </c>
      <c r="OV18" s="1">
        <v>0</v>
      </c>
      <c r="OW18" s="1">
        <v>0</v>
      </c>
      <c r="OX18" s="1">
        <v>0</v>
      </c>
      <c r="OY18" s="1">
        <v>0</v>
      </c>
      <c r="OZ18" s="1">
        <v>0</v>
      </c>
      <c r="PA18" s="1">
        <v>0</v>
      </c>
      <c r="PB18" s="1">
        <v>0</v>
      </c>
      <c r="PC18" s="1">
        <v>0</v>
      </c>
      <c r="PD18" s="1">
        <v>0</v>
      </c>
      <c r="PE18" s="1">
        <v>0</v>
      </c>
      <c r="PF18" s="1">
        <v>0</v>
      </c>
      <c r="PG18" s="1">
        <v>0</v>
      </c>
      <c r="PH18" s="1">
        <v>0</v>
      </c>
      <c r="PI18" s="1">
        <v>0</v>
      </c>
      <c r="PJ18" s="1">
        <v>0</v>
      </c>
      <c r="PK18" s="1">
        <v>0</v>
      </c>
      <c r="PL18" s="1">
        <v>0</v>
      </c>
      <c r="PM18" s="1">
        <v>0</v>
      </c>
      <c r="PN18" s="1">
        <v>0</v>
      </c>
      <c r="PO18" s="1">
        <v>0</v>
      </c>
      <c r="PP18" s="1">
        <v>0</v>
      </c>
      <c r="PQ18" s="1">
        <v>0</v>
      </c>
      <c r="PR18" s="1">
        <v>0</v>
      </c>
      <c r="PS18" s="1">
        <v>0</v>
      </c>
      <c r="PT18" s="1">
        <v>0</v>
      </c>
      <c r="PU18" s="1">
        <v>0</v>
      </c>
      <c r="PV18" s="1">
        <v>0</v>
      </c>
      <c r="PW18" s="1">
        <v>0</v>
      </c>
      <c r="PX18" s="1">
        <v>0</v>
      </c>
      <c r="PY18" s="1">
        <v>0</v>
      </c>
      <c r="PZ18" s="1">
        <v>0</v>
      </c>
      <c r="QA18" s="1">
        <v>0</v>
      </c>
      <c r="QB18" s="1">
        <v>0</v>
      </c>
      <c r="QC18" s="1">
        <v>0</v>
      </c>
      <c r="QD18" s="1">
        <v>0</v>
      </c>
      <c r="QE18" s="1">
        <v>0</v>
      </c>
      <c r="QF18" s="1">
        <v>0</v>
      </c>
      <c r="QG18" s="1">
        <v>0</v>
      </c>
      <c r="QH18" s="1">
        <v>0</v>
      </c>
      <c r="QI18" s="1">
        <v>0</v>
      </c>
      <c r="QJ18" s="1">
        <v>0</v>
      </c>
      <c r="QK18" s="1">
        <v>0</v>
      </c>
      <c r="QL18" s="1">
        <v>0</v>
      </c>
      <c r="QM18" s="1">
        <v>0</v>
      </c>
      <c r="QN18" s="1">
        <v>0</v>
      </c>
      <c r="QO18" s="1">
        <v>0</v>
      </c>
      <c r="QP18" s="1">
        <v>0</v>
      </c>
      <c r="QQ18" s="1">
        <v>0</v>
      </c>
      <c r="QR18" s="1">
        <v>0</v>
      </c>
      <c r="QS18" s="1">
        <v>0</v>
      </c>
      <c r="QT18" s="1">
        <v>0</v>
      </c>
      <c r="QU18" s="1">
        <v>0</v>
      </c>
      <c r="QV18" s="1">
        <v>0</v>
      </c>
      <c r="QW18" s="1">
        <v>0</v>
      </c>
      <c r="QX18" s="1">
        <v>0</v>
      </c>
      <c r="QY18" s="1">
        <v>0</v>
      </c>
      <c r="QZ18" s="1">
        <v>0</v>
      </c>
      <c r="RA18" s="1">
        <v>0</v>
      </c>
      <c r="RB18" s="1">
        <v>0</v>
      </c>
      <c r="RC18" s="1">
        <v>0</v>
      </c>
      <c r="RD18" s="1">
        <v>0</v>
      </c>
      <c r="RE18" s="1">
        <v>0</v>
      </c>
      <c r="RF18" s="1">
        <v>0</v>
      </c>
      <c r="RG18" s="1">
        <v>0</v>
      </c>
      <c r="RH18" s="1">
        <v>0</v>
      </c>
      <c r="RI18" s="1">
        <v>0</v>
      </c>
      <c r="RJ18" s="1">
        <v>0</v>
      </c>
      <c r="RK18" s="1">
        <v>0</v>
      </c>
      <c r="RL18" s="1">
        <v>0</v>
      </c>
      <c r="RM18" s="1">
        <v>0</v>
      </c>
      <c r="RN18" s="1">
        <v>0</v>
      </c>
      <c r="RO18" s="1">
        <v>0</v>
      </c>
      <c r="RP18" s="1">
        <v>0</v>
      </c>
      <c r="RQ18" s="1">
        <v>0</v>
      </c>
      <c r="RR18" s="1">
        <v>0</v>
      </c>
      <c r="RS18" s="1">
        <v>0</v>
      </c>
      <c r="RT18" s="1">
        <v>0</v>
      </c>
      <c r="RU18" s="1">
        <v>0</v>
      </c>
      <c r="RV18" s="1">
        <v>0</v>
      </c>
      <c r="RW18" s="1">
        <v>0</v>
      </c>
      <c r="RX18" s="1">
        <v>0</v>
      </c>
      <c r="RY18" s="1">
        <v>0</v>
      </c>
      <c r="RZ18" s="1">
        <v>0</v>
      </c>
      <c r="SA18" s="1">
        <v>0</v>
      </c>
      <c r="SB18" s="1">
        <v>0</v>
      </c>
      <c r="SC18" s="1">
        <v>0</v>
      </c>
      <c r="SD18" s="1">
        <v>0</v>
      </c>
      <c r="SE18" s="1">
        <v>0</v>
      </c>
      <c r="SF18" s="1">
        <v>0</v>
      </c>
      <c r="SG18" s="1">
        <v>0</v>
      </c>
      <c r="SH18" s="1">
        <v>0</v>
      </c>
      <c r="SI18" s="1">
        <v>0</v>
      </c>
      <c r="SJ18" s="1">
        <v>0</v>
      </c>
      <c r="SK18" s="1">
        <v>0</v>
      </c>
      <c r="SL18" s="1">
        <v>0</v>
      </c>
      <c r="SM18" s="1">
        <v>0</v>
      </c>
      <c r="SN18" s="1">
        <v>0</v>
      </c>
      <c r="SO18" s="1">
        <v>0</v>
      </c>
      <c r="SP18" s="1">
        <v>0</v>
      </c>
      <c r="SQ18" s="1">
        <v>0</v>
      </c>
      <c r="SR18" s="1">
        <v>0</v>
      </c>
      <c r="SS18" s="1">
        <v>0</v>
      </c>
      <c r="ST18" s="1">
        <v>0</v>
      </c>
      <c r="SU18" s="1">
        <v>0</v>
      </c>
      <c r="SV18" s="1">
        <v>0</v>
      </c>
      <c r="SW18" s="1">
        <v>0</v>
      </c>
      <c r="SX18" s="1">
        <v>0</v>
      </c>
      <c r="SY18" s="1">
        <v>0</v>
      </c>
      <c r="SZ18" s="1">
        <v>0</v>
      </c>
      <c r="TA18" s="1">
        <v>0</v>
      </c>
      <c r="TB18" s="1">
        <v>0</v>
      </c>
      <c r="TC18" s="1">
        <v>0</v>
      </c>
      <c r="TD18" s="1">
        <v>0</v>
      </c>
      <c r="TE18" s="1">
        <v>0</v>
      </c>
      <c r="TF18" s="1">
        <v>0</v>
      </c>
      <c r="TG18" s="1">
        <v>0</v>
      </c>
      <c r="TH18" s="1">
        <v>0</v>
      </c>
      <c r="TI18" s="1">
        <v>0</v>
      </c>
      <c r="TJ18" s="1">
        <v>0</v>
      </c>
      <c r="TK18" s="1">
        <v>0</v>
      </c>
      <c r="TL18" s="1">
        <v>0</v>
      </c>
      <c r="TM18" s="1">
        <v>0</v>
      </c>
      <c r="TN18" s="1">
        <v>0</v>
      </c>
      <c r="TO18" s="1">
        <v>0</v>
      </c>
      <c r="TP18" s="1">
        <v>0</v>
      </c>
      <c r="TQ18" s="1">
        <v>0</v>
      </c>
      <c r="TR18" s="1">
        <v>0</v>
      </c>
      <c r="TS18" s="1">
        <v>0</v>
      </c>
      <c r="TT18" s="1">
        <v>0</v>
      </c>
      <c r="TU18" s="1">
        <v>0</v>
      </c>
      <c r="TV18" s="1">
        <v>0</v>
      </c>
      <c r="TW18" s="1">
        <v>0</v>
      </c>
      <c r="TX18" s="1">
        <v>0</v>
      </c>
      <c r="TY18" s="1">
        <v>0</v>
      </c>
      <c r="TZ18" s="1">
        <v>0</v>
      </c>
      <c r="UA18" s="1">
        <v>0</v>
      </c>
      <c r="UB18" s="1">
        <v>0</v>
      </c>
      <c r="UC18" s="1">
        <v>0</v>
      </c>
      <c r="UD18" s="1">
        <v>0</v>
      </c>
      <c r="UE18" s="1">
        <v>0</v>
      </c>
      <c r="UF18" s="1">
        <v>0</v>
      </c>
      <c r="UG18" s="1">
        <v>0</v>
      </c>
      <c r="UH18" s="1">
        <v>0</v>
      </c>
      <c r="UI18" s="1">
        <v>0</v>
      </c>
      <c r="UJ18" s="1">
        <v>0</v>
      </c>
      <c r="UK18" s="1">
        <v>0</v>
      </c>
      <c r="UL18" s="1">
        <v>0</v>
      </c>
      <c r="UM18" s="1">
        <v>0</v>
      </c>
      <c r="UN18" s="1">
        <v>0</v>
      </c>
      <c r="UO18" s="1">
        <v>0</v>
      </c>
      <c r="UP18" s="1">
        <v>0</v>
      </c>
      <c r="UQ18" s="1">
        <v>0</v>
      </c>
      <c r="UR18" s="1">
        <v>0</v>
      </c>
      <c r="US18" s="1">
        <v>0</v>
      </c>
      <c r="UT18" s="1">
        <v>0</v>
      </c>
      <c r="UU18" s="1">
        <v>0</v>
      </c>
      <c r="UV18" s="1">
        <v>0</v>
      </c>
      <c r="UW18" s="1">
        <v>0</v>
      </c>
      <c r="UX18" s="1">
        <v>0</v>
      </c>
      <c r="UY18" s="1">
        <v>0</v>
      </c>
      <c r="UZ18" s="1">
        <v>0</v>
      </c>
      <c r="VA18" s="1">
        <v>0</v>
      </c>
      <c r="VB18" s="1">
        <v>0</v>
      </c>
      <c r="VC18" s="1">
        <v>0</v>
      </c>
      <c r="VD18" s="1">
        <v>0</v>
      </c>
      <c r="VE18" s="1">
        <v>0</v>
      </c>
      <c r="VF18" s="1">
        <v>0</v>
      </c>
      <c r="VG18" s="1">
        <v>0</v>
      </c>
      <c r="VH18" s="1">
        <v>0</v>
      </c>
      <c r="VI18" s="1">
        <v>0</v>
      </c>
      <c r="VJ18" s="1">
        <v>0</v>
      </c>
      <c r="VK18" s="1">
        <v>0</v>
      </c>
      <c r="VL18" s="1">
        <v>0</v>
      </c>
      <c r="VM18" s="1">
        <v>0</v>
      </c>
      <c r="VN18" s="1">
        <v>0</v>
      </c>
      <c r="VO18" s="1">
        <v>0</v>
      </c>
      <c r="VP18" s="1">
        <v>0</v>
      </c>
      <c r="VQ18" s="1">
        <v>0</v>
      </c>
      <c r="VR18" s="1">
        <v>0</v>
      </c>
      <c r="VS18" s="1">
        <v>0</v>
      </c>
      <c r="VT18" s="1">
        <v>0</v>
      </c>
      <c r="VU18" s="1">
        <v>0</v>
      </c>
      <c r="VV18" s="1">
        <v>0</v>
      </c>
      <c r="VW18" s="1">
        <v>0</v>
      </c>
      <c r="VX18" s="1">
        <v>0</v>
      </c>
      <c r="VY18" s="1">
        <v>0</v>
      </c>
      <c r="VZ18" s="1">
        <v>0</v>
      </c>
      <c r="WA18" s="1">
        <v>0</v>
      </c>
      <c r="WB18" s="1">
        <v>0</v>
      </c>
      <c r="WC18" s="1">
        <v>0</v>
      </c>
      <c r="WD18" s="1">
        <v>0</v>
      </c>
      <c r="WE18" s="1">
        <v>0</v>
      </c>
      <c r="WF18" s="1">
        <v>0</v>
      </c>
      <c r="WG18" s="1">
        <v>0</v>
      </c>
      <c r="WH18" s="1">
        <v>0</v>
      </c>
      <c r="WI18" s="1">
        <v>0</v>
      </c>
      <c r="WJ18" s="1">
        <v>0</v>
      </c>
      <c r="WK18" s="1">
        <v>0</v>
      </c>
      <c r="WL18" s="1">
        <v>0</v>
      </c>
      <c r="WM18" s="1">
        <v>0</v>
      </c>
      <c r="WN18" s="1">
        <v>0</v>
      </c>
      <c r="WO18" s="1">
        <v>0</v>
      </c>
      <c r="WP18" s="1">
        <v>0</v>
      </c>
      <c r="WQ18" s="1">
        <v>0</v>
      </c>
      <c r="WR18" s="1">
        <v>0</v>
      </c>
      <c r="WS18" s="1">
        <v>0</v>
      </c>
      <c r="WT18" s="1">
        <v>0</v>
      </c>
      <c r="WU18" s="1">
        <v>0</v>
      </c>
      <c r="WV18" s="1">
        <v>0</v>
      </c>
      <c r="WW18" s="1">
        <v>0</v>
      </c>
      <c r="WX18" s="1">
        <v>0</v>
      </c>
      <c r="WY18" s="1">
        <v>0</v>
      </c>
      <c r="WZ18" s="1">
        <v>0</v>
      </c>
      <c r="XA18" s="1">
        <v>0</v>
      </c>
      <c r="XB18" s="1">
        <v>0</v>
      </c>
      <c r="XC18" s="1">
        <v>0</v>
      </c>
      <c r="XD18" s="1">
        <v>0</v>
      </c>
      <c r="XE18" s="1">
        <v>0</v>
      </c>
      <c r="XF18" s="1">
        <v>0</v>
      </c>
      <c r="XG18" s="1">
        <v>0</v>
      </c>
      <c r="XH18" s="1">
        <v>0</v>
      </c>
      <c r="XI18" s="1">
        <v>0</v>
      </c>
      <c r="XJ18" s="1">
        <v>0</v>
      </c>
      <c r="XK18" s="1">
        <v>0</v>
      </c>
      <c r="XL18" s="1">
        <v>0</v>
      </c>
      <c r="XM18" s="1">
        <v>0</v>
      </c>
      <c r="XN18" s="1">
        <v>0</v>
      </c>
      <c r="XO18" s="1">
        <v>0</v>
      </c>
      <c r="XP18" s="1">
        <v>0</v>
      </c>
      <c r="XQ18" s="1">
        <v>0</v>
      </c>
      <c r="XR18" s="1">
        <v>0</v>
      </c>
      <c r="XS18" s="1">
        <v>0</v>
      </c>
      <c r="XT18" s="1">
        <v>0</v>
      </c>
      <c r="XU18" s="1">
        <v>0</v>
      </c>
      <c r="XV18" s="1">
        <v>0</v>
      </c>
      <c r="XW18" s="1">
        <v>0</v>
      </c>
      <c r="XX18" s="1">
        <v>0</v>
      </c>
      <c r="XY18" s="1">
        <v>0</v>
      </c>
      <c r="XZ18" s="1">
        <v>0</v>
      </c>
      <c r="YA18" s="1">
        <v>0</v>
      </c>
      <c r="YB18" s="1">
        <v>0</v>
      </c>
      <c r="YC18" s="1">
        <v>0</v>
      </c>
      <c r="YD18" s="1">
        <v>0</v>
      </c>
      <c r="YE18" s="1">
        <v>0</v>
      </c>
      <c r="YF18" s="1">
        <v>0</v>
      </c>
      <c r="YG18" s="1">
        <v>0</v>
      </c>
      <c r="YH18" s="1">
        <v>0</v>
      </c>
      <c r="YI18" s="1">
        <v>0</v>
      </c>
      <c r="YJ18" s="1">
        <v>0</v>
      </c>
      <c r="YK18" s="1">
        <v>0</v>
      </c>
      <c r="YL18" s="1">
        <v>0</v>
      </c>
      <c r="YM18" s="1">
        <v>0</v>
      </c>
      <c r="YN18" s="1">
        <v>0</v>
      </c>
      <c r="YO18" s="1">
        <v>0</v>
      </c>
      <c r="YP18" s="1">
        <v>0</v>
      </c>
      <c r="YQ18" s="1">
        <v>0</v>
      </c>
      <c r="YR18" s="1">
        <v>0</v>
      </c>
      <c r="YS18" s="1">
        <v>0</v>
      </c>
      <c r="YT18" s="1">
        <v>0</v>
      </c>
      <c r="YU18" s="1">
        <v>0</v>
      </c>
      <c r="YV18" s="1">
        <v>0</v>
      </c>
      <c r="YW18" s="1">
        <v>0</v>
      </c>
      <c r="YX18" s="1">
        <v>0</v>
      </c>
      <c r="YY18" s="1">
        <v>0</v>
      </c>
      <c r="YZ18" s="1">
        <v>0</v>
      </c>
      <c r="ZA18" s="1">
        <v>0</v>
      </c>
      <c r="ZB18" s="1">
        <v>0</v>
      </c>
      <c r="ZC18" s="1">
        <v>0</v>
      </c>
      <c r="ZD18" s="1">
        <v>0</v>
      </c>
      <c r="ZE18" s="1">
        <v>0</v>
      </c>
      <c r="ZF18" s="1">
        <v>0</v>
      </c>
      <c r="ZG18" s="1">
        <v>0</v>
      </c>
      <c r="ZH18" s="1">
        <v>0</v>
      </c>
      <c r="ZI18" s="1">
        <v>0</v>
      </c>
      <c r="ZJ18" s="1">
        <v>0</v>
      </c>
      <c r="ZK18" s="1">
        <v>0</v>
      </c>
      <c r="ZL18" s="1">
        <v>0</v>
      </c>
      <c r="ZM18" s="1">
        <v>0</v>
      </c>
      <c r="ZN18" s="1">
        <v>0</v>
      </c>
      <c r="ZO18" s="1">
        <v>0</v>
      </c>
      <c r="ZP18" s="1">
        <v>0</v>
      </c>
      <c r="ZQ18" s="1">
        <v>0</v>
      </c>
      <c r="ZR18" s="1">
        <v>0</v>
      </c>
      <c r="ZS18" s="1">
        <v>0</v>
      </c>
      <c r="ZT18" s="1">
        <v>0</v>
      </c>
      <c r="ZU18" s="1">
        <v>0</v>
      </c>
      <c r="ZV18" s="1">
        <v>0</v>
      </c>
      <c r="ZW18" s="1">
        <v>0</v>
      </c>
      <c r="ZX18" s="1">
        <v>0</v>
      </c>
      <c r="ZY18" s="1">
        <v>0</v>
      </c>
      <c r="ZZ18" s="1">
        <v>0</v>
      </c>
      <c r="AAA18" s="1">
        <v>0</v>
      </c>
      <c r="AAB18" s="1">
        <v>0</v>
      </c>
      <c r="AAC18" s="1">
        <v>0</v>
      </c>
      <c r="AAD18" s="1">
        <v>0</v>
      </c>
      <c r="AAE18" s="1">
        <v>0</v>
      </c>
      <c r="AAF18" s="1">
        <v>0</v>
      </c>
      <c r="AAG18" s="1">
        <v>0</v>
      </c>
      <c r="AAH18" s="1">
        <v>0</v>
      </c>
      <c r="AAI18" s="1">
        <v>0</v>
      </c>
      <c r="AAJ18" s="1">
        <v>0</v>
      </c>
      <c r="AAK18" s="1">
        <v>0</v>
      </c>
      <c r="AAL18" s="1">
        <v>0</v>
      </c>
      <c r="AAM18" s="1">
        <v>0</v>
      </c>
      <c r="AAN18" s="1">
        <v>0</v>
      </c>
      <c r="AAO18" s="1">
        <v>0</v>
      </c>
      <c r="AAP18" s="1">
        <v>0</v>
      </c>
      <c r="AAQ18" s="1">
        <v>0</v>
      </c>
      <c r="AAR18" s="1">
        <v>0</v>
      </c>
      <c r="AAS18" s="1">
        <v>0</v>
      </c>
      <c r="AAT18" s="1">
        <v>0</v>
      </c>
      <c r="AAU18" s="1">
        <v>0</v>
      </c>
      <c r="AAV18" s="1">
        <v>0</v>
      </c>
      <c r="AAW18" s="1">
        <v>0</v>
      </c>
      <c r="AAX18" s="1">
        <v>0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AF0B-9207-4706-8D00-26C59118112E}">
  <dimension ref="A1:R77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:R726"/>
    </sheetView>
  </sheetViews>
  <sheetFormatPr defaultRowHeight="18.75"/>
  <sheetData>
    <row r="1" spans="1:18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25</v>
      </c>
    </row>
    <row r="2" spans="1:18">
      <c r="A2" s="1" t="s">
        <v>1</v>
      </c>
      <c r="B2" s="1" t="s">
        <v>2</v>
      </c>
      <c r="C2" s="1" t="s">
        <v>2</v>
      </c>
      <c r="D2" s="1" t="s">
        <v>2</v>
      </c>
      <c r="E2" s="1" t="s">
        <v>2</v>
      </c>
      <c r="F2" s="1" t="s">
        <v>2</v>
      </c>
      <c r="G2" s="1" t="s">
        <v>2</v>
      </c>
      <c r="H2" s="1" t="s">
        <v>2</v>
      </c>
      <c r="I2" s="1" t="s">
        <v>2</v>
      </c>
      <c r="J2" s="1" t="s">
        <v>2</v>
      </c>
      <c r="K2" s="1" t="s">
        <v>2</v>
      </c>
      <c r="L2" s="1" t="s">
        <v>2</v>
      </c>
      <c r="M2" s="1" t="s">
        <v>2</v>
      </c>
      <c r="N2" s="1" t="s">
        <v>2</v>
      </c>
      <c r="O2" s="1" t="s">
        <v>2</v>
      </c>
      <c r="P2" s="1" t="s">
        <v>2</v>
      </c>
      <c r="Q2" s="1" t="s">
        <v>2</v>
      </c>
      <c r="R2" s="1" t="s">
        <v>21</v>
      </c>
    </row>
    <row r="3" spans="1:18">
      <c r="A3" s="1"/>
      <c r="B3" s="1" t="s">
        <v>3</v>
      </c>
      <c r="C3" s="1" t="s">
        <v>3</v>
      </c>
      <c r="D3" s="1" t="s">
        <v>3</v>
      </c>
      <c r="E3" s="1" t="s">
        <v>3</v>
      </c>
      <c r="F3" s="1" t="s">
        <v>3</v>
      </c>
      <c r="G3" s="1" t="s">
        <v>3</v>
      </c>
      <c r="H3" s="1" t="s">
        <v>3</v>
      </c>
      <c r="I3" s="1" t="s">
        <v>3</v>
      </c>
      <c r="J3" s="1" t="s">
        <v>3</v>
      </c>
      <c r="K3" s="1" t="s">
        <v>3</v>
      </c>
      <c r="L3" s="1" t="s">
        <v>3</v>
      </c>
      <c r="M3" s="1" t="s">
        <v>3</v>
      </c>
      <c r="N3" s="1" t="s">
        <v>3</v>
      </c>
      <c r="O3" s="1" t="s">
        <v>3</v>
      </c>
      <c r="P3" s="1" t="s">
        <v>3</v>
      </c>
      <c r="Q3" s="1" t="s">
        <v>3</v>
      </c>
      <c r="R3" s="1" t="s">
        <v>3</v>
      </c>
    </row>
    <row r="4" spans="1:18">
      <c r="A4" s="1"/>
      <c r="B4" s="1" t="s">
        <v>4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 t="s">
        <v>16</v>
      </c>
      <c r="N4" s="1" t="s">
        <v>17</v>
      </c>
      <c r="O4" s="1" t="s">
        <v>18</v>
      </c>
      <c r="P4" s="1" t="s">
        <v>19</v>
      </c>
      <c r="Q4" s="1" t="s">
        <v>20</v>
      </c>
      <c r="R4" s="1" t="s">
        <v>22</v>
      </c>
    </row>
    <row r="5" spans="1:18">
      <c r="A5" s="1"/>
      <c r="B5" s="1" t="s">
        <v>5</v>
      </c>
      <c r="C5" s="1" t="s">
        <v>5</v>
      </c>
      <c r="D5" s="1" t="s">
        <v>5</v>
      </c>
      <c r="E5" s="1" t="s">
        <v>5</v>
      </c>
      <c r="F5" s="1" t="s">
        <v>5</v>
      </c>
      <c r="G5" s="1" t="s">
        <v>5</v>
      </c>
      <c r="H5" s="1" t="s">
        <v>5</v>
      </c>
      <c r="I5" s="1" t="s">
        <v>5</v>
      </c>
      <c r="J5" s="1" t="s">
        <v>5</v>
      </c>
      <c r="K5" s="1" t="s">
        <v>5</v>
      </c>
      <c r="L5" s="1" t="s">
        <v>5</v>
      </c>
      <c r="M5" s="1" t="s">
        <v>5</v>
      </c>
      <c r="N5" s="1" t="s">
        <v>5</v>
      </c>
      <c r="O5" s="1" t="s">
        <v>5</v>
      </c>
      <c r="P5" s="1" t="s">
        <v>5</v>
      </c>
      <c r="Q5" s="1" t="s">
        <v>5</v>
      </c>
      <c r="R5" s="1" t="s">
        <v>5</v>
      </c>
    </row>
    <row r="6" spans="1:18">
      <c r="A6" s="2">
        <v>0</v>
      </c>
      <c r="B6" s="1">
        <v>952866</v>
      </c>
      <c r="C6" s="1">
        <v>956504</v>
      </c>
      <c r="D6" s="1">
        <v>28648.6</v>
      </c>
      <c r="E6" s="1">
        <v>0</v>
      </c>
      <c r="F6" s="1">
        <v>388788</v>
      </c>
      <c r="G6" s="1">
        <v>18424.099999999999</v>
      </c>
      <c r="H6" s="1">
        <v>357636</v>
      </c>
      <c r="I6" s="1">
        <v>435642</v>
      </c>
      <c r="J6" s="1">
        <v>43294</v>
      </c>
      <c r="K6" s="1">
        <v>86616.8</v>
      </c>
      <c r="L6" s="1">
        <v>77646.5</v>
      </c>
      <c r="M6" s="1">
        <v>39693.9</v>
      </c>
      <c r="N6" s="1">
        <v>52836.5</v>
      </c>
      <c r="O6" s="1">
        <v>71093.100000000006</v>
      </c>
      <c r="P6" s="1">
        <v>50480</v>
      </c>
      <c r="Q6" s="1">
        <v>78605</v>
      </c>
      <c r="R6" s="1">
        <v>0</v>
      </c>
    </row>
    <row r="7" spans="1:18">
      <c r="A7" s="2">
        <v>4.1666666666666664E-2</v>
      </c>
      <c r="B7" s="1">
        <v>953589</v>
      </c>
      <c r="C7" s="1">
        <v>956691</v>
      </c>
      <c r="D7" s="1">
        <v>28666.3</v>
      </c>
      <c r="E7" s="1">
        <v>0</v>
      </c>
      <c r="F7" s="1">
        <v>388803</v>
      </c>
      <c r="G7" s="1">
        <v>18475.599999999999</v>
      </c>
      <c r="H7" s="1">
        <v>357647</v>
      </c>
      <c r="I7" s="1">
        <v>435873</v>
      </c>
      <c r="J7" s="1">
        <v>43303.5</v>
      </c>
      <c r="K7" s="1">
        <v>86621.1</v>
      </c>
      <c r="L7" s="1">
        <v>77671.600000000006</v>
      </c>
      <c r="M7" s="1">
        <v>39738.400000000001</v>
      </c>
      <c r="N7" s="1">
        <v>52891.1</v>
      </c>
      <c r="O7" s="1">
        <v>71112.7</v>
      </c>
      <c r="P7" s="1">
        <v>50480</v>
      </c>
      <c r="Q7" s="1">
        <v>78605</v>
      </c>
      <c r="R7" s="1">
        <v>0</v>
      </c>
    </row>
    <row r="8" spans="1:18">
      <c r="A8" s="2">
        <v>8.3333333333333329E-2</v>
      </c>
      <c r="B8" s="1">
        <v>954281</v>
      </c>
      <c r="C8" s="1">
        <v>956865</v>
      </c>
      <c r="D8" s="1">
        <v>28682.3</v>
      </c>
      <c r="E8" s="1">
        <v>0</v>
      </c>
      <c r="F8" s="1">
        <v>388817</v>
      </c>
      <c r="G8" s="1">
        <v>18526.900000000001</v>
      </c>
      <c r="H8" s="1">
        <v>357659</v>
      </c>
      <c r="I8" s="1">
        <v>436090</v>
      </c>
      <c r="J8" s="1">
        <v>43312.7</v>
      </c>
      <c r="K8" s="1">
        <v>86625.5</v>
      </c>
      <c r="L8" s="1">
        <v>77695.3</v>
      </c>
      <c r="M8" s="1">
        <v>39782</v>
      </c>
      <c r="N8" s="1">
        <v>52945.7</v>
      </c>
      <c r="O8" s="1">
        <v>71133.8</v>
      </c>
      <c r="P8" s="1">
        <v>50480</v>
      </c>
      <c r="Q8" s="1">
        <v>78605</v>
      </c>
      <c r="R8" s="1">
        <v>0</v>
      </c>
    </row>
    <row r="9" spans="1:18">
      <c r="A9" s="2">
        <v>0.125</v>
      </c>
      <c r="B9" s="1">
        <v>954953</v>
      </c>
      <c r="C9" s="1">
        <v>957035</v>
      </c>
      <c r="D9" s="1">
        <v>28695.3</v>
      </c>
      <c r="E9" s="1">
        <v>0</v>
      </c>
      <c r="F9" s="1">
        <v>388832</v>
      </c>
      <c r="G9" s="1">
        <v>18577.3</v>
      </c>
      <c r="H9" s="1">
        <v>357670</v>
      </c>
      <c r="I9" s="1">
        <v>436300</v>
      </c>
      <c r="J9" s="1">
        <v>43322</v>
      </c>
      <c r="K9" s="1">
        <v>86629.9</v>
      </c>
      <c r="L9" s="1">
        <v>77718.2</v>
      </c>
      <c r="M9" s="1">
        <v>39824.9</v>
      </c>
      <c r="N9" s="1">
        <v>53000.2</v>
      </c>
      <c r="O9" s="1">
        <v>71154.600000000006</v>
      </c>
      <c r="P9" s="1">
        <v>50480</v>
      </c>
      <c r="Q9" s="1">
        <v>78605</v>
      </c>
      <c r="R9" s="1">
        <v>0</v>
      </c>
    </row>
    <row r="10" spans="1:18">
      <c r="A10" s="2">
        <v>0.16666666666666666</v>
      </c>
      <c r="B10" s="1">
        <v>955615</v>
      </c>
      <c r="C10" s="1">
        <v>957197</v>
      </c>
      <c r="D10" s="1">
        <v>28708.5</v>
      </c>
      <c r="E10" s="1">
        <v>0</v>
      </c>
      <c r="F10" s="1">
        <v>388847</v>
      </c>
      <c r="G10" s="1">
        <v>18627</v>
      </c>
      <c r="H10" s="1">
        <v>357682</v>
      </c>
      <c r="I10" s="1">
        <v>436509</v>
      </c>
      <c r="J10" s="1">
        <v>43330.8</v>
      </c>
      <c r="K10" s="1">
        <v>86634.8</v>
      </c>
      <c r="L10" s="1">
        <v>77739.100000000006</v>
      </c>
      <c r="M10" s="1">
        <v>39868.199999999997</v>
      </c>
      <c r="N10" s="1">
        <v>53054.8</v>
      </c>
      <c r="O10" s="1">
        <v>71175.600000000006</v>
      </c>
      <c r="P10" s="1">
        <v>50480</v>
      </c>
      <c r="Q10" s="1">
        <v>78605</v>
      </c>
      <c r="R10" s="1">
        <v>0</v>
      </c>
    </row>
    <row r="11" spans="1:18">
      <c r="A11" s="2">
        <v>0.20833333333333334</v>
      </c>
      <c r="B11" s="1">
        <v>956267</v>
      </c>
      <c r="C11" s="1">
        <v>957356</v>
      </c>
      <c r="D11" s="1">
        <v>28721.599999999999</v>
      </c>
      <c r="E11" s="1">
        <v>0</v>
      </c>
      <c r="F11" s="1">
        <v>388862</v>
      </c>
      <c r="G11" s="1">
        <v>18676.900000000001</v>
      </c>
      <c r="H11" s="1">
        <v>357693</v>
      </c>
      <c r="I11" s="1">
        <v>436714</v>
      </c>
      <c r="J11" s="1">
        <v>43338.9</v>
      </c>
      <c r="K11" s="1">
        <v>86639.3</v>
      </c>
      <c r="L11" s="1">
        <v>77758.899999999994</v>
      </c>
      <c r="M11" s="1">
        <v>39910.300000000003</v>
      </c>
      <c r="N11" s="1">
        <v>53109.4</v>
      </c>
      <c r="O11" s="1">
        <v>71197.8</v>
      </c>
      <c r="P11" s="1">
        <v>50480</v>
      </c>
      <c r="Q11" s="1">
        <v>78605</v>
      </c>
      <c r="R11" s="1">
        <v>0</v>
      </c>
    </row>
    <row r="12" spans="1:18">
      <c r="A12" s="2">
        <v>0.25</v>
      </c>
      <c r="B12" s="1">
        <v>956894</v>
      </c>
      <c r="C12" s="1">
        <v>957511</v>
      </c>
      <c r="D12" s="1">
        <v>28734.2</v>
      </c>
      <c r="E12" s="1">
        <v>0</v>
      </c>
      <c r="F12" s="1">
        <v>388875</v>
      </c>
      <c r="G12" s="1">
        <v>18724.8</v>
      </c>
      <c r="H12" s="1">
        <v>357706</v>
      </c>
      <c r="I12" s="1">
        <v>436909</v>
      </c>
      <c r="J12" s="1">
        <v>43346.9</v>
      </c>
      <c r="K12" s="1">
        <v>86643.199999999997</v>
      </c>
      <c r="L12" s="1">
        <v>77776.800000000003</v>
      </c>
      <c r="M12" s="1">
        <v>39951.599999999999</v>
      </c>
      <c r="N12" s="1">
        <v>53163.9</v>
      </c>
      <c r="O12" s="1">
        <v>71217.399999999994</v>
      </c>
      <c r="P12" s="1">
        <v>50480</v>
      </c>
      <c r="Q12" s="1">
        <v>78605</v>
      </c>
      <c r="R12" s="1">
        <v>0</v>
      </c>
    </row>
    <row r="13" spans="1:18">
      <c r="A13" s="2">
        <v>0.29166666666666669</v>
      </c>
      <c r="B13" s="1">
        <v>957532</v>
      </c>
      <c r="C13" s="1">
        <v>957670</v>
      </c>
      <c r="D13" s="1">
        <v>28747.3</v>
      </c>
      <c r="E13" s="1">
        <v>0</v>
      </c>
      <c r="F13" s="1">
        <v>388889</v>
      </c>
      <c r="G13" s="1">
        <v>18772.599999999999</v>
      </c>
      <c r="H13" s="1">
        <v>357717</v>
      </c>
      <c r="I13" s="1">
        <v>437111</v>
      </c>
      <c r="J13" s="1">
        <v>43356.2</v>
      </c>
      <c r="K13" s="1">
        <v>86645.8</v>
      </c>
      <c r="L13" s="1">
        <v>77795.8</v>
      </c>
      <c r="M13" s="1">
        <v>39993.9</v>
      </c>
      <c r="N13" s="1">
        <v>53216.5</v>
      </c>
      <c r="O13" s="1">
        <v>71235.399999999994</v>
      </c>
      <c r="P13" s="1">
        <v>50481</v>
      </c>
      <c r="Q13" s="1">
        <v>78606</v>
      </c>
      <c r="R13" s="1">
        <v>0</v>
      </c>
    </row>
    <row r="14" spans="1:18">
      <c r="A14" s="2">
        <v>0.33333333333333331</v>
      </c>
      <c r="B14" s="1">
        <v>958193</v>
      </c>
      <c r="C14" s="1">
        <v>957835</v>
      </c>
      <c r="D14" s="1">
        <v>28760.2</v>
      </c>
      <c r="E14" s="1">
        <v>0</v>
      </c>
      <c r="F14" s="1">
        <v>388903</v>
      </c>
      <c r="G14" s="1">
        <v>18819.5</v>
      </c>
      <c r="H14" s="1">
        <v>357727</v>
      </c>
      <c r="I14" s="1">
        <v>437329</v>
      </c>
      <c r="J14" s="1">
        <v>43366.1</v>
      </c>
      <c r="K14" s="1">
        <v>86646.1</v>
      </c>
      <c r="L14" s="1">
        <v>77814.7</v>
      </c>
      <c r="M14" s="1">
        <v>40038.199999999997</v>
      </c>
      <c r="N14" s="1">
        <v>53266.6</v>
      </c>
      <c r="O14" s="1">
        <v>71255.399999999994</v>
      </c>
      <c r="P14" s="1">
        <v>50482</v>
      </c>
      <c r="Q14" s="1">
        <v>78610</v>
      </c>
      <c r="R14" s="1">
        <v>0</v>
      </c>
    </row>
    <row r="15" spans="1:18">
      <c r="A15" s="2">
        <v>0.375</v>
      </c>
      <c r="B15" s="1">
        <v>958875</v>
      </c>
      <c r="C15" s="1">
        <v>958017</v>
      </c>
      <c r="D15" s="1">
        <v>28772.9</v>
      </c>
      <c r="E15" s="1">
        <v>0</v>
      </c>
      <c r="F15" s="1">
        <v>388918</v>
      </c>
      <c r="G15" s="1">
        <v>18861.400000000001</v>
      </c>
      <c r="H15" s="1">
        <v>357738</v>
      </c>
      <c r="I15" s="1">
        <v>437558</v>
      </c>
      <c r="J15" s="1">
        <v>43375.9</v>
      </c>
      <c r="K15" s="1">
        <v>86646.1</v>
      </c>
      <c r="L15" s="1">
        <v>77833.8</v>
      </c>
      <c r="M15" s="1">
        <v>40081.5</v>
      </c>
      <c r="N15" s="1">
        <v>53316.6</v>
      </c>
      <c r="O15" s="1">
        <v>71276.600000000006</v>
      </c>
      <c r="P15" s="1">
        <v>50486</v>
      </c>
      <c r="Q15" s="1">
        <v>78617</v>
      </c>
      <c r="R15" s="1">
        <v>0</v>
      </c>
    </row>
    <row r="16" spans="1:18">
      <c r="A16" s="2">
        <v>0.41666666666666669</v>
      </c>
      <c r="B16" s="1">
        <v>959565</v>
      </c>
      <c r="C16" s="1">
        <v>958205</v>
      </c>
      <c r="D16" s="1">
        <v>28786.1</v>
      </c>
      <c r="E16" s="1">
        <v>0</v>
      </c>
      <c r="F16" s="1">
        <v>388933</v>
      </c>
      <c r="G16" s="1">
        <v>18896.400000000001</v>
      </c>
      <c r="H16" s="1">
        <v>357749</v>
      </c>
      <c r="I16" s="1">
        <v>437797</v>
      </c>
      <c r="J16" s="1">
        <v>43386.1</v>
      </c>
      <c r="K16" s="1">
        <v>86646.1</v>
      </c>
      <c r="L16" s="1">
        <v>77852.399999999994</v>
      </c>
      <c r="M16" s="1">
        <v>40124.9</v>
      </c>
      <c r="N16" s="1">
        <v>53363</v>
      </c>
      <c r="O16" s="1">
        <v>71298</v>
      </c>
      <c r="P16" s="1">
        <v>50493</v>
      </c>
      <c r="Q16" s="1">
        <v>78629</v>
      </c>
      <c r="R16" s="1">
        <v>0</v>
      </c>
    </row>
    <row r="17" spans="1:18">
      <c r="A17" s="2">
        <v>0.45833333333333331</v>
      </c>
      <c r="B17" s="1">
        <v>960302</v>
      </c>
      <c r="C17" s="1">
        <v>958402</v>
      </c>
      <c r="D17" s="1">
        <v>28806.7</v>
      </c>
      <c r="E17" s="1">
        <v>0</v>
      </c>
      <c r="F17" s="1">
        <v>388950</v>
      </c>
      <c r="G17" s="1">
        <v>18927.900000000001</v>
      </c>
      <c r="H17" s="1">
        <v>357760</v>
      </c>
      <c r="I17" s="1">
        <v>438054</v>
      </c>
      <c r="J17" s="1">
        <v>43396.7</v>
      </c>
      <c r="K17" s="1">
        <v>86648.5</v>
      </c>
      <c r="L17" s="1">
        <v>77876</v>
      </c>
      <c r="M17" s="1">
        <v>40172</v>
      </c>
      <c r="N17" s="1">
        <v>53407.3</v>
      </c>
      <c r="O17" s="1">
        <v>71319.600000000006</v>
      </c>
      <c r="P17" s="1">
        <v>50503</v>
      </c>
      <c r="Q17" s="1">
        <v>78644</v>
      </c>
      <c r="R17" s="1">
        <v>0</v>
      </c>
    </row>
    <row r="18" spans="1:18">
      <c r="A18" s="2">
        <v>0.5</v>
      </c>
      <c r="B18" s="1">
        <v>961074</v>
      </c>
      <c r="C18" s="1">
        <v>958615</v>
      </c>
      <c r="D18" s="1">
        <v>28827.4</v>
      </c>
      <c r="E18" s="1">
        <v>0</v>
      </c>
      <c r="F18" s="1">
        <v>388968</v>
      </c>
      <c r="G18" s="1">
        <v>18955</v>
      </c>
      <c r="H18" s="1">
        <v>357772</v>
      </c>
      <c r="I18" s="1">
        <v>438331</v>
      </c>
      <c r="J18" s="1">
        <v>43407.9</v>
      </c>
      <c r="K18" s="1">
        <v>86649.5</v>
      </c>
      <c r="L18" s="1">
        <v>77898.8</v>
      </c>
      <c r="M18" s="1">
        <v>40218.800000000003</v>
      </c>
      <c r="N18" s="1">
        <v>53448.5</v>
      </c>
      <c r="O18" s="1">
        <v>71341</v>
      </c>
      <c r="P18" s="1">
        <v>50517</v>
      </c>
      <c r="Q18" s="1">
        <v>78664</v>
      </c>
      <c r="R18" s="1">
        <v>0</v>
      </c>
    </row>
    <row r="19" spans="1:18">
      <c r="A19" s="2">
        <v>0.54166666666666663</v>
      </c>
      <c r="B19" s="1">
        <v>961883</v>
      </c>
      <c r="C19" s="1">
        <v>958839</v>
      </c>
      <c r="D19" s="1">
        <v>28852.9</v>
      </c>
      <c r="E19" s="1">
        <v>0</v>
      </c>
      <c r="F19" s="1">
        <v>388989</v>
      </c>
      <c r="G19" s="1">
        <v>18990.099999999999</v>
      </c>
      <c r="H19" s="1">
        <v>357784</v>
      </c>
      <c r="I19" s="1">
        <v>438611</v>
      </c>
      <c r="J19" s="1">
        <v>43419.5</v>
      </c>
      <c r="K19" s="1">
        <v>86651.9</v>
      </c>
      <c r="L19" s="1">
        <v>77921.899999999994</v>
      </c>
      <c r="M19" s="1">
        <v>40265.699999999997</v>
      </c>
      <c r="N19" s="1">
        <v>53491</v>
      </c>
      <c r="O19" s="1">
        <v>71361.100000000006</v>
      </c>
      <c r="P19" s="1">
        <v>50528</v>
      </c>
      <c r="Q19" s="1">
        <v>78682</v>
      </c>
      <c r="R19" s="1">
        <v>0</v>
      </c>
    </row>
    <row r="20" spans="1:18">
      <c r="A20" s="2">
        <v>0.58333333333333337</v>
      </c>
      <c r="B20" s="1">
        <v>962710</v>
      </c>
      <c r="C20" s="1">
        <v>959070</v>
      </c>
      <c r="D20" s="1">
        <v>28876.7</v>
      </c>
      <c r="E20" s="1">
        <v>0</v>
      </c>
      <c r="F20" s="1">
        <v>389011</v>
      </c>
      <c r="G20" s="1">
        <v>19021.7</v>
      </c>
      <c r="H20" s="1">
        <v>357796</v>
      </c>
      <c r="I20" s="1">
        <v>438905</v>
      </c>
      <c r="J20" s="1">
        <v>43430.9</v>
      </c>
      <c r="K20" s="1">
        <v>86653.6</v>
      </c>
      <c r="L20" s="1">
        <v>77945.2</v>
      </c>
      <c r="M20" s="1">
        <v>40317.699999999997</v>
      </c>
      <c r="N20" s="1">
        <v>53533.4</v>
      </c>
      <c r="O20" s="1">
        <v>71384.399999999994</v>
      </c>
      <c r="P20" s="1">
        <v>50544</v>
      </c>
      <c r="Q20" s="1">
        <v>78705</v>
      </c>
      <c r="R20" s="1">
        <v>0</v>
      </c>
    </row>
    <row r="21" spans="1:18">
      <c r="A21" s="2">
        <v>0.625</v>
      </c>
      <c r="B21" s="1">
        <v>963571</v>
      </c>
      <c r="C21" s="1">
        <v>959309</v>
      </c>
      <c r="D21" s="1">
        <v>28906.799999999999</v>
      </c>
      <c r="E21" s="1">
        <v>0</v>
      </c>
      <c r="F21" s="1">
        <v>389034</v>
      </c>
      <c r="G21" s="1">
        <v>19061.8</v>
      </c>
      <c r="H21" s="1">
        <v>357807</v>
      </c>
      <c r="I21" s="1">
        <v>439205</v>
      </c>
      <c r="J21" s="1">
        <v>43442.5</v>
      </c>
      <c r="K21" s="1">
        <v>86658.7</v>
      </c>
      <c r="L21" s="1">
        <v>77969.2</v>
      </c>
      <c r="M21" s="1">
        <v>40368.300000000003</v>
      </c>
      <c r="N21" s="1">
        <v>53576.2</v>
      </c>
      <c r="O21" s="1">
        <v>71406.600000000006</v>
      </c>
      <c r="P21" s="1">
        <v>50556</v>
      </c>
      <c r="Q21" s="1">
        <v>78724</v>
      </c>
      <c r="R21" s="1">
        <v>0</v>
      </c>
    </row>
    <row r="22" spans="1:18">
      <c r="A22" s="2">
        <v>0.66666666666666663</v>
      </c>
      <c r="B22" s="1">
        <v>964468</v>
      </c>
      <c r="C22" s="1">
        <v>959548</v>
      </c>
      <c r="D22" s="1">
        <v>28940.3</v>
      </c>
      <c r="E22" s="1">
        <v>0</v>
      </c>
      <c r="F22" s="1">
        <v>389059</v>
      </c>
      <c r="G22" s="1">
        <v>19107.3</v>
      </c>
      <c r="H22" s="1">
        <v>357819</v>
      </c>
      <c r="I22" s="1">
        <v>439518</v>
      </c>
      <c r="J22" s="1">
        <v>43454.1</v>
      </c>
      <c r="K22" s="1">
        <v>86664.6</v>
      </c>
      <c r="L22" s="1">
        <v>78002.2</v>
      </c>
      <c r="M22" s="1">
        <v>40420.699999999997</v>
      </c>
      <c r="N22" s="1">
        <v>53620.2</v>
      </c>
      <c r="O22" s="1">
        <v>71428.399999999994</v>
      </c>
      <c r="P22" s="1">
        <v>50569</v>
      </c>
      <c r="Q22" s="1">
        <v>78744</v>
      </c>
      <c r="R22" s="1">
        <v>0</v>
      </c>
    </row>
    <row r="23" spans="1:18">
      <c r="A23" s="2">
        <v>0.70833333333333337</v>
      </c>
      <c r="B23" s="1">
        <v>965404</v>
      </c>
      <c r="C23" s="1">
        <v>959785</v>
      </c>
      <c r="D23" s="1">
        <v>28971</v>
      </c>
      <c r="E23" s="1">
        <v>0</v>
      </c>
      <c r="F23" s="1">
        <v>389085</v>
      </c>
      <c r="G23" s="1">
        <v>19161.400000000001</v>
      </c>
      <c r="H23" s="1">
        <v>357831</v>
      </c>
      <c r="I23" s="1">
        <v>439838</v>
      </c>
      <c r="J23" s="1">
        <v>43466.3</v>
      </c>
      <c r="K23" s="1">
        <v>86677.5</v>
      </c>
      <c r="L23" s="1">
        <v>78039.5</v>
      </c>
      <c r="M23" s="1">
        <v>40472.400000000001</v>
      </c>
      <c r="N23" s="1">
        <v>53670.3</v>
      </c>
      <c r="O23" s="1">
        <v>71451.600000000006</v>
      </c>
      <c r="P23" s="1">
        <v>50578</v>
      </c>
      <c r="Q23" s="1">
        <v>78758</v>
      </c>
      <c r="R23" s="1">
        <v>0</v>
      </c>
    </row>
    <row r="24" spans="1:18">
      <c r="A24" s="2">
        <v>0.75</v>
      </c>
      <c r="B24" s="1">
        <v>966337</v>
      </c>
      <c r="C24" s="1">
        <v>960026</v>
      </c>
      <c r="D24" s="1">
        <v>29000.799999999999</v>
      </c>
      <c r="E24" s="1">
        <v>0</v>
      </c>
      <c r="F24" s="1">
        <v>389109</v>
      </c>
      <c r="G24" s="1">
        <v>19224.8</v>
      </c>
      <c r="H24" s="1">
        <v>357842</v>
      </c>
      <c r="I24" s="1">
        <v>440152</v>
      </c>
      <c r="J24" s="1">
        <v>43477.8</v>
      </c>
      <c r="K24" s="1">
        <v>86697.1</v>
      </c>
      <c r="L24" s="1">
        <v>78067.8</v>
      </c>
      <c r="M24" s="1">
        <v>40522</v>
      </c>
      <c r="N24" s="1">
        <v>53722.7</v>
      </c>
      <c r="O24" s="1">
        <v>71474.2</v>
      </c>
      <c r="P24" s="1">
        <v>50583</v>
      </c>
      <c r="Q24" s="1">
        <v>78765</v>
      </c>
      <c r="R24" s="1">
        <v>0</v>
      </c>
    </row>
    <row r="25" spans="1:18">
      <c r="A25" s="2">
        <v>0.79166666666666663</v>
      </c>
      <c r="B25" s="1">
        <v>967240</v>
      </c>
      <c r="C25" s="1">
        <v>960256</v>
      </c>
      <c r="D25" s="1">
        <v>29021.7</v>
      </c>
      <c r="E25" s="1">
        <v>0</v>
      </c>
      <c r="F25" s="1">
        <v>389130</v>
      </c>
      <c r="G25" s="1">
        <v>19297.599999999999</v>
      </c>
      <c r="H25" s="1">
        <v>357854</v>
      </c>
      <c r="I25" s="1">
        <v>440459</v>
      </c>
      <c r="J25" s="1">
        <v>43489.2</v>
      </c>
      <c r="K25" s="1">
        <v>86717.6</v>
      </c>
      <c r="L25" s="1">
        <v>78093.7</v>
      </c>
      <c r="M25" s="1">
        <v>40570.800000000003</v>
      </c>
      <c r="N25" s="1">
        <v>53778.2</v>
      </c>
      <c r="O25" s="1">
        <v>71493.100000000006</v>
      </c>
      <c r="P25" s="1">
        <v>50584</v>
      </c>
      <c r="Q25" s="1">
        <v>78766</v>
      </c>
      <c r="R25" s="1">
        <v>0</v>
      </c>
    </row>
    <row r="26" spans="1:18">
      <c r="A26" s="2">
        <v>0.83333333333333337</v>
      </c>
      <c r="B26" s="1">
        <v>968097</v>
      </c>
      <c r="C26" s="1">
        <v>960468</v>
      </c>
      <c r="D26" s="1">
        <v>29038.2</v>
      </c>
      <c r="E26" s="1">
        <v>0</v>
      </c>
      <c r="F26" s="1">
        <v>389150</v>
      </c>
      <c r="G26" s="1">
        <v>19369.8</v>
      </c>
      <c r="H26" s="1">
        <v>357867</v>
      </c>
      <c r="I26" s="1">
        <v>440740</v>
      </c>
      <c r="J26" s="1">
        <v>43522.8</v>
      </c>
      <c r="K26" s="1">
        <v>86722.4</v>
      </c>
      <c r="L26" s="1">
        <v>78115.100000000006</v>
      </c>
      <c r="M26" s="1">
        <v>40617.300000000003</v>
      </c>
      <c r="N26" s="1">
        <v>53834.5</v>
      </c>
      <c r="O26" s="1">
        <v>71514.399999999994</v>
      </c>
      <c r="P26" s="1">
        <v>50584</v>
      </c>
      <c r="Q26" s="1">
        <v>78766</v>
      </c>
      <c r="R26" s="1">
        <v>0</v>
      </c>
    </row>
    <row r="27" spans="1:18">
      <c r="A27" s="2">
        <v>0.875</v>
      </c>
      <c r="B27" s="1">
        <v>968883</v>
      </c>
      <c r="C27" s="1">
        <v>960663</v>
      </c>
      <c r="D27" s="1">
        <v>29058.7</v>
      </c>
      <c r="E27" s="1">
        <v>0</v>
      </c>
      <c r="F27" s="1">
        <v>389170</v>
      </c>
      <c r="G27" s="1">
        <v>19438.7</v>
      </c>
      <c r="H27" s="1">
        <v>357878</v>
      </c>
      <c r="I27" s="1">
        <v>440987</v>
      </c>
      <c r="J27" s="1">
        <v>43538.400000000001</v>
      </c>
      <c r="K27" s="1">
        <v>86726.7</v>
      </c>
      <c r="L27" s="1">
        <v>78136.7</v>
      </c>
      <c r="M27" s="1">
        <v>40662.800000000003</v>
      </c>
      <c r="N27" s="1">
        <v>53890.6</v>
      </c>
      <c r="O27" s="1">
        <v>71537.3</v>
      </c>
      <c r="P27" s="1">
        <v>50584</v>
      </c>
      <c r="Q27" s="1">
        <v>78766</v>
      </c>
      <c r="R27" s="1">
        <v>0</v>
      </c>
    </row>
    <row r="28" spans="1:18">
      <c r="A28" s="2">
        <v>0.91666666666666663</v>
      </c>
      <c r="B28" s="1">
        <v>969650</v>
      </c>
      <c r="C28" s="1">
        <v>960857</v>
      </c>
      <c r="D28" s="1">
        <v>29076.3</v>
      </c>
      <c r="E28" s="1">
        <v>0</v>
      </c>
      <c r="F28" s="1">
        <v>389190</v>
      </c>
      <c r="G28" s="1">
        <v>19503.400000000001</v>
      </c>
      <c r="H28" s="1">
        <v>357889</v>
      </c>
      <c r="I28" s="1">
        <v>441230</v>
      </c>
      <c r="J28" s="1">
        <v>43548.4</v>
      </c>
      <c r="K28" s="1">
        <v>86730.8</v>
      </c>
      <c r="L28" s="1">
        <v>78159.199999999997</v>
      </c>
      <c r="M28" s="1">
        <v>40710.400000000001</v>
      </c>
      <c r="N28" s="1">
        <v>53946.3</v>
      </c>
      <c r="O28" s="1">
        <v>71559.199999999997</v>
      </c>
      <c r="P28" s="1">
        <v>50584</v>
      </c>
      <c r="Q28" s="1">
        <v>78766</v>
      </c>
      <c r="R28" s="1">
        <v>0</v>
      </c>
    </row>
    <row r="29" spans="1:18">
      <c r="A29" s="2">
        <v>0.95833333333333337</v>
      </c>
      <c r="B29" s="1">
        <v>970408</v>
      </c>
      <c r="C29" s="1">
        <v>961054</v>
      </c>
      <c r="D29" s="1">
        <v>29092.400000000001</v>
      </c>
      <c r="E29" s="1">
        <v>0</v>
      </c>
      <c r="F29" s="1">
        <v>389207</v>
      </c>
      <c r="G29" s="1">
        <v>19566.5</v>
      </c>
      <c r="H29" s="1">
        <v>357901</v>
      </c>
      <c r="I29" s="1">
        <v>441468</v>
      </c>
      <c r="J29" s="1">
        <v>43558.6</v>
      </c>
      <c r="K29" s="1">
        <v>86735.1</v>
      </c>
      <c r="L29" s="1">
        <v>78182.100000000006</v>
      </c>
      <c r="M29" s="1">
        <v>40756.300000000003</v>
      </c>
      <c r="N29" s="1">
        <v>54001.7</v>
      </c>
      <c r="O29" s="1">
        <v>71581.8</v>
      </c>
      <c r="P29" s="1">
        <v>50584</v>
      </c>
      <c r="Q29" s="1">
        <v>78766</v>
      </c>
      <c r="R29" s="1">
        <v>0</v>
      </c>
    </row>
    <row r="30" spans="1:18">
      <c r="A30" s="2">
        <v>0</v>
      </c>
      <c r="B30" s="1">
        <v>971169</v>
      </c>
      <c r="C30" s="1">
        <v>961254</v>
      </c>
      <c r="D30" s="1">
        <v>29108.2</v>
      </c>
      <c r="E30" s="1">
        <v>0</v>
      </c>
      <c r="F30" s="1">
        <v>389223</v>
      </c>
      <c r="G30" s="1">
        <v>19627.900000000001</v>
      </c>
      <c r="H30" s="1">
        <v>357912</v>
      </c>
      <c r="I30" s="1">
        <v>441709</v>
      </c>
      <c r="J30" s="1">
        <v>43568.6</v>
      </c>
      <c r="K30" s="1">
        <v>86739.4</v>
      </c>
      <c r="L30" s="1">
        <v>78206.100000000006</v>
      </c>
      <c r="M30" s="1">
        <v>40801.4</v>
      </c>
      <c r="N30" s="1">
        <v>54057.3</v>
      </c>
      <c r="O30" s="1">
        <v>71604.100000000006</v>
      </c>
      <c r="P30" s="1">
        <v>50584</v>
      </c>
      <c r="Q30" s="1">
        <v>78766</v>
      </c>
      <c r="R30" s="1">
        <v>0</v>
      </c>
    </row>
    <row r="31" spans="1:18">
      <c r="A31" s="2">
        <v>4.1666666666666664E-2</v>
      </c>
      <c r="B31" s="1">
        <v>971919</v>
      </c>
      <c r="C31" s="1">
        <v>961453</v>
      </c>
      <c r="D31" s="1">
        <v>29127.200000000001</v>
      </c>
      <c r="E31" s="1">
        <v>0</v>
      </c>
      <c r="F31" s="1">
        <v>389240</v>
      </c>
      <c r="G31" s="1">
        <v>19686.099999999999</v>
      </c>
      <c r="H31" s="1">
        <v>357923</v>
      </c>
      <c r="I31" s="1">
        <v>441945</v>
      </c>
      <c r="J31" s="1">
        <v>43578.8</v>
      </c>
      <c r="K31" s="1">
        <v>86743.6</v>
      </c>
      <c r="L31" s="1">
        <v>78229.600000000006</v>
      </c>
      <c r="M31" s="1">
        <v>40847.199999999997</v>
      </c>
      <c r="N31" s="1">
        <v>54112.7</v>
      </c>
      <c r="O31" s="1">
        <v>71624.800000000003</v>
      </c>
      <c r="P31" s="1">
        <v>50584</v>
      </c>
      <c r="Q31" s="1">
        <v>78766</v>
      </c>
      <c r="R31" s="1">
        <v>0</v>
      </c>
    </row>
    <row r="32" spans="1:18">
      <c r="A32" s="2">
        <v>8.3333333333333329E-2</v>
      </c>
      <c r="B32" s="1">
        <v>972661</v>
      </c>
      <c r="C32" s="1">
        <v>961647</v>
      </c>
      <c r="D32" s="1">
        <v>29144.3</v>
      </c>
      <c r="E32" s="1">
        <v>0</v>
      </c>
      <c r="F32" s="1">
        <v>389256</v>
      </c>
      <c r="G32" s="1">
        <v>19743.7</v>
      </c>
      <c r="H32" s="1">
        <v>357934</v>
      </c>
      <c r="I32" s="1">
        <v>442175</v>
      </c>
      <c r="J32" s="1">
        <v>43588.5</v>
      </c>
      <c r="K32" s="1">
        <v>86747.8</v>
      </c>
      <c r="L32" s="1">
        <v>78253.399999999994</v>
      </c>
      <c r="M32" s="1">
        <v>40893.9</v>
      </c>
      <c r="N32" s="1">
        <v>54168.1</v>
      </c>
      <c r="O32" s="1">
        <v>71648.7</v>
      </c>
      <c r="P32" s="1">
        <v>50584</v>
      </c>
      <c r="Q32" s="1">
        <v>78766</v>
      </c>
      <c r="R32" s="1">
        <v>0</v>
      </c>
    </row>
    <row r="33" spans="1:18">
      <c r="A33" s="2">
        <v>0.125</v>
      </c>
      <c r="B33" s="1">
        <v>973382</v>
      </c>
      <c r="C33" s="1">
        <v>961836</v>
      </c>
      <c r="D33" s="1">
        <v>29159.4</v>
      </c>
      <c r="E33" s="1">
        <v>0</v>
      </c>
      <c r="F33" s="1">
        <v>389271</v>
      </c>
      <c r="G33" s="1">
        <v>19800.2</v>
      </c>
      <c r="H33" s="1">
        <v>357945</v>
      </c>
      <c r="I33" s="1">
        <v>442396</v>
      </c>
      <c r="J33" s="1">
        <v>43598.3</v>
      </c>
      <c r="K33" s="1">
        <v>86752</v>
      </c>
      <c r="L33" s="1">
        <v>78278</v>
      </c>
      <c r="M33" s="1">
        <v>40939</v>
      </c>
      <c r="N33" s="1">
        <v>54223.199999999997</v>
      </c>
      <c r="O33" s="1">
        <v>71671.199999999997</v>
      </c>
      <c r="P33" s="1">
        <v>50584</v>
      </c>
      <c r="Q33" s="1">
        <v>78766</v>
      </c>
      <c r="R33" s="1">
        <v>0</v>
      </c>
    </row>
    <row r="34" spans="1:18">
      <c r="A34" s="2">
        <v>0.16666666666666666</v>
      </c>
      <c r="B34" s="1">
        <v>974103</v>
      </c>
      <c r="C34" s="1">
        <v>962027</v>
      </c>
      <c r="D34" s="1">
        <v>29173.5</v>
      </c>
      <c r="E34" s="1">
        <v>0</v>
      </c>
      <c r="F34" s="1">
        <v>389287</v>
      </c>
      <c r="G34" s="1">
        <v>19856.599999999999</v>
      </c>
      <c r="H34" s="1">
        <v>357957</v>
      </c>
      <c r="I34" s="1">
        <v>442615</v>
      </c>
      <c r="J34" s="1">
        <v>43608.3</v>
      </c>
      <c r="K34" s="1">
        <v>86756.2</v>
      </c>
      <c r="L34" s="1">
        <v>78301.100000000006</v>
      </c>
      <c r="M34" s="1">
        <v>40984.300000000003</v>
      </c>
      <c r="N34" s="1">
        <v>54278.7</v>
      </c>
      <c r="O34" s="1">
        <v>71693</v>
      </c>
      <c r="P34" s="1">
        <v>50584</v>
      </c>
      <c r="Q34" s="1">
        <v>78766</v>
      </c>
      <c r="R34" s="1">
        <v>0</v>
      </c>
    </row>
    <row r="35" spans="1:18">
      <c r="A35" s="2">
        <v>0.20833333333333334</v>
      </c>
      <c r="B35" s="1">
        <v>974828</v>
      </c>
      <c r="C35" s="1">
        <v>962218</v>
      </c>
      <c r="D35" s="1">
        <v>29187.7</v>
      </c>
      <c r="E35" s="1">
        <v>0</v>
      </c>
      <c r="F35" s="1">
        <v>389303</v>
      </c>
      <c r="G35" s="1">
        <v>19913.8</v>
      </c>
      <c r="H35" s="1">
        <v>357969</v>
      </c>
      <c r="I35" s="1">
        <v>442838</v>
      </c>
      <c r="J35" s="1">
        <v>43618</v>
      </c>
      <c r="K35" s="1">
        <v>86760.3</v>
      </c>
      <c r="L35" s="1">
        <v>78321.3</v>
      </c>
      <c r="M35" s="1">
        <v>41030.5</v>
      </c>
      <c r="N35" s="1">
        <v>54336</v>
      </c>
      <c r="O35" s="1">
        <v>71716.3</v>
      </c>
      <c r="P35" s="1">
        <v>50584</v>
      </c>
      <c r="Q35" s="1">
        <v>78766</v>
      </c>
      <c r="R35" s="1">
        <v>0</v>
      </c>
    </row>
    <row r="36" spans="1:18">
      <c r="A36" s="2">
        <v>0.25</v>
      </c>
      <c r="B36" s="1">
        <v>975536</v>
      </c>
      <c r="C36" s="1">
        <v>962406</v>
      </c>
      <c r="D36" s="1">
        <v>29201.7</v>
      </c>
      <c r="E36" s="1">
        <v>0</v>
      </c>
      <c r="F36" s="1">
        <v>389318</v>
      </c>
      <c r="G36" s="1">
        <v>19969.2</v>
      </c>
      <c r="H36" s="1">
        <v>357980</v>
      </c>
      <c r="I36" s="1">
        <v>443052</v>
      </c>
      <c r="J36" s="1">
        <v>43627.7</v>
      </c>
      <c r="K36" s="1">
        <v>86764.3</v>
      </c>
      <c r="L36" s="1">
        <v>78340.600000000006</v>
      </c>
      <c r="M36" s="1">
        <v>41077</v>
      </c>
      <c r="N36" s="1">
        <v>54390.5</v>
      </c>
      <c r="O36" s="1">
        <v>71740.800000000003</v>
      </c>
      <c r="P36" s="1">
        <v>50584</v>
      </c>
      <c r="Q36" s="1">
        <v>78766</v>
      </c>
      <c r="R36" s="1">
        <v>0</v>
      </c>
    </row>
    <row r="37" spans="1:18">
      <c r="A37" s="2">
        <v>0.29166666666666669</v>
      </c>
      <c r="B37" s="1">
        <v>976269</v>
      </c>
      <c r="C37" s="1">
        <v>962593</v>
      </c>
      <c r="D37" s="1">
        <v>29215.599999999999</v>
      </c>
      <c r="E37" s="1">
        <v>0</v>
      </c>
      <c r="F37" s="1">
        <v>389334</v>
      </c>
      <c r="G37" s="1">
        <v>20024</v>
      </c>
      <c r="H37" s="1">
        <v>357992</v>
      </c>
      <c r="I37" s="1">
        <v>443273</v>
      </c>
      <c r="J37" s="1">
        <v>43637.7</v>
      </c>
      <c r="K37" s="1">
        <v>86767.2</v>
      </c>
      <c r="L37" s="1">
        <v>78359.399999999994</v>
      </c>
      <c r="M37" s="1">
        <v>41121.199999999997</v>
      </c>
      <c r="N37" s="1">
        <v>54444</v>
      </c>
      <c r="O37" s="1">
        <v>71784.7</v>
      </c>
      <c r="P37" s="1">
        <v>50584</v>
      </c>
      <c r="Q37" s="1">
        <v>78767</v>
      </c>
      <c r="R37" s="1">
        <v>0</v>
      </c>
    </row>
    <row r="38" spans="1:18">
      <c r="A38" s="2">
        <v>0.33333333333333331</v>
      </c>
      <c r="B38" s="1">
        <v>977058</v>
      </c>
      <c r="C38" s="1">
        <v>962790</v>
      </c>
      <c r="D38" s="1">
        <v>29231.7</v>
      </c>
      <c r="E38" s="1">
        <v>0</v>
      </c>
      <c r="F38" s="1">
        <v>389351</v>
      </c>
      <c r="G38" s="1">
        <v>20076.2</v>
      </c>
      <c r="H38" s="1">
        <v>358003</v>
      </c>
      <c r="I38" s="1">
        <v>443523</v>
      </c>
      <c r="J38" s="1">
        <v>43647.6</v>
      </c>
      <c r="K38" s="1">
        <v>86768.9</v>
      </c>
      <c r="L38" s="1">
        <v>78379.600000000006</v>
      </c>
      <c r="M38" s="1">
        <v>41165.800000000003</v>
      </c>
      <c r="N38" s="1">
        <v>54495.5</v>
      </c>
      <c r="O38" s="1">
        <v>71840.7</v>
      </c>
      <c r="P38" s="1">
        <v>50586</v>
      </c>
      <c r="Q38" s="1">
        <v>78770</v>
      </c>
      <c r="R38" s="1">
        <v>0</v>
      </c>
    </row>
    <row r="39" spans="1:18">
      <c r="A39" s="2">
        <v>0.375</v>
      </c>
      <c r="B39" s="1">
        <v>978033</v>
      </c>
      <c r="C39" s="1">
        <v>963036</v>
      </c>
      <c r="D39" s="1">
        <v>29253.9</v>
      </c>
      <c r="E39" s="1">
        <v>0</v>
      </c>
      <c r="F39" s="1">
        <v>389374</v>
      </c>
      <c r="G39" s="1">
        <v>20139</v>
      </c>
      <c r="H39" s="1">
        <v>358026</v>
      </c>
      <c r="I39" s="1">
        <v>443820</v>
      </c>
      <c r="J39" s="1">
        <v>43658.6</v>
      </c>
      <c r="K39" s="1">
        <v>86776.9</v>
      </c>
      <c r="L39" s="1">
        <v>78417.5</v>
      </c>
      <c r="M39" s="1">
        <v>41220.400000000001</v>
      </c>
      <c r="N39" s="1">
        <v>54549.8</v>
      </c>
      <c r="O39" s="1">
        <v>71907.899999999994</v>
      </c>
      <c r="P39" s="1">
        <v>50588</v>
      </c>
      <c r="Q39" s="1">
        <v>78773</v>
      </c>
      <c r="R39" s="1">
        <v>0</v>
      </c>
    </row>
    <row r="40" spans="1:18">
      <c r="A40" s="2">
        <v>0.41666666666666669</v>
      </c>
      <c r="B40" s="1">
        <v>979301</v>
      </c>
      <c r="C40" s="1">
        <v>963377</v>
      </c>
      <c r="D40" s="1">
        <v>29282.799999999999</v>
      </c>
      <c r="E40" s="1">
        <v>0</v>
      </c>
      <c r="F40" s="1">
        <v>389406</v>
      </c>
      <c r="G40" s="1">
        <v>20217.8</v>
      </c>
      <c r="H40" s="1">
        <v>358091</v>
      </c>
      <c r="I40" s="1">
        <v>444196</v>
      </c>
      <c r="J40" s="1">
        <v>43671.8</v>
      </c>
      <c r="K40" s="1">
        <v>86790.2</v>
      </c>
      <c r="L40" s="1">
        <v>78460.7</v>
      </c>
      <c r="M40" s="1">
        <v>41273.699999999997</v>
      </c>
      <c r="N40" s="1">
        <v>54606.3</v>
      </c>
      <c r="O40" s="1">
        <v>71989.399999999994</v>
      </c>
      <c r="P40" s="1">
        <v>50590</v>
      </c>
      <c r="Q40" s="1">
        <v>78776</v>
      </c>
      <c r="R40" s="1">
        <v>0</v>
      </c>
    </row>
    <row r="41" spans="1:18">
      <c r="A41" s="2">
        <v>0.45833333333333331</v>
      </c>
      <c r="B41" s="1">
        <v>980745</v>
      </c>
      <c r="C41" s="1">
        <v>963761</v>
      </c>
      <c r="D41" s="1">
        <v>29325.3</v>
      </c>
      <c r="E41" s="1">
        <v>0</v>
      </c>
      <c r="F41" s="1">
        <v>389466</v>
      </c>
      <c r="G41" s="1">
        <v>20306</v>
      </c>
      <c r="H41" s="1">
        <v>358154</v>
      </c>
      <c r="I41" s="1">
        <v>444613</v>
      </c>
      <c r="J41" s="1">
        <v>43682.3</v>
      </c>
      <c r="K41" s="1">
        <v>86806.1</v>
      </c>
      <c r="L41" s="1">
        <v>78529.5</v>
      </c>
      <c r="M41" s="1">
        <v>41337.300000000003</v>
      </c>
      <c r="N41" s="1">
        <v>54663.1</v>
      </c>
      <c r="O41" s="1">
        <v>72068.600000000006</v>
      </c>
      <c r="P41" s="1">
        <v>50592</v>
      </c>
      <c r="Q41" s="1">
        <v>78779</v>
      </c>
      <c r="R41" s="1">
        <v>0</v>
      </c>
    </row>
    <row r="42" spans="1:18">
      <c r="A42" s="2">
        <v>0.5</v>
      </c>
      <c r="B42" s="1">
        <v>982227</v>
      </c>
      <c r="C42" s="1">
        <v>964147</v>
      </c>
      <c r="D42" s="1">
        <v>29373.9</v>
      </c>
      <c r="E42" s="1">
        <v>0</v>
      </c>
      <c r="F42" s="1">
        <v>389522</v>
      </c>
      <c r="G42" s="1">
        <v>20393.900000000001</v>
      </c>
      <c r="H42" s="1">
        <v>358229</v>
      </c>
      <c r="I42" s="1">
        <v>445058</v>
      </c>
      <c r="J42" s="1">
        <v>43695.3</v>
      </c>
      <c r="K42" s="1">
        <v>86822.9</v>
      </c>
      <c r="L42" s="1">
        <v>78590.3</v>
      </c>
      <c r="M42" s="1">
        <v>41399.9</v>
      </c>
      <c r="N42" s="1">
        <v>54719</v>
      </c>
      <c r="O42" s="1">
        <v>72151.199999999997</v>
      </c>
      <c r="P42" s="1">
        <v>50595</v>
      </c>
      <c r="Q42" s="1">
        <v>78785</v>
      </c>
      <c r="R42" s="1">
        <v>0</v>
      </c>
    </row>
    <row r="43" spans="1:18">
      <c r="A43" s="2">
        <v>0.54166666666666663</v>
      </c>
      <c r="B43" s="1">
        <v>983715</v>
      </c>
      <c r="C43" s="1">
        <v>964512</v>
      </c>
      <c r="D43" s="1">
        <v>29416.2</v>
      </c>
      <c r="E43" s="1">
        <v>0</v>
      </c>
      <c r="F43" s="1">
        <v>389574</v>
      </c>
      <c r="G43" s="1">
        <v>20487.5</v>
      </c>
      <c r="H43" s="1">
        <v>358306</v>
      </c>
      <c r="I43" s="1">
        <v>445526</v>
      </c>
      <c r="J43" s="1">
        <v>43706.3</v>
      </c>
      <c r="K43" s="1">
        <v>86841.4</v>
      </c>
      <c r="L43" s="1">
        <v>78662.3</v>
      </c>
      <c r="M43" s="1">
        <v>41458.5</v>
      </c>
      <c r="N43" s="1">
        <v>54774.7</v>
      </c>
      <c r="O43" s="1">
        <v>72236.800000000003</v>
      </c>
      <c r="P43" s="1">
        <v>50598</v>
      </c>
      <c r="Q43" s="1">
        <v>78789</v>
      </c>
      <c r="R43" s="1">
        <v>0</v>
      </c>
    </row>
    <row r="44" spans="1:18">
      <c r="A44" s="2">
        <v>0.58333333333333337</v>
      </c>
      <c r="B44" s="1">
        <v>985215</v>
      </c>
      <c r="C44" s="1">
        <v>964895</v>
      </c>
      <c r="D44" s="1">
        <v>29454.7</v>
      </c>
      <c r="E44" s="1">
        <v>0</v>
      </c>
      <c r="F44" s="1">
        <v>389622</v>
      </c>
      <c r="G44" s="1">
        <v>20579.099999999999</v>
      </c>
      <c r="H44" s="1">
        <v>358397</v>
      </c>
      <c r="I44" s="1">
        <v>445991</v>
      </c>
      <c r="J44" s="1">
        <v>43716.5</v>
      </c>
      <c r="K44" s="1">
        <v>86857</v>
      </c>
      <c r="L44" s="1">
        <v>78725.899999999994</v>
      </c>
      <c r="M44" s="1">
        <v>41519.1</v>
      </c>
      <c r="N44" s="1">
        <v>54829.599999999999</v>
      </c>
      <c r="O44" s="1">
        <v>72321.600000000006</v>
      </c>
      <c r="P44" s="1">
        <v>50602</v>
      </c>
      <c r="Q44" s="1">
        <v>78796</v>
      </c>
      <c r="R44" s="1">
        <v>0</v>
      </c>
    </row>
    <row r="45" spans="1:18">
      <c r="A45" s="2">
        <v>0.625</v>
      </c>
      <c r="B45" s="1">
        <v>986744</v>
      </c>
      <c r="C45" s="1">
        <v>965303</v>
      </c>
      <c r="D45" s="1">
        <v>29491.7</v>
      </c>
      <c r="E45" s="1">
        <v>0</v>
      </c>
      <c r="F45" s="1">
        <v>389668</v>
      </c>
      <c r="G45" s="1">
        <v>20677.099999999999</v>
      </c>
      <c r="H45" s="1">
        <v>358471</v>
      </c>
      <c r="I45" s="1">
        <v>446467</v>
      </c>
      <c r="J45" s="1">
        <v>43726.8</v>
      </c>
      <c r="K45" s="1">
        <v>86872.3</v>
      </c>
      <c r="L45" s="1">
        <v>78789.5</v>
      </c>
      <c r="M45" s="1">
        <v>41591.1</v>
      </c>
      <c r="N45" s="1">
        <v>54883</v>
      </c>
      <c r="O45" s="1">
        <v>72400.3</v>
      </c>
      <c r="P45" s="1">
        <v>50608</v>
      </c>
      <c r="Q45" s="1">
        <v>78805</v>
      </c>
      <c r="R45" s="1">
        <v>0</v>
      </c>
    </row>
    <row r="46" spans="1:18">
      <c r="A46" s="2">
        <v>0.66666666666666663</v>
      </c>
      <c r="B46" s="1">
        <v>988289</v>
      </c>
      <c r="C46" s="1">
        <v>965723</v>
      </c>
      <c r="D46" s="1">
        <v>29529.200000000001</v>
      </c>
      <c r="E46" s="1">
        <v>0</v>
      </c>
      <c r="F46" s="1">
        <v>389720</v>
      </c>
      <c r="G46" s="1">
        <v>20789.599999999999</v>
      </c>
      <c r="H46" s="1">
        <v>358558</v>
      </c>
      <c r="I46" s="1">
        <v>446928</v>
      </c>
      <c r="J46" s="1">
        <v>43739.6</v>
      </c>
      <c r="K46" s="1">
        <v>86892</v>
      </c>
      <c r="L46" s="1">
        <v>78854.100000000006</v>
      </c>
      <c r="M46" s="1">
        <v>41654.5</v>
      </c>
      <c r="N46" s="1">
        <v>54938.9</v>
      </c>
      <c r="O46" s="1">
        <v>72469.7</v>
      </c>
      <c r="P46" s="1">
        <v>50610</v>
      </c>
      <c r="Q46" s="1">
        <v>78808</v>
      </c>
      <c r="R46" s="1">
        <v>0</v>
      </c>
    </row>
    <row r="47" spans="1:18">
      <c r="A47" s="2">
        <v>0.70833333333333337</v>
      </c>
      <c r="B47" s="1">
        <v>989709</v>
      </c>
      <c r="C47" s="1">
        <v>966113</v>
      </c>
      <c r="D47" s="1">
        <v>29568</v>
      </c>
      <c r="E47" s="1">
        <v>0</v>
      </c>
      <c r="F47" s="1">
        <v>389768</v>
      </c>
      <c r="G47" s="1">
        <v>20892.400000000001</v>
      </c>
      <c r="H47" s="1">
        <v>358595</v>
      </c>
      <c r="I47" s="1">
        <v>447375</v>
      </c>
      <c r="J47" s="1">
        <v>43752.800000000003</v>
      </c>
      <c r="K47" s="1">
        <v>86915.3</v>
      </c>
      <c r="L47" s="1">
        <v>78906.8</v>
      </c>
      <c r="M47" s="1">
        <v>41711.599999999999</v>
      </c>
      <c r="N47" s="1">
        <v>54994.8</v>
      </c>
      <c r="O47" s="1">
        <v>72539.199999999997</v>
      </c>
      <c r="P47" s="1">
        <v>50611</v>
      </c>
      <c r="Q47" s="1">
        <v>78810</v>
      </c>
      <c r="R47" s="1">
        <v>0</v>
      </c>
    </row>
    <row r="48" spans="1:18">
      <c r="A48" s="2">
        <v>0.75</v>
      </c>
      <c r="B48" s="1">
        <v>991011</v>
      </c>
      <c r="C48" s="1">
        <v>966470</v>
      </c>
      <c r="D48" s="1">
        <v>29605.3</v>
      </c>
      <c r="E48" s="1">
        <v>0</v>
      </c>
      <c r="F48" s="1">
        <v>389813</v>
      </c>
      <c r="G48" s="1">
        <v>20980.9</v>
      </c>
      <c r="H48" s="1">
        <v>358608</v>
      </c>
      <c r="I48" s="1">
        <v>447795</v>
      </c>
      <c r="J48" s="1">
        <v>43765.5</v>
      </c>
      <c r="K48" s="1">
        <v>86934.8</v>
      </c>
      <c r="L48" s="1">
        <v>78955.199999999997</v>
      </c>
      <c r="M48" s="1">
        <v>41766.699999999997</v>
      </c>
      <c r="N48" s="1">
        <v>55049.599999999999</v>
      </c>
      <c r="O48" s="1">
        <v>72610.100000000006</v>
      </c>
      <c r="P48" s="1">
        <v>50613</v>
      </c>
      <c r="Q48" s="1">
        <v>78813</v>
      </c>
      <c r="R48" s="1">
        <v>0</v>
      </c>
    </row>
    <row r="49" spans="1:18">
      <c r="A49" s="2">
        <v>0.79166666666666663</v>
      </c>
      <c r="B49" s="1">
        <v>992171</v>
      </c>
      <c r="C49" s="1">
        <v>966758</v>
      </c>
      <c r="D49" s="1">
        <v>29638.5</v>
      </c>
      <c r="E49" s="1">
        <v>0</v>
      </c>
      <c r="F49" s="1">
        <v>389849</v>
      </c>
      <c r="G49" s="1">
        <v>21059.3</v>
      </c>
      <c r="H49" s="1">
        <v>358621</v>
      </c>
      <c r="I49" s="1">
        <v>448189</v>
      </c>
      <c r="J49" s="1">
        <v>43778.3</v>
      </c>
      <c r="K49" s="1">
        <v>86952.7</v>
      </c>
      <c r="L49" s="1">
        <v>78997</v>
      </c>
      <c r="M49" s="1">
        <v>41813.9</v>
      </c>
      <c r="N49" s="1">
        <v>55104.800000000003</v>
      </c>
      <c r="O49" s="1">
        <v>72682.399999999994</v>
      </c>
      <c r="P49" s="1">
        <v>50613</v>
      </c>
      <c r="Q49" s="1">
        <v>78814</v>
      </c>
      <c r="R49" s="1">
        <v>0</v>
      </c>
    </row>
    <row r="50" spans="1:18">
      <c r="A50" s="2">
        <v>0.83333333333333337</v>
      </c>
      <c r="B50" s="1">
        <v>993242</v>
      </c>
      <c r="C50" s="1">
        <v>967028</v>
      </c>
      <c r="D50" s="1">
        <v>29664</v>
      </c>
      <c r="E50" s="1">
        <v>0</v>
      </c>
      <c r="F50" s="1">
        <v>389880</v>
      </c>
      <c r="G50" s="1">
        <v>21135.4</v>
      </c>
      <c r="H50" s="1">
        <v>358633</v>
      </c>
      <c r="I50" s="1">
        <v>448550</v>
      </c>
      <c r="J50" s="1">
        <v>43790.8</v>
      </c>
      <c r="K50" s="1">
        <v>86970</v>
      </c>
      <c r="L50" s="1">
        <v>79035.7</v>
      </c>
      <c r="M50" s="1">
        <v>41859.9</v>
      </c>
      <c r="N50" s="1">
        <v>55159.3</v>
      </c>
      <c r="O50" s="1">
        <v>72747.8</v>
      </c>
      <c r="P50" s="1">
        <v>50613</v>
      </c>
      <c r="Q50" s="1">
        <v>78814</v>
      </c>
      <c r="R50" s="1">
        <v>0</v>
      </c>
    </row>
    <row r="51" spans="1:18">
      <c r="A51" s="2">
        <v>0.875</v>
      </c>
      <c r="B51" s="1">
        <v>994238</v>
      </c>
      <c r="C51" s="1">
        <v>967279</v>
      </c>
      <c r="D51" s="1">
        <v>29684.5</v>
      </c>
      <c r="E51" s="1">
        <v>0</v>
      </c>
      <c r="F51" s="1">
        <v>389911</v>
      </c>
      <c r="G51" s="1">
        <v>21209.3</v>
      </c>
      <c r="H51" s="1">
        <v>358646</v>
      </c>
      <c r="I51" s="1">
        <v>448871</v>
      </c>
      <c r="J51" s="1">
        <v>43802.8</v>
      </c>
      <c r="K51" s="1">
        <v>86987.5</v>
      </c>
      <c r="L51" s="1">
        <v>79072.600000000006</v>
      </c>
      <c r="M51" s="1">
        <v>41905.4</v>
      </c>
      <c r="N51" s="1">
        <v>55214.6</v>
      </c>
      <c r="O51" s="1">
        <v>72806.5</v>
      </c>
      <c r="P51" s="1">
        <v>50613</v>
      </c>
      <c r="Q51" s="1">
        <v>78814</v>
      </c>
      <c r="R51" s="1">
        <v>0</v>
      </c>
    </row>
    <row r="52" spans="1:18">
      <c r="A52" s="2">
        <v>0.91666666666666663</v>
      </c>
      <c r="B52" s="1">
        <v>995136</v>
      </c>
      <c r="C52" s="1">
        <v>967508</v>
      </c>
      <c r="D52" s="1">
        <v>29704.1</v>
      </c>
      <c r="E52" s="1">
        <v>0</v>
      </c>
      <c r="F52" s="1">
        <v>389940</v>
      </c>
      <c r="G52" s="1">
        <v>21284</v>
      </c>
      <c r="H52" s="1">
        <v>358661</v>
      </c>
      <c r="I52" s="1">
        <v>449160</v>
      </c>
      <c r="J52" s="1">
        <v>43814.1</v>
      </c>
      <c r="K52" s="1">
        <v>86997.1</v>
      </c>
      <c r="L52" s="1">
        <v>79104.7</v>
      </c>
      <c r="M52" s="1">
        <v>41953</v>
      </c>
      <c r="N52" s="1">
        <v>55270.3</v>
      </c>
      <c r="O52" s="1">
        <v>72834.600000000006</v>
      </c>
      <c r="P52" s="1">
        <v>50613</v>
      </c>
      <c r="Q52" s="1">
        <v>78814</v>
      </c>
      <c r="R52" s="1">
        <v>0</v>
      </c>
    </row>
    <row r="53" spans="1:18">
      <c r="A53" s="2">
        <v>0.95833333333333337</v>
      </c>
      <c r="B53" s="1">
        <v>995989</v>
      </c>
      <c r="C53" s="1">
        <v>967737</v>
      </c>
      <c r="D53" s="1">
        <v>29723.3</v>
      </c>
      <c r="E53" s="1">
        <v>0</v>
      </c>
      <c r="F53" s="1">
        <v>389965</v>
      </c>
      <c r="G53" s="1">
        <v>21357.200000000001</v>
      </c>
      <c r="H53" s="1">
        <v>358677</v>
      </c>
      <c r="I53" s="1">
        <v>449426</v>
      </c>
      <c r="J53" s="1">
        <v>43824.9</v>
      </c>
      <c r="K53" s="1">
        <v>87000.9</v>
      </c>
      <c r="L53" s="1">
        <v>79134</v>
      </c>
      <c r="M53" s="1">
        <v>42001.3</v>
      </c>
      <c r="N53" s="1">
        <v>55325.4</v>
      </c>
      <c r="O53" s="1">
        <v>72855.899999999994</v>
      </c>
      <c r="P53" s="1">
        <v>50613</v>
      </c>
      <c r="Q53" s="1">
        <v>78814</v>
      </c>
      <c r="R53" s="1">
        <v>0</v>
      </c>
    </row>
    <row r="54" spans="1:18">
      <c r="A54" s="2">
        <v>0</v>
      </c>
      <c r="B54" s="1">
        <v>996807</v>
      </c>
      <c r="C54" s="1">
        <v>967949</v>
      </c>
      <c r="D54" s="1">
        <v>29740.3</v>
      </c>
      <c r="E54" s="1">
        <v>0</v>
      </c>
      <c r="F54" s="1">
        <v>389991</v>
      </c>
      <c r="G54" s="1">
        <v>21425.200000000001</v>
      </c>
      <c r="H54" s="1">
        <v>358688</v>
      </c>
      <c r="I54" s="1">
        <v>449692</v>
      </c>
      <c r="J54" s="1">
        <v>43835.4</v>
      </c>
      <c r="K54" s="1">
        <v>87004.2</v>
      </c>
      <c r="L54" s="1">
        <v>79163.100000000006</v>
      </c>
      <c r="M54" s="1">
        <v>42046.9</v>
      </c>
      <c r="N54" s="1">
        <v>55379.9</v>
      </c>
      <c r="O54" s="1">
        <v>72876.2</v>
      </c>
      <c r="P54" s="1">
        <v>50613</v>
      </c>
      <c r="Q54" s="1">
        <v>78814</v>
      </c>
      <c r="R54" s="1">
        <v>0</v>
      </c>
    </row>
    <row r="55" spans="1:18">
      <c r="A55" s="2">
        <v>4.1666666666666664E-2</v>
      </c>
      <c r="B55" s="1">
        <v>997601</v>
      </c>
      <c r="C55" s="1">
        <v>968155</v>
      </c>
      <c r="D55" s="1">
        <v>29755.8</v>
      </c>
      <c r="E55" s="1">
        <v>0</v>
      </c>
      <c r="F55" s="1">
        <v>390015</v>
      </c>
      <c r="G55" s="1">
        <v>21489.7</v>
      </c>
      <c r="H55" s="1">
        <v>358701</v>
      </c>
      <c r="I55" s="1">
        <v>449950</v>
      </c>
      <c r="J55" s="1">
        <v>43845.9</v>
      </c>
      <c r="K55" s="1">
        <v>87007.6</v>
      </c>
      <c r="L55" s="1">
        <v>79191.7</v>
      </c>
      <c r="M55" s="1">
        <v>42091.8</v>
      </c>
      <c r="N55" s="1">
        <v>55434.3</v>
      </c>
      <c r="O55" s="1">
        <v>72895</v>
      </c>
      <c r="P55" s="1">
        <v>50613</v>
      </c>
      <c r="Q55" s="1">
        <v>78814</v>
      </c>
      <c r="R55" s="1">
        <v>0</v>
      </c>
    </row>
    <row r="56" spans="1:18">
      <c r="A56" s="2">
        <v>8.3333333333333329E-2</v>
      </c>
      <c r="B56" s="1">
        <v>998373</v>
      </c>
      <c r="C56" s="1">
        <v>968355</v>
      </c>
      <c r="D56" s="1">
        <v>29770</v>
      </c>
      <c r="E56" s="1">
        <v>0</v>
      </c>
      <c r="F56" s="1">
        <v>390038</v>
      </c>
      <c r="G56" s="1">
        <v>21551.9</v>
      </c>
      <c r="H56" s="1">
        <v>358712</v>
      </c>
      <c r="I56" s="1">
        <v>450193</v>
      </c>
      <c r="J56" s="1">
        <v>43856.5</v>
      </c>
      <c r="K56" s="1">
        <v>87011</v>
      </c>
      <c r="L56" s="1">
        <v>79220.800000000003</v>
      </c>
      <c r="M56" s="1">
        <v>42139.3</v>
      </c>
      <c r="N56" s="1">
        <v>55488.1</v>
      </c>
      <c r="O56" s="1">
        <v>72915.7</v>
      </c>
      <c r="P56" s="1">
        <v>50613</v>
      </c>
      <c r="Q56" s="1">
        <v>78814</v>
      </c>
      <c r="R56" s="1">
        <v>0</v>
      </c>
    </row>
    <row r="57" spans="1:18">
      <c r="A57" s="2">
        <v>0.125</v>
      </c>
      <c r="B57" s="1">
        <v>999126</v>
      </c>
      <c r="C57" s="1">
        <v>968550</v>
      </c>
      <c r="D57" s="1">
        <v>29783.599999999999</v>
      </c>
      <c r="E57" s="1">
        <v>0</v>
      </c>
      <c r="F57" s="1">
        <v>390059</v>
      </c>
      <c r="G57" s="1">
        <v>21609.8</v>
      </c>
      <c r="H57" s="1">
        <v>358723</v>
      </c>
      <c r="I57" s="1">
        <v>450434</v>
      </c>
      <c r="J57" s="1">
        <v>43866.9</v>
      </c>
      <c r="K57" s="1">
        <v>87014.399999999994</v>
      </c>
      <c r="L57" s="1">
        <v>79247.899999999994</v>
      </c>
      <c r="M57" s="1">
        <v>42186.8</v>
      </c>
      <c r="N57" s="1">
        <v>55542.7</v>
      </c>
      <c r="O57" s="1">
        <v>72935</v>
      </c>
      <c r="P57" s="1">
        <v>50613</v>
      </c>
      <c r="Q57" s="1">
        <v>78814</v>
      </c>
      <c r="R57" s="1">
        <v>0</v>
      </c>
    </row>
    <row r="58" spans="1:18">
      <c r="A58" s="2">
        <v>0.16666666666666666</v>
      </c>
      <c r="B58" s="1">
        <v>999860</v>
      </c>
      <c r="C58" s="1">
        <v>968740</v>
      </c>
      <c r="D58" s="1">
        <v>29796.5</v>
      </c>
      <c r="E58" s="1">
        <v>0</v>
      </c>
      <c r="F58" s="1">
        <v>390081</v>
      </c>
      <c r="G58" s="1">
        <v>21667.9</v>
      </c>
      <c r="H58" s="1">
        <v>358734</v>
      </c>
      <c r="I58" s="1">
        <v>450663</v>
      </c>
      <c r="J58" s="1">
        <v>43876.9</v>
      </c>
      <c r="K58" s="1">
        <v>87018.2</v>
      </c>
      <c r="L58" s="1">
        <v>79273</v>
      </c>
      <c r="M58" s="1">
        <v>42233.9</v>
      </c>
      <c r="N58" s="1">
        <v>55597.3</v>
      </c>
      <c r="O58" s="1">
        <v>72954.100000000006</v>
      </c>
      <c r="P58" s="1">
        <v>50613</v>
      </c>
      <c r="Q58" s="1">
        <v>78814</v>
      </c>
      <c r="R58" s="1">
        <v>0</v>
      </c>
    </row>
    <row r="59" spans="1:18">
      <c r="A59" s="2">
        <v>0.20833333333333334</v>
      </c>
      <c r="B59" s="1">
        <v>584</v>
      </c>
      <c r="C59" s="1">
        <v>968926</v>
      </c>
      <c r="D59" s="1">
        <v>29810.2</v>
      </c>
      <c r="E59" s="1">
        <v>0</v>
      </c>
      <c r="F59" s="1">
        <v>390101</v>
      </c>
      <c r="G59" s="1">
        <v>21724.400000000001</v>
      </c>
      <c r="H59" s="1">
        <v>358746</v>
      </c>
      <c r="I59" s="1">
        <v>450892</v>
      </c>
      <c r="J59" s="1">
        <v>43887.199999999997</v>
      </c>
      <c r="K59" s="1">
        <v>87021.6</v>
      </c>
      <c r="L59" s="1">
        <v>79295.899999999994</v>
      </c>
      <c r="M59" s="1">
        <v>42279.5</v>
      </c>
      <c r="N59" s="1">
        <v>55654.1</v>
      </c>
      <c r="O59" s="1">
        <v>72973.899999999994</v>
      </c>
      <c r="P59" s="1">
        <v>50613</v>
      </c>
      <c r="Q59" s="1">
        <v>78814</v>
      </c>
      <c r="R59" s="1">
        <v>0</v>
      </c>
    </row>
    <row r="60" spans="1:18">
      <c r="A60" s="2">
        <v>0.25</v>
      </c>
      <c r="B60" s="1">
        <v>1293</v>
      </c>
      <c r="C60" s="1">
        <v>969109</v>
      </c>
      <c r="D60" s="1">
        <v>29823.4</v>
      </c>
      <c r="E60" s="1">
        <v>0</v>
      </c>
      <c r="F60" s="1">
        <v>390120</v>
      </c>
      <c r="G60" s="1">
        <v>21781.599999999999</v>
      </c>
      <c r="H60" s="1">
        <v>358757</v>
      </c>
      <c r="I60" s="1">
        <v>451116</v>
      </c>
      <c r="J60" s="1">
        <v>43897.2</v>
      </c>
      <c r="K60" s="1">
        <v>87024.7</v>
      </c>
      <c r="L60" s="1">
        <v>79315.100000000006</v>
      </c>
      <c r="M60" s="1">
        <v>42323.5</v>
      </c>
      <c r="N60" s="1">
        <v>55708.3</v>
      </c>
      <c r="O60" s="1">
        <v>72995.100000000006</v>
      </c>
      <c r="P60" s="1">
        <v>50613</v>
      </c>
      <c r="Q60" s="1">
        <v>78814</v>
      </c>
      <c r="R60" s="1">
        <v>0</v>
      </c>
    </row>
    <row r="61" spans="1:18">
      <c r="A61" s="2">
        <v>0.29166666666666669</v>
      </c>
      <c r="B61" s="1">
        <v>2023</v>
      </c>
      <c r="C61" s="1">
        <v>969298</v>
      </c>
      <c r="D61" s="1">
        <v>29837.1</v>
      </c>
      <c r="E61" s="1">
        <v>0</v>
      </c>
      <c r="F61" s="1">
        <v>390142</v>
      </c>
      <c r="G61" s="1">
        <v>21839.1</v>
      </c>
      <c r="H61" s="1">
        <v>358768</v>
      </c>
      <c r="I61" s="1">
        <v>451351</v>
      </c>
      <c r="J61" s="1">
        <v>43908</v>
      </c>
      <c r="K61" s="1">
        <v>87027.3</v>
      </c>
      <c r="L61" s="1">
        <v>79336</v>
      </c>
      <c r="M61" s="1">
        <v>42368.3</v>
      </c>
      <c r="N61" s="1">
        <v>55761.7</v>
      </c>
      <c r="O61" s="1">
        <v>73017.100000000006</v>
      </c>
      <c r="P61" s="1">
        <v>50614</v>
      </c>
      <c r="Q61" s="1">
        <v>78814</v>
      </c>
      <c r="R61" s="1">
        <v>0</v>
      </c>
    </row>
    <row r="62" spans="1:18">
      <c r="A62" s="2">
        <v>0.33333333333333331</v>
      </c>
      <c r="B62" s="1">
        <v>2822</v>
      </c>
      <c r="C62" s="1">
        <v>969511</v>
      </c>
      <c r="D62" s="1">
        <v>29850.5</v>
      </c>
      <c r="E62" s="1">
        <v>0</v>
      </c>
      <c r="F62" s="1">
        <v>390166</v>
      </c>
      <c r="G62" s="1">
        <v>21897.599999999999</v>
      </c>
      <c r="H62" s="1">
        <v>358780</v>
      </c>
      <c r="I62" s="1">
        <v>451615</v>
      </c>
      <c r="J62" s="1">
        <v>43919.1</v>
      </c>
      <c r="K62" s="1">
        <v>87028.3</v>
      </c>
      <c r="L62" s="1">
        <v>79358.2</v>
      </c>
      <c r="M62" s="1">
        <v>42415.1</v>
      </c>
      <c r="N62" s="1">
        <v>55812.7</v>
      </c>
      <c r="O62" s="1">
        <v>73044.100000000006</v>
      </c>
      <c r="P62" s="1">
        <v>50615</v>
      </c>
      <c r="Q62" s="1">
        <v>78817</v>
      </c>
      <c r="R62" s="1">
        <v>0</v>
      </c>
    </row>
    <row r="63" spans="1:18">
      <c r="A63" s="2">
        <v>0.375</v>
      </c>
      <c r="B63" s="1">
        <v>3767</v>
      </c>
      <c r="C63" s="1">
        <v>969768</v>
      </c>
      <c r="D63" s="1">
        <v>29867.3</v>
      </c>
      <c r="E63" s="1">
        <v>0</v>
      </c>
      <c r="F63" s="1">
        <v>390193</v>
      </c>
      <c r="G63" s="1">
        <v>21958.6</v>
      </c>
      <c r="H63" s="1">
        <v>358792</v>
      </c>
      <c r="I63" s="1">
        <v>451924</v>
      </c>
      <c r="J63" s="1">
        <v>43930.6</v>
      </c>
      <c r="K63" s="1">
        <v>87029.7</v>
      </c>
      <c r="L63" s="1">
        <v>79388</v>
      </c>
      <c r="M63" s="1">
        <v>42467.6</v>
      </c>
      <c r="N63" s="1">
        <v>55864.9</v>
      </c>
      <c r="O63" s="1">
        <v>73085.100000000006</v>
      </c>
      <c r="P63" s="1">
        <v>50619</v>
      </c>
      <c r="Q63" s="1">
        <v>78826</v>
      </c>
      <c r="R63" s="1">
        <v>0</v>
      </c>
    </row>
    <row r="64" spans="1:18">
      <c r="A64" s="2">
        <v>0.41666666666666669</v>
      </c>
      <c r="B64" s="1">
        <v>5072</v>
      </c>
      <c r="C64" s="1">
        <v>970111</v>
      </c>
      <c r="D64" s="1">
        <v>29903.599999999999</v>
      </c>
      <c r="E64" s="1">
        <v>0</v>
      </c>
      <c r="F64" s="1">
        <v>390231</v>
      </c>
      <c r="G64" s="1">
        <v>22044</v>
      </c>
      <c r="H64" s="1">
        <v>358877</v>
      </c>
      <c r="I64" s="1">
        <v>452320</v>
      </c>
      <c r="J64" s="1">
        <v>43942.3</v>
      </c>
      <c r="K64" s="1">
        <v>87029.9</v>
      </c>
      <c r="L64" s="1">
        <v>79424.2</v>
      </c>
      <c r="M64" s="1">
        <v>42527.199999999997</v>
      </c>
      <c r="N64" s="1">
        <v>55919.199999999997</v>
      </c>
      <c r="O64" s="1">
        <v>73141.100000000006</v>
      </c>
      <c r="P64" s="1">
        <v>50628</v>
      </c>
      <c r="Q64" s="1">
        <v>78840</v>
      </c>
      <c r="R64" s="1">
        <v>0</v>
      </c>
    </row>
    <row r="65" spans="1:18">
      <c r="A65" s="2">
        <v>0.45833333333333331</v>
      </c>
      <c r="B65" s="1">
        <v>6586</v>
      </c>
      <c r="C65" s="1">
        <v>970509</v>
      </c>
      <c r="D65" s="1">
        <v>29945.1</v>
      </c>
      <c r="E65" s="1">
        <v>0</v>
      </c>
      <c r="F65" s="1">
        <v>390297</v>
      </c>
      <c r="G65" s="1">
        <v>22154.2</v>
      </c>
      <c r="H65" s="1">
        <v>358961</v>
      </c>
      <c r="I65" s="1">
        <v>452774</v>
      </c>
      <c r="J65" s="1">
        <v>43954.6</v>
      </c>
      <c r="K65" s="1">
        <v>87031.1</v>
      </c>
      <c r="L65" s="1">
        <v>79469</v>
      </c>
      <c r="M65" s="1">
        <v>42587.5</v>
      </c>
      <c r="N65" s="1">
        <v>55977.8</v>
      </c>
      <c r="O65" s="1">
        <v>73212.600000000006</v>
      </c>
      <c r="P65" s="1">
        <v>50639</v>
      </c>
      <c r="Q65" s="1">
        <v>78857</v>
      </c>
      <c r="R65" s="1">
        <v>0</v>
      </c>
    </row>
    <row r="66" spans="1:18">
      <c r="A66" s="2">
        <v>0.5</v>
      </c>
      <c r="B66" s="1">
        <v>8062</v>
      </c>
      <c r="C66" s="1">
        <v>970901</v>
      </c>
      <c r="D66" s="1">
        <v>29986.2</v>
      </c>
      <c r="E66" s="1">
        <v>0</v>
      </c>
      <c r="F66" s="1">
        <v>390361</v>
      </c>
      <c r="G66" s="1">
        <v>22271.5</v>
      </c>
      <c r="H66" s="1">
        <v>358996</v>
      </c>
      <c r="I66" s="1">
        <v>453230</v>
      </c>
      <c r="J66" s="1">
        <v>43967.3</v>
      </c>
      <c r="K66" s="1">
        <v>87033.600000000006</v>
      </c>
      <c r="L66" s="1">
        <v>79523.7</v>
      </c>
      <c r="M66" s="1">
        <v>42651.4</v>
      </c>
      <c r="N66" s="1">
        <v>56035.1</v>
      </c>
      <c r="O66" s="1">
        <v>73278.600000000006</v>
      </c>
      <c r="P66" s="1">
        <v>50647</v>
      </c>
      <c r="Q66" s="1">
        <v>78869</v>
      </c>
      <c r="R66" s="1">
        <v>0</v>
      </c>
    </row>
    <row r="67" spans="1:18">
      <c r="A67" s="2">
        <v>0.54166666666666663</v>
      </c>
      <c r="B67" s="1">
        <v>9539</v>
      </c>
      <c r="C67" s="1">
        <v>971290</v>
      </c>
      <c r="D67" s="1">
        <v>30034.6</v>
      </c>
      <c r="E67" s="1">
        <v>0</v>
      </c>
      <c r="F67" s="1">
        <v>390426</v>
      </c>
      <c r="G67" s="1">
        <v>22379.5</v>
      </c>
      <c r="H67" s="1">
        <v>359008</v>
      </c>
      <c r="I67" s="1">
        <v>453707</v>
      </c>
      <c r="J67" s="1">
        <v>43980.7</v>
      </c>
      <c r="K67" s="1">
        <v>87035.3</v>
      </c>
      <c r="L67" s="1">
        <v>79575.199999999997</v>
      </c>
      <c r="M67" s="1">
        <v>42720.3</v>
      </c>
      <c r="N67" s="1">
        <v>56091</v>
      </c>
      <c r="O67" s="1">
        <v>73347.8</v>
      </c>
      <c r="P67" s="1">
        <v>50658</v>
      </c>
      <c r="Q67" s="1">
        <v>78887</v>
      </c>
      <c r="R67" s="1">
        <v>0</v>
      </c>
    </row>
    <row r="68" spans="1:18">
      <c r="A68" s="2">
        <v>0.58333333333333337</v>
      </c>
      <c r="B68" s="1">
        <v>11037</v>
      </c>
      <c r="C68" s="1">
        <v>971668</v>
      </c>
      <c r="D68" s="1">
        <v>30082.7</v>
      </c>
      <c r="E68" s="1">
        <v>0</v>
      </c>
      <c r="F68" s="1">
        <v>390488</v>
      </c>
      <c r="G68" s="1">
        <v>22497.9</v>
      </c>
      <c r="H68" s="1">
        <v>359019</v>
      </c>
      <c r="I68" s="1">
        <v>454184</v>
      </c>
      <c r="J68" s="1">
        <v>43993.1</v>
      </c>
      <c r="K68" s="1">
        <v>87040.6</v>
      </c>
      <c r="L68" s="1">
        <v>79635</v>
      </c>
      <c r="M68" s="1">
        <v>42788.6</v>
      </c>
      <c r="N68" s="1">
        <v>56147.1</v>
      </c>
      <c r="O68" s="1">
        <v>73427.899999999994</v>
      </c>
      <c r="P68" s="1">
        <v>50665</v>
      </c>
      <c r="Q68" s="1">
        <v>78898</v>
      </c>
      <c r="R68" s="1">
        <v>0</v>
      </c>
    </row>
    <row r="69" spans="1:18">
      <c r="A69" s="2">
        <v>0.625</v>
      </c>
      <c r="B69" s="1">
        <v>12546</v>
      </c>
      <c r="C69" s="1">
        <v>972058</v>
      </c>
      <c r="D69" s="1">
        <v>30129.200000000001</v>
      </c>
      <c r="E69" s="1">
        <v>0</v>
      </c>
      <c r="F69" s="1">
        <v>390548</v>
      </c>
      <c r="G69" s="1">
        <v>22626.3</v>
      </c>
      <c r="H69" s="1">
        <v>359034</v>
      </c>
      <c r="I69" s="1">
        <v>454668</v>
      </c>
      <c r="J69" s="1">
        <v>44007.5</v>
      </c>
      <c r="K69" s="1">
        <v>87050.8</v>
      </c>
      <c r="L69" s="1">
        <v>79694.2</v>
      </c>
      <c r="M69" s="1">
        <v>42855</v>
      </c>
      <c r="N69" s="1">
        <v>56206.2</v>
      </c>
      <c r="O69" s="1">
        <v>73488</v>
      </c>
      <c r="P69" s="1">
        <v>50669</v>
      </c>
      <c r="Q69" s="1">
        <v>78903</v>
      </c>
      <c r="R69" s="1">
        <v>0</v>
      </c>
    </row>
    <row r="70" spans="1:18">
      <c r="A70" s="2">
        <v>0.66666666666666663</v>
      </c>
      <c r="B70" s="1">
        <v>14040</v>
      </c>
      <c r="C70" s="1">
        <v>972439</v>
      </c>
      <c r="D70" s="1">
        <v>30180.9</v>
      </c>
      <c r="E70" s="1">
        <v>0</v>
      </c>
      <c r="F70" s="1">
        <v>390608</v>
      </c>
      <c r="G70" s="1">
        <v>22754</v>
      </c>
      <c r="H70" s="1">
        <v>359084</v>
      </c>
      <c r="I70" s="1">
        <v>455137</v>
      </c>
      <c r="J70" s="1">
        <v>44020.4</v>
      </c>
      <c r="K70" s="1">
        <v>87057.5</v>
      </c>
      <c r="L70" s="1">
        <v>79752.800000000003</v>
      </c>
      <c r="M70" s="1">
        <v>42925.9</v>
      </c>
      <c r="N70" s="1">
        <v>56264.800000000003</v>
      </c>
      <c r="O70" s="1">
        <v>73521.8</v>
      </c>
      <c r="P70" s="1">
        <v>50673</v>
      </c>
      <c r="Q70" s="1">
        <v>78910</v>
      </c>
      <c r="R70" s="1">
        <v>0</v>
      </c>
    </row>
    <row r="71" spans="1:18">
      <c r="A71" s="2">
        <v>0.70833333333333337</v>
      </c>
      <c r="B71" s="1">
        <v>15498</v>
      </c>
      <c r="C71" s="1">
        <v>972812</v>
      </c>
      <c r="D71" s="1">
        <v>30232.1</v>
      </c>
      <c r="E71" s="1">
        <v>0</v>
      </c>
      <c r="F71" s="1">
        <v>390667</v>
      </c>
      <c r="G71" s="1">
        <v>22871.8</v>
      </c>
      <c r="H71" s="1">
        <v>359120</v>
      </c>
      <c r="I71" s="1">
        <v>455597</v>
      </c>
      <c r="J71" s="1">
        <v>44032.7</v>
      </c>
      <c r="K71" s="1">
        <v>87062</v>
      </c>
      <c r="L71" s="1">
        <v>79826.8</v>
      </c>
      <c r="M71" s="1">
        <v>42993.9</v>
      </c>
      <c r="N71" s="1">
        <v>56322.8</v>
      </c>
      <c r="O71" s="1">
        <v>73555.7</v>
      </c>
      <c r="P71" s="1">
        <v>50679</v>
      </c>
      <c r="Q71" s="1">
        <v>78919</v>
      </c>
      <c r="R71" s="1">
        <v>0</v>
      </c>
    </row>
    <row r="72" spans="1:18">
      <c r="A72" s="2">
        <v>0.75</v>
      </c>
      <c r="B72" s="1">
        <v>16713</v>
      </c>
      <c r="C72" s="1">
        <v>973128</v>
      </c>
      <c r="D72" s="1">
        <v>30268.3</v>
      </c>
      <c r="E72" s="1">
        <v>0</v>
      </c>
      <c r="F72" s="1">
        <v>390711</v>
      </c>
      <c r="G72" s="1">
        <v>22972.2</v>
      </c>
      <c r="H72" s="1">
        <v>359133</v>
      </c>
      <c r="I72" s="1">
        <v>456002</v>
      </c>
      <c r="J72" s="1">
        <v>44043.8</v>
      </c>
      <c r="K72" s="1">
        <v>87066.1</v>
      </c>
      <c r="L72" s="1">
        <v>79873.5</v>
      </c>
      <c r="M72" s="1">
        <v>43051.199999999997</v>
      </c>
      <c r="N72" s="1">
        <v>56382.400000000001</v>
      </c>
      <c r="O72" s="1">
        <v>73587.100000000006</v>
      </c>
      <c r="P72" s="1">
        <v>50680</v>
      </c>
      <c r="Q72" s="1">
        <v>78920</v>
      </c>
      <c r="R72" s="1">
        <v>0</v>
      </c>
    </row>
    <row r="73" spans="1:18">
      <c r="A73" s="2">
        <v>0.79166666666666663</v>
      </c>
      <c r="B73" s="1">
        <v>17777</v>
      </c>
      <c r="C73" s="1">
        <v>973402</v>
      </c>
      <c r="D73" s="1">
        <v>30296</v>
      </c>
      <c r="E73" s="1">
        <v>0</v>
      </c>
      <c r="F73" s="1">
        <v>390746</v>
      </c>
      <c r="G73" s="1">
        <v>23055.5</v>
      </c>
      <c r="H73" s="1">
        <v>359145</v>
      </c>
      <c r="I73" s="1">
        <v>456375</v>
      </c>
      <c r="J73" s="1">
        <v>44055.8</v>
      </c>
      <c r="K73" s="1">
        <v>87069.2</v>
      </c>
      <c r="L73" s="1">
        <v>79907.5</v>
      </c>
      <c r="M73" s="1">
        <v>43098.400000000001</v>
      </c>
      <c r="N73" s="1">
        <v>56437.9</v>
      </c>
      <c r="O73" s="1">
        <v>73612.3</v>
      </c>
      <c r="P73" s="1">
        <v>50680</v>
      </c>
      <c r="Q73" s="1">
        <v>78921</v>
      </c>
      <c r="R73" s="1">
        <v>0</v>
      </c>
    </row>
    <row r="74" spans="1:18">
      <c r="A74" s="2">
        <v>0.83333333333333337</v>
      </c>
      <c r="B74" s="1">
        <v>18757</v>
      </c>
      <c r="C74" s="1">
        <v>973660</v>
      </c>
      <c r="D74" s="1">
        <v>30320.1</v>
      </c>
      <c r="E74" s="1">
        <v>0</v>
      </c>
      <c r="F74" s="1">
        <v>390776</v>
      </c>
      <c r="G74" s="1">
        <v>23137</v>
      </c>
      <c r="H74" s="1">
        <v>359156</v>
      </c>
      <c r="I74" s="1">
        <v>456703</v>
      </c>
      <c r="J74" s="1">
        <v>44067.1</v>
      </c>
      <c r="K74" s="1">
        <v>87072.9</v>
      </c>
      <c r="L74" s="1">
        <v>79940.2</v>
      </c>
      <c r="M74" s="1">
        <v>43147.1</v>
      </c>
      <c r="N74" s="1">
        <v>56494.7</v>
      </c>
      <c r="O74" s="1">
        <v>73635.3</v>
      </c>
      <c r="P74" s="1">
        <v>50680</v>
      </c>
      <c r="Q74" s="1">
        <v>78921</v>
      </c>
      <c r="R74" s="1">
        <v>0</v>
      </c>
    </row>
    <row r="75" spans="1:18">
      <c r="A75" s="2">
        <v>0.875</v>
      </c>
      <c r="B75" s="1">
        <v>19646</v>
      </c>
      <c r="C75" s="1">
        <v>973891</v>
      </c>
      <c r="D75" s="1">
        <v>30341.8</v>
      </c>
      <c r="E75" s="1">
        <v>0</v>
      </c>
      <c r="F75" s="1">
        <v>390804</v>
      </c>
      <c r="G75" s="1">
        <v>23213.4</v>
      </c>
      <c r="H75" s="1">
        <v>359167</v>
      </c>
      <c r="I75" s="1">
        <v>456989</v>
      </c>
      <c r="J75" s="1">
        <v>44078.8</v>
      </c>
      <c r="K75" s="1">
        <v>87076.4</v>
      </c>
      <c r="L75" s="1">
        <v>79972.399999999994</v>
      </c>
      <c r="M75" s="1">
        <v>43193.7</v>
      </c>
      <c r="N75" s="1">
        <v>56551.6</v>
      </c>
      <c r="O75" s="1">
        <v>73658.899999999994</v>
      </c>
      <c r="P75" s="1">
        <v>50680</v>
      </c>
      <c r="Q75" s="1">
        <v>78921</v>
      </c>
      <c r="R75" s="1">
        <v>0</v>
      </c>
    </row>
    <row r="76" spans="1:18">
      <c r="A76" s="2">
        <v>0.91666666666666663</v>
      </c>
      <c r="B76" s="1">
        <v>20478</v>
      </c>
      <c r="C76" s="1">
        <v>974101</v>
      </c>
      <c r="D76" s="1">
        <v>30361.8</v>
      </c>
      <c r="E76" s="1">
        <v>0</v>
      </c>
      <c r="F76" s="1">
        <v>390830</v>
      </c>
      <c r="G76" s="1">
        <v>23284.9</v>
      </c>
      <c r="H76" s="1">
        <v>359178</v>
      </c>
      <c r="I76" s="1">
        <v>457258</v>
      </c>
      <c r="J76" s="1">
        <v>44089.7</v>
      </c>
      <c r="K76" s="1">
        <v>87079.8</v>
      </c>
      <c r="L76" s="1">
        <v>80000</v>
      </c>
      <c r="M76" s="1">
        <v>43239.1</v>
      </c>
      <c r="N76" s="1">
        <v>56607.4</v>
      </c>
      <c r="O76" s="1">
        <v>73683.199999999997</v>
      </c>
      <c r="P76" s="1">
        <v>50680</v>
      </c>
      <c r="Q76" s="1">
        <v>78921</v>
      </c>
      <c r="R76" s="1">
        <v>0</v>
      </c>
    </row>
    <row r="77" spans="1:18">
      <c r="A77" s="2">
        <v>0.95833333333333337</v>
      </c>
      <c r="B77" s="1">
        <v>21279</v>
      </c>
      <c r="C77" s="1">
        <v>974303</v>
      </c>
      <c r="D77" s="1">
        <v>30383.599999999999</v>
      </c>
      <c r="E77" s="1">
        <v>0</v>
      </c>
      <c r="F77" s="1">
        <v>390856</v>
      </c>
      <c r="G77" s="1">
        <v>23353.4</v>
      </c>
      <c r="H77" s="1">
        <v>359191</v>
      </c>
      <c r="I77" s="1">
        <v>457513</v>
      </c>
      <c r="J77" s="1">
        <v>44100.2</v>
      </c>
      <c r="K77" s="1">
        <v>87083.199999999997</v>
      </c>
      <c r="L77" s="1">
        <v>80024.7</v>
      </c>
      <c r="M77" s="1">
        <v>43284.1</v>
      </c>
      <c r="N77" s="1">
        <v>56663.5</v>
      </c>
      <c r="O77" s="1">
        <v>73703.899999999994</v>
      </c>
      <c r="P77" s="1">
        <v>50680</v>
      </c>
      <c r="Q77" s="1">
        <v>78921</v>
      </c>
      <c r="R77" s="1">
        <v>0</v>
      </c>
    </row>
    <row r="78" spans="1:18">
      <c r="A78" s="2">
        <v>0</v>
      </c>
      <c r="B78" s="1">
        <v>22065</v>
      </c>
      <c r="C78" s="1">
        <v>974499</v>
      </c>
      <c r="D78" s="1">
        <v>30404.400000000001</v>
      </c>
      <c r="E78" s="1">
        <v>0</v>
      </c>
      <c r="F78" s="1">
        <v>390880</v>
      </c>
      <c r="G78" s="1">
        <v>23421.8</v>
      </c>
      <c r="H78" s="1">
        <v>359202</v>
      </c>
      <c r="I78" s="1">
        <v>457763</v>
      </c>
      <c r="J78" s="1">
        <v>44110.5</v>
      </c>
      <c r="K78" s="1">
        <v>87086.9</v>
      </c>
      <c r="L78" s="1">
        <v>80049.600000000006</v>
      </c>
      <c r="M78" s="1">
        <v>43329.1</v>
      </c>
      <c r="N78" s="1">
        <v>56719</v>
      </c>
      <c r="O78" s="1">
        <v>73723.399999999994</v>
      </c>
      <c r="P78" s="1">
        <v>50680</v>
      </c>
      <c r="Q78" s="1">
        <v>78921</v>
      </c>
      <c r="R78" s="1">
        <v>0</v>
      </c>
    </row>
    <row r="79" spans="1:18">
      <c r="A79" s="2">
        <v>4.1666666666666664E-2</v>
      </c>
      <c r="B79" s="1">
        <v>22820</v>
      </c>
      <c r="C79" s="1">
        <v>974694</v>
      </c>
      <c r="D79" s="1">
        <v>30421.1</v>
      </c>
      <c r="E79" s="1">
        <v>0</v>
      </c>
      <c r="F79" s="1">
        <v>390903</v>
      </c>
      <c r="G79" s="1">
        <v>23487.8</v>
      </c>
      <c r="H79" s="1">
        <v>359214</v>
      </c>
      <c r="I79" s="1">
        <v>457997</v>
      </c>
      <c r="J79" s="1">
        <v>44121</v>
      </c>
      <c r="K79" s="1">
        <v>87090.3</v>
      </c>
      <c r="L79" s="1">
        <v>80072.7</v>
      </c>
      <c r="M79" s="1">
        <v>43376.1</v>
      </c>
      <c r="N79" s="1">
        <v>56774.400000000001</v>
      </c>
      <c r="O79" s="1">
        <v>73742.600000000006</v>
      </c>
      <c r="P79" s="1">
        <v>50680</v>
      </c>
      <c r="Q79" s="1">
        <v>78921</v>
      </c>
      <c r="R79" s="1">
        <v>0</v>
      </c>
    </row>
    <row r="80" spans="1:18">
      <c r="A80" s="2">
        <v>8.3333333333333329E-2</v>
      </c>
      <c r="B80" s="1">
        <v>23554</v>
      </c>
      <c r="C80" s="1">
        <v>974880</v>
      </c>
      <c r="D80" s="1">
        <v>30436</v>
      </c>
      <c r="E80" s="1">
        <v>0</v>
      </c>
      <c r="F80" s="1">
        <v>390925</v>
      </c>
      <c r="G80" s="1">
        <v>23552.799999999999</v>
      </c>
      <c r="H80" s="1">
        <v>359225</v>
      </c>
      <c r="I80" s="1">
        <v>458224</v>
      </c>
      <c r="J80" s="1">
        <v>44131.1</v>
      </c>
      <c r="K80" s="1">
        <v>87093.7</v>
      </c>
      <c r="L80" s="1">
        <v>80094.899999999994</v>
      </c>
      <c r="M80" s="1">
        <v>43422.2</v>
      </c>
      <c r="N80" s="1">
        <v>56829.5</v>
      </c>
      <c r="O80" s="1">
        <v>73762.5</v>
      </c>
      <c r="P80" s="1">
        <v>50680</v>
      </c>
      <c r="Q80" s="1">
        <v>78921</v>
      </c>
      <c r="R80" s="1">
        <v>0</v>
      </c>
    </row>
    <row r="81" spans="1:18">
      <c r="A81" s="2">
        <v>0.125</v>
      </c>
      <c r="B81" s="1">
        <v>24282</v>
      </c>
      <c r="C81" s="1">
        <v>975059</v>
      </c>
      <c r="D81" s="1">
        <v>30452.2</v>
      </c>
      <c r="E81" s="1">
        <v>0</v>
      </c>
      <c r="F81" s="1">
        <v>390947</v>
      </c>
      <c r="G81" s="1">
        <v>23616.1</v>
      </c>
      <c r="H81" s="1">
        <v>359236</v>
      </c>
      <c r="I81" s="1">
        <v>458453</v>
      </c>
      <c r="J81" s="1">
        <v>44141.3</v>
      </c>
      <c r="K81" s="1">
        <v>87097</v>
      </c>
      <c r="L81" s="1">
        <v>80119.100000000006</v>
      </c>
      <c r="M81" s="1">
        <v>43467.3</v>
      </c>
      <c r="N81" s="1">
        <v>56884.6</v>
      </c>
      <c r="O81" s="1">
        <v>73781.5</v>
      </c>
      <c r="P81" s="1">
        <v>50680</v>
      </c>
      <c r="Q81" s="1">
        <v>78921</v>
      </c>
      <c r="R81" s="1">
        <v>0</v>
      </c>
    </row>
    <row r="82" spans="1:18">
      <c r="A82" s="2">
        <v>0.16666666666666666</v>
      </c>
      <c r="B82" s="1">
        <v>24996</v>
      </c>
      <c r="C82" s="1">
        <v>975233</v>
      </c>
      <c r="D82" s="1">
        <v>30466.5</v>
      </c>
      <c r="E82" s="1">
        <v>0</v>
      </c>
      <c r="F82" s="1">
        <v>390969</v>
      </c>
      <c r="G82" s="1">
        <v>23679.5</v>
      </c>
      <c r="H82" s="1">
        <v>359247</v>
      </c>
      <c r="I82" s="1">
        <v>458677</v>
      </c>
      <c r="J82" s="1">
        <v>44151.6</v>
      </c>
      <c r="K82" s="1">
        <v>87100.3</v>
      </c>
      <c r="L82" s="1">
        <v>80141.899999999994</v>
      </c>
      <c r="M82" s="1">
        <v>43510</v>
      </c>
      <c r="N82" s="1">
        <v>56940.2</v>
      </c>
      <c r="O82" s="1">
        <v>73800.7</v>
      </c>
      <c r="P82" s="1">
        <v>50680</v>
      </c>
      <c r="Q82" s="1">
        <v>78921</v>
      </c>
      <c r="R82" s="1">
        <v>0</v>
      </c>
    </row>
    <row r="83" spans="1:18">
      <c r="A83" s="2">
        <v>0.20833333333333334</v>
      </c>
      <c r="B83" s="1">
        <v>25700</v>
      </c>
      <c r="C83" s="1">
        <v>975406</v>
      </c>
      <c r="D83" s="1">
        <v>30480.6</v>
      </c>
      <c r="E83" s="1">
        <v>0</v>
      </c>
      <c r="F83" s="1">
        <v>390988</v>
      </c>
      <c r="G83" s="1">
        <v>23740.799999999999</v>
      </c>
      <c r="H83" s="1">
        <v>359258</v>
      </c>
      <c r="I83" s="1">
        <v>458898</v>
      </c>
      <c r="J83" s="1">
        <v>44161.5</v>
      </c>
      <c r="K83" s="1">
        <v>87103.7</v>
      </c>
      <c r="L83" s="1">
        <v>80164.399999999994</v>
      </c>
      <c r="M83" s="1">
        <v>43553</v>
      </c>
      <c r="N83" s="1">
        <v>56995.7</v>
      </c>
      <c r="O83" s="1">
        <v>73820.399999999994</v>
      </c>
      <c r="P83" s="1">
        <v>50680</v>
      </c>
      <c r="Q83" s="1">
        <v>78921</v>
      </c>
      <c r="R83" s="1">
        <v>0</v>
      </c>
    </row>
    <row r="84" spans="1:18">
      <c r="A84" s="2">
        <v>0.25</v>
      </c>
      <c r="B84" s="1">
        <v>26407</v>
      </c>
      <c r="C84" s="1">
        <v>975580</v>
      </c>
      <c r="D84" s="1">
        <v>30494.799999999999</v>
      </c>
      <c r="E84" s="1">
        <v>0</v>
      </c>
      <c r="F84" s="1">
        <v>391007</v>
      </c>
      <c r="G84" s="1">
        <v>23802.3</v>
      </c>
      <c r="H84" s="1">
        <v>359270</v>
      </c>
      <c r="I84" s="1">
        <v>459120</v>
      </c>
      <c r="J84" s="1">
        <v>44171.6</v>
      </c>
      <c r="K84" s="1">
        <v>87106.8</v>
      </c>
      <c r="L84" s="1">
        <v>80186.2</v>
      </c>
      <c r="M84" s="1">
        <v>43596.2</v>
      </c>
      <c r="N84" s="1">
        <v>57050.7</v>
      </c>
      <c r="O84" s="1">
        <v>73842</v>
      </c>
      <c r="P84" s="1">
        <v>50680</v>
      </c>
      <c r="Q84" s="1">
        <v>78921</v>
      </c>
      <c r="R84" s="1">
        <v>0</v>
      </c>
    </row>
    <row r="85" spans="1:18">
      <c r="A85" s="2">
        <v>0.29166666666666669</v>
      </c>
      <c r="B85" s="1">
        <v>27138</v>
      </c>
      <c r="C85" s="1">
        <v>975762</v>
      </c>
      <c r="D85" s="1">
        <v>30509.4</v>
      </c>
      <c r="E85" s="1">
        <v>0</v>
      </c>
      <c r="F85" s="1">
        <v>391028</v>
      </c>
      <c r="G85" s="1">
        <v>23863.4</v>
      </c>
      <c r="H85" s="1">
        <v>359281</v>
      </c>
      <c r="I85" s="1">
        <v>459352</v>
      </c>
      <c r="J85" s="1">
        <v>44182</v>
      </c>
      <c r="K85" s="1">
        <v>87109.3</v>
      </c>
      <c r="L85" s="1">
        <v>80208.600000000006</v>
      </c>
      <c r="M85" s="1">
        <v>43639.5</v>
      </c>
      <c r="N85" s="1">
        <v>57105.1</v>
      </c>
      <c r="O85" s="1">
        <v>73864</v>
      </c>
      <c r="P85" s="1">
        <v>50681</v>
      </c>
      <c r="Q85" s="1">
        <v>78921</v>
      </c>
      <c r="R85" s="1">
        <v>0</v>
      </c>
    </row>
    <row r="86" spans="1:18">
      <c r="A86" s="2">
        <v>0.33333333333333331</v>
      </c>
      <c r="B86" s="1">
        <v>27920</v>
      </c>
      <c r="C86" s="1">
        <v>975960</v>
      </c>
      <c r="D86" s="1">
        <v>30525.200000000001</v>
      </c>
      <c r="E86" s="1">
        <v>0</v>
      </c>
      <c r="F86" s="1">
        <v>391051</v>
      </c>
      <c r="G86" s="1">
        <v>23926.6</v>
      </c>
      <c r="H86" s="1">
        <v>359293</v>
      </c>
      <c r="I86" s="1">
        <v>459604</v>
      </c>
      <c r="J86" s="1">
        <v>44192.9</v>
      </c>
      <c r="K86" s="1">
        <v>87110.1</v>
      </c>
      <c r="L86" s="1">
        <v>80232.399999999994</v>
      </c>
      <c r="M86" s="1">
        <v>43685.7</v>
      </c>
      <c r="N86" s="1">
        <v>57156.9</v>
      </c>
      <c r="O86" s="1">
        <v>73887.899999999994</v>
      </c>
      <c r="P86" s="1">
        <v>50682</v>
      </c>
      <c r="Q86" s="1">
        <v>78924</v>
      </c>
      <c r="R86" s="1">
        <v>0</v>
      </c>
    </row>
    <row r="87" spans="1:18">
      <c r="A87" s="2">
        <v>0.375</v>
      </c>
      <c r="B87" s="1">
        <v>29023</v>
      </c>
      <c r="C87" s="1">
        <v>976233</v>
      </c>
      <c r="D87" s="1">
        <v>30546.9</v>
      </c>
      <c r="E87" s="1">
        <v>0</v>
      </c>
      <c r="F87" s="1">
        <v>391081</v>
      </c>
      <c r="G87" s="1">
        <v>24001.1</v>
      </c>
      <c r="H87" s="1">
        <v>359358</v>
      </c>
      <c r="I87" s="1">
        <v>459961</v>
      </c>
      <c r="J87" s="1">
        <v>44205.4</v>
      </c>
      <c r="K87" s="1">
        <v>87113.1</v>
      </c>
      <c r="L87" s="1">
        <v>80281</v>
      </c>
      <c r="M87" s="1">
        <v>43736.3</v>
      </c>
      <c r="N87" s="1">
        <v>57208.2</v>
      </c>
      <c r="O87" s="1">
        <v>73929.600000000006</v>
      </c>
      <c r="P87" s="1">
        <v>50685</v>
      </c>
      <c r="Q87" s="1">
        <v>78932</v>
      </c>
      <c r="R87" s="1">
        <v>0</v>
      </c>
    </row>
    <row r="88" spans="1:18">
      <c r="A88" s="2">
        <v>0.41666666666666669</v>
      </c>
      <c r="B88" s="1">
        <v>30360</v>
      </c>
      <c r="C88" s="1">
        <v>976555</v>
      </c>
      <c r="D88" s="1">
        <v>30571.1</v>
      </c>
      <c r="E88" s="1">
        <v>0</v>
      </c>
      <c r="F88" s="1">
        <v>391113</v>
      </c>
      <c r="G88" s="1">
        <v>24085.200000000001</v>
      </c>
      <c r="H88" s="1">
        <v>359494</v>
      </c>
      <c r="I88" s="1">
        <v>460383</v>
      </c>
      <c r="J88" s="1">
        <v>44218.6</v>
      </c>
      <c r="K88" s="1">
        <v>87114.3</v>
      </c>
      <c r="L88" s="1">
        <v>80329.5</v>
      </c>
      <c r="M88" s="1">
        <v>43798</v>
      </c>
      <c r="N88" s="1">
        <v>57256.3</v>
      </c>
      <c r="O88" s="1">
        <v>73984.600000000006</v>
      </c>
      <c r="P88" s="1">
        <v>50693</v>
      </c>
      <c r="Q88" s="1">
        <v>78945</v>
      </c>
      <c r="R88" s="1">
        <v>0</v>
      </c>
    </row>
    <row r="89" spans="1:18">
      <c r="A89" s="2">
        <v>0.45833333333333331</v>
      </c>
      <c r="B89" s="1">
        <v>31872</v>
      </c>
      <c r="C89" s="1">
        <v>976941</v>
      </c>
      <c r="D89" s="1">
        <v>30604.3</v>
      </c>
      <c r="E89" s="1">
        <v>0</v>
      </c>
      <c r="F89" s="1">
        <v>391166</v>
      </c>
      <c r="G89" s="1">
        <v>24186.9</v>
      </c>
      <c r="H89" s="1">
        <v>359630</v>
      </c>
      <c r="I89" s="1">
        <v>460832</v>
      </c>
      <c r="J89" s="1">
        <v>44231.199999999997</v>
      </c>
      <c r="K89" s="1">
        <v>87117.2</v>
      </c>
      <c r="L89" s="1">
        <v>80382.899999999994</v>
      </c>
      <c r="M89" s="1">
        <v>43864.9</v>
      </c>
      <c r="N89" s="1">
        <v>57303.199999999997</v>
      </c>
      <c r="O89" s="1">
        <v>74054.3</v>
      </c>
      <c r="P89" s="1">
        <v>50703</v>
      </c>
      <c r="Q89" s="1">
        <v>78960</v>
      </c>
      <c r="R89" s="1">
        <v>0</v>
      </c>
    </row>
    <row r="90" spans="1:18">
      <c r="A90" s="2">
        <v>0.5</v>
      </c>
      <c r="B90" s="1">
        <v>33440</v>
      </c>
      <c r="C90" s="1">
        <v>977359</v>
      </c>
      <c r="D90" s="1">
        <v>30636.799999999999</v>
      </c>
      <c r="E90" s="1">
        <v>0</v>
      </c>
      <c r="F90" s="1">
        <v>391223</v>
      </c>
      <c r="G90" s="1">
        <v>24282.1</v>
      </c>
      <c r="H90" s="1">
        <v>359770</v>
      </c>
      <c r="I90" s="1">
        <v>461288</v>
      </c>
      <c r="J90" s="1">
        <v>44244.2</v>
      </c>
      <c r="K90" s="1">
        <v>87117.7</v>
      </c>
      <c r="L90" s="1">
        <v>80441.399999999994</v>
      </c>
      <c r="M90" s="1">
        <v>43948.6</v>
      </c>
      <c r="N90" s="1">
        <v>57346.8</v>
      </c>
      <c r="O90" s="1">
        <v>74121.5</v>
      </c>
      <c r="P90" s="1">
        <v>50718</v>
      </c>
      <c r="Q90" s="1">
        <v>78982</v>
      </c>
      <c r="R90" s="1">
        <v>0</v>
      </c>
    </row>
    <row r="91" spans="1:18">
      <c r="A91" s="2">
        <v>0.54166666666666663</v>
      </c>
      <c r="B91" s="1">
        <v>35007</v>
      </c>
      <c r="C91" s="1">
        <v>977741</v>
      </c>
      <c r="D91" s="1">
        <v>30674.6</v>
      </c>
      <c r="E91" s="1">
        <v>0</v>
      </c>
      <c r="F91" s="1">
        <v>391282</v>
      </c>
      <c r="G91" s="1">
        <v>24385.8</v>
      </c>
      <c r="H91" s="1">
        <v>359915</v>
      </c>
      <c r="I91" s="1">
        <v>461758</v>
      </c>
      <c r="J91" s="1">
        <v>44256.9</v>
      </c>
      <c r="K91" s="1">
        <v>87121.9</v>
      </c>
      <c r="L91" s="1">
        <v>80495.8</v>
      </c>
      <c r="M91" s="1">
        <v>44032.2</v>
      </c>
      <c r="N91" s="1">
        <v>57393.4</v>
      </c>
      <c r="O91" s="1">
        <v>74194.3</v>
      </c>
      <c r="P91" s="1">
        <v>50729</v>
      </c>
      <c r="Q91" s="1">
        <v>78999</v>
      </c>
      <c r="R91" s="1">
        <v>0</v>
      </c>
    </row>
    <row r="92" spans="1:18">
      <c r="A92" s="2">
        <v>0.58333333333333337</v>
      </c>
      <c r="B92" s="1">
        <v>36662</v>
      </c>
      <c r="C92" s="1">
        <v>978145</v>
      </c>
      <c r="D92" s="1">
        <v>30718</v>
      </c>
      <c r="E92" s="1">
        <v>0</v>
      </c>
      <c r="F92" s="1">
        <v>391343</v>
      </c>
      <c r="G92" s="1">
        <v>24495.9</v>
      </c>
      <c r="H92" s="1">
        <v>360077</v>
      </c>
      <c r="I92" s="1">
        <v>462246</v>
      </c>
      <c r="J92" s="1">
        <v>44271.5</v>
      </c>
      <c r="K92" s="1">
        <v>87122.5</v>
      </c>
      <c r="L92" s="1">
        <v>80556.399999999994</v>
      </c>
      <c r="M92" s="1">
        <v>44117.7</v>
      </c>
      <c r="N92" s="1">
        <v>57439.199999999997</v>
      </c>
      <c r="O92" s="1">
        <v>74268.899999999994</v>
      </c>
      <c r="P92" s="1">
        <v>50743</v>
      </c>
      <c r="Q92" s="1">
        <v>79021</v>
      </c>
      <c r="R92" s="1">
        <v>0</v>
      </c>
    </row>
    <row r="93" spans="1:18">
      <c r="A93" s="2">
        <v>0.625</v>
      </c>
      <c r="B93" s="1">
        <v>38294</v>
      </c>
      <c r="C93" s="1">
        <v>978543</v>
      </c>
      <c r="D93" s="1">
        <v>30755.1</v>
      </c>
      <c r="E93" s="1">
        <v>0</v>
      </c>
      <c r="F93" s="1">
        <v>391407</v>
      </c>
      <c r="G93" s="1">
        <v>24624.7</v>
      </c>
      <c r="H93" s="1">
        <v>360226</v>
      </c>
      <c r="I93" s="1">
        <v>462729</v>
      </c>
      <c r="J93" s="1">
        <v>44287</v>
      </c>
      <c r="K93" s="1">
        <v>87127.9</v>
      </c>
      <c r="L93" s="1">
        <v>80611.600000000006</v>
      </c>
      <c r="M93" s="1">
        <v>44189.7</v>
      </c>
      <c r="N93" s="1">
        <v>57491</v>
      </c>
      <c r="O93" s="1">
        <v>74330.8</v>
      </c>
      <c r="P93" s="1">
        <v>50751</v>
      </c>
      <c r="Q93" s="1">
        <v>79034</v>
      </c>
      <c r="R93" s="1">
        <v>0</v>
      </c>
    </row>
    <row r="94" spans="1:18">
      <c r="A94" s="2">
        <v>0.66666666666666663</v>
      </c>
      <c r="B94" s="1">
        <v>39877</v>
      </c>
      <c r="C94" s="1">
        <v>978950</v>
      </c>
      <c r="D94" s="1">
        <v>30793</v>
      </c>
      <c r="E94" s="1">
        <v>0</v>
      </c>
      <c r="F94" s="1">
        <v>391471</v>
      </c>
      <c r="G94" s="1">
        <v>24749.4</v>
      </c>
      <c r="H94" s="1">
        <v>360353</v>
      </c>
      <c r="I94" s="1">
        <v>463210</v>
      </c>
      <c r="J94" s="1">
        <v>44301.2</v>
      </c>
      <c r="K94" s="1">
        <v>87129.4</v>
      </c>
      <c r="L94" s="1">
        <v>80668.3</v>
      </c>
      <c r="M94" s="1">
        <v>44268.2</v>
      </c>
      <c r="N94" s="1">
        <v>57540.1</v>
      </c>
      <c r="O94" s="1">
        <v>74366.7</v>
      </c>
      <c r="P94" s="1">
        <v>50763</v>
      </c>
      <c r="Q94" s="1">
        <v>79052</v>
      </c>
      <c r="R94" s="1">
        <v>0</v>
      </c>
    </row>
    <row r="95" spans="1:18">
      <c r="A95" s="2">
        <v>0.70833333333333337</v>
      </c>
      <c r="B95" s="1">
        <v>41437</v>
      </c>
      <c r="C95" s="1">
        <v>979345</v>
      </c>
      <c r="D95" s="1">
        <v>30830.400000000001</v>
      </c>
      <c r="E95" s="1">
        <v>0</v>
      </c>
      <c r="F95" s="1">
        <v>391529</v>
      </c>
      <c r="G95" s="1">
        <v>24879.7</v>
      </c>
      <c r="H95" s="1">
        <v>360460</v>
      </c>
      <c r="I95" s="1">
        <v>463703</v>
      </c>
      <c r="J95" s="1">
        <v>44314.8</v>
      </c>
      <c r="K95" s="1">
        <v>87135.5</v>
      </c>
      <c r="L95" s="1">
        <v>80733.899999999994</v>
      </c>
      <c r="M95" s="1">
        <v>44335.1</v>
      </c>
      <c r="N95" s="1">
        <v>57595.5</v>
      </c>
      <c r="O95" s="1">
        <v>74400.7</v>
      </c>
      <c r="P95" s="1">
        <v>50769</v>
      </c>
      <c r="Q95" s="1">
        <v>79061</v>
      </c>
      <c r="R95" s="1">
        <v>0</v>
      </c>
    </row>
    <row r="96" spans="1:18">
      <c r="A96" s="2">
        <v>0.75</v>
      </c>
      <c r="B96" s="1">
        <v>42790</v>
      </c>
      <c r="C96" s="1">
        <v>979689</v>
      </c>
      <c r="D96" s="1">
        <v>30864.1</v>
      </c>
      <c r="E96" s="1">
        <v>0</v>
      </c>
      <c r="F96" s="1">
        <v>391578</v>
      </c>
      <c r="G96" s="1">
        <v>24988.5</v>
      </c>
      <c r="H96" s="1">
        <v>360553</v>
      </c>
      <c r="I96" s="1">
        <v>464143</v>
      </c>
      <c r="J96" s="1">
        <v>44327.3</v>
      </c>
      <c r="K96" s="1">
        <v>87139</v>
      </c>
      <c r="L96" s="1">
        <v>80780.2</v>
      </c>
      <c r="M96" s="1">
        <v>44391.6</v>
      </c>
      <c r="N96" s="1">
        <v>57651.1</v>
      </c>
      <c r="O96" s="1">
        <v>74427.899999999994</v>
      </c>
      <c r="P96" s="1">
        <v>50771</v>
      </c>
      <c r="Q96" s="1">
        <v>79064</v>
      </c>
      <c r="R96" s="1">
        <v>0</v>
      </c>
    </row>
    <row r="97" spans="1:18">
      <c r="A97" s="2">
        <v>0.79166666666666663</v>
      </c>
      <c r="B97" s="1">
        <v>43922</v>
      </c>
      <c r="C97" s="1">
        <v>979990</v>
      </c>
      <c r="D97" s="1">
        <v>30888.6</v>
      </c>
      <c r="E97" s="1">
        <v>0</v>
      </c>
      <c r="F97" s="1">
        <v>391620</v>
      </c>
      <c r="G97" s="1">
        <v>25078.5</v>
      </c>
      <c r="H97" s="1">
        <v>360578</v>
      </c>
      <c r="I97" s="1">
        <v>464534</v>
      </c>
      <c r="J97" s="1">
        <v>44339.8</v>
      </c>
      <c r="K97" s="1">
        <v>87142.5</v>
      </c>
      <c r="L97" s="1">
        <v>80815.600000000006</v>
      </c>
      <c r="M97" s="1">
        <v>44442.5</v>
      </c>
      <c r="N97" s="1">
        <v>57709.1</v>
      </c>
      <c r="O97" s="1">
        <v>74452.3</v>
      </c>
      <c r="P97" s="1">
        <v>50771</v>
      </c>
      <c r="Q97" s="1">
        <v>79064</v>
      </c>
      <c r="R97" s="1">
        <v>0</v>
      </c>
    </row>
    <row r="98" spans="1:18">
      <c r="A98" s="2">
        <v>0.83333333333333337</v>
      </c>
      <c r="B98" s="1">
        <v>44914</v>
      </c>
      <c r="C98" s="1">
        <v>980252</v>
      </c>
      <c r="D98" s="1">
        <v>30910.3</v>
      </c>
      <c r="E98" s="1">
        <v>0</v>
      </c>
      <c r="F98" s="1">
        <v>391654</v>
      </c>
      <c r="G98" s="1">
        <v>25160.9</v>
      </c>
      <c r="H98" s="1">
        <v>360595</v>
      </c>
      <c r="I98" s="1">
        <v>464872</v>
      </c>
      <c r="J98" s="1">
        <v>44352.1</v>
      </c>
      <c r="K98" s="1">
        <v>87146</v>
      </c>
      <c r="L98" s="1">
        <v>80845.5</v>
      </c>
      <c r="M98" s="1">
        <v>44490.2</v>
      </c>
      <c r="N98" s="1">
        <v>57765.7</v>
      </c>
      <c r="O98" s="1">
        <v>74476.2</v>
      </c>
      <c r="P98" s="1">
        <v>50771</v>
      </c>
      <c r="Q98" s="1">
        <v>79064</v>
      </c>
      <c r="R98" s="1">
        <v>0</v>
      </c>
    </row>
    <row r="99" spans="1:18">
      <c r="A99" s="2">
        <v>0.875</v>
      </c>
      <c r="B99" s="1">
        <v>45828</v>
      </c>
      <c r="C99" s="1">
        <v>980484</v>
      </c>
      <c r="D99" s="1">
        <v>30929.200000000001</v>
      </c>
      <c r="E99" s="1">
        <v>0</v>
      </c>
      <c r="F99" s="1">
        <v>391684</v>
      </c>
      <c r="G99" s="1">
        <v>25236.2</v>
      </c>
      <c r="H99" s="1">
        <v>360611</v>
      </c>
      <c r="I99" s="1">
        <v>465185</v>
      </c>
      <c r="J99" s="1">
        <v>44364.7</v>
      </c>
      <c r="K99" s="1">
        <v>87149.6</v>
      </c>
      <c r="L99" s="1">
        <v>80870.3</v>
      </c>
      <c r="M99" s="1">
        <v>44537.2</v>
      </c>
      <c r="N99" s="1">
        <v>57822.1</v>
      </c>
      <c r="O99" s="1">
        <v>74501</v>
      </c>
      <c r="P99" s="1">
        <v>50771</v>
      </c>
      <c r="Q99" s="1">
        <v>79064</v>
      </c>
      <c r="R99" s="1">
        <v>0</v>
      </c>
    </row>
    <row r="100" spans="1:18">
      <c r="A100" s="2">
        <v>0.91666666666666663</v>
      </c>
      <c r="B100" s="1">
        <v>46688</v>
      </c>
      <c r="C100" s="1">
        <v>980703</v>
      </c>
      <c r="D100" s="1">
        <v>30947.8</v>
      </c>
      <c r="E100" s="1">
        <v>0</v>
      </c>
      <c r="F100" s="1">
        <v>391712</v>
      </c>
      <c r="G100" s="1">
        <v>25308.3</v>
      </c>
      <c r="H100" s="1">
        <v>360623</v>
      </c>
      <c r="I100" s="1">
        <v>465473</v>
      </c>
      <c r="J100" s="1">
        <v>44376.6</v>
      </c>
      <c r="K100" s="1">
        <v>87152.9</v>
      </c>
      <c r="L100" s="1">
        <v>80893.3</v>
      </c>
      <c r="M100" s="1">
        <v>44584.6</v>
      </c>
      <c r="N100" s="1">
        <v>57879</v>
      </c>
      <c r="O100" s="1">
        <v>74524.399999999994</v>
      </c>
      <c r="P100" s="1">
        <v>50771</v>
      </c>
      <c r="Q100" s="1">
        <v>79064</v>
      </c>
      <c r="R100" s="1">
        <v>0</v>
      </c>
    </row>
    <row r="101" spans="1:18">
      <c r="A101" s="2">
        <v>0.95833333333333337</v>
      </c>
      <c r="B101" s="1">
        <v>47545</v>
      </c>
      <c r="C101" s="1">
        <v>980913</v>
      </c>
      <c r="D101" s="1">
        <v>30964.3</v>
      </c>
      <c r="E101" s="1">
        <v>0</v>
      </c>
      <c r="F101" s="1">
        <v>391741</v>
      </c>
      <c r="G101" s="1">
        <v>25379.4</v>
      </c>
      <c r="H101" s="1">
        <v>360635</v>
      </c>
      <c r="I101" s="1">
        <v>465760</v>
      </c>
      <c r="J101" s="1">
        <v>44388.6</v>
      </c>
      <c r="K101" s="1">
        <v>87156.2</v>
      </c>
      <c r="L101" s="1">
        <v>80922.8</v>
      </c>
      <c r="M101" s="1">
        <v>44634.7</v>
      </c>
      <c r="N101" s="1">
        <v>57936.800000000003</v>
      </c>
      <c r="O101" s="1">
        <v>74545</v>
      </c>
      <c r="P101" s="1">
        <v>50771</v>
      </c>
      <c r="Q101" s="1">
        <v>79064</v>
      </c>
      <c r="R101" s="1">
        <v>0</v>
      </c>
    </row>
    <row r="102" spans="1:18">
      <c r="A102" s="2">
        <v>0</v>
      </c>
      <c r="B102" s="1">
        <v>48384</v>
      </c>
      <c r="C102" s="1">
        <v>981123</v>
      </c>
      <c r="D102" s="1">
        <v>30977.8</v>
      </c>
      <c r="E102" s="1">
        <v>0</v>
      </c>
      <c r="F102" s="1">
        <v>391775</v>
      </c>
      <c r="G102" s="1">
        <v>25448.799999999999</v>
      </c>
      <c r="H102" s="1">
        <v>360646</v>
      </c>
      <c r="I102" s="1">
        <v>466035</v>
      </c>
      <c r="J102" s="1">
        <v>44400.9</v>
      </c>
      <c r="K102" s="1">
        <v>87159.8</v>
      </c>
      <c r="L102" s="1">
        <v>80952.600000000006</v>
      </c>
      <c r="M102" s="1">
        <v>44681.4</v>
      </c>
      <c r="N102" s="1">
        <v>57992.5</v>
      </c>
      <c r="O102" s="1">
        <v>74564.3</v>
      </c>
      <c r="P102" s="1">
        <v>50771</v>
      </c>
      <c r="Q102" s="1">
        <v>79064</v>
      </c>
      <c r="R102" s="1">
        <v>0</v>
      </c>
    </row>
    <row r="103" spans="1:18">
      <c r="A103" s="2">
        <v>4.1666666666666664E-2</v>
      </c>
      <c r="B103" s="1">
        <v>49196</v>
      </c>
      <c r="C103" s="1">
        <v>981329</v>
      </c>
      <c r="D103" s="1">
        <v>30990.3</v>
      </c>
      <c r="E103" s="1">
        <v>0</v>
      </c>
      <c r="F103" s="1">
        <v>391805</v>
      </c>
      <c r="G103" s="1">
        <v>25516.400000000001</v>
      </c>
      <c r="H103" s="1">
        <v>360658</v>
      </c>
      <c r="I103" s="1">
        <v>466297</v>
      </c>
      <c r="J103" s="1">
        <v>44411.9</v>
      </c>
      <c r="K103" s="1">
        <v>87163.199999999997</v>
      </c>
      <c r="L103" s="1">
        <v>80981.899999999994</v>
      </c>
      <c r="M103" s="1">
        <v>44728.6</v>
      </c>
      <c r="N103" s="1">
        <v>58049.2</v>
      </c>
      <c r="O103" s="1">
        <v>74583.199999999997</v>
      </c>
      <c r="P103" s="1">
        <v>50771</v>
      </c>
      <c r="Q103" s="1">
        <v>79064</v>
      </c>
      <c r="R103" s="1">
        <v>0</v>
      </c>
    </row>
    <row r="104" spans="1:18">
      <c r="A104" s="2">
        <v>8.3333333333333329E-2</v>
      </c>
      <c r="B104" s="1">
        <v>49993</v>
      </c>
      <c r="C104" s="1">
        <v>981531</v>
      </c>
      <c r="D104" s="1">
        <v>31003.599999999999</v>
      </c>
      <c r="E104" s="1">
        <v>0</v>
      </c>
      <c r="F104" s="1">
        <v>391834</v>
      </c>
      <c r="G104" s="1">
        <v>25583.5</v>
      </c>
      <c r="H104" s="1">
        <v>360669</v>
      </c>
      <c r="I104" s="1">
        <v>466553</v>
      </c>
      <c r="J104" s="1">
        <v>44422.6</v>
      </c>
      <c r="K104" s="1">
        <v>87166.399999999994</v>
      </c>
      <c r="L104" s="1">
        <v>81010</v>
      </c>
      <c r="M104" s="1">
        <v>44774.6</v>
      </c>
      <c r="N104" s="1">
        <v>58104.9</v>
      </c>
      <c r="O104" s="1">
        <v>74603</v>
      </c>
      <c r="P104" s="1">
        <v>50771</v>
      </c>
      <c r="Q104" s="1">
        <v>79064</v>
      </c>
      <c r="R104" s="1">
        <v>0</v>
      </c>
    </row>
    <row r="105" spans="1:18">
      <c r="A105" s="2">
        <v>0.125</v>
      </c>
      <c r="B105" s="1">
        <v>50768</v>
      </c>
      <c r="C105" s="1">
        <v>981731</v>
      </c>
      <c r="D105" s="1">
        <v>31016.3</v>
      </c>
      <c r="E105" s="1">
        <v>0</v>
      </c>
      <c r="F105" s="1">
        <v>391862</v>
      </c>
      <c r="G105" s="1">
        <v>25648.799999999999</v>
      </c>
      <c r="H105" s="1">
        <v>360680</v>
      </c>
      <c r="I105" s="1">
        <v>466792</v>
      </c>
      <c r="J105" s="1">
        <v>44432.9</v>
      </c>
      <c r="K105" s="1">
        <v>87169.7</v>
      </c>
      <c r="L105" s="1">
        <v>81035.100000000006</v>
      </c>
      <c r="M105" s="1">
        <v>44822.9</v>
      </c>
      <c r="N105" s="1">
        <v>58162.400000000001</v>
      </c>
      <c r="O105" s="1">
        <v>74623.199999999997</v>
      </c>
      <c r="P105" s="1">
        <v>50771</v>
      </c>
      <c r="Q105" s="1">
        <v>79064</v>
      </c>
      <c r="R105" s="1">
        <v>0</v>
      </c>
    </row>
    <row r="106" spans="1:18">
      <c r="A106" s="2">
        <v>0.16666666666666666</v>
      </c>
      <c r="B106" s="1">
        <v>51540</v>
      </c>
      <c r="C106" s="1">
        <v>981928</v>
      </c>
      <c r="D106" s="1">
        <v>31029.7</v>
      </c>
      <c r="E106" s="1">
        <v>0</v>
      </c>
      <c r="F106" s="1">
        <v>391891</v>
      </c>
      <c r="G106" s="1">
        <v>25714.7</v>
      </c>
      <c r="H106" s="1">
        <v>360693</v>
      </c>
      <c r="I106" s="1">
        <v>467036</v>
      </c>
      <c r="J106" s="1">
        <v>44443.5</v>
      </c>
      <c r="K106" s="1">
        <v>87172.9</v>
      </c>
      <c r="L106" s="1">
        <v>81057.3</v>
      </c>
      <c r="M106" s="1">
        <v>44870.400000000001</v>
      </c>
      <c r="N106" s="1">
        <v>58218.3</v>
      </c>
      <c r="O106" s="1">
        <v>74641.899999999994</v>
      </c>
      <c r="P106" s="1">
        <v>50771</v>
      </c>
      <c r="Q106" s="1">
        <v>79064</v>
      </c>
      <c r="R106" s="1">
        <v>0</v>
      </c>
    </row>
    <row r="107" spans="1:18">
      <c r="A107" s="2">
        <v>0.20833333333333334</v>
      </c>
      <c r="B107" s="1">
        <v>52294</v>
      </c>
      <c r="C107" s="1">
        <v>982122</v>
      </c>
      <c r="D107" s="1">
        <v>31042.5</v>
      </c>
      <c r="E107" s="1">
        <v>0</v>
      </c>
      <c r="F107" s="1">
        <v>391918</v>
      </c>
      <c r="G107" s="1">
        <v>25780.3</v>
      </c>
      <c r="H107" s="1">
        <v>360704</v>
      </c>
      <c r="I107" s="1">
        <v>467265</v>
      </c>
      <c r="J107" s="1">
        <v>44453.599999999999</v>
      </c>
      <c r="K107" s="1">
        <v>87176.2</v>
      </c>
      <c r="L107" s="1">
        <v>81078.899999999994</v>
      </c>
      <c r="M107" s="1">
        <v>44916.800000000003</v>
      </c>
      <c r="N107" s="1">
        <v>58276.1</v>
      </c>
      <c r="O107" s="1">
        <v>74662.100000000006</v>
      </c>
      <c r="P107" s="1">
        <v>50771</v>
      </c>
      <c r="Q107" s="1">
        <v>79064</v>
      </c>
      <c r="R107" s="1">
        <v>0</v>
      </c>
    </row>
    <row r="108" spans="1:18">
      <c r="A108" s="2">
        <v>0.25</v>
      </c>
      <c r="B108" s="1">
        <v>53026</v>
      </c>
      <c r="C108" s="1">
        <v>982305</v>
      </c>
      <c r="D108" s="1">
        <v>31054.7</v>
      </c>
      <c r="E108" s="1">
        <v>0</v>
      </c>
      <c r="F108" s="1">
        <v>391945</v>
      </c>
      <c r="G108" s="1">
        <v>25842.799999999999</v>
      </c>
      <c r="H108" s="1">
        <v>360716</v>
      </c>
      <c r="I108" s="1">
        <v>467492</v>
      </c>
      <c r="J108" s="1">
        <v>44463.6</v>
      </c>
      <c r="K108" s="1">
        <v>87179.3</v>
      </c>
      <c r="L108" s="1">
        <v>81100.100000000006</v>
      </c>
      <c r="M108" s="1">
        <v>44961.3</v>
      </c>
      <c r="N108" s="1">
        <v>58331.8</v>
      </c>
      <c r="O108" s="1">
        <v>74682.8</v>
      </c>
      <c r="P108" s="1">
        <v>50771</v>
      </c>
      <c r="Q108" s="1">
        <v>79064</v>
      </c>
      <c r="R108" s="1">
        <v>0</v>
      </c>
    </row>
    <row r="109" spans="1:18">
      <c r="A109" s="2">
        <v>0.29166666666666669</v>
      </c>
      <c r="B109" s="1">
        <v>53752</v>
      </c>
      <c r="C109" s="1">
        <v>982488</v>
      </c>
      <c r="D109" s="1">
        <v>31067.1</v>
      </c>
      <c r="E109" s="1">
        <v>0</v>
      </c>
      <c r="F109" s="1">
        <v>391971</v>
      </c>
      <c r="G109" s="1">
        <v>25905</v>
      </c>
      <c r="H109" s="1">
        <v>360727</v>
      </c>
      <c r="I109" s="1">
        <v>467714</v>
      </c>
      <c r="J109" s="1">
        <v>44473.599999999999</v>
      </c>
      <c r="K109" s="1">
        <v>87182.399999999994</v>
      </c>
      <c r="L109" s="1">
        <v>81120.800000000003</v>
      </c>
      <c r="M109" s="1">
        <v>45005.8</v>
      </c>
      <c r="N109" s="1">
        <v>58387.3</v>
      </c>
      <c r="O109" s="1">
        <v>74703.7</v>
      </c>
      <c r="P109" s="1">
        <v>50772</v>
      </c>
      <c r="Q109" s="1">
        <v>79065</v>
      </c>
      <c r="R109" s="1">
        <v>0</v>
      </c>
    </row>
    <row r="110" spans="1:18">
      <c r="A110" s="2">
        <v>0.33333333333333331</v>
      </c>
      <c r="B110" s="1">
        <v>54513</v>
      </c>
      <c r="C110" s="1">
        <v>982684</v>
      </c>
      <c r="D110" s="1">
        <v>31080.400000000001</v>
      </c>
      <c r="E110" s="1">
        <v>0</v>
      </c>
      <c r="F110" s="1">
        <v>391999</v>
      </c>
      <c r="G110" s="1">
        <v>25964.5</v>
      </c>
      <c r="H110" s="1">
        <v>360739</v>
      </c>
      <c r="I110" s="1">
        <v>467954</v>
      </c>
      <c r="J110" s="1">
        <v>44483</v>
      </c>
      <c r="K110" s="1">
        <v>87185.5</v>
      </c>
      <c r="L110" s="1">
        <v>81142.399999999994</v>
      </c>
      <c r="M110" s="1">
        <v>45049.3</v>
      </c>
      <c r="N110" s="1">
        <v>58443.199999999997</v>
      </c>
      <c r="O110" s="1">
        <v>74726.2</v>
      </c>
      <c r="P110" s="1">
        <v>50772</v>
      </c>
      <c r="Q110" s="1">
        <v>79065</v>
      </c>
      <c r="R110" s="1">
        <v>0</v>
      </c>
    </row>
    <row r="111" spans="1:18">
      <c r="A111" s="2">
        <v>0.375</v>
      </c>
      <c r="B111" s="1">
        <v>55425</v>
      </c>
      <c r="C111" s="1">
        <v>982929</v>
      </c>
      <c r="D111" s="1">
        <v>31097.599999999999</v>
      </c>
      <c r="E111" s="1">
        <v>0</v>
      </c>
      <c r="F111" s="1">
        <v>392031</v>
      </c>
      <c r="G111" s="1">
        <v>26025.8</v>
      </c>
      <c r="H111" s="1">
        <v>360751</v>
      </c>
      <c r="I111" s="1">
        <v>468242</v>
      </c>
      <c r="J111" s="1">
        <v>44492.800000000003</v>
      </c>
      <c r="K111" s="1">
        <v>87191.6</v>
      </c>
      <c r="L111" s="1">
        <v>81175.399999999994</v>
      </c>
      <c r="M111" s="1">
        <v>45094.6</v>
      </c>
      <c r="N111" s="1">
        <v>58501</v>
      </c>
      <c r="O111" s="1">
        <v>74764.7</v>
      </c>
      <c r="P111" s="1">
        <v>50773</v>
      </c>
      <c r="Q111" s="1">
        <v>79066</v>
      </c>
      <c r="R111" s="1">
        <v>0</v>
      </c>
    </row>
    <row r="112" spans="1:18">
      <c r="A112" s="2">
        <v>0.41666666666666669</v>
      </c>
      <c r="B112" s="1">
        <v>56593</v>
      </c>
      <c r="C112" s="1">
        <v>983245</v>
      </c>
      <c r="D112" s="1">
        <v>31129.5</v>
      </c>
      <c r="E112" s="1">
        <v>0</v>
      </c>
      <c r="F112" s="1">
        <v>392065</v>
      </c>
      <c r="G112" s="1">
        <v>26101.599999999999</v>
      </c>
      <c r="H112" s="1">
        <v>360763</v>
      </c>
      <c r="I112" s="1">
        <v>468611</v>
      </c>
      <c r="J112" s="1">
        <v>44502.7</v>
      </c>
      <c r="K112" s="1">
        <v>87193.3</v>
      </c>
      <c r="L112" s="1">
        <v>81219.899999999994</v>
      </c>
      <c r="M112" s="1">
        <v>45153.3</v>
      </c>
      <c r="N112" s="1">
        <v>58557.4</v>
      </c>
      <c r="O112" s="1">
        <v>74823.100000000006</v>
      </c>
      <c r="P112" s="1">
        <v>50778</v>
      </c>
      <c r="Q112" s="1">
        <v>79075</v>
      </c>
      <c r="R112" s="1">
        <v>0</v>
      </c>
    </row>
    <row r="113" spans="1:18">
      <c r="A113" s="2">
        <v>0.45833333333333331</v>
      </c>
      <c r="B113" s="1">
        <v>57971</v>
      </c>
      <c r="C113" s="1">
        <v>983617</v>
      </c>
      <c r="D113" s="1">
        <v>31176.5</v>
      </c>
      <c r="E113" s="1">
        <v>0</v>
      </c>
      <c r="F113" s="1">
        <v>392109</v>
      </c>
      <c r="G113" s="1">
        <v>26200.3</v>
      </c>
      <c r="H113" s="1">
        <v>360780</v>
      </c>
      <c r="I113" s="1">
        <v>469058</v>
      </c>
      <c r="J113" s="1">
        <v>44513.4</v>
      </c>
      <c r="K113" s="1">
        <v>87199.8</v>
      </c>
      <c r="L113" s="1">
        <v>81270</v>
      </c>
      <c r="M113" s="1">
        <v>45213.8</v>
      </c>
      <c r="N113" s="1">
        <v>58613.4</v>
      </c>
      <c r="O113" s="1">
        <v>74886.7</v>
      </c>
      <c r="P113" s="1">
        <v>50785</v>
      </c>
      <c r="Q113" s="1">
        <v>79086</v>
      </c>
      <c r="R113" s="1">
        <v>0</v>
      </c>
    </row>
    <row r="114" spans="1:18">
      <c r="A114" s="2">
        <v>0.5</v>
      </c>
      <c r="B114" s="1">
        <v>59352</v>
      </c>
      <c r="C114" s="1">
        <v>983983</v>
      </c>
      <c r="D114" s="1">
        <v>31215</v>
      </c>
      <c r="E114" s="1">
        <v>0</v>
      </c>
      <c r="F114" s="1">
        <v>392153</v>
      </c>
      <c r="G114" s="1">
        <v>26298.5</v>
      </c>
      <c r="H114" s="1">
        <v>360836</v>
      </c>
      <c r="I114" s="1">
        <v>469483</v>
      </c>
      <c r="J114" s="1">
        <v>44524.1</v>
      </c>
      <c r="K114" s="1">
        <v>87207</v>
      </c>
      <c r="L114" s="1">
        <v>81316.3</v>
      </c>
      <c r="M114" s="1">
        <v>45271.5</v>
      </c>
      <c r="N114" s="1">
        <v>58671.5</v>
      </c>
      <c r="O114" s="1">
        <v>74959.3</v>
      </c>
      <c r="P114" s="1">
        <v>50790</v>
      </c>
      <c r="Q114" s="1">
        <v>79093</v>
      </c>
      <c r="R114" s="1">
        <v>0</v>
      </c>
    </row>
    <row r="115" spans="1:18">
      <c r="A115" s="2">
        <v>0.54166666666666663</v>
      </c>
      <c r="B115" s="1">
        <v>60774</v>
      </c>
      <c r="C115" s="1">
        <v>984344</v>
      </c>
      <c r="D115" s="1">
        <v>31252.6</v>
      </c>
      <c r="E115" s="1">
        <v>0</v>
      </c>
      <c r="F115" s="1">
        <v>392196</v>
      </c>
      <c r="G115" s="1">
        <v>26400.400000000001</v>
      </c>
      <c r="H115" s="1">
        <v>360897</v>
      </c>
      <c r="I115" s="1">
        <v>469950</v>
      </c>
      <c r="J115" s="1">
        <v>44535.4</v>
      </c>
      <c r="K115" s="1">
        <v>87212.6</v>
      </c>
      <c r="L115" s="1">
        <v>81362.100000000006</v>
      </c>
      <c r="M115" s="1">
        <v>45332.9</v>
      </c>
      <c r="N115" s="1">
        <v>58724.6</v>
      </c>
      <c r="O115" s="1">
        <v>75030.8</v>
      </c>
      <c r="P115" s="1">
        <v>50795</v>
      </c>
      <c r="Q115" s="1">
        <v>79101</v>
      </c>
      <c r="R115" s="1">
        <v>0</v>
      </c>
    </row>
    <row r="116" spans="1:18">
      <c r="A116" s="2">
        <v>0.58333333333333337</v>
      </c>
      <c r="B116" s="1">
        <v>62224</v>
      </c>
      <c r="C116" s="1">
        <v>984704</v>
      </c>
      <c r="D116" s="1">
        <v>31290.9</v>
      </c>
      <c r="E116" s="1">
        <v>0</v>
      </c>
      <c r="F116" s="1">
        <v>392242</v>
      </c>
      <c r="G116" s="1">
        <v>26511.8</v>
      </c>
      <c r="H116" s="1">
        <v>360953</v>
      </c>
      <c r="I116" s="1">
        <v>470429</v>
      </c>
      <c r="J116" s="1">
        <v>44552.1</v>
      </c>
      <c r="K116" s="1">
        <v>87216.7</v>
      </c>
      <c r="L116" s="1">
        <v>81407.100000000006</v>
      </c>
      <c r="M116" s="1">
        <v>45397.599999999999</v>
      </c>
      <c r="N116" s="1">
        <v>58775.8</v>
      </c>
      <c r="O116" s="1">
        <v>75102.8</v>
      </c>
      <c r="P116" s="1">
        <v>50801</v>
      </c>
      <c r="Q116" s="1">
        <v>79111</v>
      </c>
      <c r="R116" s="1">
        <v>0</v>
      </c>
    </row>
    <row r="117" spans="1:18">
      <c r="A117" s="2">
        <v>0.625</v>
      </c>
      <c r="B117" s="1">
        <v>63738</v>
      </c>
      <c r="C117" s="1">
        <v>985074</v>
      </c>
      <c r="D117" s="1">
        <v>31334.3</v>
      </c>
      <c r="E117" s="1">
        <v>0</v>
      </c>
      <c r="F117" s="1">
        <v>392291</v>
      </c>
      <c r="G117" s="1">
        <v>26623.599999999999</v>
      </c>
      <c r="H117" s="1">
        <v>361036</v>
      </c>
      <c r="I117" s="1">
        <v>470916</v>
      </c>
      <c r="J117" s="1">
        <v>44571.9</v>
      </c>
      <c r="K117" s="1">
        <v>87219.3</v>
      </c>
      <c r="L117" s="1">
        <v>81457.600000000006</v>
      </c>
      <c r="M117" s="1">
        <v>45470.9</v>
      </c>
      <c r="N117" s="1">
        <v>58827.7</v>
      </c>
      <c r="O117" s="1">
        <v>75161.7</v>
      </c>
      <c r="P117" s="1">
        <v>50810</v>
      </c>
      <c r="Q117" s="1">
        <v>79124</v>
      </c>
      <c r="R117" s="1">
        <v>0</v>
      </c>
    </row>
    <row r="118" spans="1:18">
      <c r="A118" s="2">
        <v>0.66666666666666663</v>
      </c>
      <c r="B118" s="1">
        <v>65217</v>
      </c>
      <c r="C118" s="1">
        <v>985453</v>
      </c>
      <c r="D118" s="1">
        <v>31377.5</v>
      </c>
      <c r="E118" s="1">
        <v>0</v>
      </c>
      <c r="F118" s="1">
        <v>392335</v>
      </c>
      <c r="G118" s="1">
        <v>26739.1</v>
      </c>
      <c r="H118" s="1">
        <v>361101</v>
      </c>
      <c r="I118" s="1">
        <v>471401</v>
      </c>
      <c r="J118" s="1">
        <v>44588.5</v>
      </c>
      <c r="K118" s="1">
        <v>87222.3</v>
      </c>
      <c r="L118" s="1">
        <v>81509.100000000006</v>
      </c>
      <c r="M118" s="1">
        <v>45548.4</v>
      </c>
      <c r="N118" s="1">
        <v>58878.5</v>
      </c>
      <c r="O118" s="1">
        <v>75196.3</v>
      </c>
      <c r="P118" s="1">
        <v>50816</v>
      </c>
      <c r="Q118" s="1">
        <v>79135</v>
      </c>
      <c r="R118" s="1">
        <v>0</v>
      </c>
    </row>
    <row r="119" spans="1:18">
      <c r="A119" s="2">
        <v>0.70833333333333337</v>
      </c>
      <c r="B119" s="1">
        <v>66574</v>
      </c>
      <c r="C119" s="1">
        <v>985803</v>
      </c>
      <c r="D119" s="1">
        <v>31414.799999999999</v>
      </c>
      <c r="E119" s="1">
        <v>0</v>
      </c>
      <c r="F119" s="1">
        <v>392373</v>
      </c>
      <c r="G119" s="1">
        <v>26848.6</v>
      </c>
      <c r="H119" s="1">
        <v>361131</v>
      </c>
      <c r="I119" s="1">
        <v>471870</v>
      </c>
      <c r="J119" s="1">
        <v>44602.400000000001</v>
      </c>
      <c r="K119" s="1">
        <v>87228.7</v>
      </c>
      <c r="L119" s="1">
        <v>81557.5</v>
      </c>
      <c r="M119" s="1">
        <v>45613.3</v>
      </c>
      <c r="N119" s="1">
        <v>58935.8</v>
      </c>
      <c r="O119" s="1">
        <v>75229.2</v>
      </c>
      <c r="P119" s="1">
        <v>50819</v>
      </c>
      <c r="Q119" s="1">
        <v>79139</v>
      </c>
      <c r="R119" s="1">
        <v>0</v>
      </c>
    </row>
    <row r="120" spans="1:18">
      <c r="A120" s="2">
        <v>0.75</v>
      </c>
      <c r="B120" s="1">
        <v>67782</v>
      </c>
      <c r="C120" s="1">
        <v>986123</v>
      </c>
      <c r="D120" s="1">
        <v>31445.200000000001</v>
      </c>
      <c r="E120" s="1">
        <v>0</v>
      </c>
      <c r="F120" s="1">
        <v>392403</v>
      </c>
      <c r="G120" s="1">
        <v>26942.5</v>
      </c>
      <c r="H120" s="1">
        <v>361169</v>
      </c>
      <c r="I120" s="1">
        <v>472279</v>
      </c>
      <c r="J120" s="1">
        <v>44612.7</v>
      </c>
      <c r="K120" s="1">
        <v>87231.8</v>
      </c>
      <c r="L120" s="1">
        <v>81606.399999999994</v>
      </c>
      <c r="M120" s="1">
        <v>45663.8</v>
      </c>
      <c r="N120" s="1">
        <v>58994.8</v>
      </c>
      <c r="O120" s="1">
        <v>75258.2</v>
      </c>
      <c r="P120" s="1">
        <v>50820</v>
      </c>
      <c r="Q120" s="1">
        <v>79140</v>
      </c>
      <c r="R120" s="1">
        <v>0</v>
      </c>
    </row>
    <row r="121" spans="1:18">
      <c r="A121" s="2">
        <v>0.79166666666666663</v>
      </c>
      <c r="B121" s="1">
        <v>68819</v>
      </c>
      <c r="C121" s="1">
        <v>986398</v>
      </c>
      <c r="D121" s="1">
        <v>31470.5</v>
      </c>
      <c r="E121" s="1">
        <v>0</v>
      </c>
      <c r="F121" s="1">
        <v>392427</v>
      </c>
      <c r="G121" s="1">
        <v>27023.8</v>
      </c>
      <c r="H121" s="1">
        <v>361186</v>
      </c>
      <c r="I121" s="1">
        <v>472638</v>
      </c>
      <c r="J121" s="1">
        <v>44623.1</v>
      </c>
      <c r="K121" s="1">
        <v>87234.3</v>
      </c>
      <c r="L121" s="1">
        <v>81644.5</v>
      </c>
      <c r="M121" s="1">
        <v>45709</v>
      </c>
      <c r="N121" s="1">
        <v>59052.5</v>
      </c>
      <c r="O121" s="1">
        <v>75282.2</v>
      </c>
      <c r="P121" s="1">
        <v>50820</v>
      </c>
      <c r="Q121" s="1">
        <v>79141</v>
      </c>
      <c r="R121" s="1">
        <v>0</v>
      </c>
    </row>
    <row r="122" spans="1:18">
      <c r="A122" s="2">
        <v>0.83333333333333337</v>
      </c>
      <c r="B122" s="1">
        <v>69774</v>
      </c>
      <c r="C122" s="1">
        <v>986649</v>
      </c>
      <c r="D122" s="1">
        <v>31494.3</v>
      </c>
      <c r="E122" s="1">
        <v>0</v>
      </c>
      <c r="F122" s="1">
        <v>392450</v>
      </c>
      <c r="G122" s="1">
        <v>27096.9</v>
      </c>
      <c r="H122" s="1">
        <v>361198</v>
      </c>
      <c r="I122" s="1">
        <v>472966</v>
      </c>
      <c r="J122" s="1">
        <v>44633.3</v>
      </c>
      <c r="K122" s="1">
        <v>87237.7</v>
      </c>
      <c r="L122" s="1">
        <v>81675.7</v>
      </c>
      <c r="M122" s="1">
        <v>45752.6</v>
      </c>
      <c r="N122" s="1">
        <v>59111.1</v>
      </c>
      <c r="O122" s="1">
        <v>75305.5</v>
      </c>
      <c r="P122" s="1">
        <v>50820</v>
      </c>
      <c r="Q122" s="1">
        <v>79141</v>
      </c>
      <c r="R122" s="1">
        <v>0</v>
      </c>
    </row>
    <row r="123" spans="1:18">
      <c r="A123" s="2">
        <v>0.875</v>
      </c>
      <c r="B123" s="1">
        <v>70655</v>
      </c>
      <c r="C123" s="1">
        <v>986871</v>
      </c>
      <c r="D123" s="1">
        <v>31516.3</v>
      </c>
      <c r="E123" s="1">
        <v>0</v>
      </c>
      <c r="F123" s="1">
        <v>392473</v>
      </c>
      <c r="G123" s="1">
        <v>27170.2</v>
      </c>
      <c r="H123" s="1">
        <v>361213</v>
      </c>
      <c r="I123" s="1">
        <v>473264</v>
      </c>
      <c r="J123" s="1">
        <v>44643</v>
      </c>
      <c r="K123" s="1">
        <v>87240.9</v>
      </c>
      <c r="L123" s="1">
        <v>81704.800000000003</v>
      </c>
      <c r="M123" s="1">
        <v>45797.599999999999</v>
      </c>
      <c r="N123" s="1">
        <v>59165.599999999999</v>
      </c>
      <c r="O123" s="1">
        <v>75328.3</v>
      </c>
      <c r="P123" s="1">
        <v>50820</v>
      </c>
      <c r="Q123" s="1">
        <v>79141</v>
      </c>
      <c r="R123" s="1">
        <v>0</v>
      </c>
    </row>
    <row r="124" spans="1:18">
      <c r="A124" s="2">
        <v>0.91666666666666663</v>
      </c>
      <c r="B124" s="1">
        <v>71525</v>
      </c>
      <c r="C124" s="1">
        <v>987087</v>
      </c>
      <c r="D124" s="1">
        <v>31537.8</v>
      </c>
      <c r="E124" s="1">
        <v>0</v>
      </c>
      <c r="F124" s="1">
        <v>392504</v>
      </c>
      <c r="G124" s="1">
        <v>27242.7</v>
      </c>
      <c r="H124" s="1">
        <v>361229</v>
      </c>
      <c r="I124" s="1">
        <v>473550</v>
      </c>
      <c r="J124" s="1">
        <v>44653</v>
      </c>
      <c r="K124" s="1">
        <v>87244.3</v>
      </c>
      <c r="L124" s="1">
        <v>81730.899999999994</v>
      </c>
      <c r="M124" s="1">
        <v>45843</v>
      </c>
      <c r="N124" s="1">
        <v>59221.5</v>
      </c>
      <c r="O124" s="1">
        <v>75350.399999999994</v>
      </c>
      <c r="P124" s="1">
        <v>50820</v>
      </c>
      <c r="Q124" s="1">
        <v>79141</v>
      </c>
      <c r="R124" s="1">
        <v>0</v>
      </c>
    </row>
    <row r="125" spans="1:18">
      <c r="A125" s="2">
        <v>0.95833333333333337</v>
      </c>
      <c r="B125" s="1">
        <v>72381</v>
      </c>
      <c r="C125" s="1">
        <v>987302</v>
      </c>
      <c r="D125" s="1">
        <v>31558.799999999999</v>
      </c>
      <c r="E125" s="1">
        <v>0</v>
      </c>
      <c r="F125" s="1">
        <v>392531</v>
      </c>
      <c r="G125" s="1">
        <v>27315.3</v>
      </c>
      <c r="H125" s="1">
        <v>361246</v>
      </c>
      <c r="I125" s="1">
        <v>473831</v>
      </c>
      <c r="J125" s="1">
        <v>44663</v>
      </c>
      <c r="K125" s="1">
        <v>87247.8</v>
      </c>
      <c r="L125" s="1">
        <v>81756</v>
      </c>
      <c r="M125" s="1">
        <v>45890.8</v>
      </c>
      <c r="N125" s="1">
        <v>59277</v>
      </c>
      <c r="O125" s="1">
        <v>75371</v>
      </c>
      <c r="P125" s="1">
        <v>50820</v>
      </c>
      <c r="Q125" s="1">
        <v>79141</v>
      </c>
      <c r="R125" s="1">
        <v>0</v>
      </c>
    </row>
    <row r="126" spans="1:18">
      <c r="A126" s="2">
        <v>0</v>
      </c>
      <c r="B126" s="1">
        <v>73216</v>
      </c>
      <c r="C126" s="1">
        <v>987505</v>
      </c>
      <c r="D126" s="1">
        <v>31583.1</v>
      </c>
      <c r="E126" s="1">
        <v>0</v>
      </c>
      <c r="F126" s="1">
        <v>392556</v>
      </c>
      <c r="G126" s="1">
        <v>27387.9</v>
      </c>
      <c r="H126" s="1">
        <v>361264</v>
      </c>
      <c r="I126" s="1">
        <v>474103</v>
      </c>
      <c r="J126" s="1">
        <v>44673</v>
      </c>
      <c r="K126" s="1">
        <v>87251</v>
      </c>
      <c r="L126" s="1">
        <v>81783</v>
      </c>
      <c r="M126" s="1">
        <v>45938.3</v>
      </c>
      <c r="N126" s="1">
        <v>59331.7</v>
      </c>
      <c r="O126" s="1">
        <v>75391.100000000006</v>
      </c>
      <c r="P126" s="1">
        <v>50820</v>
      </c>
      <c r="Q126" s="1">
        <v>79141</v>
      </c>
      <c r="R126" s="1">
        <v>0</v>
      </c>
    </row>
    <row r="127" spans="1:18">
      <c r="A127" s="2">
        <v>4.1666666666666664E-2</v>
      </c>
      <c r="B127" s="1">
        <v>74012</v>
      </c>
      <c r="C127" s="1">
        <v>987706</v>
      </c>
      <c r="D127" s="1">
        <v>31603</v>
      </c>
      <c r="E127" s="1">
        <v>0</v>
      </c>
      <c r="F127" s="1">
        <v>392577</v>
      </c>
      <c r="G127" s="1">
        <v>27459.5</v>
      </c>
      <c r="H127" s="1">
        <v>361278</v>
      </c>
      <c r="I127" s="1">
        <v>474359</v>
      </c>
      <c r="J127" s="1">
        <v>44682.8</v>
      </c>
      <c r="K127" s="1">
        <v>87254</v>
      </c>
      <c r="L127" s="1">
        <v>81810.2</v>
      </c>
      <c r="M127" s="1">
        <v>45983.8</v>
      </c>
      <c r="N127" s="1">
        <v>59386.2</v>
      </c>
      <c r="O127" s="1">
        <v>75410.100000000006</v>
      </c>
      <c r="P127" s="1">
        <v>50820</v>
      </c>
      <c r="Q127" s="1">
        <v>79141</v>
      </c>
      <c r="R127" s="1">
        <v>0</v>
      </c>
    </row>
    <row r="128" spans="1:18">
      <c r="A128" s="2">
        <v>8.3333333333333329E-2</v>
      </c>
      <c r="B128" s="1">
        <v>74791</v>
      </c>
      <c r="C128" s="1">
        <v>987909</v>
      </c>
      <c r="D128" s="1">
        <v>31621</v>
      </c>
      <c r="E128" s="1">
        <v>0</v>
      </c>
      <c r="F128" s="1">
        <v>392596</v>
      </c>
      <c r="G128" s="1">
        <v>27528.6</v>
      </c>
      <c r="H128" s="1">
        <v>361289</v>
      </c>
      <c r="I128" s="1">
        <v>474605</v>
      </c>
      <c r="J128" s="1">
        <v>44692.2</v>
      </c>
      <c r="K128" s="1">
        <v>87257.2</v>
      </c>
      <c r="L128" s="1">
        <v>81836.600000000006</v>
      </c>
      <c r="M128" s="1">
        <v>46028.3</v>
      </c>
      <c r="N128" s="1">
        <v>59440.3</v>
      </c>
      <c r="O128" s="1">
        <v>75431.3</v>
      </c>
      <c r="P128" s="1">
        <v>50820</v>
      </c>
      <c r="Q128" s="1">
        <v>79141</v>
      </c>
      <c r="R128" s="1">
        <v>0</v>
      </c>
    </row>
    <row r="129" spans="1:18">
      <c r="A129" s="2">
        <v>0.125</v>
      </c>
      <c r="B129" s="1">
        <v>75539</v>
      </c>
      <c r="C129" s="1">
        <v>988107</v>
      </c>
      <c r="D129" s="1">
        <v>31636.9</v>
      </c>
      <c r="E129" s="1">
        <v>0</v>
      </c>
      <c r="F129" s="1">
        <v>392614</v>
      </c>
      <c r="G129" s="1">
        <v>27593.1</v>
      </c>
      <c r="H129" s="1">
        <v>361300</v>
      </c>
      <c r="I129" s="1">
        <v>474836</v>
      </c>
      <c r="J129" s="1">
        <v>44701.8</v>
      </c>
      <c r="K129" s="1">
        <v>87260.2</v>
      </c>
      <c r="L129" s="1">
        <v>81865.100000000006</v>
      </c>
      <c r="M129" s="1">
        <v>46072.3</v>
      </c>
      <c r="N129" s="1">
        <v>59494.7</v>
      </c>
      <c r="O129" s="1">
        <v>75450.2</v>
      </c>
      <c r="P129" s="1">
        <v>50820</v>
      </c>
      <c r="Q129" s="1">
        <v>79141</v>
      </c>
      <c r="R129" s="1">
        <v>0</v>
      </c>
    </row>
    <row r="130" spans="1:18">
      <c r="A130" s="2">
        <v>0.16666666666666666</v>
      </c>
      <c r="B130" s="1">
        <v>76265</v>
      </c>
      <c r="C130" s="1">
        <v>988296</v>
      </c>
      <c r="D130" s="1">
        <v>31652.1</v>
      </c>
      <c r="E130" s="1">
        <v>0</v>
      </c>
      <c r="F130" s="1">
        <v>392630</v>
      </c>
      <c r="G130" s="1">
        <v>27652.9</v>
      </c>
      <c r="H130" s="1">
        <v>361311</v>
      </c>
      <c r="I130" s="1">
        <v>475065</v>
      </c>
      <c r="J130" s="1">
        <v>44711.199999999997</v>
      </c>
      <c r="K130" s="1">
        <v>87263.3</v>
      </c>
      <c r="L130" s="1">
        <v>81890.399999999994</v>
      </c>
      <c r="M130" s="1">
        <v>46115.199999999997</v>
      </c>
      <c r="N130" s="1">
        <v>59550.1</v>
      </c>
      <c r="O130" s="1">
        <v>75469.100000000006</v>
      </c>
      <c r="P130" s="1">
        <v>50820</v>
      </c>
      <c r="Q130" s="1">
        <v>79141</v>
      </c>
      <c r="R130" s="1">
        <v>0</v>
      </c>
    </row>
    <row r="131" spans="1:18">
      <c r="A131" s="2">
        <v>0.20833333333333334</v>
      </c>
      <c r="B131" s="1">
        <v>76993</v>
      </c>
      <c r="C131" s="1">
        <v>988483</v>
      </c>
      <c r="D131" s="1">
        <v>31668.6</v>
      </c>
      <c r="E131" s="1">
        <v>0</v>
      </c>
      <c r="F131" s="1">
        <v>392647</v>
      </c>
      <c r="G131" s="1">
        <v>27713.4</v>
      </c>
      <c r="H131" s="1">
        <v>361322</v>
      </c>
      <c r="I131" s="1">
        <v>475294</v>
      </c>
      <c r="J131" s="1">
        <v>44720.5</v>
      </c>
      <c r="K131" s="1">
        <v>87266.4</v>
      </c>
      <c r="L131" s="1">
        <v>81915.199999999997</v>
      </c>
      <c r="M131" s="1">
        <v>46158.5</v>
      </c>
      <c r="N131" s="1">
        <v>59605.2</v>
      </c>
      <c r="O131" s="1">
        <v>75488.800000000003</v>
      </c>
      <c r="P131" s="1">
        <v>50820</v>
      </c>
      <c r="Q131" s="1">
        <v>79141</v>
      </c>
      <c r="R131" s="1">
        <v>0</v>
      </c>
    </row>
    <row r="132" spans="1:18">
      <c r="A132" s="2">
        <v>0.25</v>
      </c>
      <c r="B132" s="1">
        <v>77703</v>
      </c>
      <c r="C132" s="1">
        <v>988665</v>
      </c>
      <c r="D132" s="1">
        <v>31684.3</v>
      </c>
      <c r="E132" s="1">
        <v>0</v>
      </c>
      <c r="F132" s="1">
        <v>392663</v>
      </c>
      <c r="G132" s="1">
        <v>27772.3</v>
      </c>
      <c r="H132" s="1">
        <v>361333</v>
      </c>
      <c r="I132" s="1">
        <v>475514</v>
      </c>
      <c r="J132" s="1">
        <v>44730.1</v>
      </c>
      <c r="K132" s="1">
        <v>87269.3</v>
      </c>
      <c r="L132" s="1">
        <v>81939.8</v>
      </c>
      <c r="M132" s="1">
        <v>46201.5</v>
      </c>
      <c r="N132" s="1">
        <v>59659.3</v>
      </c>
      <c r="O132" s="1">
        <v>75510.7</v>
      </c>
      <c r="P132" s="1">
        <v>50820</v>
      </c>
      <c r="Q132" s="1">
        <v>79141</v>
      </c>
      <c r="R132" s="1">
        <v>0</v>
      </c>
    </row>
    <row r="133" spans="1:18">
      <c r="A133" s="2">
        <v>0.29166666666666669</v>
      </c>
      <c r="B133" s="1">
        <v>78418</v>
      </c>
      <c r="C133" s="1">
        <v>988849</v>
      </c>
      <c r="D133" s="1">
        <v>31700.400000000001</v>
      </c>
      <c r="E133" s="1">
        <v>0</v>
      </c>
      <c r="F133" s="1">
        <v>392679</v>
      </c>
      <c r="G133" s="1">
        <v>27829.200000000001</v>
      </c>
      <c r="H133" s="1">
        <v>361345</v>
      </c>
      <c r="I133" s="1">
        <v>475741</v>
      </c>
      <c r="J133" s="1">
        <v>44739.3</v>
      </c>
      <c r="K133" s="1">
        <v>87271.4</v>
      </c>
      <c r="L133" s="1">
        <v>81963.3</v>
      </c>
      <c r="M133" s="1">
        <v>46243.9</v>
      </c>
      <c r="N133" s="1">
        <v>59712.6</v>
      </c>
      <c r="O133" s="1">
        <v>75531.899999999994</v>
      </c>
      <c r="P133" s="1">
        <v>50821</v>
      </c>
      <c r="Q133" s="1">
        <v>79142</v>
      </c>
      <c r="R133" s="1">
        <v>0</v>
      </c>
    </row>
    <row r="134" spans="1:18">
      <c r="A134" s="2">
        <v>0.33333333333333331</v>
      </c>
      <c r="B134" s="1">
        <v>79176</v>
      </c>
      <c r="C134" s="1">
        <v>989056</v>
      </c>
      <c r="D134" s="1">
        <v>31716.6</v>
      </c>
      <c r="E134" s="1">
        <v>0</v>
      </c>
      <c r="F134" s="1">
        <v>392697</v>
      </c>
      <c r="G134" s="1">
        <v>27885.1</v>
      </c>
      <c r="H134" s="1">
        <v>361357</v>
      </c>
      <c r="I134" s="1">
        <v>475980</v>
      </c>
      <c r="J134" s="1">
        <v>44748.9</v>
      </c>
      <c r="K134" s="1">
        <v>87271.8</v>
      </c>
      <c r="L134" s="1">
        <v>81987.8</v>
      </c>
      <c r="M134" s="1">
        <v>46289.1</v>
      </c>
      <c r="N134" s="1">
        <v>59765</v>
      </c>
      <c r="O134" s="1">
        <v>75556.2</v>
      </c>
      <c r="P134" s="1">
        <v>50823</v>
      </c>
      <c r="Q134" s="1">
        <v>79145</v>
      </c>
      <c r="R134" s="1">
        <v>0</v>
      </c>
    </row>
    <row r="135" spans="1:18">
      <c r="A135" s="2">
        <v>0.375</v>
      </c>
      <c r="B135" s="1">
        <v>80041</v>
      </c>
      <c r="C135" s="1">
        <v>989287</v>
      </c>
      <c r="D135" s="1">
        <v>31736.6</v>
      </c>
      <c r="E135" s="1">
        <v>0</v>
      </c>
      <c r="F135" s="1">
        <v>392718</v>
      </c>
      <c r="G135" s="1">
        <v>27944.1</v>
      </c>
      <c r="H135" s="1">
        <v>361368</v>
      </c>
      <c r="I135" s="1">
        <v>476250</v>
      </c>
      <c r="J135" s="1">
        <v>44758.7</v>
      </c>
      <c r="K135" s="1">
        <v>87273.3</v>
      </c>
      <c r="L135" s="1">
        <v>82021.100000000006</v>
      </c>
      <c r="M135" s="1">
        <v>46337</v>
      </c>
      <c r="N135" s="1">
        <v>59817.599999999999</v>
      </c>
      <c r="O135" s="1">
        <v>75595.3</v>
      </c>
      <c r="P135" s="1">
        <v>50826</v>
      </c>
      <c r="Q135" s="1">
        <v>79151</v>
      </c>
      <c r="R135" s="1">
        <v>0</v>
      </c>
    </row>
    <row r="136" spans="1:18">
      <c r="A136" s="2">
        <v>0.41666666666666669</v>
      </c>
      <c r="B136" s="1">
        <v>81149</v>
      </c>
      <c r="C136" s="1">
        <v>989592</v>
      </c>
      <c r="D136" s="1">
        <v>31769.8</v>
      </c>
      <c r="E136" s="1">
        <v>0</v>
      </c>
      <c r="F136" s="1">
        <v>392744</v>
      </c>
      <c r="G136" s="1">
        <v>28017.8</v>
      </c>
      <c r="H136" s="1">
        <v>361385</v>
      </c>
      <c r="I136" s="1">
        <v>476587</v>
      </c>
      <c r="J136" s="1">
        <v>44770.7</v>
      </c>
      <c r="K136" s="1">
        <v>87274.2</v>
      </c>
      <c r="L136" s="1">
        <v>82060.600000000006</v>
      </c>
      <c r="M136" s="1">
        <v>46394.6</v>
      </c>
      <c r="N136" s="1">
        <v>59870.8</v>
      </c>
      <c r="O136" s="1">
        <v>75658.2</v>
      </c>
      <c r="P136" s="1">
        <v>50834</v>
      </c>
      <c r="Q136" s="1">
        <v>79164</v>
      </c>
      <c r="R136" s="1">
        <v>0</v>
      </c>
    </row>
    <row r="137" spans="1:18">
      <c r="A137" s="2">
        <v>0.45833333333333331</v>
      </c>
      <c r="B137" s="1">
        <v>82430</v>
      </c>
      <c r="C137" s="1">
        <v>989963</v>
      </c>
      <c r="D137" s="1">
        <v>31803.4</v>
      </c>
      <c r="E137" s="1">
        <v>0</v>
      </c>
      <c r="F137" s="1">
        <v>392784</v>
      </c>
      <c r="G137" s="1">
        <v>28104.7</v>
      </c>
      <c r="H137" s="1">
        <v>361407</v>
      </c>
      <c r="I137" s="1">
        <v>476966</v>
      </c>
      <c r="J137" s="1">
        <v>44784.1</v>
      </c>
      <c r="K137" s="1">
        <v>87276.800000000003</v>
      </c>
      <c r="L137" s="1">
        <v>82102.7</v>
      </c>
      <c r="M137" s="1">
        <v>46463.7</v>
      </c>
      <c r="N137" s="1">
        <v>59922.9</v>
      </c>
      <c r="O137" s="1">
        <v>75726.2</v>
      </c>
      <c r="P137" s="1">
        <v>50843</v>
      </c>
      <c r="Q137" s="1">
        <v>79177</v>
      </c>
      <c r="R137" s="1">
        <v>0</v>
      </c>
    </row>
    <row r="138" spans="1:18">
      <c r="A138" s="2">
        <v>0.5</v>
      </c>
      <c r="B138" s="1">
        <v>83747</v>
      </c>
      <c r="C138" s="1">
        <v>990314</v>
      </c>
      <c r="D138" s="1">
        <v>31836.1</v>
      </c>
      <c r="E138" s="1">
        <v>0</v>
      </c>
      <c r="F138" s="1">
        <v>392830</v>
      </c>
      <c r="G138" s="1">
        <v>28202.5</v>
      </c>
      <c r="H138" s="1">
        <v>361427</v>
      </c>
      <c r="I138" s="1">
        <v>477380</v>
      </c>
      <c r="J138" s="1">
        <v>44795.3</v>
      </c>
      <c r="K138" s="1">
        <v>87279.3</v>
      </c>
      <c r="L138" s="1">
        <v>82151</v>
      </c>
      <c r="M138" s="1">
        <v>46530.1</v>
      </c>
      <c r="N138" s="1">
        <v>59972.9</v>
      </c>
      <c r="O138" s="1">
        <v>75794.399999999994</v>
      </c>
      <c r="P138" s="1">
        <v>50852</v>
      </c>
      <c r="Q138" s="1">
        <v>79192</v>
      </c>
      <c r="R138" s="1">
        <v>0</v>
      </c>
    </row>
    <row r="139" spans="1:18">
      <c r="A139" s="2">
        <v>0.54166666666666663</v>
      </c>
      <c r="B139" s="1">
        <v>85061</v>
      </c>
      <c r="C139" s="1">
        <v>990665</v>
      </c>
      <c r="D139" s="1">
        <v>31870.2</v>
      </c>
      <c r="E139" s="1">
        <v>0</v>
      </c>
      <c r="F139" s="1">
        <v>392873</v>
      </c>
      <c r="G139" s="1">
        <v>28292.400000000001</v>
      </c>
      <c r="H139" s="1">
        <v>361447</v>
      </c>
      <c r="I139" s="1">
        <v>477802</v>
      </c>
      <c r="J139" s="1">
        <v>44806.8</v>
      </c>
      <c r="K139" s="1">
        <v>87279.3</v>
      </c>
      <c r="L139" s="1">
        <v>82204</v>
      </c>
      <c r="M139" s="1">
        <v>46594</v>
      </c>
      <c r="N139" s="1">
        <v>60019.7</v>
      </c>
      <c r="O139" s="1">
        <v>75871</v>
      </c>
      <c r="P139" s="1">
        <v>50866</v>
      </c>
      <c r="Q139" s="1">
        <v>79213</v>
      </c>
      <c r="R139" s="1">
        <v>0</v>
      </c>
    </row>
    <row r="140" spans="1:18">
      <c r="A140" s="2">
        <v>0.58333333333333337</v>
      </c>
      <c r="B140" s="1">
        <v>86523</v>
      </c>
      <c r="C140" s="1">
        <v>991052</v>
      </c>
      <c r="D140" s="1">
        <v>31909.599999999999</v>
      </c>
      <c r="E140" s="1">
        <v>0</v>
      </c>
      <c r="F140" s="1">
        <v>392924</v>
      </c>
      <c r="G140" s="1">
        <v>28396.7</v>
      </c>
      <c r="H140" s="1">
        <v>361509</v>
      </c>
      <c r="I140" s="1">
        <v>478254</v>
      </c>
      <c r="J140" s="1">
        <v>44818</v>
      </c>
      <c r="K140" s="1">
        <v>87280.1</v>
      </c>
      <c r="L140" s="1">
        <v>82254.2</v>
      </c>
      <c r="M140" s="1">
        <v>46658.3</v>
      </c>
      <c r="N140" s="1">
        <v>60069.2</v>
      </c>
      <c r="O140" s="1">
        <v>75952.800000000003</v>
      </c>
      <c r="P140" s="1">
        <v>50879</v>
      </c>
      <c r="Q140" s="1">
        <v>79232</v>
      </c>
      <c r="R140" s="1">
        <v>0</v>
      </c>
    </row>
    <row r="141" spans="1:18">
      <c r="A141" s="2">
        <v>0.625</v>
      </c>
      <c r="B141" s="1">
        <v>87969</v>
      </c>
      <c r="C141" s="1">
        <v>991432</v>
      </c>
      <c r="D141" s="1">
        <v>31946.2</v>
      </c>
      <c r="E141" s="1">
        <v>0</v>
      </c>
      <c r="F141" s="1">
        <v>392970</v>
      </c>
      <c r="G141" s="1">
        <v>28504.7</v>
      </c>
      <c r="H141" s="1">
        <v>361603</v>
      </c>
      <c r="I141" s="1">
        <v>478692</v>
      </c>
      <c r="J141" s="1">
        <v>44830.8</v>
      </c>
      <c r="K141" s="1">
        <v>87282.9</v>
      </c>
      <c r="L141" s="1">
        <v>82298.8</v>
      </c>
      <c r="M141" s="1">
        <v>46719.8</v>
      </c>
      <c r="N141" s="1">
        <v>60124.3</v>
      </c>
      <c r="O141" s="1">
        <v>76012.5</v>
      </c>
      <c r="P141" s="1">
        <v>50887</v>
      </c>
      <c r="Q141" s="1">
        <v>79245</v>
      </c>
      <c r="R141" s="1">
        <v>0</v>
      </c>
    </row>
    <row r="142" spans="1:18">
      <c r="A142" s="2">
        <v>0.66666666666666663</v>
      </c>
      <c r="B142" s="1">
        <v>89347</v>
      </c>
      <c r="C142" s="1">
        <v>991791</v>
      </c>
      <c r="D142" s="1">
        <v>31983.9</v>
      </c>
      <c r="E142" s="1">
        <v>0</v>
      </c>
      <c r="F142" s="1">
        <v>393010</v>
      </c>
      <c r="G142" s="1">
        <v>28613</v>
      </c>
      <c r="H142" s="1">
        <v>361693</v>
      </c>
      <c r="I142" s="1">
        <v>479118</v>
      </c>
      <c r="J142" s="1">
        <v>44843.9</v>
      </c>
      <c r="K142" s="1">
        <v>87288.4</v>
      </c>
      <c r="L142" s="1">
        <v>82344.899999999994</v>
      </c>
      <c r="M142" s="1">
        <v>46774.2</v>
      </c>
      <c r="N142" s="1">
        <v>60183.3</v>
      </c>
      <c r="O142" s="1">
        <v>76051.7</v>
      </c>
      <c r="P142" s="1">
        <v>50893</v>
      </c>
      <c r="Q142" s="1">
        <v>79254</v>
      </c>
      <c r="R142" s="1">
        <v>0</v>
      </c>
    </row>
    <row r="143" spans="1:18">
      <c r="A143" s="2">
        <v>0.70833333333333337</v>
      </c>
      <c r="B143" s="1">
        <v>90702</v>
      </c>
      <c r="C143" s="1">
        <v>992127</v>
      </c>
      <c r="D143" s="1">
        <v>32015.1</v>
      </c>
      <c r="E143" s="1">
        <v>0</v>
      </c>
      <c r="F143" s="1">
        <v>393048</v>
      </c>
      <c r="G143" s="1">
        <v>28719</v>
      </c>
      <c r="H143" s="1">
        <v>361822</v>
      </c>
      <c r="I143" s="1">
        <v>479528</v>
      </c>
      <c r="J143" s="1">
        <v>44857.2</v>
      </c>
      <c r="K143" s="1">
        <v>87295.1</v>
      </c>
      <c r="L143" s="1">
        <v>82390.100000000006</v>
      </c>
      <c r="M143" s="1">
        <v>46821.7</v>
      </c>
      <c r="N143" s="1">
        <v>60243.7</v>
      </c>
      <c r="O143" s="1">
        <v>76090.399999999994</v>
      </c>
      <c r="P143" s="1">
        <v>50897</v>
      </c>
      <c r="Q143" s="1">
        <v>79260</v>
      </c>
      <c r="R143" s="1">
        <v>0</v>
      </c>
    </row>
    <row r="144" spans="1:18">
      <c r="A144" s="2">
        <v>0.75</v>
      </c>
      <c r="B144" s="1">
        <v>91846</v>
      </c>
      <c r="C144" s="1">
        <v>992415</v>
      </c>
      <c r="D144" s="1">
        <v>32043.1</v>
      </c>
      <c r="E144" s="1">
        <v>0</v>
      </c>
      <c r="F144" s="1">
        <v>393080</v>
      </c>
      <c r="G144" s="1">
        <v>28807.3</v>
      </c>
      <c r="H144" s="1">
        <v>361895</v>
      </c>
      <c r="I144" s="1">
        <v>479907</v>
      </c>
      <c r="J144" s="1">
        <v>44869.5</v>
      </c>
      <c r="K144" s="1">
        <v>87297.4</v>
      </c>
      <c r="L144" s="1">
        <v>82432.100000000006</v>
      </c>
      <c r="M144" s="1">
        <v>46867.199999999997</v>
      </c>
      <c r="N144" s="1">
        <v>60302.2</v>
      </c>
      <c r="O144" s="1">
        <v>76121.3</v>
      </c>
      <c r="P144" s="1">
        <v>50899</v>
      </c>
      <c r="Q144" s="1">
        <v>79263</v>
      </c>
      <c r="R144" s="1">
        <v>0</v>
      </c>
    </row>
    <row r="145" spans="1:18">
      <c r="A145" s="2">
        <v>0.79166666666666663</v>
      </c>
      <c r="B145" s="1">
        <v>92833</v>
      </c>
      <c r="C145" s="1">
        <v>992675</v>
      </c>
      <c r="D145" s="1">
        <v>32064.9</v>
      </c>
      <c r="E145" s="1">
        <v>0</v>
      </c>
      <c r="F145" s="1">
        <v>393103</v>
      </c>
      <c r="G145" s="1">
        <v>28880.2</v>
      </c>
      <c r="H145" s="1">
        <v>361934</v>
      </c>
      <c r="I145" s="1">
        <v>480249</v>
      </c>
      <c r="J145" s="1">
        <v>44879.199999999997</v>
      </c>
      <c r="K145" s="1">
        <v>87299.5</v>
      </c>
      <c r="L145" s="1">
        <v>82465.399999999994</v>
      </c>
      <c r="M145" s="1">
        <v>46909.9</v>
      </c>
      <c r="N145" s="1">
        <v>60358.1</v>
      </c>
      <c r="O145" s="1">
        <v>76145.899999999994</v>
      </c>
      <c r="P145" s="1">
        <v>50899</v>
      </c>
      <c r="Q145" s="1">
        <v>79264</v>
      </c>
      <c r="R145" s="1">
        <v>0</v>
      </c>
    </row>
    <row r="146" spans="1:18">
      <c r="A146" s="2">
        <v>0.83333333333333337</v>
      </c>
      <c r="B146" s="1">
        <v>93725</v>
      </c>
      <c r="C146" s="1">
        <v>992917</v>
      </c>
      <c r="D146" s="1">
        <v>32084.5</v>
      </c>
      <c r="E146" s="1">
        <v>0</v>
      </c>
      <c r="F146" s="1">
        <v>393123</v>
      </c>
      <c r="G146" s="1">
        <v>28946.799999999999</v>
      </c>
      <c r="H146" s="1">
        <v>361951</v>
      </c>
      <c r="I146" s="1">
        <v>480555</v>
      </c>
      <c r="J146" s="1">
        <v>44888.800000000003</v>
      </c>
      <c r="K146" s="1">
        <v>87303.2</v>
      </c>
      <c r="L146" s="1">
        <v>82492.899999999994</v>
      </c>
      <c r="M146" s="1">
        <v>46952.2</v>
      </c>
      <c r="N146" s="1">
        <v>60414</v>
      </c>
      <c r="O146" s="1">
        <v>76171.7</v>
      </c>
      <c r="P146" s="1">
        <v>50899</v>
      </c>
      <c r="Q146" s="1">
        <v>79264</v>
      </c>
      <c r="R146" s="1">
        <v>0</v>
      </c>
    </row>
    <row r="147" spans="1:18">
      <c r="A147" s="2">
        <v>0.875</v>
      </c>
      <c r="B147" s="1">
        <v>94548</v>
      </c>
      <c r="C147" s="1">
        <v>993134</v>
      </c>
      <c r="D147" s="1">
        <v>32106.5</v>
      </c>
      <c r="E147" s="1">
        <v>0</v>
      </c>
      <c r="F147" s="1">
        <v>393142</v>
      </c>
      <c r="G147" s="1">
        <v>29010.2</v>
      </c>
      <c r="H147" s="1">
        <v>361964</v>
      </c>
      <c r="I147" s="1">
        <v>480826</v>
      </c>
      <c r="J147" s="1">
        <v>44898.6</v>
      </c>
      <c r="K147" s="1">
        <v>87306.9</v>
      </c>
      <c r="L147" s="1">
        <v>82518.2</v>
      </c>
      <c r="M147" s="1">
        <v>46994</v>
      </c>
      <c r="N147" s="1">
        <v>60470.9</v>
      </c>
      <c r="O147" s="1">
        <v>76196.800000000003</v>
      </c>
      <c r="P147" s="1">
        <v>50899</v>
      </c>
      <c r="Q147" s="1">
        <v>79264</v>
      </c>
      <c r="R147" s="1">
        <v>0</v>
      </c>
    </row>
    <row r="148" spans="1:18">
      <c r="A148" s="2">
        <v>0.91666666666666663</v>
      </c>
      <c r="B148" s="1">
        <v>95321</v>
      </c>
      <c r="C148" s="1">
        <v>993330</v>
      </c>
      <c r="D148" s="1">
        <v>32126.3</v>
      </c>
      <c r="E148" s="1">
        <v>0</v>
      </c>
      <c r="F148" s="1">
        <v>393161</v>
      </c>
      <c r="G148" s="1">
        <v>29069.9</v>
      </c>
      <c r="H148" s="1">
        <v>361977</v>
      </c>
      <c r="I148" s="1">
        <v>481079</v>
      </c>
      <c r="J148" s="1">
        <v>44908</v>
      </c>
      <c r="K148" s="1">
        <v>87310.3</v>
      </c>
      <c r="L148" s="1">
        <v>82543.899999999994</v>
      </c>
      <c r="M148" s="1">
        <v>47034.9</v>
      </c>
      <c r="N148" s="1">
        <v>60526.1</v>
      </c>
      <c r="O148" s="1">
        <v>76224</v>
      </c>
      <c r="P148" s="1">
        <v>50899</v>
      </c>
      <c r="Q148" s="1">
        <v>79264</v>
      </c>
      <c r="R148" s="1">
        <v>0</v>
      </c>
    </row>
    <row r="149" spans="1:18">
      <c r="A149" s="2">
        <v>0.95833333333333337</v>
      </c>
      <c r="B149" s="1">
        <v>96054</v>
      </c>
      <c r="C149" s="1">
        <v>993517</v>
      </c>
      <c r="D149" s="1">
        <v>32143.1</v>
      </c>
      <c r="E149" s="1">
        <v>0</v>
      </c>
      <c r="F149" s="1">
        <v>393178</v>
      </c>
      <c r="G149" s="1">
        <v>29129.1</v>
      </c>
      <c r="H149" s="1">
        <v>361990</v>
      </c>
      <c r="I149" s="1">
        <v>481313</v>
      </c>
      <c r="J149" s="1">
        <v>44917.4</v>
      </c>
      <c r="K149" s="1">
        <v>87313.5</v>
      </c>
      <c r="L149" s="1">
        <v>82569.7</v>
      </c>
      <c r="M149" s="1">
        <v>47076.1</v>
      </c>
      <c r="N149" s="1">
        <v>60581.5</v>
      </c>
      <c r="O149" s="1">
        <v>76244.5</v>
      </c>
      <c r="P149" s="1">
        <v>50899</v>
      </c>
      <c r="Q149" s="1">
        <v>79264</v>
      </c>
      <c r="R149" s="1">
        <v>0</v>
      </c>
    </row>
    <row r="150" spans="1:18">
      <c r="A150" s="2">
        <v>0</v>
      </c>
      <c r="B150" s="1">
        <v>96772</v>
      </c>
      <c r="C150" s="1">
        <v>993696</v>
      </c>
      <c r="D150" s="1">
        <v>32158.2</v>
      </c>
      <c r="E150" s="1">
        <v>0</v>
      </c>
      <c r="F150" s="1">
        <v>393193</v>
      </c>
      <c r="G150" s="1">
        <v>29190.799999999999</v>
      </c>
      <c r="H150" s="1">
        <v>362003</v>
      </c>
      <c r="I150" s="1">
        <v>481545</v>
      </c>
      <c r="J150" s="1">
        <v>44926.7</v>
      </c>
      <c r="K150" s="1">
        <v>87316.5</v>
      </c>
      <c r="L150" s="1">
        <v>82595.5</v>
      </c>
      <c r="M150" s="1">
        <v>47114.3</v>
      </c>
      <c r="N150" s="1">
        <v>60636.800000000003</v>
      </c>
      <c r="O150" s="1">
        <v>76264.399999999994</v>
      </c>
      <c r="P150" s="1">
        <v>50899</v>
      </c>
      <c r="Q150" s="1">
        <v>79264</v>
      </c>
      <c r="R150" s="1">
        <v>0</v>
      </c>
    </row>
    <row r="151" spans="1:18">
      <c r="A151" s="2">
        <v>4.1666666666666664E-2</v>
      </c>
      <c r="B151" s="1">
        <v>97461</v>
      </c>
      <c r="C151" s="1">
        <v>993865</v>
      </c>
      <c r="D151" s="1">
        <v>32172.400000000001</v>
      </c>
      <c r="E151" s="1">
        <v>0</v>
      </c>
      <c r="F151" s="1">
        <v>393209</v>
      </c>
      <c r="G151" s="1">
        <v>29244.1</v>
      </c>
      <c r="H151" s="1">
        <v>362016</v>
      </c>
      <c r="I151" s="1">
        <v>481771</v>
      </c>
      <c r="J151" s="1">
        <v>44935.8</v>
      </c>
      <c r="K151" s="1">
        <v>87319.6</v>
      </c>
      <c r="L151" s="1">
        <v>82619.600000000006</v>
      </c>
      <c r="M151" s="1">
        <v>47152.2</v>
      </c>
      <c r="N151" s="1">
        <v>60692.1</v>
      </c>
      <c r="O151" s="1">
        <v>76284.2</v>
      </c>
      <c r="P151" s="1">
        <v>50899</v>
      </c>
      <c r="Q151" s="1">
        <v>79264</v>
      </c>
      <c r="R151" s="1">
        <v>0</v>
      </c>
    </row>
    <row r="152" spans="1:18">
      <c r="A152" s="2">
        <v>8.3333333333333329E-2</v>
      </c>
      <c r="B152" s="1">
        <v>98121</v>
      </c>
      <c r="C152" s="1">
        <v>994029</v>
      </c>
      <c r="D152" s="1">
        <v>32186</v>
      </c>
      <c r="E152" s="1">
        <v>0</v>
      </c>
      <c r="F152" s="1">
        <v>393224</v>
      </c>
      <c r="G152" s="1">
        <v>29298.400000000001</v>
      </c>
      <c r="H152" s="1">
        <v>362028</v>
      </c>
      <c r="I152" s="1">
        <v>481976</v>
      </c>
      <c r="J152" s="1">
        <v>44945.1</v>
      </c>
      <c r="K152" s="1">
        <v>87322.8</v>
      </c>
      <c r="L152" s="1">
        <v>82642.600000000006</v>
      </c>
      <c r="M152" s="1">
        <v>47189.7</v>
      </c>
      <c r="N152" s="1">
        <v>60748</v>
      </c>
      <c r="O152" s="1">
        <v>76304.399999999994</v>
      </c>
      <c r="P152" s="1">
        <v>50899</v>
      </c>
      <c r="Q152" s="1">
        <v>79264</v>
      </c>
      <c r="R152" s="1">
        <v>0</v>
      </c>
    </row>
    <row r="153" spans="1:18">
      <c r="A153" s="2">
        <v>0.125</v>
      </c>
      <c r="B153" s="1">
        <v>98771</v>
      </c>
      <c r="C153" s="1">
        <v>994190</v>
      </c>
      <c r="D153" s="1">
        <v>32199.7</v>
      </c>
      <c r="E153" s="1">
        <v>0</v>
      </c>
      <c r="F153" s="1">
        <v>393240</v>
      </c>
      <c r="G153" s="1">
        <v>29350.400000000001</v>
      </c>
      <c r="H153" s="1">
        <v>362041</v>
      </c>
      <c r="I153" s="1">
        <v>482180</v>
      </c>
      <c r="J153" s="1">
        <v>44954.1</v>
      </c>
      <c r="K153" s="1">
        <v>87326</v>
      </c>
      <c r="L153" s="1">
        <v>82664.600000000006</v>
      </c>
      <c r="M153" s="1">
        <v>47227.199999999997</v>
      </c>
      <c r="N153" s="1">
        <v>60803.3</v>
      </c>
      <c r="O153" s="1">
        <v>76323</v>
      </c>
      <c r="P153" s="1">
        <v>50899</v>
      </c>
      <c r="Q153" s="1">
        <v>79264</v>
      </c>
      <c r="R153" s="1">
        <v>0</v>
      </c>
    </row>
    <row r="154" spans="1:18">
      <c r="A154" s="2">
        <v>0.16666666666666666</v>
      </c>
      <c r="B154" s="1">
        <v>99409</v>
      </c>
      <c r="C154" s="1">
        <v>994346</v>
      </c>
      <c r="D154" s="1">
        <v>32212.5</v>
      </c>
      <c r="E154" s="1">
        <v>0</v>
      </c>
      <c r="F154" s="1">
        <v>393255</v>
      </c>
      <c r="G154" s="1">
        <v>29401.9</v>
      </c>
      <c r="H154" s="1">
        <v>362055</v>
      </c>
      <c r="I154" s="1">
        <v>482379</v>
      </c>
      <c r="J154" s="1">
        <v>44962.1</v>
      </c>
      <c r="K154" s="1">
        <v>87329.1</v>
      </c>
      <c r="L154" s="1">
        <v>82687.199999999997</v>
      </c>
      <c r="M154" s="1">
        <v>47264.7</v>
      </c>
      <c r="N154" s="1">
        <v>60858.2</v>
      </c>
      <c r="O154" s="1">
        <v>76341.5</v>
      </c>
      <c r="P154" s="1">
        <v>50899</v>
      </c>
      <c r="Q154" s="1">
        <v>79264</v>
      </c>
      <c r="R154" s="1">
        <v>0</v>
      </c>
    </row>
    <row r="155" spans="1:18">
      <c r="A155" s="2">
        <v>0.20833333333333334</v>
      </c>
      <c r="B155" s="1">
        <v>100045</v>
      </c>
      <c r="C155" s="1">
        <v>994501</v>
      </c>
      <c r="D155" s="1">
        <v>32225.5</v>
      </c>
      <c r="E155" s="1">
        <v>0</v>
      </c>
      <c r="F155" s="1">
        <v>393270</v>
      </c>
      <c r="G155" s="1">
        <v>29454.1</v>
      </c>
      <c r="H155" s="1">
        <v>362068</v>
      </c>
      <c r="I155" s="1">
        <v>482577</v>
      </c>
      <c r="J155" s="1">
        <v>44971.199999999997</v>
      </c>
      <c r="K155" s="1">
        <v>87332</v>
      </c>
      <c r="L155" s="1">
        <v>82706.899999999994</v>
      </c>
      <c r="M155" s="1">
        <v>47301.5</v>
      </c>
      <c r="N155" s="1">
        <v>60913.4</v>
      </c>
      <c r="O155" s="1">
        <v>76362.100000000006</v>
      </c>
      <c r="P155" s="1">
        <v>50899</v>
      </c>
      <c r="Q155" s="1">
        <v>79264</v>
      </c>
      <c r="R155" s="1">
        <v>0</v>
      </c>
    </row>
    <row r="156" spans="1:18">
      <c r="A156" s="2">
        <v>0.25</v>
      </c>
      <c r="B156" s="1">
        <v>100681</v>
      </c>
      <c r="C156" s="1">
        <v>994651</v>
      </c>
      <c r="D156" s="1">
        <v>32238.799999999999</v>
      </c>
      <c r="E156" s="1">
        <v>0</v>
      </c>
      <c r="F156" s="1">
        <v>393285</v>
      </c>
      <c r="G156" s="1">
        <v>29504.7</v>
      </c>
      <c r="H156" s="1">
        <v>362081</v>
      </c>
      <c r="I156" s="1">
        <v>482779</v>
      </c>
      <c r="J156" s="1">
        <v>44980.1</v>
      </c>
      <c r="K156" s="1">
        <v>87335</v>
      </c>
      <c r="L156" s="1">
        <v>82726.8</v>
      </c>
      <c r="M156" s="1">
        <v>47338.8</v>
      </c>
      <c r="N156" s="1">
        <v>60968.7</v>
      </c>
      <c r="O156" s="1">
        <v>76382.899999999994</v>
      </c>
      <c r="P156" s="1">
        <v>50899</v>
      </c>
      <c r="Q156" s="1">
        <v>79264</v>
      </c>
      <c r="R156" s="1">
        <v>0</v>
      </c>
    </row>
    <row r="157" spans="1:18">
      <c r="A157" s="2">
        <v>0.29166666666666669</v>
      </c>
      <c r="B157" s="1">
        <v>101312</v>
      </c>
      <c r="C157" s="1">
        <v>994806</v>
      </c>
      <c r="D157" s="1">
        <v>32252.1</v>
      </c>
      <c r="E157" s="1">
        <v>0</v>
      </c>
      <c r="F157" s="1">
        <v>393299</v>
      </c>
      <c r="G157" s="1">
        <v>29554.400000000001</v>
      </c>
      <c r="H157" s="1">
        <v>362094</v>
      </c>
      <c r="I157" s="1">
        <v>482977</v>
      </c>
      <c r="J157" s="1">
        <v>44988.3</v>
      </c>
      <c r="K157" s="1">
        <v>87337.600000000006</v>
      </c>
      <c r="L157" s="1">
        <v>82745.600000000006</v>
      </c>
      <c r="M157" s="1">
        <v>47375.8</v>
      </c>
      <c r="N157" s="1">
        <v>61023.8</v>
      </c>
      <c r="O157" s="1">
        <v>76403.100000000006</v>
      </c>
      <c r="P157" s="1">
        <v>50899</v>
      </c>
      <c r="Q157" s="1">
        <v>79264</v>
      </c>
      <c r="R157" s="1">
        <v>0</v>
      </c>
    </row>
    <row r="158" spans="1:18">
      <c r="A158" s="2">
        <v>0.33333333333333331</v>
      </c>
      <c r="B158" s="1">
        <v>101956</v>
      </c>
      <c r="C158" s="1">
        <v>994967</v>
      </c>
      <c r="D158" s="1">
        <v>32265.3</v>
      </c>
      <c r="E158" s="1">
        <v>0</v>
      </c>
      <c r="F158" s="1">
        <v>393313</v>
      </c>
      <c r="G158" s="1">
        <v>29602.7</v>
      </c>
      <c r="H158" s="1">
        <v>362107</v>
      </c>
      <c r="I158" s="1">
        <v>483184</v>
      </c>
      <c r="J158" s="1">
        <v>44997.2</v>
      </c>
      <c r="K158" s="1">
        <v>87339.4</v>
      </c>
      <c r="L158" s="1">
        <v>82764.3</v>
      </c>
      <c r="M158" s="1">
        <v>47412.7</v>
      </c>
      <c r="N158" s="1">
        <v>61077.5</v>
      </c>
      <c r="O158" s="1">
        <v>76425.2</v>
      </c>
      <c r="P158" s="1">
        <v>50900</v>
      </c>
      <c r="Q158" s="1">
        <v>79265</v>
      </c>
      <c r="R158" s="1">
        <v>0</v>
      </c>
    </row>
    <row r="159" spans="1:18">
      <c r="A159" s="2">
        <v>0.375</v>
      </c>
      <c r="B159" s="1">
        <v>102793</v>
      </c>
      <c r="C159" s="1">
        <v>995147</v>
      </c>
      <c r="D159" s="1">
        <v>32279.7</v>
      </c>
      <c r="E159" s="1">
        <v>0</v>
      </c>
      <c r="F159" s="1">
        <v>393330</v>
      </c>
      <c r="G159" s="1">
        <v>29649.5</v>
      </c>
      <c r="H159" s="1">
        <v>362246</v>
      </c>
      <c r="I159" s="1">
        <v>483420</v>
      </c>
      <c r="J159" s="1">
        <v>45005.3</v>
      </c>
      <c r="K159" s="1">
        <v>87343.5</v>
      </c>
      <c r="L159" s="1">
        <v>82784</v>
      </c>
      <c r="M159" s="1">
        <v>47449.8</v>
      </c>
      <c r="N159" s="1">
        <v>61132</v>
      </c>
      <c r="O159" s="1">
        <v>76456.3</v>
      </c>
      <c r="P159" s="1">
        <v>50902</v>
      </c>
      <c r="Q159" s="1">
        <v>79268</v>
      </c>
      <c r="R159" s="1">
        <v>0</v>
      </c>
    </row>
    <row r="160" spans="1:18">
      <c r="A160" s="2">
        <v>0.41666666666666669</v>
      </c>
      <c r="B160" s="1">
        <v>103856</v>
      </c>
      <c r="C160" s="1">
        <v>995370</v>
      </c>
      <c r="D160" s="1">
        <v>32296.5</v>
      </c>
      <c r="E160" s="1">
        <v>0</v>
      </c>
      <c r="F160" s="1">
        <v>393347</v>
      </c>
      <c r="G160" s="1">
        <v>29700.6</v>
      </c>
      <c r="H160" s="1">
        <v>362441</v>
      </c>
      <c r="I160" s="1">
        <v>483715</v>
      </c>
      <c r="J160" s="1">
        <v>45014.6</v>
      </c>
      <c r="K160" s="1">
        <v>87354.9</v>
      </c>
      <c r="L160" s="1">
        <v>82809.600000000006</v>
      </c>
      <c r="M160" s="1">
        <v>47486.7</v>
      </c>
      <c r="N160" s="1">
        <v>61189</v>
      </c>
      <c r="O160" s="1">
        <v>76522.600000000006</v>
      </c>
      <c r="P160" s="1">
        <v>50904</v>
      </c>
      <c r="Q160" s="1">
        <v>79272</v>
      </c>
      <c r="R160" s="1">
        <v>0</v>
      </c>
    </row>
    <row r="161" spans="1:18">
      <c r="A161" s="2">
        <v>0.45833333333333331</v>
      </c>
      <c r="B161" s="1">
        <v>104982</v>
      </c>
      <c r="C161" s="1">
        <v>995598</v>
      </c>
      <c r="D161" s="1">
        <v>32317</v>
      </c>
      <c r="E161" s="1">
        <v>0</v>
      </c>
      <c r="F161" s="1">
        <v>393365</v>
      </c>
      <c r="G161" s="1">
        <v>29765.599999999999</v>
      </c>
      <c r="H161" s="1">
        <v>362652</v>
      </c>
      <c r="I161" s="1">
        <v>484018</v>
      </c>
      <c r="J161" s="1">
        <v>45023.7</v>
      </c>
      <c r="K161" s="1">
        <v>87368.7</v>
      </c>
      <c r="L161" s="1">
        <v>82839.5</v>
      </c>
      <c r="M161" s="1">
        <v>47523.5</v>
      </c>
      <c r="N161" s="1">
        <v>61248.1</v>
      </c>
      <c r="O161" s="1">
        <v>76592.7</v>
      </c>
      <c r="P161" s="1">
        <v>50907</v>
      </c>
      <c r="Q161" s="1">
        <v>79276</v>
      </c>
      <c r="R161" s="1">
        <v>0</v>
      </c>
    </row>
    <row r="162" spans="1:18">
      <c r="A162" s="2">
        <v>0.5</v>
      </c>
      <c r="B162" s="1">
        <v>106097</v>
      </c>
      <c r="C162" s="1">
        <v>995826</v>
      </c>
      <c r="D162" s="1">
        <v>32334.7</v>
      </c>
      <c r="E162" s="1">
        <v>0</v>
      </c>
      <c r="F162" s="1">
        <v>393382</v>
      </c>
      <c r="G162" s="1">
        <v>29835.200000000001</v>
      </c>
      <c r="H162" s="1">
        <v>362841</v>
      </c>
      <c r="I162" s="1">
        <v>484332</v>
      </c>
      <c r="J162" s="1">
        <v>45033</v>
      </c>
      <c r="K162" s="1">
        <v>87382.2</v>
      </c>
      <c r="L162" s="1">
        <v>82868.600000000006</v>
      </c>
      <c r="M162" s="1">
        <v>47560.2</v>
      </c>
      <c r="N162" s="1">
        <v>61308.2</v>
      </c>
      <c r="O162" s="1">
        <v>76664.600000000006</v>
      </c>
      <c r="P162" s="1">
        <v>50909</v>
      </c>
      <c r="Q162" s="1">
        <v>79280</v>
      </c>
      <c r="R162" s="1">
        <v>0</v>
      </c>
    </row>
    <row r="163" spans="1:18">
      <c r="A163" s="2">
        <v>0.54166666666666663</v>
      </c>
      <c r="B163" s="1">
        <v>107202</v>
      </c>
      <c r="C163" s="1">
        <v>996044</v>
      </c>
      <c r="D163" s="1">
        <v>32353.599999999999</v>
      </c>
      <c r="E163" s="1">
        <v>0</v>
      </c>
      <c r="F163" s="1">
        <v>393399</v>
      </c>
      <c r="G163" s="1">
        <v>29904</v>
      </c>
      <c r="H163" s="1">
        <v>363022</v>
      </c>
      <c r="I163" s="1">
        <v>484653</v>
      </c>
      <c r="J163" s="1">
        <v>45042</v>
      </c>
      <c r="K163" s="1">
        <v>87395.4</v>
      </c>
      <c r="L163" s="1">
        <v>82893.100000000006</v>
      </c>
      <c r="M163" s="1">
        <v>47597.4</v>
      </c>
      <c r="N163" s="1">
        <v>61367.1</v>
      </c>
      <c r="O163" s="1">
        <v>76742.2</v>
      </c>
      <c r="P163" s="1">
        <v>50912</v>
      </c>
      <c r="Q163" s="1">
        <v>79284</v>
      </c>
      <c r="R163" s="1">
        <v>0</v>
      </c>
    </row>
    <row r="164" spans="1:18">
      <c r="A164" s="2">
        <v>0.58333333333333337</v>
      </c>
      <c r="B164" s="1">
        <v>108273</v>
      </c>
      <c r="C164" s="1">
        <v>996253</v>
      </c>
      <c r="D164" s="1">
        <v>32374.2</v>
      </c>
      <c r="E164" s="1">
        <v>0</v>
      </c>
      <c r="F164" s="1">
        <v>393419</v>
      </c>
      <c r="G164" s="1">
        <v>29968.9</v>
      </c>
      <c r="H164" s="1">
        <v>363198</v>
      </c>
      <c r="I164" s="1">
        <v>484963</v>
      </c>
      <c r="J164" s="1">
        <v>45049.9</v>
      </c>
      <c r="K164" s="1">
        <v>87409.4</v>
      </c>
      <c r="L164" s="1">
        <v>82916.7</v>
      </c>
      <c r="M164" s="1">
        <v>47633.5</v>
      </c>
      <c r="N164" s="1">
        <v>61425.4</v>
      </c>
      <c r="O164" s="1">
        <v>76820.5</v>
      </c>
      <c r="P164" s="1">
        <v>50914</v>
      </c>
      <c r="Q164" s="1">
        <v>79288</v>
      </c>
      <c r="R164" s="1">
        <v>0</v>
      </c>
    </row>
    <row r="165" spans="1:18">
      <c r="A165" s="2">
        <v>0.625</v>
      </c>
      <c r="B165" s="1">
        <v>109263</v>
      </c>
      <c r="C165" s="1">
        <v>996454</v>
      </c>
      <c r="D165" s="1">
        <v>32393.5</v>
      </c>
      <c r="E165" s="1">
        <v>0</v>
      </c>
      <c r="F165" s="1">
        <v>393439</v>
      </c>
      <c r="G165" s="1">
        <v>30035.4</v>
      </c>
      <c r="H165" s="1">
        <v>363343</v>
      </c>
      <c r="I165" s="1">
        <v>485250</v>
      </c>
      <c r="J165" s="1">
        <v>45058.5</v>
      </c>
      <c r="K165" s="1">
        <v>87425.2</v>
      </c>
      <c r="L165" s="1">
        <v>82938.600000000006</v>
      </c>
      <c r="M165" s="1">
        <v>47669.3</v>
      </c>
      <c r="N165" s="1">
        <v>61483.199999999997</v>
      </c>
      <c r="O165" s="1">
        <v>76878.8</v>
      </c>
      <c r="P165" s="1">
        <v>50916</v>
      </c>
      <c r="Q165" s="1">
        <v>79290</v>
      </c>
      <c r="R165" s="1">
        <v>0</v>
      </c>
    </row>
    <row r="166" spans="1:18">
      <c r="A166" s="2">
        <v>0.66666666666666663</v>
      </c>
      <c r="B166" s="1">
        <v>110190</v>
      </c>
      <c r="C166" s="1">
        <v>996661</v>
      </c>
      <c r="D166" s="1">
        <v>32411.5</v>
      </c>
      <c r="E166" s="1">
        <v>0</v>
      </c>
      <c r="F166" s="1">
        <v>393460</v>
      </c>
      <c r="G166" s="1">
        <v>30090.400000000001</v>
      </c>
      <c r="H166" s="1">
        <v>363483</v>
      </c>
      <c r="I166" s="1">
        <v>485510</v>
      </c>
      <c r="J166" s="1">
        <v>45066.6</v>
      </c>
      <c r="K166" s="1">
        <v>87437.1</v>
      </c>
      <c r="L166" s="1">
        <v>82961.399999999994</v>
      </c>
      <c r="M166" s="1">
        <v>47705.2</v>
      </c>
      <c r="N166" s="1">
        <v>61540.3</v>
      </c>
      <c r="O166" s="1">
        <v>76918.2</v>
      </c>
      <c r="P166" s="1">
        <v>50918</v>
      </c>
      <c r="Q166" s="1">
        <v>79293</v>
      </c>
      <c r="R166" s="1">
        <v>0</v>
      </c>
    </row>
    <row r="167" spans="1:18">
      <c r="A167" s="2">
        <v>0.70833333333333337</v>
      </c>
      <c r="B167" s="1">
        <v>111012</v>
      </c>
      <c r="C167" s="1">
        <v>996857</v>
      </c>
      <c r="D167" s="1">
        <v>32431</v>
      </c>
      <c r="E167" s="1">
        <v>0</v>
      </c>
      <c r="F167" s="1">
        <v>393479</v>
      </c>
      <c r="G167" s="1">
        <v>30144.6</v>
      </c>
      <c r="H167" s="1">
        <v>363559</v>
      </c>
      <c r="I167" s="1">
        <v>485753</v>
      </c>
      <c r="J167" s="1">
        <v>45074.5</v>
      </c>
      <c r="K167" s="1">
        <v>87448.9</v>
      </c>
      <c r="L167" s="1">
        <v>82984.2</v>
      </c>
      <c r="M167" s="1">
        <v>47744.2</v>
      </c>
      <c r="N167" s="1">
        <v>61594.400000000001</v>
      </c>
      <c r="O167" s="1">
        <v>76947.600000000006</v>
      </c>
      <c r="P167" s="1">
        <v>50918</v>
      </c>
      <c r="Q167" s="1">
        <v>79294</v>
      </c>
      <c r="R167" s="1">
        <v>0</v>
      </c>
    </row>
    <row r="168" spans="1:18">
      <c r="A168" s="2">
        <v>0.75</v>
      </c>
      <c r="B168" s="1">
        <v>111720</v>
      </c>
      <c r="C168" s="1">
        <v>997034</v>
      </c>
      <c r="D168" s="1">
        <v>32447.3</v>
      </c>
      <c r="E168" s="1">
        <v>0</v>
      </c>
      <c r="F168" s="1">
        <v>393498</v>
      </c>
      <c r="G168" s="1">
        <v>30197.1</v>
      </c>
      <c r="H168" s="1">
        <v>363578</v>
      </c>
      <c r="I168" s="1">
        <v>485976</v>
      </c>
      <c r="J168" s="1">
        <v>45082.400000000001</v>
      </c>
      <c r="K168" s="1">
        <v>87452.1</v>
      </c>
      <c r="L168" s="1">
        <v>83010.600000000006</v>
      </c>
      <c r="M168" s="1">
        <v>47783.8</v>
      </c>
      <c r="N168" s="1">
        <v>61647.8</v>
      </c>
      <c r="O168" s="1">
        <v>76967.7</v>
      </c>
      <c r="P168" s="1">
        <v>50918</v>
      </c>
      <c r="Q168" s="1">
        <v>79294</v>
      </c>
      <c r="R168" s="1">
        <v>0</v>
      </c>
    </row>
    <row r="169" spans="1:18">
      <c r="A169" s="2">
        <v>0.79166666666666663</v>
      </c>
      <c r="B169" s="1">
        <v>112380</v>
      </c>
      <c r="C169" s="1">
        <v>997193</v>
      </c>
      <c r="D169" s="1">
        <v>32462.1</v>
      </c>
      <c r="E169" s="1">
        <v>0</v>
      </c>
      <c r="F169" s="1">
        <v>393515</v>
      </c>
      <c r="G169" s="1">
        <v>30250.5</v>
      </c>
      <c r="H169" s="1">
        <v>363598</v>
      </c>
      <c r="I169" s="1">
        <v>486178</v>
      </c>
      <c r="J169" s="1">
        <v>45091.1</v>
      </c>
      <c r="K169" s="1">
        <v>87454.8</v>
      </c>
      <c r="L169" s="1">
        <v>83036.7</v>
      </c>
      <c r="M169" s="1">
        <v>47823.5</v>
      </c>
      <c r="N169" s="1">
        <v>61701.9</v>
      </c>
      <c r="O169" s="1">
        <v>76982</v>
      </c>
      <c r="P169" s="1">
        <v>50918</v>
      </c>
      <c r="Q169" s="1">
        <v>79294</v>
      </c>
      <c r="R169" s="1">
        <v>0</v>
      </c>
    </row>
    <row r="170" spans="1:18">
      <c r="A170" s="2">
        <v>0.83333333333333337</v>
      </c>
      <c r="B170" s="1">
        <v>113041</v>
      </c>
      <c r="C170" s="1">
        <v>997354</v>
      </c>
      <c r="D170" s="1">
        <v>32477.4</v>
      </c>
      <c r="E170" s="1">
        <v>0</v>
      </c>
      <c r="F170" s="1">
        <v>393532</v>
      </c>
      <c r="G170" s="1">
        <v>30303.7</v>
      </c>
      <c r="H170" s="1">
        <v>363617</v>
      </c>
      <c r="I170" s="1">
        <v>486377</v>
      </c>
      <c r="J170" s="1">
        <v>45099.3</v>
      </c>
      <c r="K170" s="1">
        <v>87457.5</v>
      </c>
      <c r="L170" s="1">
        <v>83063.5</v>
      </c>
      <c r="M170" s="1">
        <v>47863.3</v>
      </c>
      <c r="N170" s="1">
        <v>61756.5</v>
      </c>
      <c r="O170" s="1">
        <v>76998.600000000006</v>
      </c>
      <c r="P170" s="1">
        <v>50918</v>
      </c>
      <c r="Q170" s="1">
        <v>79294</v>
      </c>
      <c r="R170" s="1">
        <v>0</v>
      </c>
    </row>
    <row r="171" spans="1:18">
      <c r="A171" s="2">
        <v>0.875</v>
      </c>
      <c r="B171" s="1">
        <v>113703</v>
      </c>
      <c r="C171" s="1">
        <v>997517</v>
      </c>
      <c r="D171" s="1">
        <v>32492.9</v>
      </c>
      <c r="E171" s="1">
        <v>0</v>
      </c>
      <c r="F171" s="1">
        <v>393549</v>
      </c>
      <c r="G171" s="1">
        <v>30357.4</v>
      </c>
      <c r="H171" s="1">
        <v>363636</v>
      </c>
      <c r="I171" s="1">
        <v>486578</v>
      </c>
      <c r="J171" s="1">
        <v>45108.4</v>
      </c>
      <c r="K171" s="1">
        <v>87460.4</v>
      </c>
      <c r="L171" s="1">
        <v>83088.800000000003</v>
      </c>
      <c r="M171" s="1">
        <v>47901.9</v>
      </c>
      <c r="N171" s="1">
        <v>61810.7</v>
      </c>
      <c r="O171" s="1">
        <v>77015.100000000006</v>
      </c>
      <c r="P171" s="1">
        <v>50918</v>
      </c>
      <c r="Q171" s="1">
        <v>79294</v>
      </c>
      <c r="R171" s="1">
        <v>0</v>
      </c>
    </row>
    <row r="172" spans="1:18">
      <c r="A172" s="2">
        <v>0.91666666666666663</v>
      </c>
      <c r="B172" s="1">
        <v>114351</v>
      </c>
      <c r="C172" s="1">
        <v>997676</v>
      </c>
      <c r="D172" s="1">
        <v>32507.1</v>
      </c>
      <c r="E172" s="1">
        <v>0</v>
      </c>
      <c r="F172" s="1">
        <v>393566</v>
      </c>
      <c r="G172" s="1">
        <v>30411.9</v>
      </c>
      <c r="H172" s="1">
        <v>363650</v>
      </c>
      <c r="I172" s="1">
        <v>486776</v>
      </c>
      <c r="J172" s="1">
        <v>45116.4</v>
      </c>
      <c r="K172" s="1">
        <v>87463.1</v>
      </c>
      <c r="L172" s="1">
        <v>83113.600000000006</v>
      </c>
      <c r="M172" s="1">
        <v>47939.5</v>
      </c>
      <c r="N172" s="1">
        <v>61865.2</v>
      </c>
      <c r="O172" s="1">
        <v>77030.7</v>
      </c>
      <c r="P172" s="1">
        <v>50918</v>
      </c>
      <c r="Q172" s="1">
        <v>79294</v>
      </c>
      <c r="R172" s="1">
        <v>0</v>
      </c>
    </row>
    <row r="173" spans="1:18">
      <c r="A173" s="2">
        <v>0.95833333333333337</v>
      </c>
      <c r="B173" s="1">
        <v>114993</v>
      </c>
      <c r="C173" s="1">
        <v>997833</v>
      </c>
      <c r="D173" s="1">
        <v>32520.5</v>
      </c>
      <c r="E173" s="1">
        <v>0</v>
      </c>
      <c r="F173" s="1">
        <v>393581</v>
      </c>
      <c r="G173" s="1">
        <v>30467.3</v>
      </c>
      <c r="H173" s="1">
        <v>363664</v>
      </c>
      <c r="I173" s="1">
        <v>486972</v>
      </c>
      <c r="J173" s="1">
        <v>45125.4</v>
      </c>
      <c r="K173" s="1">
        <v>87465.9</v>
      </c>
      <c r="L173" s="1">
        <v>83138.7</v>
      </c>
      <c r="M173" s="1">
        <v>47976.9</v>
      </c>
      <c r="N173" s="1">
        <v>61919.199999999997</v>
      </c>
      <c r="O173" s="1">
        <v>77047.600000000006</v>
      </c>
      <c r="P173" s="1">
        <v>50918</v>
      </c>
      <c r="Q173" s="1">
        <v>79294</v>
      </c>
      <c r="R173" s="1">
        <v>0</v>
      </c>
    </row>
    <row r="174" spans="1:18">
      <c r="A174" s="2">
        <v>0</v>
      </c>
      <c r="B174" s="1">
        <v>115618</v>
      </c>
      <c r="C174" s="1">
        <v>997983</v>
      </c>
      <c r="D174" s="1">
        <v>32533.3</v>
      </c>
      <c r="E174" s="1">
        <v>0</v>
      </c>
      <c r="F174" s="1">
        <v>393595</v>
      </c>
      <c r="G174" s="1">
        <v>30522.2</v>
      </c>
      <c r="H174" s="1">
        <v>363677</v>
      </c>
      <c r="I174" s="1">
        <v>487165</v>
      </c>
      <c r="J174" s="1">
        <v>45133.3</v>
      </c>
      <c r="K174" s="1">
        <v>87468.7</v>
      </c>
      <c r="L174" s="1">
        <v>83162.600000000006</v>
      </c>
      <c r="M174" s="1">
        <v>48013.4</v>
      </c>
      <c r="N174" s="1">
        <v>61973.4</v>
      </c>
      <c r="O174" s="1">
        <v>77063</v>
      </c>
      <c r="P174" s="1">
        <v>50918</v>
      </c>
      <c r="Q174" s="1">
        <v>79294</v>
      </c>
      <c r="R174" s="1">
        <v>0</v>
      </c>
    </row>
    <row r="175" spans="1:18">
      <c r="A175" s="2">
        <v>4.1666666666666664E-2</v>
      </c>
      <c r="B175" s="1">
        <v>116245</v>
      </c>
      <c r="C175" s="1">
        <v>998134</v>
      </c>
      <c r="D175" s="1">
        <v>32546.6</v>
      </c>
      <c r="E175" s="1">
        <v>0</v>
      </c>
      <c r="F175" s="1">
        <v>393608</v>
      </c>
      <c r="G175" s="1">
        <v>30577.3</v>
      </c>
      <c r="H175" s="1">
        <v>363692</v>
      </c>
      <c r="I175" s="1">
        <v>487357</v>
      </c>
      <c r="J175" s="1">
        <v>45142.1</v>
      </c>
      <c r="K175" s="1">
        <v>87471.6</v>
      </c>
      <c r="L175" s="1">
        <v>83185.2</v>
      </c>
      <c r="M175" s="1">
        <v>48050.1</v>
      </c>
      <c r="N175" s="1">
        <v>62027.9</v>
      </c>
      <c r="O175" s="1">
        <v>77077.3</v>
      </c>
      <c r="P175" s="1">
        <v>50918</v>
      </c>
      <c r="Q175" s="1">
        <v>79294</v>
      </c>
      <c r="R175" s="1">
        <v>0</v>
      </c>
    </row>
    <row r="176" spans="1:18">
      <c r="A176" s="2">
        <v>8.3333333333333329E-2</v>
      </c>
      <c r="B176" s="1">
        <v>116865</v>
      </c>
      <c r="C176" s="1">
        <v>998285</v>
      </c>
      <c r="D176" s="1">
        <v>32559.9</v>
      </c>
      <c r="E176" s="1">
        <v>0</v>
      </c>
      <c r="F176" s="1">
        <v>393621</v>
      </c>
      <c r="G176" s="1">
        <v>30631.7</v>
      </c>
      <c r="H176" s="1">
        <v>363705</v>
      </c>
      <c r="I176" s="1">
        <v>487547</v>
      </c>
      <c r="J176" s="1">
        <v>45150</v>
      </c>
      <c r="K176" s="1">
        <v>87474.7</v>
      </c>
      <c r="L176" s="1">
        <v>83207.100000000006</v>
      </c>
      <c r="M176" s="1">
        <v>48086.8</v>
      </c>
      <c r="N176" s="1">
        <v>62081.8</v>
      </c>
      <c r="O176" s="1">
        <v>77093.8</v>
      </c>
      <c r="P176" s="1">
        <v>50918</v>
      </c>
      <c r="Q176" s="1">
        <v>79294</v>
      </c>
      <c r="R176" s="1">
        <v>0</v>
      </c>
    </row>
    <row r="177" spans="1:18">
      <c r="A177" s="2">
        <v>0.125</v>
      </c>
      <c r="B177" s="1">
        <v>117484</v>
      </c>
      <c r="C177" s="1">
        <v>998434</v>
      </c>
      <c r="D177" s="1">
        <v>32572.400000000001</v>
      </c>
      <c r="E177" s="1">
        <v>0</v>
      </c>
      <c r="F177" s="1">
        <v>393633</v>
      </c>
      <c r="G177" s="1">
        <v>30686.7</v>
      </c>
      <c r="H177" s="1">
        <v>363720</v>
      </c>
      <c r="I177" s="1">
        <v>487740</v>
      </c>
      <c r="J177" s="1">
        <v>45158.6</v>
      </c>
      <c r="K177" s="1">
        <v>87478.1</v>
      </c>
      <c r="L177" s="1">
        <v>83228.2</v>
      </c>
      <c r="M177" s="1">
        <v>48123.8</v>
      </c>
      <c r="N177" s="1">
        <v>62135.4</v>
      </c>
      <c r="O177" s="1">
        <v>77108.800000000003</v>
      </c>
      <c r="P177" s="1">
        <v>50918</v>
      </c>
      <c r="Q177" s="1">
        <v>79294</v>
      </c>
      <c r="R177" s="1">
        <v>0</v>
      </c>
    </row>
    <row r="178" spans="1:18">
      <c r="A178" s="2">
        <v>0.16666666666666666</v>
      </c>
      <c r="B178" s="1">
        <v>118095</v>
      </c>
      <c r="C178" s="1">
        <v>998584</v>
      </c>
      <c r="D178" s="1">
        <v>32585.9</v>
      </c>
      <c r="E178" s="1">
        <v>0</v>
      </c>
      <c r="F178" s="1">
        <v>393645</v>
      </c>
      <c r="G178" s="1">
        <v>30740.7</v>
      </c>
      <c r="H178" s="1">
        <v>363733</v>
      </c>
      <c r="I178" s="1">
        <v>487928</v>
      </c>
      <c r="J178" s="1">
        <v>45166.8</v>
      </c>
      <c r="K178" s="1">
        <v>87481.2</v>
      </c>
      <c r="L178" s="1">
        <v>83247.7</v>
      </c>
      <c r="M178" s="1">
        <v>48160.7</v>
      </c>
      <c r="N178" s="1">
        <v>62189.7</v>
      </c>
      <c r="O178" s="1">
        <v>77123.899999999994</v>
      </c>
      <c r="P178" s="1">
        <v>50918</v>
      </c>
      <c r="Q178" s="1">
        <v>79294</v>
      </c>
      <c r="R178" s="1">
        <v>0</v>
      </c>
    </row>
    <row r="179" spans="1:18">
      <c r="A179" s="2">
        <v>0.20833333333333334</v>
      </c>
      <c r="B179" s="1">
        <v>118705</v>
      </c>
      <c r="C179" s="1">
        <v>998732</v>
      </c>
      <c r="D179" s="1">
        <v>32598.799999999999</v>
      </c>
      <c r="E179" s="1">
        <v>0</v>
      </c>
      <c r="F179" s="1">
        <v>393658</v>
      </c>
      <c r="G179" s="1">
        <v>30794.1</v>
      </c>
      <c r="H179" s="1">
        <v>363747</v>
      </c>
      <c r="I179" s="1">
        <v>488116</v>
      </c>
      <c r="J179" s="1">
        <v>45175.3</v>
      </c>
      <c r="K179" s="1">
        <v>87484.3</v>
      </c>
      <c r="L179" s="1">
        <v>83266.600000000006</v>
      </c>
      <c r="M179" s="1">
        <v>48197.3</v>
      </c>
      <c r="N179" s="1">
        <v>62243.8</v>
      </c>
      <c r="O179" s="1">
        <v>77139.7</v>
      </c>
      <c r="P179" s="1">
        <v>50918</v>
      </c>
      <c r="Q179" s="1">
        <v>79294</v>
      </c>
      <c r="R179" s="1">
        <v>0</v>
      </c>
    </row>
    <row r="180" spans="1:18">
      <c r="A180" s="2">
        <v>0.25</v>
      </c>
      <c r="B180" s="1">
        <v>119312</v>
      </c>
      <c r="C180" s="1">
        <v>998881</v>
      </c>
      <c r="D180" s="1">
        <v>32612.1</v>
      </c>
      <c r="E180" s="1">
        <v>0</v>
      </c>
      <c r="F180" s="1">
        <v>393670</v>
      </c>
      <c r="G180" s="1">
        <v>30846.799999999999</v>
      </c>
      <c r="H180" s="1">
        <v>363760</v>
      </c>
      <c r="I180" s="1">
        <v>488302</v>
      </c>
      <c r="J180" s="1">
        <v>45184</v>
      </c>
      <c r="K180" s="1">
        <v>87487.5</v>
      </c>
      <c r="L180" s="1">
        <v>83285.100000000006</v>
      </c>
      <c r="M180" s="1">
        <v>48233.8</v>
      </c>
      <c r="N180" s="1">
        <v>62297.4</v>
      </c>
      <c r="O180" s="1">
        <v>77154.8</v>
      </c>
      <c r="P180" s="1">
        <v>50918</v>
      </c>
      <c r="Q180" s="1">
        <v>79294</v>
      </c>
      <c r="R180" s="1">
        <v>0</v>
      </c>
    </row>
    <row r="181" spans="1:18">
      <c r="A181" s="2">
        <v>0.29166666666666669</v>
      </c>
      <c r="B181" s="1">
        <v>119920</v>
      </c>
      <c r="C181" s="1">
        <v>999028</v>
      </c>
      <c r="D181" s="1">
        <v>32625</v>
      </c>
      <c r="E181" s="1">
        <v>0</v>
      </c>
      <c r="F181" s="1">
        <v>393683</v>
      </c>
      <c r="G181" s="1">
        <v>30900.2</v>
      </c>
      <c r="H181" s="1">
        <v>363774</v>
      </c>
      <c r="I181" s="1">
        <v>488491</v>
      </c>
      <c r="J181" s="1">
        <v>45192.1</v>
      </c>
      <c r="K181" s="1">
        <v>87490.4</v>
      </c>
      <c r="L181" s="1">
        <v>83303</v>
      </c>
      <c r="M181" s="1">
        <v>48270.7</v>
      </c>
      <c r="N181" s="1">
        <v>62351.6</v>
      </c>
      <c r="O181" s="1">
        <v>77169.100000000006</v>
      </c>
      <c r="P181" s="1">
        <v>50918</v>
      </c>
      <c r="Q181" s="1">
        <v>79294</v>
      </c>
      <c r="R181" s="1">
        <v>0</v>
      </c>
    </row>
    <row r="182" spans="1:18">
      <c r="A182" s="2">
        <v>0.33333333333333331</v>
      </c>
      <c r="B182" s="1">
        <v>120522</v>
      </c>
      <c r="C182" s="1">
        <v>999173</v>
      </c>
      <c r="D182" s="1">
        <v>32637.8</v>
      </c>
      <c r="E182" s="1">
        <v>0</v>
      </c>
      <c r="F182" s="1">
        <v>393695</v>
      </c>
      <c r="G182" s="1">
        <v>30952.400000000001</v>
      </c>
      <c r="H182" s="1">
        <v>363788</v>
      </c>
      <c r="I182" s="1">
        <v>488681</v>
      </c>
      <c r="J182" s="1">
        <v>45200.800000000003</v>
      </c>
      <c r="K182" s="1">
        <v>87493.9</v>
      </c>
      <c r="L182" s="1">
        <v>83320</v>
      </c>
      <c r="M182" s="1">
        <v>48307.6</v>
      </c>
      <c r="N182" s="1">
        <v>62405</v>
      </c>
      <c r="O182" s="1">
        <v>77183.5</v>
      </c>
      <c r="P182" s="1">
        <v>50918</v>
      </c>
      <c r="Q182" s="1">
        <v>79294</v>
      </c>
      <c r="R182" s="1">
        <v>0</v>
      </c>
    </row>
    <row r="183" spans="1:18">
      <c r="A183" s="2">
        <v>0.375</v>
      </c>
      <c r="B183" s="1">
        <v>121134</v>
      </c>
      <c r="C183" s="1">
        <v>999321</v>
      </c>
      <c r="D183" s="1">
        <v>32650.9</v>
      </c>
      <c r="E183" s="1">
        <v>0</v>
      </c>
      <c r="F183" s="1">
        <v>393707</v>
      </c>
      <c r="G183" s="1">
        <v>31003.4</v>
      </c>
      <c r="H183" s="1">
        <v>363803</v>
      </c>
      <c r="I183" s="1">
        <v>488875</v>
      </c>
      <c r="J183" s="1">
        <v>45208.6</v>
      </c>
      <c r="K183" s="1">
        <v>87496.4</v>
      </c>
      <c r="L183" s="1">
        <v>83337.5</v>
      </c>
      <c r="M183" s="1">
        <v>48344.4</v>
      </c>
      <c r="N183" s="1">
        <v>62458.8</v>
      </c>
      <c r="O183" s="1">
        <v>77199.3</v>
      </c>
      <c r="P183" s="1">
        <v>50919</v>
      </c>
      <c r="Q183" s="1">
        <v>79295</v>
      </c>
      <c r="R183" s="1">
        <v>0</v>
      </c>
    </row>
    <row r="184" spans="1:18">
      <c r="A184" s="2">
        <v>0.41666666666666669</v>
      </c>
      <c r="B184" s="1">
        <v>121750</v>
      </c>
      <c r="C184" s="1">
        <v>999471</v>
      </c>
      <c r="D184" s="1">
        <v>32663.5</v>
      </c>
      <c r="E184" s="1">
        <v>0</v>
      </c>
      <c r="F184" s="1">
        <v>393720</v>
      </c>
      <c r="G184" s="1">
        <v>31054</v>
      </c>
      <c r="H184" s="1">
        <v>363817</v>
      </c>
      <c r="I184" s="1">
        <v>489073</v>
      </c>
      <c r="J184" s="1">
        <v>45217.3</v>
      </c>
      <c r="K184" s="1">
        <v>87498.7</v>
      </c>
      <c r="L184" s="1">
        <v>83355</v>
      </c>
      <c r="M184" s="1">
        <v>48380.9</v>
      </c>
      <c r="N184" s="1">
        <v>62511.8</v>
      </c>
      <c r="O184" s="1">
        <v>77214.8</v>
      </c>
      <c r="P184" s="1">
        <v>50919</v>
      </c>
      <c r="Q184" s="1">
        <v>79296</v>
      </c>
      <c r="R184" s="1">
        <v>0</v>
      </c>
    </row>
    <row r="185" spans="1:18">
      <c r="A185" s="2">
        <v>0.45833333333333331</v>
      </c>
      <c r="B185" s="1">
        <v>122382</v>
      </c>
      <c r="C185" s="1">
        <v>999626</v>
      </c>
      <c r="D185" s="1">
        <v>32680</v>
      </c>
      <c r="E185" s="1">
        <v>0</v>
      </c>
      <c r="F185" s="1">
        <v>393733</v>
      </c>
      <c r="G185" s="1">
        <v>31106.1</v>
      </c>
      <c r="H185" s="1">
        <v>363831</v>
      </c>
      <c r="I185" s="1">
        <v>489274</v>
      </c>
      <c r="J185" s="1">
        <v>45226.2</v>
      </c>
      <c r="K185" s="1">
        <v>87501.5</v>
      </c>
      <c r="L185" s="1">
        <v>83373.2</v>
      </c>
      <c r="M185" s="1">
        <v>48417.599999999999</v>
      </c>
      <c r="N185" s="1">
        <v>62565.3</v>
      </c>
      <c r="O185" s="1">
        <v>77229.899999999994</v>
      </c>
      <c r="P185" s="1">
        <v>50920</v>
      </c>
      <c r="Q185" s="1">
        <v>79296</v>
      </c>
      <c r="R185" s="1">
        <v>0</v>
      </c>
    </row>
    <row r="186" spans="1:18">
      <c r="A186" s="2">
        <v>0.5</v>
      </c>
      <c r="B186" s="1">
        <v>123012</v>
      </c>
      <c r="C186" s="1">
        <v>999782</v>
      </c>
      <c r="D186" s="1">
        <v>32695</v>
      </c>
      <c r="E186" s="1">
        <v>0</v>
      </c>
      <c r="F186" s="1">
        <v>393746</v>
      </c>
      <c r="G186" s="1">
        <v>31158.7</v>
      </c>
      <c r="H186" s="1">
        <v>363845</v>
      </c>
      <c r="I186" s="1">
        <v>489475</v>
      </c>
      <c r="J186" s="1">
        <v>45235.1</v>
      </c>
      <c r="K186" s="1">
        <v>87504.6</v>
      </c>
      <c r="L186" s="1">
        <v>83390.8</v>
      </c>
      <c r="M186" s="1">
        <v>48454.6</v>
      </c>
      <c r="N186" s="1">
        <v>62619.5</v>
      </c>
      <c r="O186" s="1">
        <v>77244.600000000006</v>
      </c>
      <c r="P186" s="1">
        <v>50920</v>
      </c>
      <c r="Q186" s="1">
        <v>79296</v>
      </c>
      <c r="R186" s="1">
        <v>0</v>
      </c>
    </row>
    <row r="187" spans="1:18">
      <c r="A187" s="2">
        <v>0.54166666666666663</v>
      </c>
      <c r="B187" s="1">
        <v>123630</v>
      </c>
      <c r="C187" s="1">
        <v>999934</v>
      </c>
      <c r="D187" s="1">
        <v>32708</v>
      </c>
      <c r="E187" s="1">
        <v>0</v>
      </c>
      <c r="F187" s="1">
        <v>393758</v>
      </c>
      <c r="G187" s="1">
        <v>31213</v>
      </c>
      <c r="H187" s="1">
        <v>363859</v>
      </c>
      <c r="I187" s="1">
        <v>489672</v>
      </c>
      <c r="J187" s="1">
        <v>45242.6</v>
      </c>
      <c r="K187" s="1">
        <v>87508</v>
      </c>
      <c r="L187" s="1">
        <v>83407.600000000006</v>
      </c>
      <c r="M187" s="1">
        <v>48490.5</v>
      </c>
      <c r="N187" s="1">
        <v>62673.2</v>
      </c>
      <c r="O187" s="1">
        <v>77258.8</v>
      </c>
      <c r="P187" s="1">
        <v>50920</v>
      </c>
      <c r="Q187" s="1">
        <v>79296</v>
      </c>
      <c r="R187" s="1">
        <v>0</v>
      </c>
    </row>
    <row r="188" spans="1:18">
      <c r="A188" s="2">
        <v>0.58333333333333337</v>
      </c>
      <c r="B188" s="1">
        <v>124254</v>
      </c>
      <c r="C188" s="1">
        <v>84</v>
      </c>
      <c r="D188" s="1">
        <v>32721.7</v>
      </c>
      <c r="E188" s="1">
        <v>0</v>
      </c>
      <c r="F188" s="1">
        <v>393770</v>
      </c>
      <c r="G188" s="1">
        <v>31268.400000000001</v>
      </c>
      <c r="H188" s="1">
        <v>363872</v>
      </c>
      <c r="I188" s="1">
        <v>489870</v>
      </c>
      <c r="J188" s="1">
        <v>45251.1</v>
      </c>
      <c r="K188" s="1">
        <v>87511.2</v>
      </c>
      <c r="L188" s="1">
        <v>83426.7</v>
      </c>
      <c r="M188" s="1">
        <v>48527.199999999997</v>
      </c>
      <c r="N188" s="1">
        <v>62727.1</v>
      </c>
      <c r="O188" s="1">
        <v>77273.100000000006</v>
      </c>
      <c r="P188" s="1">
        <v>50920</v>
      </c>
      <c r="Q188" s="1">
        <v>79296</v>
      </c>
      <c r="R188" s="1">
        <v>0</v>
      </c>
    </row>
    <row r="189" spans="1:18">
      <c r="A189" s="2">
        <v>0.625</v>
      </c>
      <c r="B189" s="1">
        <v>124862</v>
      </c>
      <c r="C189" s="1">
        <v>233</v>
      </c>
      <c r="D189" s="1">
        <v>32736.1</v>
      </c>
      <c r="E189" s="1">
        <v>0</v>
      </c>
      <c r="F189" s="1">
        <v>393783</v>
      </c>
      <c r="G189" s="1">
        <v>31322.799999999999</v>
      </c>
      <c r="H189" s="1">
        <v>363886</v>
      </c>
      <c r="I189" s="1">
        <v>490056</v>
      </c>
      <c r="J189" s="1">
        <v>45258.8</v>
      </c>
      <c r="K189" s="1">
        <v>87514.6</v>
      </c>
      <c r="L189" s="1">
        <v>83446.3</v>
      </c>
      <c r="M189" s="1">
        <v>48563</v>
      </c>
      <c r="N189" s="1">
        <v>62780.9</v>
      </c>
      <c r="O189" s="1">
        <v>77287</v>
      </c>
      <c r="P189" s="1">
        <v>50920</v>
      </c>
      <c r="Q189" s="1">
        <v>79296</v>
      </c>
      <c r="R189" s="1">
        <v>0</v>
      </c>
    </row>
    <row r="190" spans="1:18">
      <c r="A190" s="2">
        <v>0.66666666666666663</v>
      </c>
      <c r="B190" s="1">
        <v>125465</v>
      </c>
      <c r="C190" s="1">
        <v>379</v>
      </c>
      <c r="D190" s="1">
        <v>32750.400000000001</v>
      </c>
      <c r="E190" s="1">
        <v>0</v>
      </c>
      <c r="F190" s="1">
        <v>393795</v>
      </c>
      <c r="G190" s="1">
        <v>31376.400000000001</v>
      </c>
      <c r="H190" s="1">
        <v>363899</v>
      </c>
      <c r="I190" s="1">
        <v>490243</v>
      </c>
      <c r="J190" s="1">
        <v>45267.5</v>
      </c>
      <c r="K190" s="1">
        <v>87517.9</v>
      </c>
      <c r="L190" s="1">
        <v>83464.899999999994</v>
      </c>
      <c r="M190" s="1">
        <v>48598.6</v>
      </c>
      <c r="N190" s="1">
        <v>62834.6</v>
      </c>
      <c r="O190" s="1">
        <v>77300.800000000003</v>
      </c>
      <c r="P190" s="1">
        <v>50920</v>
      </c>
      <c r="Q190" s="1">
        <v>79296</v>
      </c>
      <c r="R190" s="1">
        <v>0</v>
      </c>
    </row>
    <row r="191" spans="1:18">
      <c r="A191" s="2">
        <v>0.70833333333333337</v>
      </c>
      <c r="B191" s="1">
        <v>126090</v>
      </c>
      <c r="C191" s="1">
        <v>528</v>
      </c>
      <c r="D191" s="1">
        <v>32765.5</v>
      </c>
      <c r="E191" s="1">
        <v>0</v>
      </c>
      <c r="F191" s="1">
        <v>393808</v>
      </c>
      <c r="G191" s="1">
        <v>31430.2</v>
      </c>
      <c r="H191" s="1">
        <v>363914</v>
      </c>
      <c r="I191" s="1">
        <v>490439</v>
      </c>
      <c r="J191" s="1">
        <v>45275.4</v>
      </c>
      <c r="K191" s="1">
        <v>87521.7</v>
      </c>
      <c r="L191" s="1">
        <v>83484.399999999994</v>
      </c>
      <c r="M191" s="1">
        <v>48635.4</v>
      </c>
      <c r="N191" s="1">
        <v>62888.5</v>
      </c>
      <c r="O191" s="1">
        <v>77316.600000000006</v>
      </c>
      <c r="P191" s="1">
        <v>50920</v>
      </c>
      <c r="Q191" s="1">
        <v>79296</v>
      </c>
      <c r="R191" s="1">
        <v>0</v>
      </c>
    </row>
    <row r="192" spans="1:18">
      <c r="A192" s="2">
        <v>0.75</v>
      </c>
      <c r="B192" s="1">
        <v>126724</v>
      </c>
      <c r="C192" s="1">
        <v>679</v>
      </c>
      <c r="D192" s="1">
        <v>32780</v>
      </c>
      <c r="E192" s="1">
        <v>0</v>
      </c>
      <c r="F192" s="1">
        <v>393821</v>
      </c>
      <c r="G192" s="1">
        <v>31482.5</v>
      </c>
      <c r="H192" s="1">
        <v>363927</v>
      </c>
      <c r="I192" s="1">
        <v>490646</v>
      </c>
      <c r="J192" s="1">
        <v>45284</v>
      </c>
      <c r="K192" s="1">
        <v>87525.4</v>
      </c>
      <c r="L192" s="1">
        <v>83504.100000000006</v>
      </c>
      <c r="M192" s="1">
        <v>48672.6</v>
      </c>
      <c r="N192" s="1">
        <v>62942.1</v>
      </c>
      <c r="O192" s="1">
        <v>77331.5</v>
      </c>
      <c r="P192" s="1">
        <v>50920</v>
      </c>
      <c r="Q192" s="1">
        <v>79296</v>
      </c>
      <c r="R192" s="1">
        <v>0</v>
      </c>
    </row>
    <row r="193" spans="1:18">
      <c r="A193" s="2">
        <v>0.79166666666666663</v>
      </c>
      <c r="B193" s="1">
        <v>127380</v>
      </c>
      <c r="C193" s="1">
        <v>843</v>
      </c>
      <c r="D193" s="1">
        <v>32793.800000000003</v>
      </c>
      <c r="E193" s="1">
        <v>0</v>
      </c>
      <c r="F193" s="1">
        <v>393835</v>
      </c>
      <c r="G193" s="1">
        <v>31535</v>
      </c>
      <c r="H193" s="1">
        <v>363941</v>
      </c>
      <c r="I193" s="1">
        <v>490856</v>
      </c>
      <c r="J193" s="1">
        <v>45291.9</v>
      </c>
      <c r="K193" s="1">
        <v>87529.2</v>
      </c>
      <c r="L193" s="1">
        <v>83523.7</v>
      </c>
      <c r="M193" s="1">
        <v>48710.2</v>
      </c>
      <c r="N193" s="1">
        <v>62996.4</v>
      </c>
      <c r="O193" s="1">
        <v>77345.100000000006</v>
      </c>
      <c r="P193" s="1">
        <v>50920</v>
      </c>
      <c r="Q193" s="1">
        <v>79296</v>
      </c>
      <c r="R193" s="1">
        <v>0</v>
      </c>
    </row>
    <row r="194" spans="1:18">
      <c r="A194" s="2">
        <v>0.83333333333333337</v>
      </c>
      <c r="B194" s="1">
        <v>128031</v>
      </c>
      <c r="C194" s="1">
        <v>1009</v>
      </c>
      <c r="D194" s="1">
        <v>32807.4</v>
      </c>
      <c r="E194" s="1">
        <v>0</v>
      </c>
      <c r="F194" s="1">
        <v>393849</v>
      </c>
      <c r="G194" s="1">
        <v>31587.8</v>
      </c>
      <c r="H194" s="1">
        <v>363956</v>
      </c>
      <c r="I194" s="1">
        <v>491060</v>
      </c>
      <c r="J194" s="1">
        <v>45300.6</v>
      </c>
      <c r="K194" s="1">
        <v>87533.2</v>
      </c>
      <c r="L194" s="1">
        <v>83543.100000000006</v>
      </c>
      <c r="M194" s="1">
        <v>48748.2</v>
      </c>
      <c r="N194" s="1">
        <v>63050.400000000001</v>
      </c>
      <c r="O194" s="1">
        <v>77359.899999999994</v>
      </c>
      <c r="P194" s="1">
        <v>50920</v>
      </c>
      <c r="Q194" s="1">
        <v>79296</v>
      </c>
      <c r="R194" s="1">
        <v>0</v>
      </c>
    </row>
    <row r="195" spans="1:18">
      <c r="A195" s="2">
        <v>0.875</v>
      </c>
      <c r="B195" s="1">
        <v>128674</v>
      </c>
      <c r="C195" s="1">
        <v>1165</v>
      </c>
      <c r="D195" s="1">
        <v>32823.199999999997</v>
      </c>
      <c r="E195" s="1">
        <v>0</v>
      </c>
      <c r="F195" s="1">
        <v>393861</v>
      </c>
      <c r="G195" s="1">
        <v>31640.3</v>
      </c>
      <c r="H195" s="1">
        <v>363970</v>
      </c>
      <c r="I195" s="1">
        <v>491265</v>
      </c>
      <c r="J195" s="1">
        <v>45309.5</v>
      </c>
      <c r="K195" s="1">
        <v>87537.1</v>
      </c>
      <c r="L195" s="1">
        <v>83561.5</v>
      </c>
      <c r="M195" s="1">
        <v>48786.2</v>
      </c>
      <c r="N195" s="1">
        <v>63104.4</v>
      </c>
      <c r="O195" s="1">
        <v>77375.7</v>
      </c>
      <c r="P195" s="1">
        <v>50920</v>
      </c>
      <c r="Q195" s="1">
        <v>79296</v>
      </c>
      <c r="R195" s="1">
        <v>0</v>
      </c>
    </row>
    <row r="196" spans="1:18">
      <c r="A196" s="2">
        <v>0.91666666666666663</v>
      </c>
      <c r="B196" s="1">
        <v>129308</v>
      </c>
      <c r="C196" s="1">
        <v>1322</v>
      </c>
      <c r="D196" s="1">
        <v>32836.5</v>
      </c>
      <c r="E196" s="1">
        <v>0</v>
      </c>
      <c r="F196" s="1">
        <v>393875</v>
      </c>
      <c r="G196" s="1">
        <v>31692.799999999999</v>
      </c>
      <c r="H196" s="1">
        <v>363984</v>
      </c>
      <c r="I196" s="1">
        <v>491465</v>
      </c>
      <c r="J196" s="1">
        <v>45317.4</v>
      </c>
      <c r="K196" s="1">
        <v>87541</v>
      </c>
      <c r="L196" s="1">
        <v>83579.7</v>
      </c>
      <c r="M196" s="1">
        <v>48823.9</v>
      </c>
      <c r="N196" s="1">
        <v>63158.3</v>
      </c>
      <c r="O196" s="1">
        <v>77391.8</v>
      </c>
      <c r="P196" s="1">
        <v>50920</v>
      </c>
      <c r="Q196" s="1">
        <v>79296</v>
      </c>
      <c r="R196" s="1">
        <v>0</v>
      </c>
    </row>
    <row r="197" spans="1:18">
      <c r="A197" s="2">
        <v>0.95833333333333337</v>
      </c>
      <c r="B197" s="1">
        <v>129939</v>
      </c>
      <c r="C197" s="1">
        <v>1475</v>
      </c>
      <c r="D197" s="1">
        <v>32850.6</v>
      </c>
      <c r="E197" s="1">
        <v>0</v>
      </c>
      <c r="F197" s="1">
        <v>393889</v>
      </c>
      <c r="G197" s="1">
        <v>31744.7</v>
      </c>
      <c r="H197" s="1">
        <v>363998</v>
      </c>
      <c r="I197" s="1">
        <v>491662</v>
      </c>
      <c r="J197" s="1">
        <v>45326.3</v>
      </c>
      <c r="K197" s="1">
        <v>87545</v>
      </c>
      <c r="L197" s="1">
        <v>83598.7</v>
      </c>
      <c r="M197" s="1">
        <v>48861.4</v>
      </c>
      <c r="N197" s="1">
        <v>63212</v>
      </c>
      <c r="O197" s="1">
        <v>77407.3</v>
      </c>
      <c r="P197" s="1">
        <v>50920</v>
      </c>
      <c r="Q197" s="1">
        <v>79296</v>
      </c>
      <c r="R197" s="1">
        <v>0</v>
      </c>
    </row>
    <row r="198" spans="1:18">
      <c r="A198" s="2">
        <v>0</v>
      </c>
      <c r="B198" s="1">
        <v>130568</v>
      </c>
      <c r="C198" s="1">
        <v>1628</v>
      </c>
      <c r="D198" s="1">
        <v>32864.300000000003</v>
      </c>
      <c r="E198" s="1">
        <v>0</v>
      </c>
      <c r="F198" s="1">
        <v>393901</v>
      </c>
      <c r="G198" s="1">
        <v>31796.7</v>
      </c>
      <c r="H198" s="1">
        <v>364012</v>
      </c>
      <c r="I198" s="1">
        <v>491862</v>
      </c>
      <c r="J198" s="1">
        <v>45335</v>
      </c>
      <c r="K198" s="1">
        <v>87548.800000000003</v>
      </c>
      <c r="L198" s="1">
        <v>83617.5</v>
      </c>
      <c r="M198" s="1">
        <v>48898.7</v>
      </c>
      <c r="N198" s="1">
        <v>63265.9</v>
      </c>
      <c r="O198" s="1">
        <v>77422.8</v>
      </c>
      <c r="P198" s="1">
        <v>50920</v>
      </c>
      <c r="Q198" s="1">
        <v>79296</v>
      </c>
      <c r="R198" s="1">
        <v>0</v>
      </c>
    </row>
    <row r="199" spans="1:18">
      <c r="A199" s="2">
        <v>4.1666666666666664E-2</v>
      </c>
      <c r="B199" s="1">
        <v>131197</v>
      </c>
      <c r="C199" s="1">
        <v>1781</v>
      </c>
      <c r="D199" s="1">
        <v>32877.699999999997</v>
      </c>
      <c r="E199" s="1">
        <v>0</v>
      </c>
      <c r="F199" s="1">
        <v>393914</v>
      </c>
      <c r="G199" s="1">
        <v>31848</v>
      </c>
      <c r="H199" s="1">
        <v>364026</v>
      </c>
      <c r="I199" s="1">
        <v>492064</v>
      </c>
      <c r="J199" s="1">
        <v>45343</v>
      </c>
      <c r="K199" s="1">
        <v>87552.9</v>
      </c>
      <c r="L199" s="1">
        <v>83636.5</v>
      </c>
      <c r="M199" s="1">
        <v>48936.2</v>
      </c>
      <c r="N199" s="1">
        <v>63319.8</v>
      </c>
      <c r="O199" s="1">
        <v>77438.100000000006</v>
      </c>
      <c r="P199" s="1">
        <v>50920</v>
      </c>
      <c r="Q199" s="1">
        <v>79296</v>
      </c>
      <c r="R199" s="1">
        <v>0</v>
      </c>
    </row>
    <row r="200" spans="1:18">
      <c r="A200" s="2">
        <v>8.3333333333333329E-2</v>
      </c>
      <c r="B200" s="1">
        <v>131812</v>
      </c>
      <c r="C200" s="1">
        <v>1928</v>
      </c>
      <c r="D200" s="1">
        <v>32891.4</v>
      </c>
      <c r="E200" s="1">
        <v>0</v>
      </c>
      <c r="F200" s="1">
        <v>393926</v>
      </c>
      <c r="G200" s="1">
        <v>31899.8</v>
      </c>
      <c r="H200" s="1">
        <v>364039</v>
      </c>
      <c r="I200" s="1">
        <v>492258</v>
      </c>
      <c r="J200" s="1">
        <v>45351.7</v>
      </c>
      <c r="K200" s="1">
        <v>87557.1</v>
      </c>
      <c r="L200" s="1">
        <v>83655.399999999994</v>
      </c>
      <c r="M200" s="1">
        <v>48973</v>
      </c>
      <c r="N200" s="1">
        <v>63373.599999999999</v>
      </c>
      <c r="O200" s="1">
        <v>77453.5</v>
      </c>
      <c r="P200" s="1">
        <v>50920</v>
      </c>
      <c r="Q200" s="1">
        <v>79296</v>
      </c>
      <c r="R200" s="1">
        <v>0</v>
      </c>
    </row>
    <row r="201" spans="1:18">
      <c r="A201" s="2">
        <v>0.125</v>
      </c>
      <c r="B201" s="1">
        <v>132422</v>
      </c>
      <c r="C201" s="1">
        <v>2073</v>
      </c>
      <c r="D201" s="1">
        <v>32904.5</v>
      </c>
      <c r="E201" s="1">
        <v>0</v>
      </c>
      <c r="F201" s="1">
        <v>393938</v>
      </c>
      <c r="G201" s="1">
        <v>31952</v>
      </c>
      <c r="H201" s="1">
        <v>364053</v>
      </c>
      <c r="I201" s="1">
        <v>492450</v>
      </c>
      <c r="J201" s="1">
        <v>45360.5</v>
      </c>
      <c r="K201" s="1">
        <v>87561</v>
      </c>
      <c r="L201" s="1">
        <v>83674.100000000006</v>
      </c>
      <c r="M201" s="1">
        <v>49010.5</v>
      </c>
      <c r="N201" s="1">
        <v>63427.3</v>
      </c>
      <c r="O201" s="1">
        <v>77468.2</v>
      </c>
      <c r="P201" s="1">
        <v>50920</v>
      </c>
      <c r="Q201" s="1">
        <v>79296</v>
      </c>
      <c r="R201" s="1">
        <v>0</v>
      </c>
    </row>
    <row r="202" spans="1:18">
      <c r="A202" s="2">
        <v>0.16666666666666666</v>
      </c>
      <c r="B202" s="1">
        <v>133029</v>
      </c>
      <c r="C202" s="1">
        <v>2218</v>
      </c>
      <c r="D202" s="1">
        <v>32917.199999999997</v>
      </c>
      <c r="E202" s="1">
        <v>0</v>
      </c>
      <c r="F202" s="1">
        <v>393950</v>
      </c>
      <c r="G202" s="1">
        <v>32003.3</v>
      </c>
      <c r="H202" s="1">
        <v>364068</v>
      </c>
      <c r="I202" s="1">
        <v>492641</v>
      </c>
      <c r="J202" s="1">
        <v>45368.5</v>
      </c>
      <c r="K202" s="1">
        <v>87564.800000000003</v>
      </c>
      <c r="L202" s="1">
        <v>83692.800000000003</v>
      </c>
      <c r="M202" s="1">
        <v>49047.199999999997</v>
      </c>
      <c r="N202" s="1">
        <v>63481.4</v>
      </c>
      <c r="O202" s="1">
        <v>77482.899999999994</v>
      </c>
      <c r="P202" s="1">
        <v>50920</v>
      </c>
      <c r="Q202" s="1">
        <v>79296</v>
      </c>
      <c r="R202" s="1">
        <v>0</v>
      </c>
    </row>
    <row r="203" spans="1:18">
      <c r="A203" s="2">
        <v>0.20833333333333334</v>
      </c>
      <c r="B203" s="1">
        <v>133635</v>
      </c>
      <c r="C203" s="1">
        <v>2362</v>
      </c>
      <c r="D203" s="1">
        <v>32929.699999999997</v>
      </c>
      <c r="E203" s="1">
        <v>0</v>
      </c>
      <c r="F203" s="1">
        <v>393962</v>
      </c>
      <c r="G203" s="1">
        <v>32054.7</v>
      </c>
      <c r="H203" s="1">
        <v>364082</v>
      </c>
      <c r="I203" s="1">
        <v>492830</v>
      </c>
      <c r="J203" s="1">
        <v>45377.1</v>
      </c>
      <c r="K203" s="1">
        <v>87568.9</v>
      </c>
      <c r="L203" s="1">
        <v>83711.3</v>
      </c>
      <c r="M203" s="1">
        <v>49084.3</v>
      </c>
      <c r="N203" s="1">
        <v>63535</v>
      </c>
      <c r="O203" s="1">
        <v>77499.3</v>
      </c>
      <c r="P203" s="1">
        <v>50920</v>
      </c>
      <c r="Q203" s="1">
        <v>79296</v>
      </c>
      <c r="R203" s="1">
        <v>0</v>
      </c>
    </row>
    <row r="204" spans="1:18">
      <c r="A204" s="2">
        <v>0.25</v>
      </c>
      <c r="B204" s="1">
        <v>134236</v>
      </c>
      <c r="C204" s="1">
        <v>2506</v>
      </c>
      <c r="D204" s="1">
        <v>32942.300000000003</v>
      </c>
      <c r="E204" s="1">
        <v>0</v>
      </c>
      <c r="F204" s="1">
        <v>393974</v>
      </c>
      <c r="G204" s="1">
        <v>32106.5</v>
      </c>
      <c r="H204" s="1">
        <v>364095</v>
      </c>
      <c r="I204" s="1">
        <v>493019</v>
      </c>
      <c r="J204" s="1">
        <v>45385</v>
      </c>
      <c r="K204" s="1">
        <v>87572.800000000003</v>
      </c>
      <c r="L204" s="1">
        <v>83729.8</v>
      </c>
      <c r="M204" s="1">
        <v>49120.5</v>
      </c>
      <c r="N204" s="1">
        <v>63588.800000000003</v>
      </c>
      <c r="O204" s="1">
        <v>77514.5</v>
      </c>
      <c r="P204" s="1">
        <v>50920</v>
      </c>
      <c r="Q204" s="1">
        <v>79296</v>
      </c>
      <c r="R204" s="1">
        <v>0</v>
      </c>
    </row>
    <row r="205" spans="1:18">
      <c r="A205" s="2">
        <v>0.29166666666666669</v>
      </c>
      <c r="B205" s="1">
        <v>134846</v>
      </c>
      <c r="C205" s="1">
        <v>2655</v>
      </c>
      <c r="D205" s="1">
        <v>32954.9</v>
      </c>
      <c r="E205" s="1">
        <v>0</v>
      </c>
      <c r="F205" s="1">
        <v>393986</v>
      </c>
      <c r="G205" s="1">
        <v>32158.2</v>
      </c>
      <c r="H205" s="1">
        <v>364109</v>
      </c>
      <c r="I205" s="1">
        <v>493208</v>
      </c>
      <c r="J205" s="1">
        <v>45393.7</v>
      </c>
      <c r="K205" s="1">
        <v>87576.8</v>
      </c>
      <c r="L205" s="1">
        <v>83747.8</v>
      </c>
      <c r="M205" s="1">
        <v>49157.4</v>
      </c>
      <c r="N205" s="1">
        <v>63642.400000000001</v>
      </c>
      <c r="O205" s="1">
        <v>77530.600000000006</v>
      </c>
      <c r="P205" s="1">
        <v>50920</v>
      </c>
      <c r="Q205" s="1">
        <v>79296</v>
      </c>
      <c r="R205" s="1">
        <v>0</v>
      </c>
    </row>
    <row r="206" spans="1:18">
      <c r="A206" s="2">
        <v>0.33333333333333331</v>
      </c>
      <c r="B206" s="1">
        <v>135440</v>
      </c>
      <c r="C206" s="1">
        <v>2798</v>
      </c>
      <c r="D206" s="1">
        <v>32966.699999999997</v>
      </c>
      <c r="E206" s="1">
        <v>0</v>
      </c>
      <c r="F206" s="1">
        <v>393998</v>
      </c>
      <c r="G206" s="1">
        <v>32209.4</v>
      </c>
      <c r="H206" s="1">
        <v>364122</v>
      </c>
      <c r="I206" s="1">
        <v>493395</v>
      </c>
      <c r="J206" s="1">
        <v>45402.2</v>
      </c>
      <c r="K206" s="1">
        <v>87580.3</v>
      </c>
      <c r="L206" s="1">
        <v>83764.800000000003</v>
      </c>
      <c r="M206" s="1">
        <v>49193.4</v>
      </c>
      <c r="N206" s="1">
        <v>63695.8</v>
      </c>
      <c r="O206" s="1">
        <v>77545.2</v>
      </c>
      <c r="P206" s="1">
        <v>50920</v>
      </c>
      <c r="Q206" s="1">
        <v>79296</v>
      </c>
      <c r="R206" s="1">
        <v>0</v>
      </c>
    </row>
    <row r="207" spans="1:18">
      <c r="A207" s="2">
        <v>0.375</v>
      </c>
      <c r="B207" s="1">
        <v>136048</v>
      </c>
      <c r="C207" s="1">
        <v>2941</v>
      </c>
      <c r="D207" s="1">
        <v>32979.9</v>
      </c>
      <c r="E207" s="1">
        <v>0</v>
      </c>
      <c r="F207" s="1">
        <v>394010</v>
      </c>
      <c r="G207" s="1">
        <v>32258.799999999999</v>
      </c>
      <c r="H207" s="1">
        <v>364146</v>
      </c>
      <c r="I207" s="1">
        <v>493584</v>
      </c>
      <c r="J207" s="1">
        <v>45409.9</v>
      </c>
      <c r="K207" s="1">
        <v>87583.2</v>
      </c>
      <c r="L207" s="1">
        <v>83781.7</v>
      </c>
      <c r="M207" s="1">
        <v>49229.5</v>
      </c>
      <c r="N207" s="1">
        <v>63749.2</v>
      </c>
      <c r="O207" s="1">
        <v>77561.7</v>
      </c>
      <c r="P207" s="1">
        <v>50920</v>
      </c>
      <c r="Q207" s="1">
        <v>79297</v>
      </c>
      <c r="R207" s="1">
        <v>0</v>
      </c>
    </row>
    <row r="208" spans="1:18">
      <c r="A208" s="2">
        <v>0.41666666666666669</v>
      </c>
      <c r="B208" s="1">
        <v>136700</v>
      </c>
      <c r="C208" s="1">
        <v>3086</v>
      </c>
      <c r="D208" s="1">
        <v>32993.300000000003</v>
      </c>
      <c r="E208" s="1">
        <v>0</v>
      </c>
      <c r="F208" s="1">
        <v>394023</v>
      </c>
      <c r="G208" s="1">
        <v>32307.1</v>
      </c>
      <c r="H208" s="1">
        <v>364197</v>
      </c>
      <c r="I208" s="1">
        <v>493789</v>
      </c>
      <c r="J208" s="1">
        <v>45418.400000000001</v>
      </c>
      <c r="K208" s="1">
        <v>87585.1</v>
      </c>
      <c r="L208" s="1">
        <v>83799.600000000006</v>
      </c>
      <c r="M208" s="1">
        <v>49266</v>
      </c>
      <c r="N208" s="1">
        <v>63801.1</v>
      </c>
      <c r="O208" s="1">
        <v>77577.399999999994</v>
      </c>
      <c r="P208" s="1">
        <v>50921</v>
      </c>
      <c r="Q208" s="1">
        <v>79298</v>
      </c>
      <c r="R208" s="1">
        <v>0</v>
      </c>
    </row>
    <row r="209" spans="1:18">
      <c r="A209" s="2">
        <v>0.45833333333333331</v>
      </c>
      <c r="B209" s="1">
        <v>137364</v>
      </c>
      <c r="C209" s="1">
        <v>3233</v>
      </c>
      <c r="D209" s="1">
        <v>33010</v>
      </c>
      <c r="E209" s="1">
        <v>0</v>
      </c>
      <c r="F209" s="1">
        <v>394035</v>
      </c>
      <c r="G209" s="1">
        <v>32352.6</v>
      </c>
      <c r="H209" s="1">
        <v>364259</v>
      </c>
      <c r="I209" s="1">
        <v>493995</v>
      </c>
      <c r="J209" s="1">
        <v>45426.3</v>
      </c>
      <c r="K209" s="1">
        <v>87585.4</v>
      </c>
      <c r="L209" s="1">
        <v>83818.2</v>
      </c>
      <c r="M209" s="1">
        <v>49303</v>
      </c>
      <c r="N209" s="1">
        <v>63851</v>
      </c>
      <c r="O209" s="1">
        <v>77593.100000000006</v>
      </c>
      <c r="P209" s="1">
        <v>50924</v>
      </c>
      <c r="Q209" s="1">
        <v>79303</v>
      </c>
      <c r="R209" s="1">
        <v>0</v>
      </c>
    </row>
    <row r="210" spans="1:18">
      <c r="A210" s="2">
        <v>0.5</v>
      </c>
      <c r="B210" s="1">
        <v>138043</v>
      </c>
      <c r="C210" s="1">
        <v>3384</v>
      </c>
      <c r="D210" s="1">
        <v>33026.699999999997</v>
      </c>
      <c r="E210" s="1">
        <v>0</v>
      </c>
      <c r="F210" s="1">
        <v>394048</v>
      </c>
      <c r="G210" s="1">
        <v>32399.200000000001</v>
      </c>
      <c r="H210" s="1">
        <v>364324</v>
      </c>
      <c r="I210" s="1">
        <v>494213</v>
      </c>
      <c r="J210" s="1">
        <v>45435.5</v>
      </c>
      <c r="K210" s="1">
        <v>87585.4</v>
      </c>
      <c r="L210" s="1">
        <v>83837.100000000006</v>
      </c>
      <c r="M210" s="1">
        <v>49339.7</v>
      </c>
      <c r="N210" s="1">
        <v>63897.9</v>
      </c>
      <c r="O210" s="1">
        <v>77608.5</v>
      </c>
      <c r="P210" s="1">
        <v>50928</v>
      </c>
      <c r="Q210" s="1">
        <v>79310</v>
      </c>
      <c r="R210" s="1">
        <v>0</v>
      </c>
    </row>
    <row r="211" spans="1:18">
      <c r="A211" s="2">
        <v>0.54166666666666663</v>
      </c>
      <c r="B211" s="1">
        <v>138724</v>
      </c>
      <c r="C211" s="1">
        <v>3542</v>
      </c>
      <c r="D211" s="1">
        <v>33044.400000000001</v>
      </c>
      <c r="E211" s="1">
        <v>0</v>
      </c>
      <c r="F211" s="1">
        <v>394063</v>
      </c>
      <c r="G211" s="1">
        <v>32450.799999999999</v>
      </c>
      <c r="H211" s="1">
        <v>364368</v>
      </c>
      <c r="I211" s="1">
        <v>494434</v>
      </c>
      <c r="J211" s="1">
        <v>45444.7</v>
      </c>
      <c r="K211" s="1">
        <v>87585.4</v>
      </c>
      <c r="L211" s="1">
        <v>83856.600000000006</v>
      </c>
      <c r="M211" s="1">
        <v>49376.800000000003</v>
      </c>
      <c r="N211" s="1">
        <v>63946.1</v>
      </c>
      <c r="O211" s="1">
        <v>77623.399999999994</v>
      </c>
      <c r="P211" s="1">
        <v>50932</v>
      </c>
      <c r="Q211" s="1">
        <v>79316</v>
      </c>
      <c r="R211" s="1">
        <v>0</v>
      </c>
    </row>
    <row r="212" spans="1:18">
      <c r="A212" s="2">
        <v>0.58333333333333337</v>
      </c>
      <c r="B212" s="1">
        <v>139448</v>
      </c>
      <c r="C212" s="1">
        <v>3700</v>
      </c>
      <c r="D212" s="1">
        <v>33064.1</v>
      </c>
      <c r="E212" s="1">
        <v>0</v>
      </c>
      <c r="F212" s="1">
        <v>394077</v>
      </c>
      <c r="G212" s="1">
        <v>32506.1</v>
      </c>
      <c r="H212" s="1">
        <v>364443</v>
      </c>
      <c r="I212" s="1">
        <v>494657</v>
      </c>
      <c r="J212" s="1">
        <v>45453.7</v>
      </c>
      <c r="K212" s="1">
        <v>87586.1</v>
      </c>
      <c r="L212" s="1">
        <v>83875.399999999994</v>
      </c>
      <c r="M212" s="1">
        <v>49414.2</v>
      </c>
      <c r="N212" s="1">
        <v>63995.9</v>
      </c>
      <c r="O212" s="1">
        <v>77639.5</v>
      </c>
      <c r="P212" s="1">
        <v>50934</v>
      </c>
      <c r="Q212" s="1">
        <v>79320</v>
      </c>
      <c r="R212" s="1">
        <v>0</v>
      </c>
    </row>
    <row r="213" spans="1:18">
      <c r="A213" s="2">
        <v>0.625</v>
      </c>
      <c r="B213" s="1">
        <v>140149</v>
      </c>
      <c r="C213" s="1">
        <v>3856</v>
      </c>
      <c r="D213" s="1">
        <v>33081</v>
      </c>
      <c r="E213" s="1">
        <v>0</v>
      </c>
      <c r="F213" s="1">
        <v>394092</v>
      </c>
      <c r="G213" s="1">
        <v>32567.1</v>
      </c>
      <c r="H213" s="1">
        <v>364500</v>
      </c>
      <c r="I213" s="1">
        <v>494874</v>
      </c>
      <c r="J213" s="1">
        <v>45462.7</v>
      </c>
      <c r="K213" s="1">
        <v>87587.199999999997</v>
      </c>
      <c r="L213" s="1">
        <v>83893.8</v>
      </c>
      <c r="M213" s="1">
        <v>49451.4</v>
      </c>
      <c r="N213" s="1">
        <v>64046.2</v>
      </c>
      <c r="O213" s="1">
        <v>77654.7</v>
      </c>
      <c r="P213" s="1">
        <v>50936</v>
      </c>
      <c r="Q213" s="1">
        <v>79322</v>
      </c>
      <c r="R213" s="1">
        <v>0</v>
      </c>
    </row>
    <row r="214" spans="1:18">
      <c r="A214" s="2">
        <v>0.66666666666666663</v>
      </c>
      <c r="B214" s="1">
        <v>140834</v>
      </c>
      <c r="C214" s="1">
        <v>4015</v>
      </c>
      <c r="D214" s="1">
        <v>33098.400000000001</v>
      </c>
      <c r="E214" s="1">
        <v>0</v>
      </c>
      <c r="F214" s="1">
        <v>394107</v>
      </c>
      <c r="G214" s="1">
        <v>32626</v>
      </c>
      <c r="H214" s="1">
        <v>364538</v>
      </c>
      <c r="I214" s="1">
        <v>495091</v>
      </c>
      <c r="J214" s="1">
        <v>45471.4</v>
      </c>
      <c r="K214" s="1">
        <v>87589.7</v>
      </c>
      <c r="L214" s="1">
        <v>83912.8</v>
      </c>
      <c r="M214" s="1">
        <v>49488.2</v>
      </c>
      <c r="N214" s="1">
        <v>64098</v>
      </c>
      <c r="O214" s="1">
        <v>77671</v>
      </c>
      <c r="P214" s="1">
        <v>50936</v>
      </c>
      <c r="Q214" s="1">
        <v>79323</v>
      </c>
      <c r="R214" s="1">
        <v>0</v>
      </c>
    </row>
    <row r="215" spans="1:18">
      <c r="A215" s="2">
        <v>0.70833333333333337</v>
      </c>
      <c r="B215" s="1">
        <v>141492</v>
      </c>
      <c r="C215" s="1">
        <v>4173</v>
      </c>
      <c r="D215" s="1">
        <v>33115.9</v>
      </c>
      <c r="E215" s="1">
        <v>0</v>
      </c>
      <c r="F215" s="1">
        <v>394121</v>
      </c>
      <c r="G215" s="1">
        <v>32680.400000000001</v>
      </c>
      <c r="H215" s="1">
        <v>364551</v>
      </c>
      <c r="I215" s="1">
        <v>495308</v>
      </c>
      <c r="J215" s="1">
        <v>45480.3</v>
      </c>
      <c r="K215" s="1">
        <v>87593.3</v>
      </c>
      <c r="L215" s="1">
        <v>83931.1</v>
      </c>
      <c r="M215" s="1">
        <v>49524.9</v>
      </c>
      <c r="N215" s="1">
        <v>64150.400000000001</v>
      </c>
      <c r="O215" s="1">
        <v>77686.899999999994</v>
      </c>
      <c r="P215" s="1">
        <v>50936</v>
      </c>
      <c r="Q215" s="1">
        <v>79323</v>
      </c>
      <c r="R215" s="1">
        <v>0</v>
      </c>
    </row>
    <row r="216" spans="1:18">
      <c r="A216" s="2">
        <v>0.75</v>
      </c>
      <c r="B216" s="1">
        <v>142141</v>
      </c>
      <c r="C216" s="1">
        <v>4332</v>
      </c>
      <c r="D216" s="1">
        <v>33129.800000000003</v>
      </c>
      <c r="E216" s="1">
        <v>0</v>
      </c>
      <c r="F216" s="1">
        <v>394135</v>
      </c>
      <c r="G216" s="1">
        <v>32736.5</v>
      </c>
      <c r="H216" s="1">
        <v>364562</v>
      </c>
      <c r="I216" s="1">
        <v>495522</v>
      </c>
      <c r="J216" s="1">
        <v>45489</v>
      </c>
      <c r="K216" s="1">
        <v>87596.800000000003</v>
      </c>
      <c r="L216" s="1">
        <v>83949.4</v>
      </c>
      <c r="M216" s="1">
        <v>49562</v>
      </c>
      <c r="N216" s="1">
        <v>64203</v>
      </c>
      <c r="O216" s="1">
        <v>77701.7</v>
      </c>
      <c r="P216" s="1">
        <v>50936</v>
      </c>
      <c r="Q216" s="1">
        <v>79323</v>
      </c>
      <c r="R216" s="1">
        <v>0</v>
      </c>
    </row>
    <row r="217" spans="1:18">
      <c r="A217" s="2">
        <v>0.79166666666666663</v>
      </c>
      <c r="B217" s="1">
        <v>142791</v>
      </c>
      <c r="C217" s="1">
        <v>4493</v>
      </c>
      <c r="D217" s="1">
        <v>33144.400000000001</v>
      </c>
      <c r="E217" s="1">
        <v>0</v>
      </c>
      <c r="F217" s="1">
        <v>394148</v>
      </c>
      <c r="G217" s="1">
        <v>32791.199999999997</v>
      </c>
      <c r="H217" s="1">
        <v>364573</v>
      </c>
      <c r="I217" s="1">
        <v>495739</v>
      </c>
      <c r="J217" s="1">
        <v>45497.5</v>
      </c>
      <c r="K217" s="1">
        <v>87600.1</v>
      </c>
      <c r="L217" s="1">
        <v>83967.7</v>
      </c>
      <c r="M217" s="1">
        <v>49599</v>
      </c>
      <c r="N217" s="1">
        <v>64255.5</v>
      </c>
      <c r="O217" s="1">
        <v>77715.8</v>
      </c>
      <c r="P217" s="1">
        <v>50936</v>
      </c>
      <c r="Q217" s="1">
        <v>79323</v>
      </c>
      <c r="R217" s="1">
        <v>0</v>
      </c>
    </row>
    <row r="218" spans="1:18">
      <c r="A218" s="2">
        <v>0.83333333333333337</v>
      </c>
      <c r="B218" s="1">
        <v>143420</v>
      </c>
      <c r="C218" s="1">
        <v>4647</v>
      </c>
      <c r="D218" s="1">
        <v>33157.9</v>
      </c>
      <c r="E218" s="1">
        <v>0</v>
      </c>
      <c r="F218" s="1">
        <v>394160</v>
      </c>
      <c r="G218" s="1">
        <v>32846.6</v>
      </c>
      <c r="H218" s="1">
        <v>364584</v>
      </c>
      <c r="I218" s="1">
        <v>495940</v>
      </c>
      <c r="J218" s="1">
        <v>45505.5</v>
      </c>
      <c r="K218" s="1">
        <v>87603.5</v>
      </c>
      <c r="L218" s="1">
        <v>83987.199999999997</v>
      </c>
      <c r="M218" s="1">
        <v>49636.4</v>
      </c>
      <c r="N218" s="1">
        <v>64308.2</v>
      </c>
      <c r="O218" s="1">
        <v>77731.399999999994</v>
      </c>
      <c r="P218" s="1">
        <v>50936</v>
      </c>
      <c r="Q218" s="1">
        <v>79323</v>
      </c>
      <c r="R218" s="1">
        <v>0</v>
      </c>
    </row>
    <row r="219" spans="1:18">
      <c r="A219" s="2">
        <v>0.875</v>
      </c>
      <c r="B219" s="1">
        <v>144050</v>
      </c>
      <c r="C219" s="1">
        <v>4804</v>
      </c>
      <c r="D219" s="1">
        <v>33172.5</v>
      </c>
      <c r="E219" s="1">
        <v>0</v>
      </c>
      <c r="F219" s="1">
        <v>394174</v>
      </c>
      <c r="G219" s="1">
        <v>32900.9</v>
      </c>
      <c r="H219" s="1">
        <v>364594</v>
      </c>
      <c r="I219" s="1">
        <v>496137</v>
      </c>
      <c r="J219" s="1">
        <v>45514.2</v>
      </c>
      <c r="K219" s="1">
        <v>87607</v>
      </c>
      <c r="L219" s="1">
        <v>84006.3</v>
      </c>
      <c r="M219" s="1">
        <v>49674.1</v>
      </c>
      <c r="N219" s="1">
        <v>64360.9</v>
      </c>
      <c r="O219" s="1">
        <v>77747.3</v>
      </c>
      <c r="P219" s="1">
        <v>50936</v>
      </c>
      <c r="Q219" s="1">
        <v>79323</v>
      </c>
      <c r="R219" s="1">
        <v>0</v>
      </c>
    </row>
    <row r="220" spans="1:18">
      <c r="A220" s="2">
        <v>0.91666666666666663</v>
      </c>
      <c r="B220" s="1">
        <v>144680</v>
      </c>
      <c r="C220" s="1">
        <v>4963</v>
      </c>
      <c r="D220" s="1">
        <v>33186.5</v>
      </c>
      <c r="E220" s="1">
        <v>0</v>
      </c>
      <c r="F220" s="1">
        <v>394186</v>
      </c>
      <c r="G220" s="1">
        <v>32955.4</v>
      </c>
      <c r="H220" s="1">
        <v>364605</v>
      </c>
      <c r="I220" s="1">
        <v>496332</v>
      </c>
      <c r="J220" s="1">
        <v>45523.3</v>
      </c>
      <c r="K220" s="1">
        <v>87610.5</v>
      </c>
      <c r="L220" s="1">
        <v>84025.3</v>
      </c>
      <c r="M220" s="1">
        <v>49712.6</v>
      </c>
      <c r="N220" s="1">
        <v>64413.5</v>
      </c>
      <c r="O220" s="1">
        <v>77763.100000000006</v>
      </c>
      <c r="P220" s="1">
        <v>50936</v>
      </c>
      <c r="Q220" s="1">
        <v>79323</v>
      </c>
      <c r="R220" s="1">
        <v>0</v>
      </c>
    </row>
    <row r="221" spans="1:18">
      <c r="A221" s="2">
        <v>0.95833333333333337</v>
      </c>
      <c r="B221" s="1">
        <v>145314</v>
      </c>
      <c r="C221" s="1">
        <v>5125</v>
      </c>
      <c r="D221" s="1">
        <v>33200</v>
      </c>
      <c r="E221" s="1">
        <v>0</v>
      </c>
      <c r="F221" s="1">
        <v>394200</v>
      </c>
      <c r="G221" s="1">
        <v>33009.1</v>
      </c>
      <c r="H221" s="1">
        <v>364616</v>
      </c>
      <c r="I221" s="1">
        <v>496527</v>
      </c>
      <c r="J221" s="1">
        <v>45532.1</v>
      </c>
      <c r="K221" s="1">
        <v>87614</v>
      </c>
      <c r="L221" s="1">
        <v>84044.1</v>
      </c>
      <c r="M221" s="1">
        <v>49750.8</v>
      </c>
      <c r="N221" s="1">
        <v>64466</v>
      </c>
      <c r="O221" s="1">
        <v>77778.8</v>
      </c>
      <c r="P221" s="1">
        <v>50936</v>
      </c>
      <c r="Q221" s="1">
        <v>79323</v>
      </c>
      <c r="R221" s="1">
        <v>0</v>
      </c>
    </row>
    <row r="222" spans="1:18">
      <c r="A222" s="2">
        <v>0</v>
      </c>
      <c r="B222" s="1">
        <v>145946</v>
      </c>
      <c r="C222" s="1">
        <v>5285</v>
      </c>
      <c r="D222" s="1">
        <v>33213.300000000003</v>
      </c>
      <c r="E222" s="1">
        <v>0</v>
      </c>
      <c r="F222" s="1">
        <v>394214</v>
      </c>
      <c r="G222" s="1">
        <v>33062.300000000003</v>
      </c>
      <c r="H222" s="1">
        <v>364627</v>
      </c>
      <c r="I222" s="1">
        <v>496722</v>
      </c>
      <c r="J222" s="1">
        <v>45541</v>
      </c>
      <c r="K222" s="1">
        <v>87617.4</v>
      </c>
      <c r="L222" s="1">
        <v>84065.600000000006</v>
      </c>
      <c r="M222" s="1">
        <v>49788.4</v>
      </c>
      <c r="N222" s="1">
        <v>64518.5</v>
      </c>
      <c r="O222" s="1">
        <v>77795</v>
      </c>
      <c r="P222" s="1">
        <v>50936</v>
      </c>
      <c r="Q222" s="1">
        <v>79323</v>
      </c>
      <c r="R222" s="1">
        <v>0</v>
      </c>
    </row>
    <row r="223" spans="1:18">
      <c r="A223" s="2">
        <v>4.1666666666666664E-2</v>
      </c>
      <c r="B223" s="1">
        <v>146565</v>
      </c>
      <c r="C223" s="1">
        <v>5438</v>
      </c>
      <c r="D223" s="1">
        <v>33225.800000000003</v>
      </c>
      <c r="E223" s="1">
        <v>0</v>
      </c>
      <c r="F223" s="1">
        <v>394227</v>
      </c>
      <c r="G223" s="1">
        <v>33115.300000000003</v>
      </c>
      <c r="H223" s="1">
        <v>364639</v>
      </c>
      <c r="I223" s="1">
        <v>496915</v>
      </c>
      <c r="J223" s="1">
        <v>45549</v>
      </c>
      <c r="K223" s="1">
        <v>87621.1</v>
      </c>
      <c r="L223" s="1">
        <v>84086.6</v>
      </c>
      <c r="M223" s="1">
        <v>49826.1</v>
      </c>
      <c r="N223" s="1">
        <v>64571.1</v>
      </c>
      <c r="O223" s="1">
        <v>77810.5</v>
      </c>
      <c r="P223" s="1">
        <v>50936</v>
      </c>
      <c r="Q223" s="1">
        <v>79323</v>
      </c>
      <c r="R223" s="1">
        <v>0</v>
      </c>
    </row>
    <row r="224" spans="1:18">
      <c r="A224" s="2">
        <v>8.3333333333333329E-2</v>
      </c>
      <c r="B224" s="1">
        <v>147175</v>
      </c>
      <c r="C224" s="1">
        <v>5586</v>
      </c>
      <c r="D224" s="1">
        <v>33238.300000000003</v>
      </c>
      <c r="E224" s="1">
        <v>0</v>
      </c>
      <c r="F224" s="1">
        <v>394239</v>
      </c>
      <c r="G224" s="1">
        <v>33168.199999999997</v>
      </c>
      <c r="H224" s="1">
        <v>364649</v>
      </c>
      <c r="I224" s="1">
        <v>497106</v>
      </c>
      <c r="J224" s="1">
        <v>45557.7</v>
      </c>
      <c r="K224" s="1">
        <v>87624.6</v>
      </c>
      <c r="L224" s="1">
        <v>84107.1</v>
      </c>
      <c r="M224" s="1">
        <v>49863.6</v>
      </c>
      <c r="N224" s="1">
        <v>64623.7</v>
      </c>
      <c r="O224" s="1">
        <v>77826.399999999994</v>
      </c>
      <c r="P224" s="1">
        <v>50936</v>
      </c>
      <c r="Q224" s="1">
        <v>79323</v>
      </c>
      <c r="R224" s="1">
        <v>0</v>
      </c>
    </row>
    <row r="225" spans="1:18">
      <c r="A225" s="2">
        <v>0.125</v>
      </c>
      <c r="B225" s="1">
        <v>147782</v>
      </c>
      <c r="C225" s="1">
        <v>5734</v>
      </c>
      <c r="D225" s="1">
        <v>33250.800000000003</v>
      </c>
      <c r="E225" s="1">
        <v>0</v>
      </c>
      <c r="F225" s="1">
        <v>394251</v>
      </c>
      <c r="G225" s="1">
        <v>33219.800000000003</v>
      </c>
      <c r="H225" s="1">
        <v>364660</v>
      </c>
      <c r="I225" s="1">
        <v>497298</v>
      </c>
      <c r="J225" s="1">
        <v>45566.6</v>
      </c>
      <c r="K225" s="1">
        <v>87627.8</v>
      </c>
      <c r="L225" s="1">
        <v>84125.9</v>
      </c>
      <c r="M225" s="1">
        <v>49901.5</v>
      </c>
      <c r="N225" s="1">
        <v>64676.1</v>
      </c>
      <c r="O225" s="1">
        <v>77842</v>
      </c>
      <c r="P225" s="1">
        <v>50936</v>
      </c>
      <c r="Q225" s="1">
        <v>79323</v>
      </c>
      <c r="R225" s="1">
        <v>0</v>
      </c>
    </row>
    <row r="226" spans="1:18">
      <c r="A226" s="2">
        <v>0.16666666666666666</v>
      </c>
      <c r="B226" s="1">
        <v>148379</v>
      </c>
      <c r="C226" s="1">
        <v>5880</v>
      </c>
      <c r="D226" s="1">
        <v>33263.5</v>
      </c>
      <c r="E226" s="1">
        <v>0</v>
      </c>
      <c r="F226" s="1">
        <v>394263</v>
      </c>
      <c r="G226" s="1">
        <v>33271</v>
      </c>
      <c r="H226" s="1">
        <v>364670</v>
      </c>
      <c r="I226" s="1">
        <v>497482</v>
      </c>
      <c r="J226" s="1">
        <v>45574.5</v>
      </c>
      <c r="K226" s="1">
        <v>87631</v>
      </c>
      <c r="L226" s="1">
        <v>84145.2</v>
      </c>
      <c r="M226" s="1">
        <v>49939.5</v>
      </c>
      <c r="N226" s="1">
        <v>64728.7</v>
      </c>
      <c r="O226" s="1">
        <v>77857.600000000006</v>
      </c>
      <c r="P226" s="1">
        <v>50936</v>
      </c>
      <c r="Q226" s="1">
        <v>79323</v>
      </c>
      <c r="R226" s="1">
        <v>0</v>
      </c>
    </row>
    <row r="227" spans="1:18">
      <c r="A227" s="2">
        <v>0.20833333333333334</v>
      </c>
      <c r="B227" s="1">
        <v>148981</v>
      </c>
      <c r="C227" s="1">
        <v>6026</v>
      </c>
      <c r="D227" s="1">
        <v>33276</v>
      </c>
      <c r="E227" s="1">
        <v>0</v>
      </c>
      <c r="F227" s="1">
        <v>394275</v>
      </c>
      <c r="G227" s="1">
        <v>33322.400000000001</v>
      </c>
      <c r="H227" s="1">
        <v>364680</v>
      </c>
      <c r="I227" s="1">
        <v>497666</v>
      </c>
      <c r="J227" s="1">
        <v>45583.5</v>
      </c>
      <c r="K227" s="1">
        <v>87634.1</v>
      </c>
      <c r="L227" s="1">
        <v>84164.1</v>
      </c>
      <c r="M227" s="1">
        <v>49976.9</v>
      </c>
      <c r="N227" s="1">
        <v>64783.9</v>
      </c>
      <c r="O227" s="1">
        <v>77874.2</v>
      </c>
      <c r="P227" s="1">
        <v>50936</v>
      </c>
      <c r="Q227" s="1">
        <v>79323</v>
      </c>
      <c r="R227" s="1">
        <v>0</v>
      </c>
    </row>
    <row r="228" spans="1:18">
      <c r="A228" s="2">
        <v>0.25</v>
      </c>
      <c r="B228" s="1">
        <v>149567</v>
      </c>
      <c r="C228" s="1">
        <v>6167</v>
      </c>
      <c r="D228" s="1">
        <v>33288.199999999997</v>
      </c>
      <c r="E228" s="1">
        <v>0</v>
      </c>
      <c r="F228" s="1">
        <v>394287</v>
      </c>
      <c r="G228" s="1">
        <v>33374.199999999997</v>
      </c>
      <c r="H228" s="1">
        <v>364690</v>
      </c>
      <c r="I228" s="1">
        <v>497848</v>
      </c>
      <c r="J228" s="1">
        <v>45591.199999999997</v>
      </c>
      <c r="K228" s="1">
        <v>87637.1</v>
      </c>
      <c r="L228" s="1">
        <v>84182.7</v>
      </c>
      <c r="M228" s="1">
        <v>50014.2</v>
      </c>
      <c r="N228" s="1">
        <v>64836.5</v>
      </c>
      <c r="O228" s="1">
        <v>77889.5</v>
      </c>
      <c r="P228" s="1">
        <v>50936</v>
      </c>
      <c r="Q228" s="1">
        <v>79323</v>
      </c>
      <c r="R228" s="1">
        <v>0</v>
      </c>
    </row>
    <row r="229" spans="1:18">
      <c r="A229" s="2">
        <v>0.29166666666666669</v>
      </c>
      <c r="B229" s="1">
        <v>150148</v>
      </c>
      <c r="C229" s="1">
        <v>6306</v>
      </c>
      <c r="D229" s="1">
        <v>33300.699999999997</v>
      </c>
      <c r="E229" s="1">
        <v>0</v>
      </c>
      <c r="F229" s="1">
        <v>394299</v>
      </c>
      <c r="G229" s="1">
        <v>33423.300000000003</v>
      </c>
      <c r="H229" s="1">
        <v>364702</v>
      </c>
      <c r="I229" s="1">
        <v>498028</v>
      </c>
      <c r="J229" s="1">
        <v>45599.7</v>
      </c>
      <c r="K229" s="1">
        <v>87639.9</v>
      </c>
      <c r="L229" s="1">
        <v>84200.8</v>
      </c>
      <c r="M229" s="1">
        <v>50050.8</v>
      </c>
      <c r="N229" s="1">
        <v>64888.800000000003</v>
      </c>
      <c r="O229" s="1">
        <v>77904.100000000006</v>
      </c>
      <c r="P229" s="1">
        <v>50936</v>
      </c>
      <c r="Q229" s="1">
        <v>79323</v>
      </c>
      <c r="R229" s="1">
        <v>0</v>
      </c>
    </row>
    <row r="230" spans="1:18">
      <c r="A230" s="2">
        <v>0.33333333333333331</v>
      </c>
      <c r="B230" s="1">
        <v>150727</v>
      </c>
      <c r="C230" s="1">
        <v>6447</v>
      </c>
      <c r="D230" s="1">
        <v>33313.4</v>
      </c>
      <c r="E230" s="1">
        <v>0</v>
      </c>
      <c r="F230" s="1">
        <v>394311</v>
      </c>
      <c r="G230" s="1">
        <v>33472.199999999997</v>
      </c>
      <c r="H230" s="1">
        <v>364712</v>
      </c>
      <c r="I230" s="1">
        <v>498207</v>
      </c>
      <c r="J230" s="1">
        <v>45607.5</v>
      </c>
      <c r="K230" s="1">
        <v>87642.3</v>
      </c>
      <c r="L230" s="1">
        <v>84219.4</v>
      </c>
      <c r="M230" s="1">
        <v>50087.4</v>
      </c>
      <c r="N230" s="1">
        <v>64941.4</v>
      </c>
      <c r="O230" s="1">
        <v>77919</v>
      </c>
      <c r="P230" s="1">
        <v>50937</v>
      </c>
      <c r="Q230" s="1">
        <v>79324</v>
      </c>
      <c r="R230" s="1">
        <v>0</v>
      </c>
    </row>
    <row r="231" spans="1:18">
      <c r="A231" s="2">
        <v>0.375</v>
      </c>
      <c r="B231" s="1">
        <v>151332</v>
      </c>
      <c r="C231" s="1">
        <v>6597</v>
      </c>
      <c r="D231" s="1">
        <v>33325.699999999997</v>
      </c>
      <c r="E231" s="1">
        <v>0</v>
      </c>
      <c r="F231" s="1">
        <v>394324</v>
      </c>
      <c r="G231" s="1">
        <v>33516.199999999997</v>
      </c>
      <c r="H231" s="1">
        <v>364730</v>
      </c>
      <c r="I231" s="1">
        <v>498396</v>
      </c>
      <c r="J231" s="1">
        <v>45616.3</v>
      </c>
      <c r="K231" s="1">
        <v>87642.4</v>
      </c>
      <c r="L231" s="1">
        <v>84237.8</v>
      </c>
      <c r="M231" s="1">
        <v>50128.3</v>
      </c>
      <c r="N231" s="1">
        <v>64991.1</v>
      </c>
      <c r="O231" s="1">
        <v>77935.100000000006</v>
      </c>
      <c r="P231" s="1">
        <v>50939</v>
      </c>
      <c r="Q231" s="1">
        <v>79328</v>
      </c>
      <c r="R231" s="1">
        <v>0</v>
      </c>
    </row>
    <row r="232" spans="1:18">
      <c r="A232" s="2">
        <v>0.41666666666666669</v>
      </c>
      <c r="B232" s="1">
        <v>151969</v>
      </c>
      <c r="C232" s="1">
        <v>6768</v>
      </c>
      <c r="D232" s="1">
        <v>33341.300000000003</v>
      </c>
      <c r="E232" s="1">
        <v>0</v>
      </c>
      <c r="F232" s="1">
        <v>394339</v>
      </c>
      <c r="G232" s="1">
        <v>33556.699999999997</v>
      </c>
      <c r="H232" s="1">
        <v>364745</v>
      </c>
      <c r="I232" s="1">
        <v>498600</v>
      </c>
      <c r="J232" s="1">
        <v>45624.6</v>
      </c>
      <c r="K232" s="1">
        <v>87642.4</v>
      </c>
      <c r="L232" s="1">
        <v>84256.4</v>
      </c>
      <c r="M232" s="1">
        <v>50169.4</v>
      </c>
      <c r="N232" s="1">
        <v>65038</v>
      </c>
      <c r="O232" s="1">
        <v>77950.7</v>
      </c>
      <c r="P232" s="1">
        <v>50944</v>
      </c>
      <c r="Q232" s="1">
        <v>79336</v>
      </c>
      <c r="R232" s="1">
        <v>0</v>
      </c>
    </row>
    <row r="233" spans="1:18">
      <c r="A233" s="2">
        <v>0.45833333333333331</v>
      </c>
      <c r="B233" s="1">
        <v>152640</v>
      </c>
      <c r="C233" s="1">
        <v>6940</v>
      </c>
      <c r="D233" s="1">
        <v>33361.300000000003</v>
      </c>
      <c r="E233" s="1">
        <v>0</v>
      </c>
      <c r="F233" s="1">
        <v>394355</v>
      </c>
      <c r="G233" s="1">
        <v>33597.599999999999</v>
      </c>
      <c r="H233" s="1">
        <v>364756</v>
      </c>
      <c r="I233" s="1">
        <v>498825</v>
      </c>
      <c r="J233" s="1">
        <v>45633.8</v>
      </c>
      <c r="K233" s="1">
        <v>87642.4</v>
      </c>
      <c r="L233" s="1">
        <v>84278.7</v>
      </c>
      <c r="M233" s="1">
        <v>50212.2</v>
      </c>
      <c r="N233" s="1">
        <v>65085.2</v>
      </c>
      <c r="O233" s="1">
        <v>77971.100000000006</v>
      </c>
      <c r="P233" s="1">
        <v>50951</v>
      </c>
      <c r="Q233" s="1">
        <v>79346</v>
      </c>
      <c r="R233" s="1">
        <v>0</v>
      </c>
    </row>
    <row r="234" spans="1:18">
      <c r="A234" s="2">
        <v>0.5</v>
      </c>
      <c r="B234" s="1">
        <v>153315</v>
      </c>
      <c r="C234" s="1">
        <v>7114</v>
      </c>
      <c r="D234" s="1">
        <v>33381.800000000003</v>
      </c>
      <c r="E234" s="1">
        <v>0</v>
      </c>
      <c r="F234" s="1">
        <v>394376</v>
      </c>
      <c r="G234" s="1">
        <v>33630.199999999997</v>
      </c>
      <c r="H234" s="1">
        <v>364766</v>
      </c>
      <c r="I234" s="1">
        <v>499062</v>
      </c>
      <c r="J234" s="1">
        <v>45643.6</v>
      </c>
      <c r="K234" s="1">
        <v>87642.4</v>
      </c>
      <c r="L234" s="1">
        <v>84300.5</v>
      </c>
      <c r="M234" s="1">
        <v>50255.3</v>
      </c>
      <c r="N234" s="1">
        <v>65129.599999999999</v>
      </c>
      <c r="O234" s="1">
        <v>77992.899999999994</v>
      </c>
      <c r="P234" s="1">
        <v>50961</v>
      </c>
      <c r="Q234" s="1">
        <v>79362</v>
      </c>
      <c r="R234" s="1">
        <v>0</v>
      </c>
    </row>
    <row r="235" spans="1:18">
      <c r="A235" s="2">
        <v>0.54166666666666663</v>
      </c>
      <c r="B235" s="1">
        <v>154004</v>
      </c>
      <c r="C235" s="1">
        <v>7295</v>
      </c>
      <c r="D235" s="1">
        <v>33402.400000000001</v>
      </c>
      <c r="E235" s="1">
        <v>0</v>
      </c>
      <c r="F235" s="1">
        <v>394401</v>
      </c>
      <c r="G235" s="1">
        <v>33662.6</v>
      </c>
      <c r="H235" s="1">
        <v>364777</v>
      </c>
      <c r="I235" s="1">
        <v>499307</v>
      </c>
      <c r="J235" s="1">
        <v>45653.9</v>
      </c>
      <c r="K235" s="1">
        <v>87642.4</v>
      </c>
      <c r="L235" s="1">
        <v>84323.5</v>
      </c>
      <c r="M235" s="1">
        <v>50300.7</v>
      </c>
      <c r="N235" s="1">
        <v>65174.400000000001</v>
      </c>
      <c r="O235" s="1">
        <v>78009</v>
      </c>
      <c r="P235" s="1">
        <v>50975</v>
      </c>
      <c r="Q235" s="1">
        <v>79383</v>
      </c>
      <c r="R235" s="1">
        <v>0</v>
      </c>
    </row>
    <row r="236" spans="1:18">
      <c r="A236" s="2">
        <v>0.58333333333333337</v>
      </c>
      <c r="B236" s="1">
        <v>154756</v>
      </c>
      <c r="C236" s="1">
        <v>7478</v>
      </c>
      <c r="D236" s="1">
        <v>33425.800000000003</v>
      </c>
      <c r="E236" s="1">
        <v>0</v>
      </c>
      <c r="F236" s="1">
        <v>394425</v>
      </c>
      <c r="G236" s="1">
        <v>33706.6</v>
      </c>
      <c r="H236" s="1">
        <v>364787</v>
      </c>
      <c r="I236" s="1">
        <v>499554</v>
      </c>
      <c r="J236" s="1">
        <v>45664.5</v>
      </c>
      <c r="K236" s="1">
        <v>87642.4</v>
      </c>
      <c r="L236" s="1">
        <v>84390.2</v>
      </c>
      <c r="M236" s="1">
        <v>50345.7</v>
      </c>
      <c r="N236" s="1">
        <v>65218.6</v>
      </c>
      <c r="O236" s="1">
        <v>78025.7</v>
      </c>
      <c r="P236" s="1">
        <v>50989</v>
      </c>
      <c r="Q236" s="1">
        <v>79404</v>
      </c>
      <c r="R236" s="1">
        <v>0</v>
      </c>
    </row>
    <row r="237" spans="1:18">
      <c r="A237" s="2">
        <v>0.625</v>
      </c>
      <c r="B237" s="1">
        <v>155521</v>
      </c>
      <c r="C237" s="1">
        <v>7674</v>
      </c>
      <c r="D237" s="1">
        <v>33450</v>
      </c>
      <c r="E237" s="1">
        <v>0</v>
      </c>
      <c r="F237" s="1">
        <v>394451</v>
      </c>
      <c r="G237" s="1">
        <v>33754.400000000001</v>
      </c>
      <c r="H237" s="1">
        <v>364798</v>
      </c>
      <c r="I237" s="1">
        <v>499802</v>
      </c>
      <c r="J237" s="1">
        <v>45675.5</v>
      </c>
      <c r="K237" s="1">
        <v>87642.4</v>
      </c>
      <c r="L237" s="1">
        <v>84445</v>
      </c>
      <c r="M237" s="1">
        <v>50391.7</v>
      </c>
      <c r="N237" s="1">
        <v>65262.8</v>
      </c>
      <c r="O237" s="1">
        <v>78042.600000000006</v>
      </c>
      <c r="P237" s="1">
        <v>51002</v>
      </c>
      <c r="Q237" s="1">
        <v>79425</v>
      </c>
      <c r="R237" s="1">
        <v>0</v>
      </c>
    </row>
    <row r="238" spans="1:18">
      <c r="A238" s="2">
        <v>0.66666666666666663</v>
      </c>
      <c r="B238" s="1">
        <v>156292</v>
      </c>
      <c r="C238" s="1">
        <v>7865</v>
      </c>
      <c r="D238" s="1">
        <v>33471.9</v>
      </c>
      <c r="E238" s="1">
        <v>0</v>
      </c>
      <c r="F238" s="1">
        <v>394475</v>
      </c>
      <c r="G238" s="1">
        <v>33808.400000000001</v>
      </c>
      <c r="H238" s="1">
        <v>364810</v>
      </c>
      <c r="I238" s="1">
        <v>500064</v>
      </c>
      <c r="J238" s="1">
        <v>45686.1</v>
      </c>
      <c r="K238" s="1">
        <v>87642.4</v>
      </c>
      <c r="L238" s="1">
        <v>84487.8</v>
      </c>
      <c r="M238" s="1">
        <v>50436.4</v>
      </c>
      <c r="N238" s="1">
        <v>65308</v>
      </c>
      <c r="O238" s="1">
        <v>78060.2</v>
      </c>
      <c r="P238" s="1">
        <v>51011</v>
      </c>
      <c r="Q238" s="1">
        <v>79438</v>
      </c>
      <c r="R238" s="1">
        <v>0</v>
      </c>
    </row>
    <row r="239" spans="1:18">
      <c r="A239" s="2">
        <v>0.70833333333333337</v>
      </c>
      <c r="B239" s="1">
        <v>157055</v>
      </c>
      <c r="C239" s="1">
        <v>8055</v>
      </c>
      <c r="D239" s="1">
        <v>33496.1</v>
      </c>
      <c r="E239" s="1">
        <v>0</v>
      </c>
      <c r="F239" s="1">
        <v>394497</v>
      </c>
      <c r="G239" s="1">
        <v>33865.800000000003</v>
      </c>
      <c r="H239" s="1">
        <v>364827</v>
      </c>
      <c r="I239" s="1">
        <v>500325</v>
      </c>
      <c r="J239" s="1">
        <v>45697</v>
      </c>
      <c r="K239" s="1">
        <v>87642.4</v>
      </c>
      <c r="L239" s="1">
        <v>84510.5</v>
      </c>
      <c r="M239" s="1">
        <v>50479.3</v>
      </c>
      <c r="N239" s="1">
        <v>65356.3</v>
      </c>
      <c r="O239" s="1">
        <v>78077.100000000006</v>
      </c>
      <c r="P239" s="1">
        <v>51017</v>
      </c>
      <c r="Q239" s="1">
        <v>79447</v>
      </c>
      <c r="R239" s="1">
        <v>0</v>
      </c>
    </row>
    <row r="240" spans="1:18">
      <c r="A240" s="2">
        <v>0.75</v>
      </c>
      <c r="B240" s="1">
        <v>157791</v>
      </c>
      <c r="C240" s="1">
        <v>8228</v>
      </c>
      <c r="D240" s="1">
        <v>33515.5</v>
      </c>
      <c r="E240" s="1">
        <v>0</v>
      </c>
      <c r="F240" s="1">
        <v>394518</v>
      </c>
      <c r="G240" s="1">
        <v>33929.4</v>
      </c>
      <c r="H240" s="1">
        <v>364838</v>
      </c>
      <c r="I240" s="1">
        <v>500577</v>
      </c>
      <c r="J240" s="1">
        <v>45707.4</v>
      </c>
      <c r="K240" s="1">
        <v>87644.3</v>
      </c>
      <c r="L240" s="1">
        <v>84530.3</v>
      </c>
      <c r="M240" s="1">
        <v>50521.4</v>
      </c>
      <c r="N240" s="1">
        <v>65409.4</v>
      </c>
      <c r="O240" s="1">
        <v>78093.5</v>
      </c>
      <c r="P240" s="1">
        <v>51017</v>
      </c>
      <c r="Q240" s="1">
        <v>79448</v>
      </c>
      <c r="R240" s="1">
        <v>0</v>
      </c>
    </row>
    <row r="241" spans="1:18">
      <c r="A241" s="2">
        <v>0.79166666666666663</v>
      </c>
      <c r="B241" s="1">
        <v>158490</v>
      </c>
      <c r="C241" s="1">
        <v>8391</v>
      </c>
      <c r="D241" s="1">
        <v>33532.800000000003</v>
      </c>
      <c r="E241" s="1">
        <v>0</v>
      </c>
      <c r="F241" s="1">
        <v>394536</v>
      </c>
      <c r="G241" s="1">
        <v>33990.800000000003</v>
      </c>
      <c r="H241" s="1">
        <v>364849</v>
      </c>
      <c r="I241" s="1">
        <v>500818</v>
      </c>
      <c r="J241" s="1">
        <v>45717</v>
      </c>
      <c r="K241" s="1">
        <v>87646.8</v>
      </c>
      <c r="L241" s="1">
        <v>84547.9</v>
      </c>
      <c r="M241" s="1">
        <v>50559.8</v>
      </c>
      <c r="N241" s="1">
        <v>65463.1</v>
      </c>
      <c r="O241" s="1">
        <v>78108.399999999994</v>
      </c>
      <c r="P241" s="1">
        <v>51017</v>
      </c>
      <c r="Q241" s="1">
        <v>79448</v>
      </c>
      <c r="R241" s="1">
        <v>0</v>
      </c>
    </row>
    <row r="242" spans="1:18">
      <c r="A242" s="2">
        <v>0.83333333333333337</v>
      </c>
      <c r="B242" s="1">
        <v>159179</v>
      </c>
      <c r="C242" s="1">
        <v>8554</v>
      </c>
      <c r="D242" s="1">
        <v>33548.400000000001</v>
      </c>
      <c r="E242" s="1">
        <v>0</v>
      </c>
      <c r="F242" s="1">
        <v>394553</v>
      </c>
      <c r="G242" s="1">
        <v>34049</v>
      </c>
      <c r="H242" s="1">
        <v>364859</v>
      </c>
      <c r="I242" s="1">
        <v>501052</v>
      </c>
      <c r="J242" s="1">
        <v>45726.6</v>
      </c>
      <c r="K242" s="1">
        <v>87649.9</v>
      </c>
      <c r="L242" s="1">
        <v>84566.6</v>
      </c>
      <c r="M242" s="1">
        <v>50597.8</v>
      </c>
      <c r="N242" s="1">
        <v>65517.5</v>
      </c>
      <c r="O242" s="1">
        <v>78124.7</v>
      </c>
      <c r="P242" s="1">
        <v>51017</v>
      </c>
      <c r="Q242" s="1">
        <v>79448</v>
      </c>
      <c r="R242" s="1">
        <v>0</v>
      </c>
    </row>
    <row r="243" spans="1:18">
      <c r="A243" s="2">
        <v>0.875</v>
      </c>
      <c r="B243" s="1">
        <v>159850</v>
      </c>
      <c r="C243" s="1">
        <v>8713</v>
      </c>
      <c r="D243" s="1">
        <v>33563.300000000003</v>
      </c>
      <c r="E243" s="1">
        <v>0</v>
      </c>
      <c r="F243" s="1">
        <v>394570</v>
      </c>
      <c r="G243" s="1">
        <v>34103.599999999999</v>
      </c>
      <c r="H243" s="1">
        <v>364869</v>
      </c>
      <c r="I243" s="1">
        <v>501276</v>
      </c>
      <c r="J243" s="1">
        <v>45735.9</v>
      </c>
      <c r="K243" s="1">
        <v>87653.4</v>
      </c>
      <c r="L243" s="1">
        <v>84588.1</v>
      </c>
      <c r="M243" s="1">
        <v>50636.3</v>
      </c>
      <c r="N243" s="1">
        <v>65571.600000000006</v>
      </c>
      <c r="O243" s="1">
        <v>78141.7</v>
      </c>
      <c r="P243" s="1">
        <v>51017</v>
      </c>
      <c r="Q243" s="1">
        <v>79448</v>
      </c>
      <c r="R243" s="1">
        <v>0</v>
      </c>
    </row>
    <row r="244" spans="1:18">
      <c r="A244" s="2">
        <v>0.91666666666666663</v>
      </c>
      <c r="B244" s="1">
        <v>160514</v>
      </c>
      <c r="C244" s="1">
        <v>8868</v>
      </c>
      <c r="D244" s="1">
        <v>33577.300000000003</v>
      </c>
      <c r="E244" s="1">
        <v>0</v>
      </c>
      <c r="F244" s="1">
        <v>394587</v>
      </c>
      <c r="G244" s="1">
        <v>34157.5</v>
      </c>
      <c r="H244" s="1">
        <v>364880</v>
      </c>
      <c r="I244" s="1">
        <v>501497</v>
      </c>
      <c r="J244" s="1">
        <v>45745.3</v>
      </c>
      <c r="K244" s="1">
        <v>87656.8</v>
      </c>
      <c r="L244" s="1">
        <v>84610.7</v>
      </c>
      <c r="M244" s="1">
        <v>50674.400000000001</v>
      </c>
      <c r="N244" s="1">
        <v>65625.3</v>
      </c>
      <c r="O244" s="1">
        <v>78158.5</v>
      </c>
      <c r="P244" s="1">
        <v>51017</v>
      </c>
      <c r="Q244" s="1">
        <v>79448</v>
      </c>
      <c r="R244" s="1">
        <v>0</v>
      </c>
    </row>
    <row r="245" spans="1:18">
      <c r="A245" s="2">
        <v>0.95833333333333337</v>
      </c>
      <c r="B245" s="1">
        <v>161170</v>
      </c>
      <c r="C245" s="1">
        <v>9019</v>
      </c>
      <c r="D245" s="1">
        <v>33592.1</v>
      </c>
      <c r="E245" s="1">
        <v>0</v>
      </c>
      <c r="F245" s="1">
        <v>394603</v>
      </c>
      <c r="G245" s="1">
        <v>34210.6</v>
      </c>
      <c r="H245" s="1">
        <v>364892</v>
      </c>
      <c r="I245" s="1">
        <v>501709</v>
      </c>
      <c r="J245" s="1">
        <v>45754.8</v>
      </c>
      <c r="K245" s="1">
        <v>87659.9</v>
      </c>
      <c r="L245" s="1">
        <v>84634</v>
      </c>
      <c r="M245" s="1">
        <v>50715.4</v>
      </c>
      <c r="N245" s="1">
        <v>65680.7</v>
      </c>
      <c r="O245" s="1">
        <v>78175.3</v>
      </c>
      <c r="P245" s="1">
        <v>51017</v>
      </c>
      <c r="Q245" s="1">
        <v>79448</v>
      </c>
      <c r="R245" s="1">
        <v>0</v>
      </c>
    </row>
    <row r="246" spans="1:18">
      <c r="A246" s="2">
        <v>0</v>
      </c>
      <c r="B246" s="1">
        <v>161818</v>
      </c>
      <c r="C246" s="1">
        <v>9171</v>
      </c>
      <c r="D246" s="1">
        <v>33605.5</v>
      </c>
      <c r="E246" s="1">
        <v>0</v>
      </c>
      <c r="F246" s="1">
        <v>394619</v>
      </c>
      <c r="G246" s="1">
        <v>34264.400000000001</v>
      </c>
      <c r="H246" s="1">
        <v>364902</v>
      </c>
      <c r="I246" s="1">
        <v>501920</v>
      </c>
      <c r="J246" s="1">
        <v>45764.3</v>
      </c>
      <c r="K246" s="1">
        <v>87662.9</v>
      </c>
      <c r="L246" s="1">
        <v>84657.5</v>
      </c>
      <c r="M246" s="1">
        <v>50754.1</v>
      </c>
      <c r="N246" s="1">
        <v>65734.100000000006</v>
      </c>
      <c r="O246" s="1">
        <v>78191</v>
      </c>
      <c r="P246" s="1">
        <v>51017</v>
      </c>
      <c r="Q246" s="1">
        <v>79448</v>
      </c>
      <c r="R246" s="1">
        <v>0</v>
      </c>
    </row>
    <row r="247" spans="1:18">
      <c r="A247" s="2">
        <v>4.1666666666666664E-2</v>
      </c>
      <c r="B247" s="1">
        <v>162455</v>
      </c>
      <c r="C247" s="1">
        <v>9320</v>
      </c>
      <c r="D247" s="1">
        <v>33617.9</v>
      </c>
      <c r="E247" s="1">
        <v>0</v>
      </c>
      <c r="F247" s="1">
        <v>394635</v>
      </c>
      <c r="G247" s="1">
        <v>34316.199999999997</v>
      </c>
      <c r="H247" s="1">
        <v>364912</v>
      </c>
      <c r="I247" s="1">
        <v>502127</v>
      </c>
      <c r="J247" s="1">
        <v>45773.7</v>
      </c>
      <c r="K247" s="1">
        <v>87666</v>
      </c>
      <c r="L247" s="1">
        <v>84680.1</v>
      </c>
      <c r="M247" s="1">
        <v>50792.7</v>
      </c>
      <c r="N247" s="1">
        <v>65787.5</v>
      </c>
      <c r="O247" s="1">
        <v>78206.100000000006</v>
      </c>
      <c r="P247" s="1">
        <v>51017</v>
      </c>
      <c r="Q247" s="1">
        <v>79448</v>
      </c>
      <c r="R247" s="1">
        <v>0</v>
      </c>
    </row>
    <row r="248" spans="1:18">
      <c r="A248" s="2">
        <v>8.3333333333333329E-2</v>
      </c>
      <c r="B248" s="1">
        <v>163081</v>
      </c>
      <c r="C248" s="1">
        <v>9467</v>
      </c>
      <c r="D248" s="1">
        <v>33629.5</v>
      </c>
      <c r="E248" s="1">
        <v>0</v>
      </c>
      <c r="F248" s="1">
        <v>394649</v>
      </c>
      <c r="G248" s="1">
        <v>34367.199999999997</v>
      </c>
      <c r="H248" s="1">
        <v>364922</v>
      </c>
      <c r="I248" s="1">
        <v>502330</v>
      </c>
      <c r="J248" s="1">
        <v>45783.1</v>
      </c>
      <c r="K248" s="1">
        <v>87669</v>
      </c>
      <c r="L248" s="1">
        <v>84702.1</v>
      </c>
      <c r="M248" s="1">
        <v>50831</v>
      </c>
      <c r="N248" s="1">
        <v>65840.600000000006</v>
      </c>
      <c r="O248" s="1">
        <v>78223</v>
      </c>
      <c r="P248" s="1">
        <v>51017</v>
      </c>
      <c r="Q248" s="1">
        <v>79448</v>
      </c>
      <c r="R248" s="1">
        <v>0</v>
      </c>
    </row>
    <row r="249" spans="1:18">
      <c r="A249" s="2">
        <v>0.125</v>
      </c>
      <c r="B249" s="1">
        <v>163699</v>
      </c>
      <c r="C249" s="1">
        <v>9614</v>
      </c>
      <c r="D249" s="1">
        <v>33641.599999999999</v>
      </c>
      <c r="E249" s="1">
        <v>0</v>
      </c>
      <c r="F249" s="1">
        <v>394663</v>
      </c>
      <c r="G249" s="1">
        <v>34417.599999999999</v>
      </c>
      <c r="H249" s="1">
        <v>364932</v>
      </c>
      <c r="I249" s="1">
        <v>502528</v>
      </c>
      <c r="J249" s="1">
        <v>45792.4</v>
      </c>
      <c r="K249" s="1">
        <v>87672.1</v>
      </c>
      <c r="L249" s="1">
        <v>84723.1</v>
      </c>
      <c r="M249" s="1">
        <v>50869.7</v>
      </c>
      <c r="N249" s="1">
        <v>65893.7</v>
      </c>
      <c r="O249" s="1">
        <v>78238.7</v>
      </c>
      <c r="P249" s="1">
        <v>51017</v>
      </c>
      <c r="Q249" s="1">
        <v>79448</v>
      </c>
      <c r="R249" s="1">
        <v>0</v>
      </c>
    </row>
    <row r="250" spans="1:18">
      <c r="A250" s="2">
        <v>0.16666666666666666</v>
      </c>
      <c r="B250" s="1">
        <v>164309</v>
      </c>
      <c r="C250" s="1">
        <v>9759</v>
      </c>
      <c r="D250" s="1">
        <v>33653.9</v>
      </c>
      <c r="E250" s="1">
        <v>0</v>
      </c>
      <c r="F250" s="1">
        <v>394677</v>
      </c>
      <c r="G250" s="1">
        <v>34467.800000000003</v>
      </c>
      <c r="H250" s="1">
        <v>364942</v>
      </c>
      <c r="I250" s="1">
        <v>502723</v>
      </c>
      <c r="J250" s="1">
        <v>45801.7</v>
      </c>
      <c r="K250" s="1">
        <v>87675</v>
      </c>
      <c r="L250" s="1">
        <v>84742</v>
      </c>
      <c r="M250" s="1">
        <v>50907.199999999997</v>
      </c>
      <c r="N250" s="1">
        <v>65946.899999999994</v>
      </c>
      <c r="O250" s="1">
        <v>78254.2</v>
      </c>
      <c r="P250" s="1">
        <v>51017</v>
      </c>
      <c r="Q250" s="1">
        <v>79448</v>
      </c>
      <c r="R250" s="1">
        <v>0</v>
      </c>
    </row>
    <row r="251" spans="1:18">
      <c r="A251" s="2">
        <v>0.20833333333333334</v>
      </c>
      <c r="B251" s="1">
        <v>164918</v>
      </c>
      <c r="C251" s="1">
        <v>9902</v>
      </c>
      <c r="D251" s="1">
        <v>33666.5</v>
      </c>
      <c r="E251" s="1">
        <v>0</v>
      </c>
      <c r="F251" s="1">
        <v>394691</v>
      </c>
      <c r="G251" s="1">
        <v>34516.699999999997</v>
      </c>
      <c r="H251" s="1">
        <v>364953</v>
      </c>
      <c r="I251" s="1">
        <v>502916</v>
      </c>
      <c r="J251" s="1">
        <v>45810.8</v>
      </c>
      <c r="K251" s="1">
        <v>87678.2</v>
      </c>
      <c r="L251" s="1">
        <v>84761.1</v>
      </c>
      <c r="M251" s="1">
        <v>50945.4</v>
      </c>
      <c r="N251" s="1">
        <v>66002.8</v>
      </c>
      <c r="O251" s="1">
        <v>78270.7</v>
      </c>
      <c r="P251" s="1">
        <v>51017</v>
      </c>
      <c r="Q251" s="1">
        <v>79448</v>
      </c>
      <c r="R251" s="1">
        <v>0</v>
      </c>
    </row>
    <row r="252" spans="1:18">
      <c r="A252" s="2">
        <v>0.25</v>
      </c>
      <c r="B252" s="1">
        <v>165520</v>
      </c>
      <c r="C252" s="1">
        <v>10045</v>
      </c>
      <c r="D252" s="1">
        <v>33678.400000000001</v>
      </c>
      <c r="E252" s="1">
        <v>0</v>
      </c>
      <c r="F252" s="1">
        <v>394705</v>
      </c>
      <c r="G252" s="1">
        <v>34566.199999999997</v>
      </c>
      <c r="H252" s="1">
        <v>364963</v>
      </c>
      <c r="I252" s="1">
        <v>503108</v>
      </c>
      <c r="J252" s="1">
        <v>45819.9</v>
      </c>
      <c r="K252" s="1">
        <v>87681.600000000006</v>
      </c>
      <c r="L252" s="1">
        <v>84779.9</v>
      </c>
      <c r="M252" s="1">
        <v>50982.3</v>
      </c>
      <c r="N252" s="1">
        <v>66056.5</v>
      </c>
      <c r="O252" s="1">
        <v>78286</v>
      </c>
      <c r="P252" s="1">
        <v>51017</v>
      </c>
      <c r="Q252" s="1">
        <v>79448</v>
      </c>
      <c r="R252" s="1">
        <v>0</v>
      </c>
    </row>
    <row r="253" spans="1:18">
      <c r="A253" s="2">
        <v>0.29166666666666669</v>
      </c>
      <c r="B253" s="1">
        <v>166125</v>
      </c>
      <c r="C253" s="1">
        <v>10192</v>
      </c>
      <c r="D253" s="1">
        <v>33690.9</v>
      </c>
      <c r="E253" s="1">
        <v>0</v>
      </c>
      <c r="F253" s="1">
        <v>394719</v>
      </c>
      <c r="G253" s="1">
        <v>34614.199999999997</v>
      </c>
      <c r="H253" s="1">
        <v>364974</v>
      </c>
      <c r="I253" s="1">
        <v>503300</v>
      </c>
      <c r="J253" s="1">
        <v>45828.800000000003</v>
      </c>
      <c r="K253" s="1">
        <v>87683.9</v>
      </c>
      <c r="L253" s="1">
        <v>84798</v>
      </c>
      <c r="M253" s="1">
        <v>51019.8</v>
      </c>
      <c r="N253" s="1">
        <v>66109.399999999994</v>
      </c>
      <c r="O253" s="1">
        <v>78301.399999999994</v>
      </c>
      <c r="P253" s="1">
        <v>51018</v>
      </c>
      <c r="Q253" s="1">
        <v>79449</v>
      </c>
      <c r="R253" s="1">
        <v>0</v>
      </c>
    </row>
    <row r="254" spans="1:18">
      <c r="A254" s="2">
        <v>0.33333333333333331</v>
      </c>
      <c r="B254" s="1">
        <v>166751</v>
      </c>
      <c r="C254" s="1">
        <v>10349</v>
      </c>
      <c r="D254" s="1">
        <v>33703.199999999997</v>
      </c>
      <c r="E254" s="1">
        <v>0</v>
      </c>
      <c r="F254" s="1">
        <v>394734</v>
      </c>
      <c r="G254" s="1">
        <v>34662.199999999997</v>
      </c>
      <c r="H254" s="1">
        <v>364984</v>
      </c>
      <c r="I254" s="1">
        <v>503505</v>
      </c>
      <c r="J254" s="1">
        <v>45838.5</v>
      </c>
      <c r="K254" s="1">
        <v>87684.5</v>
      </c>
      <c r="L254" s="1">
        <v>84816.7</v>
      </c>
      <c r="M254" s="1">
        <v>51057.2</v>
      </c>
      <c r="N254" s="1">
        <v>66159.600000000006</v>
      </c>
      <c r="O254" s="1">
        <v>78316.7</v>
      </c>
      <c r="P254" s="1">
        <v>51019</v>
      </c>
      <c r="Q254" s="1">
        <v>79452</v>
      </c>
      <c r="R254" s="1">
        <v>0</v>
      </c>
    </row>
    <row r="255" spans="1:18">
      <c r="A255" s="2">
        <v>0.375</v>
      </c>
      <c r="B255" s="1">
        <v>167391</v>
      </c>
      <c r="C255" s="1">
        <v>10509</v>
      </c>
      <c r="D255" s="1">
        <v>33715.199999999997</v>
      </c>
      <c r="E255" s="1">
        <v>0</v>
      </c>
      <c r="F255" s="1">
        <v>394750</v>
      </c>
      <c r="G255" s="1">
        <v>34702.699999999997</v>
      </c>
      <c r="H255" s="1">
        <v>364994</v>
      </c>
      <c r="I255" s="1">
        <v>503728</v>
      </c>
      <c r="J255" s="1">
        <v>45849.7</v>
      </c>
      <c r="K255" s="1">
        <v>87684.5</v>
      </c>
      <c r="L255" s="1">
        <v>84835.3</v>
      </c>
      <c r="M255" s="1">
        <v>51098.8</v>
      </c>
      <c r="N255" s="1">
        <v>66206.2</v>
      </c>
      <c r="O255" s="1">
        <v>78333.7</v>
      </c>
      <c r="P255" s="1">
        <v>51025</v>
      </c>
      <c r="Q255" s="1">
        <v>79462</v>
      </c>
      <c r="R255" s="1">
        <v>0</v>
      </c>
    </row>
    <row r="256" spans="1:18">
      <c r="A256" s="2">
        <v>0.41666666666666669</v>
      </c>
      <c r="B256" s="1">
        <v>168055</v>
      </c>
      <c r="C256" s="1">
        <v>10680</v>
      </c>
      <c r="D256" s="1">
        <v>33727.5</v>
      </c>
      <c r="E256" s="1">
        <v>0</v>
      </c>
      <c r="F256" s="1">
        <v>394770</v>
      </c>
      <c r="G256" s="1">
        <v>34740.699999999997</v>
      </c>
      <c r="H256" s="1">
        <v>365004</v>
      </c>
      <c r="I256" s="1">
        <v>503960</v>
      </c>
      <c r="J256" s="1">
        <v>45862</v>
      </c>
      <c r="K256" s="1">
        <v>87684.5</v>
      </c>
      <c r="L256" s="1">
        <v>84854.1</v>
      </c>
      <c r="M256" s="1">
        <v>51141.3</v>
      </c>
      <c r="N256" s="1">
        <v>66250.899999999994</v>
      </c>
      <c r="O256" s="1">
        <v>78350.3</v>
      </c>
      <c r="P256" s="1">
        <v>51033</v>
      </c>
      <c r="Q256" s="1">
        <v>79474</v>
      </c>
      <c r="R256" s="1">
        <v>0</v>
      </c>
    </row>
    <row r="257" spans="1:18">
      <c r="A257" s="2">
        <v>0.45833333333333331</v>
      </c>
      <c r="B257" s="1">
        <v>168751</v>
      </c>
      <c r="C257" s="1">
        <v>10863</v>
      </c>
      <c r="D257" s="1">
        <v>33750.5</v>
      </c>
      <c r="E257" s="1">
        <v>0</v>
      </c>
      <c r="F257" s="1">
        <v>394793</v>
      </c>
      <c r="G257" s="1">
        <v>34771.4</v>
      </c>
      <c r="H257" s="1">
        <v>365014</v>
      </c>
      <c r="I257" s="1">
        <v>504206</v>
      </c>
      <c r="J257" s="1">
        <v>45877.4</v>
      </c>
      <c r="K257" s="1">
        <v>87684.5</v>
      </c>
      <c r="L257" s="1">
        <v>84874.6</v>
      </c>
      <c r="M257" s="1">
        <v>51183.9</v>
      </c>
      <c r="N257" s="1">
        <v>66295.600000000006</v>
      </c>
      <c r="O257" s="1">
        <v>78366.899999999994</v>
      </c>
      <c r="P257" s="1">
        <v>51046</v>
      </c>
      <c r="Q257" s="1">
        <v>79494</v>
      </c>
      <c r="R257" s="1">
        <v>0</v>
      </c>
    </row>
    <row r="258" spans="1:18">
      <c r="A258" s="2">
        <v>0.5</v>
      </c>
      <c r="B258" s="1">
        <v>169441</v>
      </c>
      <c r="C258" s="1">
        <v>11046</v>
      </c>
      <c r="D258" s="1">
        <v>33769</v>
      </c>
      <c r="E258" s="1">
        <v>0</v>
      </c>
      <c r="F258" s="1">
        <v>394818</v>
      </c>
      <c r="G258" s="1">
        <v>34801.599999999999</v>
      </c>
      <c r="H258" s="1">
        <v>365024</v>
      </c>
      <c r="I258" s="1">
        <v>504457</v>
      </c>
      <c r="J258" s="1">
        <v>45891.7</v>
      </c>
      <c r="K258" s="1">
        <v>87684.5</v>
      </c>
      <c r="L258" s="1">
        <v>84895</v>
      </c>
      <c r="M258" s="1">
        <v>51226.8</v>
      </c>
      <c r="N258" s="1">
        <v>66336.800000000003</v>
      </c>
      <c r="O258" s="1">
        <v>78383.199999999997</v>
      </c>
      <c r="P258" s="1">
        <v>51061</v>
      </c>
      <c r="Q258" s="1">
        <v>79516</v>
      </c>
      <c r="R258" s="1">
        <v>0</v>
      </c>
    </row>
    <row r="259" spans="1:18">
      <c r="A259" s="2">
        <v>0.54166666666666663</v>
      </c>
      <c r="B259" s="1">
        <v>170137</v>
      </c>
      <c r="C259" s="1">
        <v>11238</v>
      </c>
      <c r="D259" s="1">
        <v>33785.699999999997</v>
      </c>
      <c r="E259" s="1">
        <v>0</v>
      </c>
      <c r="F259" s="1">
        <v>394844</v>
      </c>
      <c r="G259" s="1">
        <v>34831.800000000003</v>
      </c>
      <c r="H259" s="1">
        <v>365035</v>
      </c>
      <c r="I259" s="1">
        <v>504709</v>
      </c>
      <c r="J259" s="1">
        <v>45906</v>
      </c>
      <c r="K259" s="1">
        <v>87684.5</v>
      </c>
      <c r="L259" s="1">
        <v>84916.1</v>
      </c>
      <c r="M259" s="1">
        <v>51271.4</v>
      </c>
      <c r="N259" s="1">
        <v>66375.899999999994</v>
      </c>
      <c r="O259" s="1">
        <v>78398.899999999994</v>
      </c>
      <c r="P259" s="1">
        <v>51077</v>
      </c>
      <c r="Q259" s="1">
        <v>79541</v>
      </c>
      <c r="R259" s="1">
        <v>0</v>
      </c>
    </row>
    <row r="260" spans="1:18">
      <c r="A260" s="2">
        <v>0.58333333333333337</v>
      </c>
      <c r="B260" s="1">
        <v>170880</v>
      </c>
      <c r="C260" s="1">
        <v>11435</v>
      </c>
      <c r="D260" s="1">
        <v>33803.4</v>
      </c>
      <c r="E260" s="1">
        <v>0</v>
      </c>
      <c r="F260" s="1">
        <v>394867</v>
      </c>
      <c r="G260" s="1">
        <v>34880.699999999997</v>
      </c>
      <c r="H260" s="1">
        <v>365045</v>
      </c>
      <c r="I260" s="1">
        <v>504972</v>
      </c>
      <c r="J260" s="1">
        <v>45920.4</v>
      </c>
      <c r="K260" s="1">
        <v>87684.5</v>
      </c>
      <c r="L260" s="1">
        <v>84943.3</v>
      </c>
      <c r="M260" s="1">
        <v>51318.8</v>
      </c>
      <c r="N260" s="1">
        <v>66415.399999999994</v>
      </c>
      <c r="O260" s="1">
        <v>78415.100000000006</v>
      </c>
      <c r="P260" s="1">
        <v>51093</v>
      </c>
      <c r="Q260" s="1">
        <v>79565</v>
      </c>
      <c r="R260" s="1">
        <v>0</v>
      </c>
    </row>
    <row r="261" spans="1:18">
      <c r="A261" s="2">
        <v>0.625</v>
      </c>
      <c r="B261" s="1">
        <v>171647</v>
      </c>
      <c r="C261" s="1">
        <v>11633</v>
      </c>
      <c r="D261" s="1">
        <v>33825.9</v>
      </c>
      <c r="E261" s="1">
        <v>0</v>
      </c>
      <c r="F261" s="1">
        <v>394890</v>
      </c>
      <c r="G261" s="1">
        <v>34940</v>
      </c>
      <c r="H261" s="1">
        <v>365057</v>
      </c>
      <c r="I261" s="1">
        <v>505238</v>
      </c>
      <c r="J261" s="1">
        <v>45932.9</v>
      </c>
      <c r="K261" s="1">
        <v>87684.5</v>
      </c>
      <c r="L261" s="1">
        <v>84970.1</v>
      </c>
      <c r="M261" s="1">
        <v>51367</v>
      </c>
      <c r="N261" s="1">
        <v>66456.399999999994</v>
      </c>
      <c r="O261" s="1">
        <v>78432</v>
      </c>
      <c r="P261" s="1">
        <v>51108</v>
      </c>
      <c r="Q261" s="1">
        <v>79588</v>
      </c>
      <c r="R261" s="1">
        <v>0</v>
      </c>
    </row>
    <row r="262" spans="1:18">
      <c r="A262" s="2">
        <v>0.66666666666666663</v>
      </c>
      <c r="B262" s="1">
        <v>172418</v>
      </c>
      <c r="C262" s="1">
        <v>11834</v>
      </c>
      <c r="D262" s="1">
        <v>33849.1</v>
      </c>
      <c r="E262" s="1">
        <v>0</v>
      </c>
      <c r="F262" s="1">
        <v>394913</v>
      </c>
      <c r="G262" s="1">
        <v>34999.199999999997</v>
      </c>
      <c r="H262" s="1">
        <v>365067</v>
      </c>
      <c r="I262" s="1">
        <v>505498</v>
      </c>
      <c r="J262" s="1">
        <v>45946.8</v>
      </c>
      <c r="K262" s="1">
        <v>87684.5</v>
      </c>
      <c r="L262" s="1">
        <v>84995.5</v>
      </c>
      <c r="M262" s="1">
        <v>51414.3</v>
      </c>
      <c r="N262" s="1">
        <v>66500.100000000006</v>
      </c>
      <c r="O262" s="1">
        <v>78448.899999999994</v>
      </c>
      <c r="P262" s="1">
        <v>51120</v>
      </c>
      <c r="Q262" s="1">
        <v>79607</v>
      </c>
      <c r="R262" s="1">
        <v>0</v>
      </c>
    </row>
    <row r="263" spans="1:18">
      <c r="A263" s="2">
        <v>0.70833333333333337</v>
      </c>
      <c r="B263" s="1">
        <v>173192</v>
      </c>
      <c r="C263" s="1">
        <v>12031</v>
      </c>
      <c r="D263" s="1">
        <v>33869</v>
      </c>
      <c r="E263" s="1">
        <v>0</v>
      </c>
      <c r="F263" s="1">
        <v>394940</v>
      </c>
      <c r="G263" s="1">
        <v>35063.1</v>
      </c>
      <c r="H263" s="1">
        <v>365078</v>
      </c>
      <c r="I263" s="1">
        <v>505754</v>
      </c>
      <c r="J263" s="1">
        <v>45962</v>
      </c>
      <c r="K263" s="1">
        <v>87684.5</v>
      </c>
      <c r="L263" s="1">
        <v>85016</v>
      </c>
      <c r="M263" s="1">
        <v>51459.4</v>
      </c>
      <c r="N263" s="1">
        <v>66548</v>
      </c>
      <c r="O263" s="1">
        <v>78466.2</v>
      </c>
      <c r="P263" s="1">
        <v>51129</v>
      </c>
      <c r="Q263" s="1">
        <v>79620</v>
      </c>
      <c r="R263" s="1">
        <v>0</v>
      </c>
    </row>
    <row r="264" spans="1:18">
      <c r="A264" s="2">
        <v>0.75</v>
      </c>
      <c r="B264" s="1">
        <v>173956</v>
      </c>
      <c r="C264" s="1">
        <v>12225</v>
      </c>
      <c r="D264" s="1">
        <v>33883.5</v>
      </c>
      <c r="E264" s="1">
        <v>0</v>
      </c>
      <c r="F264" s="1">
        <v>394967</v>
      </c>
      <c r="G264" s="1">
        <v>35136.699999999997</v>
      </c>
      <c r="H264" s="1">
        <v>365090</v>
      </c>
      <c r="I264" s="1">
        <v>505997</v>
      </c>
      <c r="J264" s="1">
        <v>45975.3</v>
      </c>
      <c r="K264" s="1">
        <v>87685.3</v>
      </c>
      <c r="L264" s="1">
        <v>85035.4</v>
      </c>
      <c r="M264" s="1">
        <v>51503.4</v>
      </c>
      <c r="N264" s="1">
        <v>66600.600000000006</v>
      </c>
      <c r="O264" s="1">
        <v>78482.899999999994</v>
      </c>
      <c r="P264" s="1">
        <v>51132</v>
      </c>
      <c r="Q264" s="1">
        <v>79625</v>
      </c>
      <c r="R264" s="1">
        <v>0</v>
      </c>
    </row>
    <row r="265" spans="1:18">
      <c r="A265" s="2">
        <v>0.79166666666666663</v>
      </c>
      <c r="B265" s="1">
        <v>174679</v>
      </c>
      <c r="C265" s="1">
        <v>12406</v>
      </c>
      <c r="D265" s="1">
        <v>33896.800000000003</v>
      </c>
      <c r="E265" s="1">
        <v>0</v>
      </c>
      <c r="F265" s="1">
        <v>394989</v>
      </c>
      <c r="G265" s="1">
        <v>35210.199999999997</v>
      </c>
      <c r="H265" s="1">
        <v>365101</v>
      </c>
      <c r="I265" s="1">
        <v>506223</v>
      </c>
      <c r="J265" s="1">
        <v>45985.9</v>
      </c>
      <c r="K265" s="1">
        <v>87687.7</v>
      </c>
      <c r="L265" s="1">
        <v>85054.399999999994</v>
      </c>
      <c r="M265" s="1">
        <v>51545.7</v>
      </c>
      <c r="N265" s="1">
        <v>66655.3</v>
      </c>
      <c r="O265" s="1">
        <v>78498.399999999994</v>
      </c>
      <c r="P265" s="1">
        <v>51132</v>
      </c>
      <c r="Q265" s="1">
        <v>79625</v>
      </c>
      <c r="R265" s="1">
        <v>0</v>
      </c>
    </row>
    <row r="266" spans="1:18">
      <c r="A266" s="2">
        <v>0.83333333333333337</v>
      </c>
      <c r="B266" s="1">
        <v>175382</v>
      </c>
      <c r="C266" s="1">
        <v>12576</v>
      </c>
      <c r="D266" s="1">
        <v>33909.9</v>
      </c>
      <c r="E266" s="1">
        <v>0</v>
      </c>
      <c r="F266" s="1">
        <v>395009</v>
      </c>
      <c r="G266" s="1">
        <v>35273.300000000003</v>
      </c>
      <c r="H266" s="1">
        <v>365112</v>
      </c>
      <c r="I266" s="1">
        <v>506450</v>
      </c>
      <c r="J266" s="1">
        <v>45996.5</v>
      </c>
      <c r="K266" s="1">
        <v>87691</v>
      </c>
      <c r="L266" s="1">
        <v>85074.5</v>
      </c>
      <c r="M266" s="1">
        <v>51585.2</v>
      </c>
      <c r="N266" s="1">
        <v>66711.199999999997</v>
      </c>
      <c r="O266" s="1">
        <v>78514.899999999994</v>
      </c>
      <c r="P266" s="1">
        <v>51132</v>
      </c>
      <c r="Q266" s="1">
        <v>79625</v>
      </c>
      <c r="R266" s="1">
        <v>0</v>
      </c>
    </row>
    <row r="267" spans="1:18">
      <c r="A267" s="2">
        <v>0.875</v>
      </c>
      <c r="B267" s="1">
        <v>176072</v>
      </c>
      <c r="C267" s="1">
        <v>12744</v>
      </c>
      <c r="D267" s="1">
        <v>33923.4</v>
      </c>
      <c r="E267" s="1">
        <v>0</v>
      </c>
      <c r="F267" s="1">
        <v>395029</v>
      </c>
      <c r="G267" s="1">
        <v>35334.5</v>
      </c>
      <c r="H267" s="1">
        <v>365122</v>
      </c>
      <c r="I267" s="1">
        <v>506666</v>
      </c>
      <c r="J267" s="1">
        <v>46006.6</v>
      </c>
      <c r="K267" s="1">
        <v>87694.5</v>
      </c>
      <c r="L267" s="1">
        <v>85097.5</v>
      </c>
      <c r="M267" s="1">
        <v>51624.3</v>
      </c>
      <c r="N267" s="1">
        <v>66766.600000000006</v>
      </c>
      <c r="O267" s="1">
        <v>78532.3</v>
      </c>
      <c r="P267" s="1">
        <v>51132</v>
      </c>
      <c r="Q267" s="1">
        <v>79625</v>
      </c>
      <c r="R267" s="1">
        <v>0</v>
      </c>
    </row>
    <row r="268" spans="1:18">
      <c r="A268" s="2">
        <v>0.91666666666666663</v>
      </c>
      <c r="B268" s="1">
        <v>176750</v>
      </c>
      <c r="C268" s="1">
        <v>12908</v>
      </c>
      <c r="D268" s="1">
        <v>33936.300000000003</v>
      </c>
      <c r="E268" s="1">
        <v>0</v>
      </c>
      <c r="F268" s="1">
        <v>395049</v>
      </c>
      <c r="G268" s="1">
        <v>35394.800000000003</v>
      </c>
      <c r="H268" s="1">
        <v>365134</v>
      </c>
      <c r="I268" s="1">
        <v>506878</v>
      </c>
      <c r="J268" s="1">
        <v>46016.7</v>
      </c>
      <c r="K268" s="1">
        <v>87697.5</v>
      </c>
      <c r="L268" s="1">
        <v>85119.8</v>
      </c>
      <c r="M268" s="1">
        <v>51664.1</v>
      </c>
      <c r="N268" s="1">
        <v>66821.600000000006</v>
      </c>
      <c r="O268" s="1">
        <v>78549.5</v>
      </c>
      <c r="P268" s="1">
        <v>51132</v>
      </c>
      <c r="Q268" s="1">
        <v>79625</v>
      </c>
      <c r="R268" s="1">
        <v>0</v>
      </c>
    </row>
    <row r="269" spans="1:18">
      <c r="A269" s="2">
        <v>0.95833333333333337</v>
      </c>
      <c r="B269" s="1">
        <v>177419</v>
      </c>
      <c r="C269" s="1">
        <v>13072</v>
      </c>
      <c r="D269" s="1">
        <v>33949.199999999997</v>
      </c>
      <c r="E269" s="1">
        <v>0</v>
      </c>
      <c r="F269" s="1">
        <v>395068</v>
      </c>
      <c r="G269" s="1">
        <v>35453.800000000003</v>
      </c>
      <c r="H269" s="1">
        <v>365145</v>
      </c>
      <c r="I269" s="1">
        <v>507089</v>
      </c>
      <c r="J269" s="1">
        <v>46026.8</v>
      </c>
      <c r="K269" s="1">
        <v>87700.5</v>
      </c>
      <c r="L269" s="1">
        <v>85141.3</v>
      </c>
      <c r="M269" s="1">
        <v>51703.199999999997</v>
      </c>
      <c r="N269" s="1">
        <v>66875.7</v>
      </c>
      <c r="O269" s="1">
        <v>78566.5</v>
      </c>
      <c r="P269" s="1">
        <v>51132</v>
      </c>
      <c r="Q269" s="1">
        <v>79625</v>
      </c>
      <c r="R269" s="1">
        <v>0</v>
      </c>
    </row>
    <row r="270" spans="1:18">
      <c r="A270" s="2">
        <v>0</v>
      </c>
      <c r="B270" s="1">
        <v>178077</v>
      </c>
      <c r="C270" s="1">
        <v>13235</v>
      </c>
      <c r="D270" s="1">
        <v>33961.699999999997</v>
      </c>
      <c r="E270" s="1">
        <v>0</v>
      </c>
      <c r="F270" s="1">
        <v>395086</v>
      </c>
      <c r="G270" s="1">
        <v>35509.199999999997</v>
      </c>
      <c r="H270" s="1">
        <v>365155</v>
      </c>
      <c r="I270" s="1">
        <v>507295</v>
      </c>
      <c r="J270" s="1">
        <v>46036.6</v>
      </c>
      <c r="K270" s="1">
        <v>87703.3</v>
      </c>
      <c r="L270" s="1">
        <v>85163.5</v>
      </c>
      <c r="M270" s="1">
        <v>51741.599999999999</v>
      </c>
      <c r="N270" s="1">
        <v>66930.5</v>
      </c>
      <c r="O270" s="1">
        <v>78583.5</v>
      </c>
      <c r="P270" s="1">
        <v>51132</v>
      </c>
      <c r="Q270" s="1">
        <v>79625</v>
      </c>
      <c r="R270" s="1">
        <v>0</v>
      </c>
    </row>
    <row r="271" spans="1:18">
      <c r="A271" s="2">
        <v>4.1666666666666664E-2</v>
      </c>
      <c r="B271" s="1">
        <v>178721</v>
      </c>
      <c r="C271" s="1">
        <v>13388</v>
      </c>
      <c r="D271" s="1">
        <v>33974.5</v>
      </c>
      <c r="E271" s="1">
        <v>0</v>
      </c>
      <c r="F271" s="1">
        <v>395102</v>
      </c>
      <c r="G271" s="1">
        <v>35563.4</v>
      </c>
      <c r="H271" s="1">
        <v>365165</v>
      </c>
      <c r="I271" s="1">
        <v>507502</v>
      </c>
      <c r="J271" s="1">
        <v>46046.2</v>
      </c>
      <c r="K271" s="1">
        <v>87706.2</v>
      </c>
      <c r="L271" s="1">
        <v>85185.5</v>
      </c>
      <c r="M271" s="1">
        <v>51779.5</v>
      </c>
      <c r="N271" s="1">
        <v>66985.100000000006</v>
      </c>
      <c r="O271" s="1">
        <v>78598.899999999994</v>
      </c>
      <c r="P271" s="1">
        <v>51132</v>
      </c>
      <c r="Q271" s="1">
        <v>79625</v>
      </c>
      <c r="R271" s="1">
        <v>0</v>
      </c>
    </row>
    <row r="272" spans="1:18">
      <c r="A272" s="2">
        <v>8.3333333333333329E-2</v>
      </c>
      <c r="B272" s="1">
        <v>179359</v>
      </c>
      <c r="C272" s="1">
        <v>13541</v>
      </c>
      <c r="D272" s="1">
        <v>33986.699999999997</v>
      </c>
      <c r="E272" s="1">
        <v>0</v>
      </c>
      <c r="F272" s="1">
        <v>395119</v>
      </c>
      <c r="G272" s="1">
        <v>35617.4</v>
      </c>
      <c r="H272" s="1">
        <v>365176</v>
      </c>
      <c r="I272" s="1">
        <v>507704</v>
      </c>
      <c r="J272" s="1">
        <v>46055.9</v>
      </c>
      <c r="K272" s="1">
        <v>87709.1</v>
      </c>
      <c r="L272" s="1">
        <v>85207.3</v>
      </c>
      <c r="M272" s="1">
        <v>51817.5</v>
      </c>
      <c r="N272" s="1">
        <v>67039.399999999994</v>
      </c>
      <c r="O272" s="1">
        <v>78615.8</v>
      </c>
      <c r="P272" s="1">
        <v>51132</v>
      </c>
      <c r="Q272" s="1">
        <v>79625</v>
      </c>
      <c r="R272" s="1">
        <v>0</v>
      </c>
    </row>
    <row r="273" spans="1:18">
      <c r="A273" s="2">
        <v>0.125</v>
      </c>
      <c r="B273" s="1">
        <v>179987</v>
      </c>
      <c r="C273" s="1">
        <v>13691</v>
      </c>
      <c r="D273" s="1">
        <v>33999.4</v>
      </c>
      <c r="E273" s="1">
        <v>0</v>
      </c>
      <c r="F273" s="1">
        <v>395135</v>
      </c>
      <c r="G273" s="1">
        <v>35670.5</v>
      </c>
      <c r="H273" s="1">
        <v>365186</v>
      </c>
      <c r="I273" s="1">
        <v>507903</v>
      </c>
      <c r="J273" s="1">
        <v>46065.3</v>
      </c>
      <c r="K273" s="1">
        <v>87712</v>
      </c>
      <c r="L273" s="1">
        <v>85227.5</v>
      </c>
      <c r="M273" s="1">
        <v>51855.6</v>
      </c>
      <c r="N273" s="1">
        <v>67093.7</v>
      </c>
      <c r="O273" s="1">
        <v>78632</v>
      </c>
      <c r="P273" s="1">
        <v>51132</v>
      </c>
      <c r="Q273" s="1">
        <v>79625</v>
      </c>
      <c r="R273" s="1">
        <v>0</v>
      </c>
    </row>
    <row r="274" spans="1:18">
      <c r="A274" s="2">
        <v>0.16666666666666666</v>
      </c>
      <c r="B274" s="1">
        <v>180611</v>
      </c>
      <c r="C274" s="1">
        <v>13840</v>
      </c>
      <c r="D274" s="1">
        <v>34012.199999999997</v>
      </c>
      <c r="E274" s="1">
        <v>0</v>
      </c>
      <c r="F274" s="1">
        <v>395150</v>
      </c>
      <c r="G274" s="1">
        <v>35723.699999999997</v>
      </c>
      <c r="H274" s="1">
        <v>365196</v>
      </c>
      <c r="I274" s="1">
        <v>508100</v>
      </c>
      <c r="J274" s="1">
        <v>46074.5</v>
      </c>
      <c r="K274" s="1">
        <v>87714.9</v>
      </c>
      <c r="L274" s="1">
        <v>85247.3</v>
      </c>
      <c r="M274" s="1">
        <v>51893.5</v>
      </c>
      <c r="N274" s="1">
        <v>67148.100000000006</v>
      </c>
      <c r="O274" s="1">
        <v>78647.8</v>
      </c>
      <c r="P274" s="1">
        <v>51132</v>
      </c>
      <c r="Q274" s="1">
        <v>79625</v>
      </c>
      <c r="R274" s="1">
        <v>0</v>
      </c>
    </row>
    <row r="275" spans="1:18">
      <c r="A275" s="2">
        <v>0.20833333333333334</v>
      </c>
      <c r="B275" s="1">
        <v>181227</v>
      </c>
      <c r="C275" s="1">
        <v>13986</v>
      </c>
      <c r="D275" s="1">
        <v>34025.5</v>
      </c>
      <c r="E275" s="1">
        <v>0</v>
      </c>
      <c r="F275" s="1">
        <v>395166</v>
      </c>
      <c r="G275" s="1">
        <v>35775.800000000003</v>
      </c>
      <c r="H275" s="1">
        <v>365207</v>
      </c>
      <c r="I275" s="1">
        <v>508293</v>
      </c>
      <c r="J275" s="1">
        <v>46083.7</v>
      </c>
      <c r="K275" s="1">
        <v>87717.7</v>
      </c>
      <c r="L275" s="1">
        <v>85266.5</v>
      </c>
      <c r="M275" s="1">
        <v>51931</v>
      </c>
      <c r="N275" s="1">
        <v>67202.899999999994</v>
      </c>
      <c r="O275" s="1">
        <v>78664.399999999994</v>
      </c>
      <c r="P275" s="1">
        <v>51132</v>
      </c>
      <c r="Q275" s="1">
        <v>79625</v>
      </c>
      <c r="R275" s="1">
        <v>0</v>
      </c>
    </row>
    <row r="276" spans="1:18">
      <c r="A276" s="2">
        <v>0.25</v>
      </c>
      <c r="B276" s="1">
        <v>181837</v>
      </c>
      <c r="C276" s="1">
        <v>14132</v>
      </c>
      <c r="D276" s="1">
        <v>34037.5</v>
      </c>
      <c r="E276" s="1">
        <v>0</v>
      </c>
      <c r="F276" s="1">
        <v>395182</v>
      </c>
      <c r="G276" s="1">
        <v>35828.300000000003</v>
      </c>
      <c r="H276" s="1">
        <v>365218</v>
      </c>
      <c r="I276" s="1">
        <v>508483</v>
      </c>
      <c r="J276" s="1">
        <v>46092.5</v>
      </c>
      <c r="K276" s="1">
        <v>87720.4</v>
      </c>
      <c r="L276" s="1">
        <v>85285.1</v>
      </c>
      <c r="M276" s="1">
        <v>51968.2</v>
      </c>
      <c r="N276" s="1">
        <v>67257.100000000006</v>
      </c>
      <c r="O276" s="1">
        <v>78680.2</v>
      </c>
      <c r="P276" s="1">
        <v>51132</v>
      </c>
      <c r="Q276" s="1">
        <v>79625</v>
      </c>
      <c r="R276" s="1">
        <v>0</v>
      </c>
    </row>
    <row r="277" spans="1:18">
      <c r="A277" s="2">
        <v>0.29166666666666669</v>
      </c>
      <c r="B277" s="1">
        <v>182446</v>
      </c>
      <c r="C277" s="1">
        <v>14278</v>
      </c>
      <c r="D277" s="1">
        <v>34050</v>
      </c>
      <c r="E277" s="1">
        <v>0</v>
      </c>
      <c r="F277" s="1">
        <v>395198</v>
      </c>
      <c r="G277" s="1">
        <v>35880.1</v>
      </c>
      <c r="H277" s="1">
        <v>365229</v>
      </c>
      <c r="I277" s="1">
        <v>508674</v>
      </c>
      <c r="J277" s="1">
        <v>46101.3</v>
      </c>
      <c r="K277" s="1">
        <v>87722.5</v>
      </c>
      <c r="L277" s="1">
        <v>85303.7</v>
      </c>
      <c r="M277" s="1">
        <v>52005.8</v>
      </c>
      <c r="N277" s="1">
        <v>67310.600000000006</v>
      </c>
      <c r="O277" s="1">
        <v>78695.600000000006</v>
      </c>
      <c r="P277" s="1">
        <v>51133</v>
      </c>
      <c r="Q277" s="1">
        <v>79626</v>
      </c>
      <c r="R277" s="1">
        <v>0</v>
      </c>
    </row>
    <row r="278" spans="1:18">
      <c r="A278" s="2">
        <v>0.33333333333333331</v>
      </c>
      <c r="B278" s="1">
        <v>183080</v>
      </c>
      <c r="C278" s="1">
        <v>14435</v>
      </c>
      <c r="D278" s="1">
        <v>34062.1</v>
      </c>
      <c r="E278" s="1">
        <v>0</v>
      </c>
      <c r="F278" s="1">
        <v>395215</v>
      </c>
      <c r="G278" s="1">
        <v>35931.800000000003</v>
      </c>
      <c r="H278" s="1">
        <v>365239</v>
      </c>
      <c r="I278" s="1">
        <v>508878</v>
      </c>
      <c r="J278" s="1">
        <v>46111.1</v>
      </c>
      <c r="K278" s="1">
        <v>87722.9</v>
      </c>
      <c r="L278" s="1">
        <v>85322.9</v>
      </c>
      <c r="M278" s="1">
        <v>52044.3</v>
      </c>
      <c r="N278" s="1">
        <v>67361.2</v>
      </c>
      <c r="O278" s="1">
        <v>78711.100000000006</v>
      </c>
      <c r="P278" s="1">
        <v>51134</v>
      </c>
      <c r="Q278" s="1">
        <v>79630</v>
      </c>
      <c r="R278" s="1">
        <v>0</v>
      </c>
    </row>
    <row r="279" spans="1:18">
      <c r="A279" s="2">
        <v>0.375</v>
      </c>
      <c r="B279" s="1">
        <v>183735</v>
      </c>
      <c r="C279" s="1">
        <v>14596</v>
      </c>
      <c r="D279" s="1">
        <v>34074.199999999997</v>
      </c>
      <c r="E279" s="1">
        <v>0</v>
      </c>
      <c r="F279" s="1">
        <v>395234</v>
      </c>
      <c r="G279" s="1">
        <v>35978.5</v>
      </c>
      <c r="H279" s="1">
        <v>365249</v>
      </c>
      <c r="I279" s="1">
        <v>509093</v>
      </c>
      <c r="J279" s="1">
        <v>46121.5</v>
      </c>
      <c r="K279" s="1">
        <v>87722.9</v>
      </c>
      <c r="L279" s="1">
        <v>85341.6</v>
      </c>
      <c r="M279" s="1">
        <v>52089.1</v>
      </c>
      <c r="N279" s="1">
        <v>67409.7</v>
      </c>
      <c r="O279" s="1">
        <v>78728.2</v>
      </c>
      <c r="P279" s="1">
        <v>51138</v>
      </c>
      <c r="Q279" s="1">
        <v>79638</v>
      </c>
      <c r="R279" s="1">
        <v>0</v>
      </c>
    </row>
    <row r="280" spans="1:18">
      <c r="A280" s="2">
        <v>0.41666666666666669</v>
      </c>
      <c r="B280" s="1">
        <v>184393</v>
      </c>
      <c r="C280" s="1">
        <v>14762</v>
      </c>
      <c r="D280" s="1">
        <v>34090.6</v>
      </c>
      <c r="E280" s="1">
        <v>0</v>
      </c>
      <c r="F280" s="1">
        <v>395256</v>
      </c>
      <c r="G280" s="1">
        <v>36015.199999999997</v>
      </c>
      <c r="H280" s="1">
        <v>365260</v>
      </c>
      <c r="I280" s="1">
        <v>509324</v>
      </c>
      <c r="J280" s="1">
        <v>46132</v>
      </c>
      <c r="K280" s="1">
        <v>87722.9</v>
      </c>
      <c r="L280" s="1">
        <v>85360.3</v>
      </c>
      <c r="M280" s="1">
        <v>52131.6</v>
      </c>
      <c r="N280" s="1">
        <v>67453.899999999994</v>
      </c>
      <c r="O280" s="1">
        <v>78745.2</v>
      </c>
      <c r="P280" s="1">
        <v>51148</v>
      </c>
      <c r="Q280" s="1">
        <v>79653</v>
      </c>
      <c r="R280" s="1">
        <v>0</v>
      </c>
    </row>
    <row r="281" spans="1:18">
      <c r="A281" s="2">
        <v>0.45833333333333331</v>
      </c>
      <c r="B281" s="1">
        <v>185076</v>
      </c>
      <c r="C281" s="1">
        <v>14933</v>
      </c>
      <c r="D281" s="1">
        <v>34111.4</v>
      </c>
      <c r="E281" s="1">
        <v>0</v>
      </c>
      <c r="F281" s="1">
        <v>395280</v>
      </c>
      <c r="G281" s="1">
        <v>36051.800000000003</v>
      </c>
      <c r="H281" s="1">
        <v>365271</v>
      </c>
      <c r="I281" s="1">
        <v>509568</v>
      </c>
      <c r="J281" s="1">
        <v>46145</v>
      </c>
      <c r="K281" s="1">
        <v>87722.9</v>
      </c>
      <c r="L281" s="1">
        <v>85381.3</v>
      </c>
      <c r="M281" s="1">
        <v>52174.2</v>
      </c>
      <c r="N281" s="1">
        <v>67495.399999999994</v>
      </c>
      <c r="O281" s="1">
        <v>78762.100000000006</v>
      </c>
      <c r="P281" s="1">
        <v>51161</v>
      </c>
      <c r="Q281" s="1">
        <v>79673</v>
      </c>
      <c r="R281" s="1">
        <v>0</v>
      </c>
    </row>
    <row r="282" spans="1:18">
      <c r="A282" s="2">
        <v>0.5</v>
      </c>
      <c r="B282" s="1">
        <v>185778</v>
      </c>
      <c r="C282" s="1">
        <v>15118</v>
      </c>
      <c r="D282" s="1">
        <v>34131</v>
      </c>
      <c r="E282" s="1">
        <v>0</v>
      </c>
      <c r="F282" s="1">
        <v>395307</v>
      </c>
      <c r="G282" s="1">
        <v>36083</v>
      </c>
      <c r="H282" s="1">
        <v>365282</v>
      </c>
      <c r="I282" s="1">
        <v>509822</v>
      </c>
      <c r="J282" s="1">
        <v>46158.7</v>
      </c>
      <c r="K282" s="1">
        <v>87722.9</v>
      </c>
      <c r="L282" s="1">
        <v>85402</v>
      </c>
      <c r="M282" s="1">
        <v>52217.5</v>
      </c>
      <c r="N282" s="1">
        <v>67535.8</v>
      </c>
      <c r="O282" s="1">
        <v>78778.5</v>
      </c>
      <c r="P282" s="1">
        <v>51176</v>
      </c>
      <c r="Q282" s="1">
        <v>79696</v>
      </c>
      <c r="R282" s="1">
        <v>0</v>
      </c>
    </row>
    <row r="283" spans="1:18">
      <c r="A283" s="2">
        <v>0.54166666666666663</v>
      </c>
      <c r="B283" s="1">
        <v>186501</v>
      </c>
      <c r="C283" s="1">
        <v>15305</v>
      </c>
      <c r="D283" s="1">
        <v>34153.5</v>
      </c>
      <c r="E283" s="1">
        <v>0</v>
      </c>
      <c r="F283" s="1">
        <v>395333</v>
      </c>
      <c r="G283" s="1">
        <v>36115.699999999997</v>
      </c>
      <c r="H283" s="1">
        <v>365292</v>
      </c>
      <c r="I283" s="1">
        <v>510086</v>
      </c>
      <c r="J283" s="1">
        <v>46173.1</v>
      </c>
      <c r="K283" s="1">
        <v>87722.9</v>
      </c>
      <c r="L283" s="1">
        <v>85423.4</v>
      </c>
      <c r="M283" s="1">
        <v>52263.199999999997</v>
      </c>
      <c r="N283" s="1">
        <v>67574.899999999994</v>
      </c>
      <c r="O283" s="1">
        <v>78794.899999999994</v>
      </c>
      <c r="P283" s="1">
        <v>51192</v>
      </c>
      <c r="Q283" s="1">
        <v>79720</v>
      </c>
      <c r="R283" s="1">
        <v>0</v>
      </c>
    </row>
    <row r="284" spans="1:18">
      <c r="A284" s="2">
        <v>0.58333333333333337</v>
      </c>
      <c r="B284" s="1">
        <v>187274</v>
      </c>
      <c r="C284" s="1">
        <v>15508</v>
      </c>
      <c r="D284" s="1">
        <v>34187.699999999997</v>
      </c>
      <c r="E284" s="1">
        <v>0</v>
      </c>
      <c r="F284" s="1">
        <v>395363</v>
      </c>
      <c r="G284" s="1">
        <v>36156.400000000001</v>
      </c>
      <c r="H284" s="1">
        <v>365304</v>
      </c>
      <c r="I284" s="1">
        <v>510354</v>
      </c>
      <c r="J284" s="1">
        <v>46187.1</v>
      </c>
      <c r="K284" s="1">
        <v>87722.9</v>
      </c>
      <c r="L284" s="1">
        <v>85447.3</v>
      </c>
      <c r="M284" s="1">
        <v>52311</v>
      </c>
      <c r="N284" s="1">
        <v>67614.5</v>
      </c>
      <c r="O284" s="1">
        <v>78811.7</v>
      </c>
      <c r="P284" s="1">
        <v>51207</v>
      </c>
      <c r="Q284" s="1">
        <v>79743</v>
      </c>
      <c r="R284" s="1">
        <v>0</v>
      </c>
    </row>
    <row r="285" spans="1:18">
      <c r="A285" s="2">
        <v>0.625</v>
      </c>
      <c r="B285" s="1">
        <v>188085</v>
      </c>
      <c r="C285" s="1">
        <v>15729</v>
      </c>
      <c r="D285" s="1">
        <v>34217.699999999997</v>
      </c>
      <c r="E285" s="1">
        <v>0</v>
      </c>
      <c r="F285" s="1">
        <v>395393</v>
      </c>
      <c r="G285" s="1">
        <v>36206.400000000001</v>
      </c>
      <c r="H285" s="1">
        <v>365315</v>
      </c>
      <c r="I285" s="1">
        <v>510634</v>
      </c>
      <c r="J285" s="1">
        <v>46200.9</v>
      </c>
      <c r="K285" s="1">
        <v>87722.9</v>
      </c>
      <c r="L285" s="1">
        <v>85471.9</v>
      </c>
      <c r="M285" s="1">
        <v>52359.8</v>
      </c>
      <c r="N285" s="1">
        <v>67655.199999999997</v>
      </c>
      <c r="O285" s="1">
        <v>78829.100000000006</v>
      </c>
      <c r="P285" s="1">
        <v>51222</v>
      </c>
      <c r="Q285" s="1">
        <v>79765</v>
      </c>
      <c r="R285" s="1">
        <v>0</v>
      </c>
    </row>
    <row r="286" spans="1:18">
      <c r="A286" s="2">
        <v>0.66666666666666663</v>
      </c>
      <c r="B286" s="1">
        <v>188925</v>
      </c>
      <c r="C286" s="1">
        <v>15952</v>
      </c>
      <c r="D286" s="1">
        <v>34250.5</v>
      </c>
      <c r="E286" s="1">
        <v>0</v>
      </c>
      <c r="F286" s="1">
        <v>395423</v>
      </c>
      <c r="G286" s="1">
        <v>36265.4</v>
      </c>
      <c r="H286" s="1">
        <v>365327</v>
      </c>
      <c r="I286" s="1">
        <v>510923</v>
      </c>
      <c r="J286" s="1">
        <v>46215.199999999997</v>
      </c>
      <c r="K286" s="1">
        <v>87722.9</v>
      </c>
      <c r="L286" s="1">
        <v>85495</v>
      </c>
      <c r="M286" s="1">
        <v>52409.8</v>
      </c>
      <c r="N286" s="1">
        <v>67699.100000000006</v>
      </c>
      <c r="O286" s="1">
        <v>78847</v>
      </c>
      <c r="P286" s="1">
        <v>51235</v>
      </c>
      <c r="Q286" s="1">
        <v>79785</v>
      </c>
      <c r="R286" s="1">
        <v>0</v>
      </c>
    </row>
    <row r="287" spans="1:18">
      <c r="A287" s="2">
        <v>0.70833333333333337</v>
      </c>
      <c r="B287" s="1">
        <v>189760</v>
      </c>
      <c r="C287" s="1">
        <v>16166</v>
      </c>
      <c r="D287" s="1">
        <v>34278.9</v>
      </c>
      <c r="E287" s="1">
        <v>0</v>
      </c>
      <c r="F287" s="1">
        <v>395449</v>
      </c>
      <c r="G287" s="1">
        <v>36328.9</v>
      </c>
      <c r="H287" s="1">
        <v>365338</v>
      </c>
      <c r="I287" s="1">
        <v>511208</v>
      </c>
      <c r="J287" s="1">
        <v>46228.9</v>
      </c>
      <c r="K287" s="1">
        <v>87722.9</v>
      </c>
      <c r="L287" s="1">
        <v>85516.800000000003</v>
      </c>
      <c r="M287" s="1">
        <v>52459.6</v>
      </c>
      <c r="N287" s="1">
        <v>67746.7</v>
      </c>
      <c r="O287" s="1">
        <v>78865.8</v>
      </c>
      <c r="P287" s="1">
        <v>51244</v>
      </c>
      <c r="Q287" s="1">
        <v>79799</v>
      </c>
      <c r="R287" s="1">
        <v>0</v>
      </c>
    </row>
    <row r="288" spans="1:18">
      <c r="A288" s="2">
        <v>0.75</v>
      </c>
      <c r="B288" s="1">
        <v>190571</v>
      </c>
      <c r="C288" s="1">
        <v>16373</v>
      </c>
      <c r="D288" s="1">
        <v>34302.699999999997</v>
      </c>
      <c r="E288" s="1">
        <v>0</v>
      </c>
      <c r="F288" s="1">
        <v>395474</v>
      </c>
      <c r="G288" s="1">
        <v>36395.599999999999</v>
      </c>
      <c r="H288" s="1">
        <v>365349</v>
      </c>
      <c r="I288" s="1">
        <v>511473</v>
      </c>
      <c r="J288" s="1">
        <v>46240.9</v>
      </c>
      <c r="K288" s="1">
        <v>87724.4</v>
      </c>
      <c r="L288" s="1">
        <v>85537.1</v>
      </c>
      <c r="M288" s="1">
        <v>52506.8</v>
      </c>
      <c r="N288" s="1">
        <v>67798.399999999994</v>
      </c>
      <c r="O288" s="1">
        <v>78882.600000000006</v>
      </c>
      <c r="P288" s="1">
        <v>51250</v>
      </c>
      <c r="Q288" s="1">
        <v>79808</v>
      </c>
      <c r="R288" s="1">
        <v>0</v>
      </c>
    </row>
    <row r="289" spans="1:18">
      <c r="A289" s="2">
        <v>0.79166666666666663</v>
      </c>
      <c r="B289" s="1">
        <v>191336</v>
      </c>
      <c r="C289" s="1">
        <v>16565</v>
      </c>
      <c r="D289" s="1">
        <v>34318.800000000003</v>
      </c>
      <c r="E289" s="1">
        <v>0</v>
      </c>
      <c r="F289" s="1">
        <v>395497</v>
      </c>
      <c r="G289" s="1">
        <v>36464.800000000003</v>
      </c>
      <c r="H289" s="1">
        <v>365360</v>
      </c>
      <c r="I289" s="1">
        <v>511721</v>
      </c>
      <c r="J289" s="1">
        <v>46252.1</v>
      </c>
      <c r="K289" s="1">
        <v>87727.4</v>
      </c>
      <c r="L289" s="1">
        <v>85556.1</v>
      </c>
      <c r="M289" s="1">
        <v>52550.5</v>
      </c>
      <c r="N289" s="1">
        <v>67853.2</v>
      </c>
      <c r="O289" s="1">
        <v>78898.5</v>
      </c>
      <c r="P289" s="1">
        <v>51251</v>
      </c>
      <c r="Q289" s="1">
        <v>79810</v>
      </c>
      <c r="R289" s="1">
        <v>0</v>
      </c>
    </row>
    <row r="290" spans="1:18">
      <c r="A290" s="2">
        <v>0.83333333333333337</v>
      </c>
      <c r="B290" s="1">
        <v>192057</v>
      </c>
      <c r="C290" s="1">
        <v>16743</v>
      </c>
      <c r="D290" s="1">
        <v>34333.1</v>
      </c>
      <c r="E290" s="1">
        <v>0</v>
      </c>
      <c r="F290" s="1">
        <v>395517</v>
      </c>
      <c r="G290" s="1">
        <v>36530.300000000003</v>
      </c>
      <c r="H290" s="1">
        <v>365372</v>
      </c>
      <c r="I290" s="1">
        <v>511949</v>
      </c>
      <c r="J290" s="1">
        <v>46262.7</v>
      </c>
      <c r="K290" s="1">
        <v>87730.4</v>
      </c>
      <c r="L290" s="1">
        <v>85577.1</v>
      </c>
      <c r="M290" s="1">
        <v>52593.4</v>
      </c>
      <c r="N290" s="1">
        <v>67908.7</v>
      </c>
      <c r="O290" s="1">
        <v>78915.3</v>
      </c>
      <c r="P290" s="1">
        <v>51251</v>
      </c>
      <c r="Q290" s="1">
        <v>79810</v>
      </c>
      <c r="R290" s="1">
        <v>0</v>
      </c>
    </row>
    <row r="291" spans="1:18">
      <c r="A291" s="2">
        <v>0.875</v>
      </c>
      <c r="B291" s="1">
        <v>192756</v>
      </c>
      <c r="C291" s="1">
        <v>16915</v>
      </c>
      <c r="D291" s="1">
        <v>34344.800000000003</v>
      </c>
      <c r="E291" s="1">
        <v>0</v>
      </c>
      <c r="F291" s="1">
        <v>395536</v>
      </c>
      <c r="G291" s="1">
        <v>36591.1</v>
      </c>
      <c r="H291" s="1">
        <v>365383</v>
      </c>
      <c r="I291" s="1">
        <v>512171</v>
      </c>
      <c r="J291" s="1">
        <v>46273</v>
      </c>
      <c r="K291" s="1">
        <v>87733.4</v>
      </c>
      <c r="L291" s="1">
        <v>85599.8</v>
      </c>
      <c r="M291" s="1">
        <v>52635.5</v>
      </c>
      <c r="N291" s="1">
        <v>67963.8</v>
      </c>
      <c r="O291" s="1">
        <v>78933.2</v>
      </c>
      <c r="P291" s="1">
        <v>51251</v>
      </c>
      <c r="Q291" s="1">
        <v>79810</v>
      </c>
      <c r="R291" s="1">
        <v>0</v>
      </c>
    </row>
    <row r="292" spans="1:18">
      <c r="A292" s="2">
        <v>0.91666666666666663</v>
      </c>
      <c r="B292" s="1">
        <v>193438</v>
      </c>
      <c r="C292" s="1">
        <v>17083</v>
      </c>
      <c r="D292" s="1">
        <v>34356.800000000003</v>
      </c>
      <c r="E292" s="1">
        <v>0</v>
      </c>
      <c r="F292" s="1">
        <v>395555</v>
      </c>
      <c r="G292" s="1">
        <v>36649.800000000003</v>
      </c>
      <c r="H292" s="1">
        <v>365394</v>
      </c>
      <c r="I292" s="1">
        <v>512387</v>
      </c>
      <c r="J292" s="1">
        <v>46283.3</v>
      </c>
      <c r="K292" s="1">
        <v>87736.4</v>
      </c>
      <c r="L292" s="1">
        <v>85622</v>
      </c>
      <c r="M292" s="1">
        <v>52674.9</v>
      </c>
      <c r="N292" s="1">
        <v>68018.7</v>
      </c>
      <c r="O292" s="1">
        <v>78950.2</v>
      </c>
      <c r="P292" s="1">
        <v>51251</v>
      </c>
      <c r="Q292" s="1">
        <v>79810</v>
      </c>
      <c r="R292" s="1">
        <v>0</v>
      </c>
    </row>
    <row r="293" spans="1:18">
      <c r="A293" s="2">
        <v>0.95833333333333337</v>
      </c>
      <c r="B293" s="1">
        <v>194102</v>
      </c>
      <c r="C293" s="1">
        <v>17247</v>
      </c>
      <c r="D293" s="1">
        <v>34368.199999999997</v>
      </c>
      <c r="E293" s="1">
        <v>0</v>
      </c>
      <c r="F293" s="1">
        <v>395573</v>
      </c>
      <c r="G293" s="1">
        <v>36706</v>
      </c>
      <c r="H293" s="1">
        <v>365404</v>
      </c>
      <c r="I293" s="1">
        <v>512596</v>
      </c>
      <c r="J293" s="1">
        <v>46293.3</v>
      </c>
      <c r="K293" s="1">
        <v>87739.4</v>
      </c>
      <c r="L293" s="1">
        <v>85643.3</v>
      </c>
      <c r="M293" s="1">
        <v>52714</v>
      </c>
      <c r="N293" s="1">
        <v>68073.600000000006</v>
      </c>
      <c r="O293" s="1">
        <v>78967.600000000006</v>
      </c>
      <c r="P293" s="1">
        <v>51251</v>
      </c>
      <c r="Q293" s="1">
        <v>79810</v>
      </c>
      <c r="R293" s="1">
        <v>0</v>
      </c>
    </row>
    <row r="294" spans="1:18">
      <c r="A294" s="2">
        <v>0</v>
      </c>
      <c r="B294" s="1">
        <v>194760</v>
      </c>
      <c r="C294" s="1">
        <v>17408</v>
      </c>
      <c r="D294" s="1">
        <v>34379.699999999997</v>
      </c>
      <c r="E294" s="1">
        <v>0</v>
      </c>
      <c r="F294" s="1">
        <v>395591</v>
      </c>
      <c r="G294" s="1">
        <v>36761.599999999999</v>
      </c>
      <c r="H294" s="1">
        <v>365415</v>
      </c>
      <c r="I294" s="1">
        <v>512805</v>
      </c>
      <c r="J294" s="1">
        <v>46303.1</v>
      </c>
      <c r="K294" s="1">
        <v>87742.399999999994</v>
      </c>
      <c r="L294" s="1">
        <v>85664.5</v>
      </c>
      <c r="M294" s="1">
        <v>52752.6</v>
      </c>
      <c r="N294" s="1">
        <v>68127.899999999994</v>
      </c>
      <c r="O294" s="1">
        <v>78985</v>
      </c>
      <c r="P294" s="1">
        <v>51251</v>
      </c>
      <c r="Q294" s="1">
        <v>79810</v>
      </c>
      <c r="R294" s="1">
        <v>0</v>
      </c>
    </row>
    <row r="295" spans="1:18">
      <c r="A295" s="2">
        <v>4.1666666666666664E-2</v>
      </c>
      <c r="B295" s="1">
        <v>195413</v>
      </c>
      <c r="C295" s="1">
        <v>17567</v>
      </c>
      <c r="D295" s="1">
        <v>34391.4</v>
      </c>
      <c r="E295" s="1">
        <v>0</v>
      </c>
      <c r="F295" s="1">
        <v>395609</v>
      </c>
      <c r="G295" s="1">
        <v>36816.300000000003</v>
      </c>
      <c r="H295" s="1">
        <v>365425</v>
      </c>
      <c r="I295" s="1">
        <v>513012</v>
      </c>
      <c r="J295" s="1">
        <v>46313</v>
      </c>
      <c r="K295" s="1">
        <v>87745.3</v>
      </c>
      <c r="L295" s="1">
        <v>85686.3</v>
      </c>
      <c r="M295" s="1">
        <v>52790.9</v>
      </c>
      <c r="N295" s="1">
        <v>68182.100000000006</v>
      </c>
      <c r="O295" s="1">
        <v>79001.2</v>
      </c>
      <c r="P295" s="1">
        <v>51251</v>
      </c>
      <c r="Q295" s="1">
        <v>79810</v>
      </c>
      <c r="R295" s="1">
        <v>0</v>
      </c>
    </row>
    <row r="296" spans="1:18">
      <c r="A296" s="2">
        <v>8.3333333333333329E-2</v>
      </c>
      <c r="B296" s="1">
        <v>196063</v>
      </c>
      <c r="C296" s="1">
        <v>17728</v>
      </c>
      <c r="D296" s="1">
        <v>34403.5</v>
      </c>
      <c r="E296" s="1">
        <v>0</v>
      </c>
      <c r="F296" s="1">
        <v>395627</v>
      </c>
      <c r="G296" s="1">
        <v>36871</v>
      </c>
      <c r="H296" s="1">
        <v>365435</v>
      </c>
      <c r="I296" s="1">
        <v>513215</v>
      </c>
      <c r="J296" s="1">
        <v>46322.400000000001</v>
      </c>
      <c r="K296" s="1">
        <v>87748.3</v>
      </c>
      <c r="L296" s="1">
        <v>85708.1</v>
      </c>
      <c r="M296" s="1">
        <v>52828.9</v>
      </c>
      <c r="N296" s="1">
        <v>68236.5</v>
      </c>
      <c r="O296" s="1">
        <v>79018.2</v>
      </c>
      <c r="P296" s="1">
        <v>51251</v>
      </c>
      <c r="Q296" s="1">
        <v>79810</v>
      </c>
      <c r="R296" s="1">
        <v>0</v>
      </c>
    </row>
    <row r="297" spans="1:18">
      <c r="A297" s="2">
        <v>0.125</v>
      </c>
      <c r="B297" s="1">
        <v>196704</v>
      </c>
      <c r="C297" s="1">
        <v>17886</v>
      </c>
      <c r="D297" s="1">
        <v>34415.699999999997</v>
      </c>
      <c r="E297" s="1">
        <v>0</v>
      </c>
      <c r="F297" s="1">
        <v>395645</v>
      </c>
      <c r="G297" s="1">
        <v>36924.5</v>
      </c>
      <c r="H297" s="1">
        <v>365446</v>
      </c>
      <c r="I297" s="1">
        <v>513415</v>
      </c>
      <c r="J297" s="1">
        <v>46332</v>
      </c>
      <c r="K297" s="1">
        <v>87751.7</v>
      </c>
      <c r="L297" s="1">
        <v>85727.5</v>
      </c>
      <c r="M297" s="1">
        <v>52867.199999999997</v>
      </c>
      <c r="N297" s="1">
        <v>68290.5</v>
      </c>
      <c r="O297" s="1">
        <v>79035</v>
      </c>
      <c r="P297" s="1">
        <v>51251</v>
      </c>
      <c r="Q297" s="1">
        <v>79810</v>
      </c>
      <c r="R297" s="1">
        <v>0</v>
      </c>
    </row>
    <row r="298" spans="1:18">
      <c r="A298" s="2">
        <v>0.16666666666666666</v>
      </c>
      <c r="B298" s="1">
        <v>197332</v>
      </c>
      <c r="C298" s="1">
        <v>18039</v>
      </c>
      <c r="D298" s="1">
        <v>34427.4</v>
      </c>
      <c r="E298" s="1">
        <v>0</v>
      </c>
      <c r="F298" s="1">
        <v>395662</v>
      </c>
      <c r="G298" s="1">
        <v>36976.9</v>
      </c>
      <c r="H298" s="1">
        <v>365456</v>
      </c>
      <c r="I298" s="1">
        <v>513612</v>
      </c>
      <c r="J298" s="1">
        <v>46341.2</v>
      </c>
      <c r="K298" s="1">
        <v>87754.9</v>
      </c>
      <c r="L298" s="1">
        <v>85746.5</v>
      </c>
      <c r="M298" s="1">
        <v>52905.3</v>
      </c>
      <c r="N298" s="1">
        <v>68344.399999999994</v>
      </c>
      <c r="O298" s="1">
        <v>79051.3</v>
      </c>
      <c r="P298" s="1">
        <v>51251</v>
      </c>
      <c r="Q298" s="1">
        <v>79810</v>
      </c>
      <c r="R298" s="1">
        <v>0</v>
      </c>
    </row>
    <row r="299" spans="1:18">
      <c r="A299" s="2">
        <v>0.20833333333333334</v>
      </c>
      <c r="B299" s="1">
        <v>197963</v>
      </c>
      <c r="C299" s="1">
        <v>18193</v>
      </c>
      <c r="D299" s="1">
        <v>34439.699999999997</v>
      </c>
      <c r="E299" s="1">
        <v>0</v>
      </c>
      <c r="F299" s="1">
        <v>395680</v>
      </c>
      <c r="G299" s="1">
        <v>37029.9</v>
      </c>
      <c r="H299" s="1">
        <v>365467</v>
      </c>
      <c r="I299" s="1">
        <v>513807</v>
      </c>
      <c r="J299" s="1">
        <v>46350.6</v>
      </c>
      <c r="K299" s="1">
        <v>87757.8</v>
      </c>
      <c r="L299" s="1">
        <v>85766.2</v>
      </c>
      <c r="M299" s="1">
        <v>52943.199999999997</v>
      </c>
      <c r="N299" s="1">
        <v>68398.899999999994</v>
      </c>
      <c r="O299" s="1">
        <v>79068.800000000003</v>
      </c>
      <c r="P299" s="1">
        <v>51251</v>
      </c>
      <c r="Q299" s="1">
        <v>79810</v>
      </c>
      <c r="R299" s="1">
        <v>0</v>
      </c>
    </row>
    <row r="300" spans="1:18">
      <c r="A300" s="2">
        <v>0.25</v>
      </c>
      <c r="B300" s="1">
        <v>198588</v>
      </c>
      <c r="C300" s="1">
        <v>18347</v>
      </c>
      <c r="D300" s="1">
        <v>34452.300000000003</v>
      </c>
      <c r="E300" s="1">
        <v>0</v>
      </c>
      <c r="F300" s="1">
        <v>395697</v>
      </c>
      <c r="G300" s="1">
        <v>37081.199999999997</v>
      </c>
      <c r="H300" s="1">
        <v>365478</v>
      </c>
      <c r="I300" s="1">
        <v>514002</v>
      </c>
      <c r="J300" s="1">
        <v>46359.1</v>
      </c>
      <c r="K300" s="1">
        <v>87760.6</v>
      </c>
      <c r="L300" s="1">
        <v>85785.2</v>
      </c>
      <c r="M300" s="1">
        <v>52980.800000000003</v>
      </c>
      <c r="N300" s="1">
        <v>68452.399999999994</v>
      </c>
      <c r="O300" s="1">
        <v>79084.7</v>
      </c>
      <c r="P300" s="1">
        <v>51251</v>
      </c>
      <c r="Q300" s="1">
        <v>79810</v>
      </c>
      <c r="R300" s="1">
        <v>0</v>
      </c>
    </row>
    <row r="301" spans="1:18">
      <c r="A301" s="2">
        <v>0.29166666666666669</v>
      </c>
      <c r="B301" s="1">
        <v>199224</v>
      </c>
      <c r="C301" s="1">
        <v>18503</v>
      </c>
      <c r="D301" s="1">
        <v>34464.5</v>
      </c>
      <c r="E301" s="1">
        <v>0</v>
      </c>
      <c r="F301" s="1">
        <v>395714</v>
      </c>
      <c r="G301" s="1">
        <v>37136.300000000003</v>
      </c>
      <c r="H301" s="1">
        <v>365488</v>
      </c>
      <c r="I301" s="1">
        <v>514200</v>
      </c>
      <c r="J301" s="1">
        <v>46368.4</v>
      </c>
      <c r="K301" s="1">
        <v>87762.9</v>
      </c>
      <c r="L301" s="1">
        <v>85803.9</v>
      </c>
      <c r="M301" s="1">
        <v>53019.199999999997</v>
      </c>
      <c r="N301" s="1">
        <v>68505.5</v>
      </c>
      <c r="O301" s="1">
        <v>79100.399999999994</v>
      </c>
      <c r="P301" s="1">
        <v>51251</v>
      </c>
      <c r="Q301" s="1">
        <v>79810</v>
      </c>
      <c r="R301" s="1">
        <v>0</v>
      </c>
    </row>
    <row r="302" spans="1:18">
      <c r="A302" s="2">
        <v>0.33333333333333331</v>
      </c>
      <c r="B302" s="1">
        <v>199885</v>
      </c>
      <c r="C302" s="1">
        <v>18670</v>
      </c>
      <c r="D302" s="1">
        <v>34476.300000000003</v>
      </c>
      <c r="E302" s="1">
        <v>0</v>
      </c>
      <c r="F302" s="1">
        <v>395733</v>
      </c>
      <c r="G302" s="1">
        <v>37192.9</v>
      </c>
      <c r="H302" s="1">
        <v>365498</v>
      </c>
      <c r="I302" s="1">
        <v>514411</v>
      </c>
      <c r="J302" s="1">
        <v>46378.8</v>
      </c>
      <c r="K302" s="1">
        <v>87763.5</v>
      </c>
      <c r="L302" s="1">
        <v>85822.3</v>
      </c>
      <c r="M302" s="1">
        <v>53057.9</v>
      </c>
      <c r="N302" s="1">
        <v>68555.899999999994</v>
      </c>
      <c r="O302" s="1">
        <v>79116.899999999994</v>
      </c>
      <c r="P302" s="1">
        <v>51252</v>
      </c>
      <c r="Q302" s="1">
        <v>79813</v>
      </c>
      <c r="R302" s="1">
        <v>0</v>
      </c>
    </row>
    <row r="303" spans="1:18">
      <c r="A303" s="2">
        <v>0.375</v>
      </c>
      <c r="B303" s="1">
        <v>200572</v>
      </c>
      <c r="C303" s="1">
        <v>18840</v>
      </c>
      <c r="D303" s="1">
        <v>34488.300000000003</v>
      </c>
      <c r="E303" s="1">
        <v>0</v>
      </c>
      <c r="F303" s="1">
        <v>395755</v>
      </c>
      <c r="G303" s="1">
        <v>37243.199999999997</v>
      </c>
      <c r="H303" s="1">
        <v>365509</v>
      </c>
      <c r="I303" s="1">
        <v>514642</v>
      </c>
      <c r="J303" s="1">
        <v>46392.9</v>
      </c>
      <c r="K303" s="1">
        <v>87763.5</v>
      </c>
      <c r="L303" s="1">
        <v>85842.7</v>
      </c>
      <c r="M303" s="1">
        <v>53098</v>
      </c>
      <c r="N303" s="1">
        <v>68604.3</v>
      </c>
      <c r="O303" s="1">
        <v>79134.3</v>
      </c>
      <c r="P303" s="1">
        <v>51256</v>
      </c>
      <c r="Q303" s="1">
        <v>79821</v>
      </c>
      <c r="R303" s="1">
        <v>0</v>
      </c>
    </row>
    <row r="304" spans="1:18">
      <c r="A304" s="2">
        <v>0.41666666666666669</v>
      </c>
      <c r="B304" s="1">
        <v>201270</v>
      </c>
      <c r="C304" s="1">
        <v>19016</v>
      </c>
      <c r="D304" s="1">
        <v>34500.699999999997</v>
      </c>
      <c r="E304" s="1">
        <v>0</v>
      </c>
      <c r="F304" s="1">
        <v>395780</v>
      </c>
      <c r="G304" s="1">
        <v>37286.5</v>
      </c>
      <c r="H304" s="1">
        <v>365519</v>
      </c>
      <c r="I304" s="1">
        <v>514885</v>
      </c>
      <c r="J304" s="1">
        <v>46408.1</v>
      </c>
      <c r="K304" s="1">
        <v>87763.5</v>
      </c>
      <c r="L304" s="1">
        <v>85865.3</v>
      </c>
      <c r="M304" s="1">
        <v>53140.2</v>
      </c>
      <c r="N304" s="1">
        <v>68649.600000000006</v>
      </c>
      <c r="O304" s="1">
        <v>79152</v>
      </c>
      <c r="P304" s="1">
        <v>51266</v>
      </c>
      <c r="Q304" s="1">
        <v>79835</v>
      </c>
      <c r="R304" s="1">
        <v>0</v>
      </c>
    </row>
    <row r="305" spans="1:18">
      <c r="A305" s="2">
        <v>0.45833333333333331</v>
      </c>
      <c r="B305" s="1">
        <v>202000</v>
      </c>
      <c r="C305" s="1">
        <v>19198</v>
      </c>
      <c r="D305" s="1">
        <v>34519.699999999997</v>
      </c>
      <c r="E305" s="1">
        <v>0</v>
      </c>
      <c r="F305" s="1">
        <v>395810</v>
      </c>
      <c r="G305" s="1">
        <v>37334.1</v>
      </c>
      <c r="H305" s="1">
        <v>365529</v>
      </c>
      <c r="I305" s="1">
        <v>515137</v>
      </c>
      <c r="J305" s="1">
        <v>46421.9</v>
      </c>
      <c r="K305" s="1">
        <v>87763.5</v>
      </c>
      <c r="L305" s="1">
        <v>85885.9</v>
      </c>
      <c r="M305" s="1">
        <v>53183.8</v>
      </c>
      <c r="N305" s="1">
        <v>68698.399999999994</v>
      </c>
      <c r="O305" s="1">
        <v>79169.5</v>
      </c>
      <c r="P305" s="1">
        <v>51276</v>
      </c>
      <c r="Q305" s="1">
        <v>79851</v>
      </c>
      <c r="R305" s="1">
        <v>0</v>
      </c>
    </row>
    <row r="306" spans="1:18">
      <c r="A306" s="2">
        <v>0.5</v>
      </c>
      <c r="B306" s="1">
        <v>202743</v>
      </c>
      <c r="C306" s="1">
        <v>19391</v>
      </c>
      <c r="D306" s="1">
        <v>34537</v>
      </c>
      <c r="E306" s="1">
        <v>0</v>
      </c>
      <c r="F306" s="1">
        <v>395844</v>
      </c>
      <c r="G306" s="1">
        <v>37379.1</v>
      </c>
      <c r="H306" s="1">
        <v>365541</v>
      </c>
      <c r="I306" s="1">
        <v>515398</v>
      </c>
      <c r="J306" s="1">
        <v>46434.2</v>
      </c>
      <c r="K306" s="1">
        <v>87763.5</v>
      </c>
      <c r="L306" s="1">
        <v>85908.4</v>
      </c>
      <c r="M306" s="1">
        <v>53225.7</v>
      </c>
      <c r="N306" s="1">
        <v>68744</v>
      </c>
      <c r="O306" s="1">
        <v>79186.899999999994</v>
      </c>
      <c r="P306" s="1">
        <v>51289</v>
      </c>
      <c r="Q306" s="1">
        <v>79871</v>
      </c>
      <c r="R306" s="1">
        <v>0</v>
      </c>
    </row>
    <row r="307" spans="1:18">
      <c r="A307" s="2">
        <v>0.54166666666666663</v>
      </c>
      <c r="B307" s="1">
        <v>203498</v>
      </c>
      <c r="C307" s="1">
        <v>19590</v>
      </c>
      <c r="D307" s="1">
        <v>34555.5</v>
      </c>
      <c r="E307" s="1">
        <v>0</v>
      </c>
      <c r="F307" s="1">
        <v>395879</v>
      </c>
      <c r="G307" s="1">
        <v>37427.199999999997</v>
      </c>
      <c r="H307" s="1">
        <v>365552</v>
      </c>
      <c r="I307" s="1">
        <v>515663</v>
      </c>
      <c r="J307" s="1">
        <v>46446.400000000001</v>
      </c>
      <c r="K307" s="1">
        <v>87763.5</v>
      </c>
      <c r="L307" s="1">
        <v>85931.8</v>
      </c>
      <c r="M307" s="1">
        <v>53269.3</v>
      </c>
      <c r="N307" s="1">
        <v>68789.2</v>
      </c>
      <c r="O307" s="1">
        <v>79202.8</v>
      </c>
      <c r="P307" s="1">
        <v>51304</v>
      </c>
      <c r="Q307" s="1">
        <v>79893</v>
      </c>
      <c r="R307" s="1">
        <v>0</v>
      </c>
    </row>
    <row r="308" spans="1:18">
      <c r="A308" s="2">
        <v>0.58333333333333337</v>
      </c>
      <c r="B308" s="1">
        <v>204291</v>
      </c>
      <c r="C308" s="1">
        <v>19804</v>
      </c>
      <c r="D308" s="1">
        <v>34577.199999999997</v>
      </c>
      <c r="E308" s="1">
        <v>0</v>
      </c>
      <c r="F308" s="1">
        <v>395916</v>
      </c>
      <c r="G308" s="1">
        <v>37482.6</v>
      </c>
      <c r="H308" s="1">
        <v>365564</v>
      </c>
      <c r="I308" s="1">
        <v>515928</v>
      </c>
      <c r="J308" s="1">
        <v>46459.6</v>
      </c>
      <c r="K308" s="1">
        <v>87763.5</v>
      </c>
      <c r="L308" s="1">
        <v>85957.1</v>
      </c>
      <c r="M308" s="1">
        <v>53316.2</v>
      </c>
      <c r="N308" s="1">
        <v>68836.399999999994</v>
      </c>
      <c r="O308" s="1">
        <v>79220.7</v>
      </c>
      <c r="P308" s="1">
        <v>51320</v>
      </c>
      <c r="Q308" s="1">
        <v>79917</v>
      </c>
      <c r="R308" s="1">
        <v>0</v>
      </c>
    </row>
    <row r="309" spans="1:18">
      <c r="A309" s="2">
        <v>0.625</v>
      </c>
      <c r="B309" s="1">
        <v>205085</v>
      </c>
      <c r="C309" s="1">
        <v>20020</v>
      </c>
      <c r="D309" s="1">
        <v>34597.4</v>
      </c>
      <c r="E309" s="1">
        <v>0</v>
      </c>
      <c r="F309" s="1">
        <v>395953</v>
      </c>
      <c r="G309" s="1">
        <v>37542</v>
      </c>
      <c r="H309" s="1">
        <v>365575</v>
      </c>
      <c r="I309" s="1">
        <v>516198</v>
      </c>
      <c r="J309" s="1">
        <v>46472.800000000003</v>
      </c>
      <c r="K309" s="1">
        <v>87763.5</v>
      </c>
      <c r="L309" s="1">
        <v>85981.1</v>
      </c>
      <c r="M309" s="1">
        <v>53362.2</v>
      </c>
      <c r="N309" s="1">
        <v>68875.600000000006</v>
      </c>
      <c r="O309" s="1">
        <v>79238.2</v>
      </c>
      <c r="P309" s="1">
        <v>51335</v>
      </c>
      <c r="Q309" s="1">
        <v>79940</v>
      </c>
      <c r="R309" s="1">
        <v>0</v>
      </c>
    </row>
    <row r="310" spans="1:18">
      <c r="A310" s="2">
        <v>0.66666666666666663</v>
      </c>
      <c r="B310" s="1">
        <v>205924</v>
      </c>
      <c r="C310" s="1">
        <v>20244</v>
      </c>
      <c r="D310" s="1">
        <v>34617.800000000003</v>
      </c>
      <c r="E310" s="1">
        <v>0</v>
      </c>
      <c r="F310" s="1">
        <v>395989</v>
      </c>
      <c r="G310" s="1">
        <v>37608.6</v>
      </c>
      <c r="H310" s="1">
        <v>365586</v>
      </c>
      <c r="I310" s="1">
        <v>516481</v>
      </c>
      <c r="J310" s="1">
        <v>46486</v>
      </c>
      <c r="K310" s="1">
        <v>87763.5</v>
      </c>
      <c r="L310" s="1">
        <v>86005.1</v>
      </c>
      <c r="M310" s="1">
        <v>53411.8</v>
      </c>
      <c r="N310" s="1">
        <v>68920.899999999994</v>
      </c>
      <c r="O310" s="1">
        <v>79256.3</v>
      </c>
      <c r="P310" s="1">
        <v>51347</v>
      </c>
      <c r="Q310" s="1">
        <v>79958</v>
      </c>
      <c r="R310" s="1">
        <v>0</v>
      </c>
    </row>
    <row r="311" spans="1:18">
      <c r="A311" s="2">
        <v>0.70833333333333337</v>
      </c>
      <c r="B311" s="1">
        <v>206755</v>
      </c>
      <c r="C311" s="1">
        <v>20461</v>
      </c>
      <c r="D311" s="1">
        <v>34637.1</v>
      </c>
      <c r="E311" s="1">
        <v>0</v>
      </c>
      <c r="F311" s="1">
        <v>396019</v>
      </c>
      <c r="G311" s="1">
        <v>37683.800000000003</v>
      </c>
      <c r="H311" s="1">
        <v>365598</v>
      </c>
      <c r="I311" s="1">
        <v>516757</v>
      </c>
      <c r="J311" s="1">
        <v>46499.6</v>
      </c>
      <c r="K311" s="1">
        <v>87763.6</v>
      </c>
      <c r="L311" s="1">
        <v>86027.4</v>
      </c>
      <c r="M311" s="1">
        <v>53457.8</v>
      </c>
      <c r="N311" s="1">
        <v>68969.5</v>
      </c>
      <c r="O311" s="1">
        <v>79274.7</v>
      </c>
      <c r="P311" s="1">
        <v>51355</v>
      </c>
      <c r="Q311" s="1">
        <v>79971</v>
      </c>
      <c r="R311" s="1">
        <v>0</v>
      </c>
    </row>
    <row r="312" spans="1:18">
      <c r="A312" s="2">
        <v>0.75</v>
      </c>
      <c r="B312" s="1">
        <v>207569</v>
      </c>
      <c r="C312" s="1">
        <v>20670</v>
      </c>
      <c r="D312" s="1">
        <v>34654.400000000001</v>
      </c>
      <c r="E312" s="1">
        <v>0</v>
      </c>
      <c r="F312" s="1">
        <v>396044</v>
      </c>
      <c r="G312" s="1">
        <v>37766.5</v>
      </c>
      <c r="H312" s="1">
        <v>365609</v>
      </c>
      <c r="I312" s="1">
        <v>517016</v>
      </c>
      <c r="J312" s="1">
        <v>46513</v>
      </c>
      <c r="K312" s="1">
        <v>87765.1</v>
      </c>
      <c r="L312" s="1">
        <v>86049</v>
      </c>
      <c r="M312" s="1">
        <v>53502.400000000001</v>
      </c>
      <c r="N312" s="1">
        <v>69023.100000000006</v>
      </c>
      <c r="O312" s="1">
        <v>79293.100000000006</v>
      </c>
      <c r="P312" s="1">
        <v>51360</v>
      </c>
      <c r="Q312" s="1">
        <v>79979</v>
      </c>
      <c r="R312" s="1">
        <v>0</v>
      </c>
    </row>
    <row r="313" spans="1:18">
      <c r="A313" s="2">
        <v>0.79166666666666663</v>
      </c>
      <c r="B313" s="1">
        <v>208348</v>
      </c>
      <c r="C313" s="1">
        <v>20865</v>
      </c>
      <c r="D313" s="1">
        <v>34670.300000000003</v>
      </c>
      <c r="E313" s="1">
        <v>0</v>
      </c>
      <c r="F313" s="1">
        <v>396065</v>
      </c>
      <c r="G313" s="1">
        <v>37847.599999999999</v>
      </c>
      <c r="H313" s="1">
        <v>365621</v>
      </c>
      <c r="I313" s="1">
        <v>517261</v>
      </c>
      <c r="J313" s="1">
        <v>46527</v>
      </c>
      <c r="K313" s="1">
        <v>87767.9</v>
      </c>
      <c r="L313" s="1">
        <v>86070.399999999994</v>
      </c>
      <c r="M313" s="1">
        <v>53549.1</v>
      </c>
      <c r="N313" s="1">
        <v>69076.5</v>
      </c>
      <c r="O313" s="1">
        <v>79309</v>
      </c>
      <c r="P313" s="1">
        <v>51361</v>
      </c>
      <c r="Q313" s="1">
        <v>79981</v>
      </c>
      <c r="R313" s="1">
        <v>0</v>
      </c>
    </row>
    <row r="314" spans="1:18">
      <c r="A314" s="2">
        <v>0.83333333333333337</v>
      </c>
      <c r="B314" s="1">
        <v>209086</v>
      </c>
      <c r="C314" s="1">
        <v>21048</v>
      </c>
      <c r="D314" s="1">
        <v>34683.800000000003</v>
      </c>
      <c r="E314" s="1">
        <v>0</v>
      </c>
      <c r="F314" s="1">
        <v>396084</v>
      </c>
      <c r="G314" s="1">
        <v>37923.9</v>
      </c>
      <c r="H314" s="1">
        <v>365632</v>
      </c>
      <c r="I314" s="1">
        <v>517489</v>
      </c>
      <c r="J314" s="1">
        <v>46541.3</v>
      </c>
      <c r="K314" s="1">
        <v>87770.9</v>
      </c>
      <c r="L314" s="1">
        <v>86091.4</v>
      </c>
      <c r="M314" s="1">
        <v>53591.4</v>
      </c>
      <c r="N314" s="1">
        <v>69132.600000000006</v>
      </c>
      <c r="O314" s="1">
        <v>79326.600000000006</v>
      </c>
      <c r="P314" s="1">
        <v>51361</v>
      </c>
      <c r="Q314" s="1">
        <v>79981</v>
      </c>
      <c r="R314" s="1">
        <v>0</v>
      </c>
    </row>
    <row r="315" spans="1:18">
      <c r="A315" s="2">
        <v>0.875</v>
      </c>
      <c r="B315" s="1">
        <v>209810</v>
      </c>
      <c r="C315" s="1">
        <v>21219</v>
      </c>
      <c r="D315" s="1">
        <v>34697</v>
      </c>
      <c r="E315" s="1">
        <v>0</v>
      </c>
      <c r="F315" s="1">
        <v>396103</v>
      </c>
      <c r="G315" s="1">
        <v>37993.599999999999</v>
      </c>
      <c r="H315" s="1">
        <v>365644</v>
      </c>
      <c r="I315" s="1">
        <v>517724</v>
      </c>
      <c r="J315" s="1">
        <v>46552.800000000003</v>
      </c>
      <c r="K315" s="1">
        <v>87774</v>
      </c>
      <c r="L315" s="1">
        <v>86114.1</v>
      </c>
      <c r="M315" s="1">
        <v>53632.5</v>
      </c>
      <c r="N315" s="1">
        <v>69186.7</v>
      </c>
      <c r="O315" s="1">
        <v>79345.8</v>
      </c>
      <c r="P315" s="1">
        <v>51361</v>
      </c>
      <c r="Q315" s="1">
        <v>79981</v>
      </c>
      <c r="R315" s="1">
        <v>0</v>
      </c>
    </row>
    <row r="316" spans="1:18">
      <c r="A316" s="2">
        <v>0.91666666666666663</v>
      </c>
      <c r="B316" s="1">
        <v>210509</v>
      </c>
      <c r="C316" s="1">
        <v>21386</v>
      </c>
      <c r="D316" s="1">
        <v>34709.800000000003</v>
      </c>
      <c r="E316" s="1">
        <v>0</v>
      </c>
      <c r="F316" s="1">
        <v>396120</v>
      </c>
      <c r="G316" s="1">
        <v>38055.599999999999</v>
      </c>
      <c r="H316" s="1">
        <v>365655</v>
      </c>
      <c r="I316" s="1">
        <v>517954</v>
      </c>
      <c r="J316" s="1">
        <v>46563</v>
      </c>
      <c r="K316" s="1">
        <v>87776.9</v>
      </c>
      <c r="L316" s="1">
        <v>86136.6</v>
      </c>
      <c r="M316" s="1">
        <v>53673.1</v>
      </c>
      <c r="N316" s="1">
        <v>69241</v>
      </c>
      <c r="O316" s="1">
        <v>79363.199999999997</v>
      </c>
      <c r="P316" s="1">
        <v>51361</v>
      </c>
      <c r="Q316" s="1">
        <v>79981</v>
      </c>
      <c r="R316" s="1">
        <v>0</v>
      </c>
    </row>
    <row r="317" spans="1:18">
      <c r="A317" s="2">
        <v>0.95833333333333337</v>
      </c>
      <c r="B317" s="1">
        <v>211193</v>
      </c>
      <c r="C317" s="1">
        <v>21551</v>
      </c>
      <c r="D317" s="1">
        <v>34722</v>
      </c>
      <c r="E317" s="1">
        <v>0</v>
      </c>
      <c r="F317" s="1">
        <v>396137</v>
      </c>
      <c r="G317" s="1">
        <v>38115.1</v>
      </c>
      <c r="H317" s="1">
        <v>365665</v>
      </c>
      <c r="I317" s="1">
        <v>518176</v>
      </c>
      <c r="J317" s="1">
        <v>46573.2</v>
      </c>
      <c r="K317" s="1">
        <v>87779.9</v>
      </c>
      <c r="L317" s="1">
        <v>86158.1</v>
      </c>
      <c r="M317" s="1">
        <v>53712.800000000003</v>
      </c>
      <c r="N317" s="1">
        <v>69297</v>
      </c>
      <c r="O317" s="1">
        <v>79380.399999999994</v>
      </c>
      <c r="P317" s="1">
        <v>51361</v>
      </c>
      <c r="Q317" s="1">
        <v>79981</v>
      </c>
      <c r="R317" s="1">
        <v>0</v>
      </c>
    </row>
    <row r="318" spans="1:18">
      <c r="A318" s="2">
        <v>0</v>
      </c>
      <c r="B318" s="1">
        <v>211867</v>
      </c>
      <c r="C318" s="1">
        <v>21712</v>
      </c>
      <c r="D318" s="1">
        <v>34734.6</v>
      </c>
      <c r="E318" s="1">
        <v>0</v>
      </c>
      <c r="F318" s="1">
        <v>396153</v>
      </c>
      <c r="G318" s="1">
        <v>38174.5</v>
      </c>
      <c r="H318" s="1">
        <v>365676</v>
      </c>
      <c r="I318" s="1">
        <v>518393</v>
      </c>
      <c r="J318" s="1">
        <v>46582.9</v>
      </c>
      <c r="K318" s="1">
        <v>87783</v>
      </c>
      <c r="L318" s="1">
        <v>86181.7</v>
      </c>
      <c r="M318" s="1">
        <v>53752.2</v>
      </c>
      <c r="N318" s="1">
        <v>69350.8</v>
      </c>
      <c r="O318" s="1">
        <v>79397.399999999994</v>
      </c>
      <c r="P318" s="1">
        <v>51361</v>
      </c>
      <c r="Q318" s="1">
        <v>79981</v>
      </c>
      <c r="R318" s="1">
        <v>0</v>
      </c>
    </row>
    <row r="319" spans="1:18">
      <c r="A319" s="2">
        <v>4.1666666666666664E-2</v>
      </c>
      <c r="B319" s="1">
        <v>212538</v>
      </c>
      <c r="C319" s="1">
        <v>21872</v>
      </c>
      <c r="D319" s="1">
        <v>34747</v>
      </c>
      <c r="E319" s="1">
        <v>0</v>
      </c>
      <c r="F319" s="1">
        <v>396170</v>
      </c>
      <c r="G319" s="1">
        <v>38232.699999999997</v>
      </c>
      <c r="H319" s="1">
        <v>365686</v>
      </c>
      <c r="I319" s="1">
        <v>518611</v>
      </c>
      <c r="J319" s="1">
        <v>46592.9</v>
      </c>
      <c r="K319" s="1">
        <v>87786.3</v>
      </c>
      <c r="L319" s="1">
        <v>86203.1</v>
      </c>
      <c r="M319" s="1">
        <v>53791.7</v>
      </c>
      <c r="N319" s="1">
        <v>69405</v>
      </c>
      <c r="O319" s="1">
        <v>79414.2</v>
      </c>
      <c r="P319" s="1">
        <v>51361</v>
      </c>
      <c r="Q319" s="1">
        <v>79981</v>
      </c>
      <c r="R319" s="1">
        <v>0</v>
      </c>
    </row>
    <row r="320" spans="1:18">
      <c r="A320" s="2">
        <v>8.3333333333333329E-2</v>
      </c>
      <c r="B320" s="1">
        <v>213190</v>
      </c>
      <c r="C320" s="1">
        <v>22031</v>
      </c>
      <c r="D320" s="1">
        <v>34759.800000000003</v>
      </c>
      <c r="E320" s="1">
        <v>0</v>
      </c>
      <c r="F320" s="1">
        <v>396186</v>
      </c>
      <c r="G320" s="1">
        <v>38289.9</v>
      </c>
      <c r="H320" s="1">
        <v>365698</v>
      </c>
      <c r="I320" s="1">
        <v>518815</v>
      </c>
      <c r="J320" s="1">
        <v>46602.400000000001</v>
      </c>
      <c r="K320" s="1">
        <v>87789.9</v>
      </c>
      <c r="L320" s="1">
        <v>86225</v>
      </c>
      <c r="M320" s="1">
        <v>53830.7</v>
      </c>
      <c r="N320" s="1">
        <v>69459.100000000006</v>
      </c>
      <c r="O320" s="1">
        <v>79431.199999999997</v>
      </c>
      <c r="P320" s="1">
        <v>51361</v>
      </c>
      <c r="Q320" s="1">
        <v>79981</v>
      </c>
      <c r="R320" s="1">
        <v>0</v>
      </c>
    </row>
    <row r="321" spans="1:18">
      <c r="A321" s="2">
        <v>0.125</v>
      </c>
      <c r="B321" s="1">
        <v>213827</v>
      </c>
      <c r="C321" s="1">
        <v>22184</v>
      </c>
      <c r="D321" s="1">
        <v>34772.199999999997</v>
      </c>
      <c r="E321" s="1">
        <v>0</v>
      </c>
      <c r="F321" s="1">
        <v>396202</v>
      </c>
      <c r="G321" s="1">
        <v>38345.800000000003</v>
      </c>
      <c r="H321" s="1">
        <v>365708</v>
      </c>
      <c r="I321" s="1">
        <v>519014</v>
      </c>
      <c r="J321" s="1">
        <v>46611.9</v>
      </c>
      <c r="K321" s="1">
        <v>87793.3</v>
      </c>
      <c r="L321" s="1">
        <v>86247</v>
      </c>
      <c r="M321" s="1">
        <v>53869.2</v>
      </c>
      <c r="N321" s="1">
        <v>69513.899999999994</v>
      </c>
      <c r="O321" s="1">
        <v>79447.399999999994</v>
      </c>
      <c r="P321" s="1">
        <v>51361</v>
      </c>
      <c r="Q321" s="1">
        <v>79981</v>
      </c>
      <c r="R321" s="1">
        <v>0</v>
      </c>
    </row>
    <row r="322" spans="1:18">
      <c r="A322" s="2">
        <v>0.16666666666666666</v>
      </c>
      <c r="B322" s="1">
        <v>214459</v>
      </c>
      <c r="C322" s="1">
        <v>22334</v>
      </c>
      <c r="D322" s="1">
        <v>34784.699999999997</v>
      </c>
      <c r="E322" s="1">
        <v>0</v>
      </c>
      <c r="F322" s="1">
        <v>396218</v>
      </c>
      <c r="G322" s="1">
        <v>38399.800000000003</v>
      </c>
      <c r="H322" s="1">
        <v>365719</v>
      </c>
      <c r="I322" s="1">
        <v>519212</v>
      </c>
      <c r="J322" s="1">
        <v>46621.3</v>
      </c>
      <c r="K322" s="1">
        <v>87796.5</v>
      </c>
      <c r="L322" s="1">
        <v>86267.199999999997</v>
      </c>
      <c r="M322" s="1">
        <v>53907.7</v>
      </c>
      <c r="N322" s="1">
        <v>69568.2</v>
      </c>
      <c r="O322" s="1">
        <v>79464.7</v>
      </c>
      <c r="P322" s="1">
        <v>51361</v>
      </c>
      <c r="Q322" s="1">
        <v>79981</v>
      </c>
      <c r="R322" s="1">
        <v>0</v>
      </c>
    </row>
    <row r="323" spans="1:18">
      <c r="A323" s="2">
        <v>0.20833333333333334</v>
      </c>
      <c r="B323" s="1">
        <v>215088</v>
      </c>
      <c r="C323" s="1">
        <v>22482</v>
      </c>
      <c r="D323" s="1">
        <v>34797.1</v>
      </c>
      <c r="E323" s="1">
        <v>0</v>
      </c>
      <c r="F323" s="1">
        <v>396233</v>
      </c>
      <c r="G323" s="1">
        <v>38454.1</v>
      </c>
      <c r="H323" s="1">
        <v>365729</v>
      </c>
      <c r="I323" s="1">
        <v>519411</v>
      </c>
      <c r="J323" s="1">
        <v>46630.6</v>
      </c>
      <c r="K323" s="1">
        <v>87799.4</v>
      </c>
      <c r="L323" s="1">
        <v>86287</v>
      </c>
      <c r="M323" s="1">
        <v>53946.5</v>
      </c>
      <c r="N323" s="1">
        <v>69623.8</v>
      </c>
      <c r="O323" s="1">
        <v>79481.899999999994</v>
      </c>
      <c r="P323" s="1">
        <v>51361</v>
      </c>
      <c r="Q323" s="1">
        <v>79981</v>
      </c>
      <c r="R323" s="1">
        <v>0</v>
      </c>
    </row>
    <row r="324" spans="1:18">
      <c r="A324" s="2">
        <v>0.25</v>
      </c>
      <c r="B324" s="1">
        <v>215707</v>
      </c>
      <c r="C324" s="1">
        <v>22630</v>
      </c>
      <c r="D324" s="1">
        <v>34810.1</v>
      </c>
      <c r="E324" s="1">
        <v>0</v>
      </c>
      <c r="F324" s="1">
        <v>396250</v>
      </c>
      <c r="G324" s="1">
        <v>38507.4</v>
      </c>
      <c r="H324" s="1">
        <v>365740</v>
      </c>
      <c r="I324" s="1">
        <v>519605</v>
      </c>
      <c r="J324" s="1">
        <v>46638.9</v>
      </c>
      <c r="K324" s="1">
        <v>87802.2</v>
      </c>
      <c r="L324" s="1">
        <v>86306.3</v>
      </c>
      <c r="M324" s="1">
        <v>53984.3</v>
      </c>
      <c r="N324" s="1">
        <v>69677.899999999994</v>
      </c>
      <c r="O324" s="1">
        <v>79498.2</v>
      </c>
      <c r="P324" s="1">
        <v>51361</v>
      </c>
      <c r="Q324" s="1">
        <v>79981</v>
      </c>
      <c r="R324" s="1">
        <v>0</v>
      </c>
    </row>
    <row r="325" spans="1:18">
      <c r="A325" s="2">
        <v>0.29166666666666669</v>
      </c>
      <c r="B325" s="1">
        <v>216331</v>
      </c>
      <c r="C325" s="1">
        <v>22780</v>
      </c>
      <c r="D325" s="1">
        <v>34822.9</v>
      </c>
      <c r="E325" s="1">
        <v>0</v>
      </c>
      <c r="F325" s="1">
        <v>396265</v>
      </c>
      <c r="G325" s="1">
        <v>38564</v>
      </c>
      <c r="H325" s="1">
        <v>365751</v>
      </c>
      <c r="I325" s="1">
        <v>519800</v>
      </c>
      <c r="J325" s="1">
        <v>46648.2</v>
      </c>
      <c r="K325" s="1">
        <v>87804.5</v>
      </c>
      <c r="L325" s="1">
        <v>86325.4</v>
      </c>
      <c r="M325" s="1">
        <v>54022.5</v>
      </c>
      <c r="N325" s="1">
        <v>69731.100000000006</v>
      </c>
      <c r="O325" s="1">
        <v>79512.7</v>
      </c>
      <c r="P325" s="1">
        <v>51361</v>
      </c>
      <c r="Q325" s="1">
        <v>79981</v>
      </c>
      <c r="R325" s="1">
        <v>0</v>
      </c>
    </row>
    <row r="326" spans="1:18">
      <c r="A326" s="2">
        <v>0.33333333333333331</v>
      </c>
      <c r="B326" s="1">
        <v>216978</v>
      </c>
      <c r="C326" s="1">
        <v>22936</v>
      </c>
      <c r="D326" s="1">
        <v>34835.199999999997</v>
      </c>
      <c r="E326" s="1">
        <v>0</v>
      </c>
      <c r="F326" s="1">
        <v>396282</v>
      </c>
      <c r="G326" s="1">
        <v>38621.599999999999</v>
      </c>
      <c r="H326" s="1">
        <v>365761</v>
      </c>
      <c r="I326" s="1">
        <v>520008</v>
      </c>
      <c r="J326" s="1">
        <v>46658.5</v>
      </c>
      <c r="K326" s="1">
        <v>87805.1</v>
      </c>
      <c r="L326" s="1">
        <v>86344.3</v>
      </c>
      <c r="M326" s="1">
        <v>54061.2</v>
      </c>
      <c r="N326" s="1">
        <v>69782.2</v>
      </c>
      <c r="O326" s="1">
        <v>79529.5</v>
      </c>
      <c r="P326" s="1">
        <v>51362</v>
      </c>
      <c r="Q326" s="1">
        <v>79983</v>
      </c>
      <c r="R326" s="1">
        <v>0</v>
      </c>
    </row>
    <row r="327" spans="1:18">
      <c r="A327" s="2">
        <v>0.375</v>
      </c>
      <c r="B327" s="1">
        <v>217633</v>
      </c>
      <c r="C327" s="1">
        <v>23102</v>
      </c>
      <c r="D327" s="1">
        <v>34847.699999999997</v>
      </c>
      <c r="E327" s="1">
        <v>0</v>
      </c>
      <c r="F327" s="1">
        <v>396300</v>
      </c>
      <c r="G327" s="1">
        <v>38668.400000000001</v>
      </c>
      <c r="H327" s="1">
        <v>365771</v>
      </c>
      <c r="I327" s="1">
        <v>520226</v>
      </c>
      <c r="J327" s="1">
        <v>46670.400000000001</v>
      </c>
      <c r="K327" s="1">
        <v>87805.1</v>
      </c>
      <c r="L327" s="1">
        <v>86363.5</v>
      </c>
      <c r="M327" s="1">
        <v>54101.2</v>
      </c>
      <c r="N327" s="1">
        <v>69830.3</v>
      </c>
      <c r="O327" s="1">
        <v>79546.7</v>
      </c>
      <c r="P327" s="1">
        <v>51367</v>
      </c>
      <c r="Q327" s="1">
        <v>79993</v>
      </c>
      <c r="R327" s="1">
        <v>0</v>
      </c>
    </row>
    <row r="328" spans="1:18">
      <c r="A328" s="2">
        <v>0.41666666666666669</v>
      </c>
      <c r="B328" s="1">
        <v>218299</v>
      </c>
      <c r="C328" s="1">
        <v>23273</v>
      </c>
      <c r="D328" s="1">
        <v>34861.1</v>
      </c>
      <c r="E328" s="1">
        <v>0</v>
      </c>
      <c r="F328" s="1">
        <v>396317</v>
      </c>
      <c r="G328" s="1">
        <v>38706.199999999997</v>
      </c>
      <c r="H328" s="1">
        <v>365783</v>
      </c>
      <c r="I328" s="1">
        <v>520463</v>
      </c>
      <c r="J328" s="1">
        <v>46684.6</v>
      </c>
      <c r="K328" s="1">
        <v>87805.1</v>
      </c>
      <c r="L328" s="1">
        <v>86382.1</v>
      </c>
      <c r="M328" s="1">
        <v>54143.6</v>
      </c>
      <c r="N328" s="1">
        <v>69874.600000000006</v>
      </c>
      <c r="O328" s="1">
        <v>79563.7</v>
      </c>
      <c r="P328" s="1">
        <v>51377</v>
      </c>
      <c r="Q328" s="1">
        <v>80009</v>
      </c>
      <c r="R328" s="1">
        <v>0</v>
      </c>
    </row>
    <row r="329" spans="1:18">
      <c r="A329" s="2">
        <v>0.45833333333333331</v>
      </c>
      <c r="B329" s="1">
        <v>218974</v>
      </c>
      <c r="C329" s="1">
        <v>23443</v>
      </c>
      <c r="D329" s="1">
        <v>34880.400000000001</v>
      </c>
      <c r="E329" s="1">
        <v>0</v>
      </c>
      <c r="F329" s="1">
        <v>396335</v>
      </c>
      <c r="G329" s="1">
        <v>38742.5</v>
      </c>
      <c r="H329" s="1">
        <v>365793</v>
      </c>
      <c r="I329" s="1">
        <v>520706</v>
      </c>
      <c r="J329" s="1">
        <v>46699</v>
      </c>
      <c r="K329" s="1">
        <v>87805.1</v>
      </c>
      <c r="L329" s="1">
        <v>86399.9</v>
      </c>
      <c r="M329" s="1">
        <v>54186.6</v>
      </c>
      <c r="N329" s="1">
        <v>69916.899999999994</v>
      </c>
      <c r="O329" s="1">
        <v>79582.399999999994</v>
      </c>
      <c r="P329" s="1">
        <v>51390</v>
      </c>
      <c r="Q329" s="1">
        <v>80029</v>
      </c>
      <c r="R329" s="1">
        <v>0</v>
      </c>
    </row>
    <row r="330" spans="1:18">
      <c r="A330" s="2">
        <v>0.5</v>
      </c>
      <c r="B330" s="1">
        <v>219656</v>
      </c>
      <c r="C330" s="1">
        <v>23620</v>
      </c>
      <c r="D330" s="1">
        <v>34897.1</v>
      </c>
      <c r="E330" s="1">
        <v>0</v>
      </c>
      <c r="F330" s="1">
        <v>396355</v>
      </c>
      <c r="G330" s="1">
        <v>38776.9</v>
      </c>
      <c r="H330" s="1">
        <v>365804</v>
      </c>
      <c r="I330" s="1">
        <v>520956</v>
      </c>
      <c r="J330" s="1">
        <v>46710.400000000001</v>
      </c>
      <c r="K330" s="1">
        <v>87805.1</v>
      </c>
      <c r="L330" s="1">
        <v>86418.2</v>
      </c>
      <c r="M330" s="1">
        <v>54230.8</v>
      </c>
      <c r="N330" s="1">
        <v>69957.100000000006</v>
      </c>
      <c r="O330" s="1">
        <v>79600.2</v>
      </c>
      <c r="P330" s="1">
        <v>51405</v>
      </c>
      <c r="Q330" s="1">
        <v>80051</v>
      </c>
      <c r="R330" s="1">
        <v>0</v>
      </c>
    </row>
    <row r="331" spans="1:18">
      <c r="A331" s="2">
        <v>0.54166666666666663</v>
      </c>
      <c r="B331" s="1">
        <v>220350</v>
      </c>
      <c r="C331" s="1">
        <v>23803</v>
      </c>
      <c r="D331" s="1">
        <v>34914.5</v>
      </c>
      <c r="E331" s="1">
        <v>0</v>
      </c>
      <c r="F331" s="1">
        <v>396377</v>
      </c>
      <c r="G331" s="1">
        <v>38815.699999999997</v>
      </c>
      <c r="H331" s="1">
        <v>365815</v>
      </c>
      <c r="I331" s="1">
        <v>521207</v>
      </c>
      <c r="J331" s="1">
        <v>46722.6</v>
      </c>
      <c r="K331" s="1">
        <v>87805.1</v>
      </c>
      <c r="L331" s="1">
        <v>86436.6</v>
      </c>
      <c r="M331" s="1">
        <v>54276</v>
      </c>
      <c r="N331" s="1">
        <v>69996.399999999994</v>
      </c>
      <c r="O331" s="1">
        <v>79616.7</v>
      </c>
      <c r="P331" s="1">
        <v>51420</v>
      </c>
      <c r="Q331" s="1">
        <v>80075</v>
      </c>
      <c r="R331" s="1">
        <v>0</v>
      </c>
    </row>
    <row r="332" spans="1:18">
      <c r="A332" s="2">
        <v>0.58333333333333337</v>
      </c>
      <c r="B332" s="1">
        <v>221086</v>
      </c>
      <c r="C332" s="1">
        <v>23994</v>
      </c>
      <c r="D332" s="1">
        <v>34936.6</v>
      </c>
      <c r="E332" s="1">
        <v>0</v>
      </c>
      <c r="F332" s="1">
        <v>396400</v>
      </c>
      <c r="G332" s="1">
        <v>38864.199999999997</v>
      </c>
      <c r="H332" s="1">
        <v>365826</v>
      </c>
      <c r="I332" s="1">
        <v>521467</v>
      </c>
      <c r="J332" s="1">
        <v>46735.1</v>
      </c>
      <c r="K332" s="1">
        <v>87805.1</v>
      </c>
      <c r="L332" s="1">
        <v>86455.2</v>
      </c>
      <c r="M332" s="1">
        <v>54323.5</v>
      </c>
      <c r="N332" s="1">
        <v>70037.3</v>
      </c>
      <c r="O332" s="1">
        <v>79635</v>
      </c>
      <c r="P332" s="1">
        <v>51435</v>
      </c>
      <c r="Q332" s="1">
        <v>80097</v>
      </c>
      <c r="R332" s="1">
        <v>0</v>
      </c>
    </row>
    <row r="333" spans="1:18">
      <c r="A333" s="2">
        <v>0.625</v>
      </c>
      <c r="B333" s="1">
        <v>221854</v>
      </c>
      <c r="C333" s="1">
        <v>24194</v>
      </c>
      <c r="D333" s="1">
        <v>34957.800000000003</v>
      </c>
      <c r="E333" s="1">
        <v>0</v>
      </c>
      <c r="F333" s="1">
        <v>396423</v>
      </c>
      <c r="G333" s="1">
        <v>38918.5</v>
      </c>
      <c r="H333" s="1">
        <v>365842</v>
      </c>
      <c r="I333" s="1">
        <v>521735</v>
      </c>
      <c r="J333" s="1">
        <v>46748.5</v>
      </c>
      <c r="K333" s="1">
        <v>87805.1</v>
      </c>
      <c r="L333" s="1">
        <v>86473.8</v>
      </c>
      <c r="M333" s="1">
        <v>54373.1</v>
      </c>
      <c r="N333" s="1">
        <v>70079.8</v>
      </c>
      <c r="O333" s="1">
        <v>79652.7</v>
      </c>
      <c r="P333" s="1">
        <v>51449</v>
      </c>
      <c r="Q333" s="1">
        <v>80119</v>
      </c>
      <c r="R333" s="1">
        <v>0</v>
      </c>
    </row>
    <row r="334" spans="1:18">
      <c r="A334" s="2">
        <v>0.66666666666666663</v>
      </c>
      <c r="B334" s="1">
        <v>222646</v>
      </c>
      <c r="C334" s="1">
        <v>24404</v>
      </c>
      <c r="D334" s="1">
        <v>34978.300000000003</v>
      </c>
      <c r="E334" s="1">
        <v>0</v>
      </c>
      <c r="F334" s="1">
        <v>396445</v>
      </c>
      <c r="G334" s="1">
        <v>38981.599999999999</v>
      </c>
      <c r="H334" s="1">
        <v>365853</v>
      </c>
      <c r="I334" s="1">
        <v>522006</v>
      </c>
      <c r="J334" s="1">
        <v>46762.5</v>
      </c>
      <c r="K334" s="1">
        <v>87805.1</v>
      </c>
      <c r="L334" s="1">
        <v>86492.7</v>
      </c>
      <c r="M334" s="1">
        <v>54422.8</v>
      </c>
      <c r="N334" s="1">
        <v>70125.5</v>
      </c>
      <c r="O334" s="1">
        <v>79670.399999999994</v>
      </c>
      <c r="P334" s="1">
        <v>51462</v>
      </c>
      <c r="Q334" s="1">
        <v>80137</v>
      </c>
      <c r="R334" s="1">
        <v>0</v>
      </c>
    </row>
    <row r="335" spans="1:18">
      <c r="A335" s="2">
        <v>0.70833333333333337</v>
      </c>
      <c r="B335" s="1">
        <v>223466</v>
      </c>
      <c r="C335" s="1">
        <v>24615</v>
      </c>
      <c r="D335" s="1">
        <v>34999.599999999999</v>
      </c>
      <c r="E335" s="1">
        <v>0</v>
      </c>
      <c r="F335" s="1">
        <v>396466</v>
      </c>
      <c r="G335" s="1">
        <v>39052.400000000001</v>
      </c>
      <c r="H335" s="1">
        <v>365866</v>
      </c>
      <c r="I335" s="1">
        <v>522284</v>
      </c>
      <c r="J335" s="1">
        <v>46775.3</v>
      </c>
      <c r="K335" s="1">
        <v>87805.1</v>
      </c>
      <c r="L335" s="1">
        <v>86511.4</v>
      </c>
      <c r="M335" s="1">
        <v>54472.6</v>
      </c>
      <c r="N335" s="1">
        <v>70175.7</v>
      </c>
      <c r="O335" s="1">
        <v>79690.5</v>
      </c>
      <c r="P335" s="1">
        <v>51471</v>
      </c>
      <c r="Q335" s="1">
        <v>80151</v>
      </c>
      <c r="R335" s="1">
        <v>0</v>
      </c>
    </row>
    <row r="336" spans="1:18">
      <c r="A336" s="2">
        <v>0.75</v>
      </c>
      <c r="B336" s="1">
        <v>224263</v>
      </c>
      <c r="C336" s="1">
        <v>24817</v>
      </c>
      <c r="D336" s="1">
        <v>35019</v>
      </c>
      <c r="E336" s="1">
        <v>0</v>
      </c>
      <c r="F336" s="1">
        <v>396487</v>
      </c>
      <c r="G336" s="1">
        <v>39128.699999999997</v>
      </c>
      <c r="H336" s="1">
        <v>365877</v>
      </c>
      <c r="I336" s="1">
        <v>522540</v>
      </c>
      <c r="J336" s="1">
        <v>46788.5</v>
      </c>
      <c r="K336" s="1">
        <v>87807</v>
      </c>
      <c r="L336" s="1">
        <v>86529.9</v>
      </c>
      <c r="M336" s="1">
        <v>54522.2</v>
      </c>
      <c r="N336" s="1">
        <v>70227.3</v>
      </c>
      <c r="O336" s="1">
        <v>79708.2</v>
      </c>
      <c r="P336" s="1">
        <v>51476</v>
      </c>
      <c r="Q336" s="1">
        <v>80159</v>
      </c>
      <c r="R336" s="1">
        <v>0</v>
      </c>
    </row>
    <row r="337" spans="1:18">
      <c r="A337" s="2">
        <v>0.79166666666666663</v>
      </c>
      <c r="B337" s="1">
        <v>225045</v>
      </c>
      <c r="C337" s="1">
        <v>25013</v>
      </c>
      <c r="D337" s="1">
        <v>35037.5</v>
      </c>
      <c r="E337" s="1">
        <v>0</v>
      </c>
      <c r="F337" s="1">
        <v>396505</v>
      </c>
      <c r="G337" s="1">
        <v>39204.300000000003</v>
      </c>
      <c r="H337" s="1">
        <v>365892</v>
      </c>
      <c r="I337" s="1">
        <v>522791</v>
      </c>
      <c r="J337" s="1">
        <v>46799.9</v>
      </c>
      <c r="K337" s="1">
        <v>87810.4</v>
      </c>
      <c r="L337" s="1">
        <v>86548.1</v>
      </c>
      <c r="M337" s="1">
        <v>54568.800000000003</v>
      </c>
      <c r="N337" s="1">
        <v>70283.7</v>
      </c>
      <c r="O337" s="1">
        <v>79724.2</v>
      </c>
      <c r="P337" s="1">
        <v>51477</v>
      </c>
      <c r="Q337" s="1">
        <v>80160</v>
      </c>
      <c r="R337" s="1">
        <v>0</v>
      </c>
    </row>
    <row r="338" spans="1:18">
      <c r="A338" s="2">
        <v>0.83333333333333337</v>
      </c>
      <c r="B338" s="1">
        <v>225795</v>
      </c>
      <c r="C338" s="1">
        <v>25197</v>
      </c>
      <c r="D338" s="1">
        <v>35053.300000000003</v>
      </c>
      <c r="E338" s="1">
        <v>0</v>
      </c>
      <c r="F338" s="1">
        <v>396522</v>
      </c>
      <c r="G338" s="1">
        <v>39273.199999999997</v>
      </c>
      <c r="H338" s="1">
        <v>365908</v>
      </c>
      <c r="I338" s="1">
        <v>523032</v>
      </c>
      <c r="J338" s="1">
        <v>46810.9</v>
      </c>
      <c r="K338" s="1">
        <v>87813.9</v>
      </c>
      <c r="L338" s="1">
        <v>86567.2</v>
      </c>
      <c r="M338" s="1">
        <v>54613.599999999999</v>
      </c>
      <c r="N338" s="1">
        <v>70338.8</v>
      </c>
      <c r="O338" s="1">
        <v>79742.2</v>
      </c>
      <c r="P338" s="1">
        <v>51477</v>
      </c>
      <c r="Q338" s="1">
        <v>80160</v>
      </c>
      <c r="R338" s="1">
        <v>0</v>
      </c>
    </row>
    <row r="339" spans="1:18">
      <c r="A339" s="2">
        <v>0.875</v>
      </c>
      <c r="B339" s="1">
        <v>226519</v>
      </c>
      <c r="C339" s="1">
        <v>25376</v>
      </c>
      <c r="D339" s="1">
        <v>35067.800000000003</v>
      </c>
      <c r="E339" s="1">
        <v>0</v>
      </c>
      <c r="F339" s="1">
        <v>396538</v>
      </c>
      <c r="G339" s="1">
        <v>39336.800000000003</v>
      </c>
      <c r="H339" s="1">
        <v>365924</v>
      </c>
      <c r="I339" s="1">
        <v>523263</v>
      </c>
      <c r="J339" s="1">
        <v>46821.8</v>
      </c>
      <c r="K339" s="1">
        <v>87817</v>
      </c>
      <c r="L339" s="1">
        <v>86586.7</v>
      </c>
      <c r="M339" s="1">
        <v>54655.5</v>
      </c>
      <c r="N339" s="1">
        <v>70395.5</v>
      </c>
      <c r="O339" s="1">
        <v>79760.399999999994</v>
      </c>
      <c r="P339" s="1">
        <v>51477</v>
      </c>
      <c r="Q339" s="1">
        <v>80160</v>
      </c>
      <c r="R339" s="1">
        <v>0</v>
      </c>
    </row>
    <row r="340" spans="1:18">
      <c r="A340" s="2">
        <v>0.91666666666666663</v>
      </c>
      <c r="B340" s="1">
        <v>227225</v>
      </c>
      <c r="C340" s="1">
        <v>25550</v>
      </c>
      <c r="D340" s="1">
        <v>35081</v>
      </c>
      <c r="E340" s="1">
        <v>0</v>
      </c>
      <c r="F340" s="1">
        <v>396555</v>
      </c>
      <c r="G340" s="1">
        <v>39400.5</v>
      </c>
      <c r="H340" s="1">
        <v>365940</v>
      </c>
      <c r="I340" s="1">
        <v>523489</v>
      </c>
      <c r="J340" s="1">
        <v>46832.1</v>
      </c>
      <c r="K340" s="1">
        <v>87820</v>
      </c>
      <c r="L340" s="1">
        <v>86606</v>
      </c>
      <c r="M340" s="1">
        <v>54696.5</v>
      </c>
      <c r="N340" s="1">
        <v>70450</v>
      </c>
      <c r="O340" s="1">
        <v>79777.899999999994</v>
      </c>
      <c r="P340" s="1">
        <v>51477</v>
      </c>
      <c r="Q340" s="1">
        <v>80160</v>
      </c>
      <c r="R340" s="1">
        <v>0</v>
      </c>
    </row>
    <row r="341" spans="1:18">
      <c r="A341" s="2">
        <v>0.95833333333333337</v>
      </c>
      <c r="B341" s="1">
        <v>227928</v>
      </c>
      <c r="C341" s="1">
        <v>25721</v>
      </c>
      <c r="D341" s="1">
        <v>35093.800000000003</v>
      </c>
      <c r="E341" s="1">
        <v>0</v>
      </c>
      <c r="F341" s="1">
        <v>396570</v>
      </c>
      <c r="G341" s="1">
        <v>39462.400000000001</v>
      </c>
      <c r="H341" s="1">
        <v>365956</v>
      </c>
      <c r="I341" s="1">
        <v>523714</v>
      </c>
      <c r="J341" s="1">
        <v>46842.8</v>
      </c>
      <c r="K341" s="1">
        <v>87823.3</v>
      </c>
      <c r="L341" s="1">
        <v>86624.4</v>
      </c>
      <c r="M341" s="1">
        <v>54738.1</v>
      </c>
      <c r="N341" s="1">
        <v>70507</v>
      </c>
      <c r="O341" s="1">
        <v>79795.3</v>
      </c>
      <c r="P341" s="1">
        <v>51477</v>
      </c>
      <c r="Q341" s="1">
        <v>80160</v>
      </c>
      <c r="R341" s="1">
        <v>0</v>
      </c>
    </row>
    <row r="342" spans="1:18">
      <c r="A342" s="2">
        <v>0</v>
      </c>
      <c r="B342" s="1">
        <v>228618</v>
      </c>
      <c r="C342" s="1">
        <v>25891</v>
      </c>
      <c r="D342" s="1">
        <v>35106.1</v>
      </c>
      <c r="E342" s="1">
        <v>0</v>
      </c>
      <c r="F342" s="1">
        <v>396586</v>
      </c>
      <c r="G342" s="1">
        <v>39523</v>
      </c>
      <c r="H342" s="1">
        <v>365973</v>
      </c>
      <c r="I342" s="1">
        <v>523935</v>
      </c>
      <c r="J342" s="1">
        <v>46852.800000000003</v>
      </c>
      <c r="K342" s="1">
        <v>87826.7</v>
      </c>
      <c r="L342" s="1">
        <v>86642.8</v>
      </c>
      <c r="M342" s="1">
        <v>54778.400000000001</v>
      </c>
      <c r="N342" s="1">
        <v>70561.5</v>
      </c>
      <c r="O342" s="1">
        <v>79813.2</v>
      </c>
      <c r="P342" s="1">
        <v>51477</v>
      </c>
      <c r="Q342" s="1">
        <v>80160</v>
      </c>
      <c r="R342" s="1">
        <v>0</v>
      </c>
    </row>
    <row r="343" spans="1:18">
      <c r="A343" s="2">
        <v>4.1666666666666664E-2</v>
      </c>
      <c r="B343" s="1">
        <v>229302</v>
      </c>
      <c r="C343" s="1">
        <v>26059</v>
      </c>
      <c r="D343" s="1">
        <v>35118.800000000003</v>
      </c>
      <c r="E343" s="1">
        <v>0</v>
      </c>
      <c r="F343" s="1">
        <v>396602</v>
      </c>
      <c r="G343" s="1">
        <v>39583.800000000003</v>
      </c>
      <c r="H343" s="1">
        <v>365988</v>
      </c>
      <c r="I343" s="1">
        <v>524150</v>
      </c>
      <c r="J343" s="1">
        <v>46863</v>
      </c>
      <c r="K343" s="1">
        <v>87829.7</v>
      </c>
      <c r="L343" s="1">
        <v>86661.8</v>
      </c>
      <c r="M343" s="1">
        <v>54820.4</v>
      </c>
      <c r="N343" s="1">
        <v>70616.100000000006</v>
      </c>
      <c r="O343" s="1">
        <v>79830.7</v>
      </c>
      <c r="P343" s="1">
        <v>51477</v>
      </c>
      <c r="Q343" s="1">
        <v>80160</v>
      </c>
      <c r="R343" s="1">
        <v>0</v>
      </c>
    </row>
    <row r="344" spans="1:18">
      <c r="A344" s="2">
        <v>8.3333333333333329E-2</v>
      </c>
      <c r="B344" s="1">
        <v>229968</v>
      </c>
      <c r="C344" s="1">
        <v>26224</v>
      </c>
      <c r="D344" s="1">
        <v>35131.599999999999</v>
      </c>
      <c r="E344" s="1">
        <v>0</v>
      </c>
      <c r="F344" s="1">
        <v>396617</v>
      </c>
      <c r="G344" s="1">
        <v>39643.1</v>
      </c>
      <c r="H344" s="1">
        <v>365999</v>
      </c>
      <c r="I344" s="1">
        <v>524357</v>
      </c>
      <c r="J344" s="1">
        <v>46872.9</v>
      </c>
      <c r="K344" s="1">
        <v>87832.7</v>
      </c>
      <c r="L344" s="1">
        <v>86680.8</v>
      </c>
      <c r="M344" s="1">
        <v>54862.6</v>
      </c>
      <c r="N344" s="1">
        <v>70670.5</v>
      </c>
      <c r="O344" s="1">
        <v>79848.100000000006</v>
      </c>
      <c r="P344" s="1">
        <v>51477</v>
      </c>
      <c r="Q344" s="1">
        <v>80160</v>
      </c>
      <c r="R344" s="1">
        <v>0</v>
      </c>
    </row>
    <row r="345" spans="1:18">
      <c r="A345" s="2">
        <v>0.125</v>
      </c>
      <c r="B345" s="1">
        <v>230620</v>
      </c>
      <c r="C345" s="1">
        <v>26384</v>
      </c>
      <c r="D345" s="1">
        <v>35144.9</v>
      </c>
      <c r="E345" s="1">
        <v>0</v>
      </c>
      <c r="F345" s="1">
        <v>396632</v>
      </c>
      <c r="G345" s="1">
        <v>39701.699999999997</v>
      </c>
      <c r="H345" s="1">
        <v>366009</v>
      </c>
      <c r="I345" s="1">
        <v>524560</v>
      </c>
      <c r="J345" s="1">
        <v>46882.7</v>
      </c>
      <c r="K345" s="1">
        <v>87835.6</v>
      </c>
      <c r="L345" s="1">
        <v>86699.9</v>
      </c>
      <c r="M345" s="1">
        <v>54901.4</v>
      </c>
      <c r="N345" s="1">
        <v>70725.899999999994</v>
      </c>
      <c r="O345" s="1">
        <v>79865.600000000006</v>
      </c>
      <c r="P345" s="1">
        <v>51477</v>
      </c>
      <c r="Q345" s="1">
        <v>80160</v>
      </c>
      <c r="R345" s="1">
        <v>0</v>
      </c>
    </row>
    <row r="346" spans="1:18">
      <c r="A346" s="2">
        <v>0.16666666666666666</v>
      </c>
      <c r="B346" s="1">
        <v>231263</v>
      </c>
      <c r="C346" s="1">
        <v>26541</v>
      </c>
      <c r="D346" s="1">
        <v>35157.300000000003</v>
      </c>
      <c r="E346" s="1">
        <v>0</v>
      </c>
      <c r="F346" s="1">
        <v>396647</v>
      </c>
      <c r="G346" s="1">
        <v>39758.9</v>
      </c>
      <c r="H346" s="1">
        <v>366020</v>
      </c>
      <c r="I346" s="1">
        <v>524762</v>
      </c>
      <c r="J346" s="1">
        <v>46892.5</v>
      </c>
      <c r="K346" s="1">
        <v>87838.5</v>
      </c>
      <c r="L346" s="1">
        <v>86718.8</v>
      </c>
      <c r="M346" s="1">
        <v>54940.4</v>
      </c>
      <c r="N346" s="1">
        <v>70780.5</v>
      </c>
      <c r="O346" s="1">
        <v>79882.5</v>
      </c>
      <c r="P346" s="1">
        <v>51477</v>
      </c>
      <c r="Q346" s="1">
        <v>80160</v>
      </c>
      <c r="R346" s="1">
        <v>0</v>
      </c>
    </row>
    <row r="347" spans="1:18">
      <c r="A347" s="2">
        <v>0.20833333333333334</v>
      </c>
      <c r="B347" s="1">
        <v>231906</v>
      </c>
      <c r="C347" s="1">
        <v>26699</v>
      </c>
      <c r="D347" s="1">
        <v>35170.5</v>
      </c>
      <c r="E347" s="1">
        <v>0</v>
      </c>
      <c r="F347" s="1">
        <v>396661</v>
      </c>
      <c r="G347" s="1">
        <v>39815.599999999999</v>
      </c>
      <c r="H347" s="1">
        <v>366030</v>
      </c>
      <c r="I347" s="1">
        <v>524961</v>
      </c>
      <c r="J347" s="1">
        <v>46902.2</v>
      </c>
      <c r="K347" s="1">
        <v>87841.4</v>
      </c>
      <c r="L347" s="1">
        <v>86737.3</v>
      </c>
      <c r="M347" s="1">
        <v>54979.1</v>
      </c>
      <c r="N347" s="1">
        <v>70835.899999999994</v>
      </c>
      <c r="O347" s="1">
        <v>79900.100000000006</v>
      </c>
      <c r="P347" s="1">
        <v>51477</v>
      </c>
      <c r="Q347" s="1">
        <v>80160</v>
      </c>
      <c r="R347" s="1">
        <v>0</v>
      </c>
    </row>
    <row r="348" spans="1:18">
      <c r="A348" s="2">
        <v>0.25</v>
      </c>
      <c r="B348" s="1">
        <v>232545</v>
      </c>
      <c r="C348" s="1">
        <v>26857</v>
      </c>
      <c r="D348" s="1">
        <v>35183.599999999999</v>
      </c>
      <c r="E348" s="1">
        <v>0</v>
      </c>
      <c r="F348" s="1">
        <v>396676</v>
      </c>
      <c r="G348" s="1">
        <v>39872.6</v>
      </c>
      <c r="H348" s="1">
        <v>366041</v>
      </c>
      <c r="I348" s="1">
        <v>525158</v>
      </c>
      <c r="J348" s="1">
        <v>46911.9</v>
      </c>
      <c r="K348" s="1">
        <v>87844.3</v>
      </c>
      <c r="L348" s="1">
        <v>86755.8</v>
      </c>
      <c r="M348" s="1">
        <v>55017.3</v>
      </c>
      <c r="N348" s="1">
        <v>70889.399999999994</v>
      </c>
      <c r="O348" s="1">
        <v>79916.7</v>
      </c>
      <c r="P348" s="1">
        <v>51477</v>
      </c>
      <c r="Q348" s="1">
        <v>80160</v>
      </c>
      <c r="R348" s="1">
        <v>0</v>
      </c>
    </row>
    <row r="349" spans="1:18">
      <c r="A349" s="2">
        <v>0.29166666666666669</v>
      </c>
      <c r="B349" s="1">
        <v>233189</v>
      </c>
      <c r="C349" s="1">
        <v>27018</v>
      </c>
      <c r="D349" s="1">
        <v>35196.9</v>
      </c>
      <c r="E349" s="1">
        <v>0</v>
      </c>
      <c r="F349" s="1">
        <v>396691</v>
      </c>
      <c r="G349" s="1">
        <v>39929.5</v>
      </c>
      <c r="H349" s="1">
        <v>366052</v>
      </c>
      <c r="I349" s="1">
        <v>525357</v>
      </c>
      <c r="J349" s="1">
        <v>46921.9</v>
      </c>
      <c r="K349" s="1">
        <v>87846.399999999994</v>
      </c>
      <c r="L349" s="1">
        <v>86774.6</v>
      </c>
      <c r="M349" s="1">
        <v>55055.5</v>
      </c>
      <c r="N349" s="1">
        <v>70943.5</v>
      </c>
      <c r="O349" s="1">
        <v>79931.600000000006</v>
      </c>
      <c r="P349" s="1">
        <v>51477</v>
      </c>
      <c r="Q349" s="1">
        <v>80161</v>
      </c>
      <c r="R349" s="1">
        <v>0</v>
      </c>
    </row>
    <row r="350" spans="1:18">
      <c r="A350" s="2">
        <v>0.33333333333333331</v>
      </c>
      <c r="B350" s="1">
        <v>233849</v>
      </c>
      <c r="C350" s="1">
        <v>27185</v>
      </c>
      <c r="D350" s="1">
        <v>35209.599999999999</v>
      </c>
      <c r="E350" s="1">
        <v>0</v>
      </c>
      <c r="F350" s="1">
        <v>396707</v>
      </c>
      <c r="G350" s="1">
        <v>39986.199999999997</v>
      </c>
      <c r="H350" s="1">
        <v>366063</v>
      </c>
      <c r="I350" s="1">
        <v>525565</v>
      </c>
      <c r="J350" s="1">
        <v>46932</v>
      </c>
      <c r="K350" s="1">
        <v>87846.399999999994</v>
      </c>
      <c r="L350" s="1">
        <v>86792.9</v>
      </c>
      <c r="M350" s="1">
        <v>55095.3</v>
      </c>
      <c r="N350" s="1">
        <v>70995.3</v>
      </c>
      <c r="O350" s="1">
        <v>79948.399999999994</v>
      </c>
      <c r="P350" s="1">
        <v>51479</v>
      </c>
      <c r="Q350" s="1">
        <v>80165</v>
      </c>
      <c r="R350" s="1">
        <v>0</v>
      </c>
    </row>
    <row r="351" spans="1:18">
      <c r="A351" s="2">
        <v>0.375</v>
      </c>
      <c r="B351" s="1">
        <v>234513</v>
      </c>
      <c r="C351" s="1">
        <v>27355</v>
      </c>
      <c r="D351" s="1">
        <v>35222.400000000001</v>
      </c>
      <c r="E351" s="1">
        <v>0</v>
      </c>
      <c r="F351" s="1">
        <v>396724</v>
      </c>
      <c r="G351" s="1">
        <v>40041.5</v>
      </c>
      <c r="H351" s="1">
        <v>366073</v>
      </c>
      <c r="I351" s="1">
        <v>525779</v>
      </c>
      <c r="J351" s="1">
        <v>46942.8</v>
      </c>
      <c r="K351" s="1">
        <v>87846.399999999994</v>
      </c>
      <c r="L351" s="1">
        <v>86811</v>
      </c>
      <c r="M351" s="1">
        <v>55137.8</v>
      </c>
      <c r="N351" s="1">
        <v>71042.399999999994</v>
      </c>
      <c r="O351" s="1">
        <v>79965.8</v>
      </c>
      <c r="P351" s="1">
        <v>51483</v>
      </c>
      <c r="Q351" s="1">
        <v>80173</v>
      </c>
      <c r="R351" s="1">
        <v>0</v>
      </c>
    </row>
    <row r="352" spans="1:18">
      <c r="A352" s="2">
        <v>0.41666666666666669</v>
      </c>
      <c r="B352" s="1">
        <v>235190</v>
      </c>
      <c r="C352" s="1">
        <v>27535</v>
      </c>
      <c r="D352" s="1">
        <v>35235.4</v>
      </c>
      <c r="E352" s="1">
        <v>0</v>
      </c>
      <c r="F352" s="1">
        <v>396741</v>
      </c>
      <c r="G352" s="1">
        <v>40090</v>
      </c>
      <c r="H352" s="1">
        <v>366084</v>
      </c>
      <c r="I352" s="1">
        <v>526007</v>
      </c>
      <c r="J352" s="1">
        <v>46953.4</v>
      </c>
      <c r="K352" s="1">
        <v>87846.399999999994</v>
      </c>
      <c r="L352" s="1">
        <v>86829.1</v>
      </c>
      <c r="M352" s="1">
        <v>55178.7</v>
      </c>
      <c r="N352" s="1">
        <v>71089.399999999994</v>
      </c>
      <c r="O352" s="1">
        <v>79983.199999999997</v>
      </c>
      <c r="P352" s="1">
        <v>51491</v>
      </c>
      <c r="Q352" s="1">
        <v>80185</v>
      </c>
      <c r="R352" s="1">
        <v>0</v>
      </c>
    </row>
    <row r="353" spans="1:18">
      <c r="A353" s="2">
        <v>0.45833333333333331</v>
      </c>
      <c r="B353" s="1">
        <v>235893</v>
      </c>
      <c r="C353" s="1">
        <v>27734</v>
      </c>
      <c r="D353" s="1">
        <v>35253.4</v>
      </c>
      <c r="E353" s="1">
        <v>0</v>
      </c>
      <c r="F353" s="1">
        <v>396758</v>
      </c>
      <c r="G353" s="1">
        <v>40133.800000000003</v>
      </c>
      <c r="H353" s="1">
        <v>366095</v>
      </c>
      <c r="I353" s="1">
        <v>526238</v>
      </c>
      <c r="J353" s="1">
        <v>46964.6</v>
      </c>
      <c r="K353" s="1">
        <v>87846.399999999994</v>
      </c>
      <c r="L353" s="1">
        <v>86849.600000000006</v>
      </c>
      <c r="M353" s="1">
        <v>55220</v>
      </c>
      <c r="N353" s="1">
        <v>71138.5</v>
      </c>
      <c r="O353" s="1">
        <v>80000.399999999994</v>
      </c>
      <c r="P353" s="1">
        <v>51503</v>
      </c>
      <c r="Q353" s="1">
        <v>80204</v>
      </c>
      <c r="R353" s="1">
        <v>0</v>
      </c>
    </row>
    <row r="354" spans="1:18">
      <c r="A354" s="2">
        <v>0.5</v>
      </c>
      <c r="B354" s="1">
        <v>236588</v>
      </c>
      <c r="C354" s="1">
        <v>27938</v>
      </c>
      <c r="D354" s="1">
        <v>35269.199999999997</v>
      </c>
      <c r="E354" s="1">
        <v>0</v>
      </c>
      <c r="F354" s="1">
        <v>396776</v>
      </c>
      <c r="G354" s="1">
        <v>40174.5</v>
      </c>
      <c r="H354" s="1">
        <v>366106</v>
      </c>
      <c r="I354" s="1">
        <v>526471</v>
      </c>
      <c r="J354" s="1">
        <v>46976.1</v>
      </c>
      <c r="K354" s="1">
        <v>87846.399999999994</v>
      </c>
      <c r="L354" s="1">
        <v>86869.8</v>
      </c>
      <c r="M354" s="1">
        <v>55264.4</v>
      </c>
      <c r="N354" s="1">
        <v>71179.8</v>
      </c>
      <c r="O354" s="1">
        <v>80017.100000000006</v>
      </c>
      <c r="P354" s="1">
        <v>51517</v>
      </c>
      <c r="Q354" s="1">
        <v>80225</v>
      </c>
      <c r="R354" s="1">
        <v>0</v>
      </c>
    </row>
    <row r="355" spans="1:18">
      <c r="A355" s="2">
        <v>0.54166666666666663</v>
      </c>
      <c r="B355" s="1">
        <v>237279</v>
      </c>
      <c r="C355" s="1">
        <v>28138</v>
      </c>
      <c r="D355" s="1">
        <v>35283.699999999997</v>
      </c>
      <c r="E355" s="1">
        <v>0</v>
      </c>
      <c r="F355" s="1">
        <v>396793</v>
      </c>
      <c r="G355" s="1">
        <v>40213.4</v>
      </c>
      <c r="H355" s="1">
        <v>366117</v>
      </c>
      <c r="I355" s="1">
        <v>526711</v>
      </c>
      <c r="J355" s="1">
        <v>46987.9</v>
      </c>
      <c r="K355" s="1">
        <v>87846.399999999994</v>
      </c>
      <c r="L355" s="1">
        <v>86890.5</v>
      </c>
      <c r="M355" s="1">
        <v>55307.4</v>
      </c>
      <c r="N355" s="1">
        <v>71219</v>
      </c>
      <c r="O355" s="1">
        <v>80034.3</v>
      </c>
      <c r="P355" s="1">
        <v>51533</v>
      </c>
      <c r="Q355" s="1">
        <v>80249</v>
      </c>
      <c r="R355" s="1">
        <v>0</v>
      </c>
    </row>
    <row r="356" spans="1:18">
      <c r="A356" s="2">
        <v>0.58333333333333337</v>
      </c>
      <c r="B356" s="1">
        <v>238032</v>
      </c>
      <c r="C356" s="1">
        <v>28345</v>
      </c>
      <c r="D356" s="1">
        <v>35307.1</v>
      </c>
      <c r="E356" s="1">
        <v>0</v>
      </c>
      <c r="F356" s="1">
        <v>396811</v>
      </c>
      <c r="G356" s="1">
        <v>40273.300000000003</v>
      </c>
      <c r="H356" s="1">
        <v>366129</v>
      </c>
      <c r="I356" s="1">
        <v>526956</v>
      </c>
      <c r="J356" s="1">
        <v>46999.8</v>
      </c>
      <c r="K356" s="1">
        <v>87846.399999999994</v>
      </c>
      <c r="L356" s="1">
        <v>86911</v>
      </c>
      <c r="M356" s="1">
        <v>55350.1</v>
      </c>
      <c r="N356" s="1">
        <v>71267.7</v>
      </c>
      <c r="O356" s="1">
        <v>80052</v>
      </c>
      <c r="P356" s="1">
        <v>51544</v>
      </c>
      <c r="Q356" s="1">
        <v>80265</v>
      </c>
      <c r="R356" s="1">
        <v>0</v>
      </c>
    </row>
    <row r="357" spans="1:18">
      <c r="A357" s="2">
        <v>0.625</v>
      </c>
      <c r="B357" s="1">
        <v>238808</v>
      </c>
      <c r="C357" s="1">
        <v>28571</v>
      </c>
      <c r="D357" s="1">
        <v>35335.199999999997</v>
      </c>
      <c r="E357" s="1">
        <v>0</v>
      </c>
      <c r="F357" s="1">
        <v>396830</v>
      </c>
      <c r="G357" s="1">
        <v>40326.800000000003</v>
      </c>
      <c r="H357" s="1">
        <v>366143</v>
      </c>
      <c r="I357" s="1">
        <v>527204</v>
      </c>
      <c r="J357" s="1">
        <v>47011.9</v>
      </c>
      <c r="K357" s="1">
        <v>87846.399999999994</v>
      </c>
      <c r="L357" s="1">
        <v>86931.6</v>
      </c>
      <c r="M357" s="1">
        <v>55398.7</v>
      </c>
      <c r="N357" s="1">
        <v>71315.7</v>
      </c>
      <c r="O357" s="1">
        <v>80069.3</v>
      </c>
      <c r="P357" s="1">
        <v>51558</v>
      </c>
      <c r="Q357" s="1">
        <v>80288</v>
      </c>
      <c r="R357" s="1">
        <v>0</v>
      </c>
    </row>
    <row r="358" spans="1:18">
      <c r="A358" s="2">
        <v>0.66666666666666663</v>
      </c>
      <c r="B358" s="1">
        <v>239620</v>
      </c>
      <c r="C358" s="1">
        <v>28807</v>
      </c>
      <c r="D358" s="1">
        <v>35365.9</v>
      </c>
      <c r="E358" s="1">
        <v>0</v>
      </c>
      <c r="F358" s="1">
        <v>396849</v>
      </c>
      <c r="G358" s="1">
        <v>40384.300000000003</v>
      </c>
      <c r="H358" s="1">
        <v>366159</v>
      </c>
      <c r="I358" s="1">
        <v>527466</v>
      </c>
      <c r="J358" s="1">
        <v>47025.5</v>
      </c>
      <c r="K358" s="1">
        <v>87846.399999999994</v>
      </c>
      <c r="L358" s="1">
        <v>86953.5</v>
      </c>
      <c r="M358" s="1">
        <v>55444.2</v>
      </c>
      <c r="N358" s="1">
        <v>71361.5</v>
      </c>
      <c r="O358" s="1">
        <v>80086.7</v>
      </c>
      <c r="P358" s="1">
        <v>51571</v>
      </c>
      <c r="Q358" s="1">
        <v>80307</v>
      </c>
      <c r="R358" s="1">
        <v>0</v>
      </c>
    </row>
    <row r="359" spans="1:18">
      <c r="A359" s="2">
        <v>0.70833333333333337</v>
      </c>
      <c r="B359" s="1">
        <v>240448</v>
      </c>
      <c r="C359" s="1">
        <v>29029</v>
      </c>
      <c r="D359" s="1">
        <v>35396</v>
      </c>
      <c r="E359" s="1">
        <v>0</v>
      </c>
      <c r="F359" s="1">
        <v>396868</v>
      </c>
      <c r="G359" s="1">
        <v>40448</v>
      </c>
      <c r="H359" s="1">
        <v>366170</v>
      </c>
      <c r="I359" s="1">
        <v>527740</v>
      </c>
      <c r="J359" s="1">
        <v>47038.1</v>
      </c>
      <c r="K359" s="1">
        <v>87846.399999999994</v>
      </c>
      <c r="L359" s="1">
        <v>86976.8</v>
      </c>
      <c r="M359" s="1">
        <v>55493</v>
      </c>
      <c r="N359" s="1">
        <v>71412</v>
      </c>
      <c r="O359" s="1">
        <v>80105.8</v>
      </c>
      <c r="P359" s="1">
        <v>51580</v>
      </c>
      <c r="Q359" s="1">
        <v>80321</v>
      </c>
      <c r="R359" s="1">
        <v>0</v>
      </c>
    </row>
    <row r="360" spans="1:18">
      <c r="A360" s="2">
        <v>0.75</v>
      </c>
      <c r="B360" s="1">
        <v>241264</v>
      </c>
      <c r="C360" s="1">
        <v>29240</v>
      </c>
      <c r="D360" s="1">
        <v>35414.9</v>
      </c>
      <c r="E360" s="1">
        <v>0</v>
      </c>
      <c r="F360" s="1">
        <v>396886</v>
      </c>
      <c r="G360" s="1">
        <v>40522.400000000001</v>
      </c>
      <c r="H360" s="1">
        <v>366181</v>
      </c>
      <c r="I360" s="1">
        <v>528008</v>
      </c>
      <c r="J360" s="1">
        <v>47050.400000000001</v>
      </c>
      <c r="K360" s="1">
        <v>87848.2</v>
      </c>
      <c r="L360" s="1">
        <v>87001.7</v>
      </c>
      <c r="M360" s="1">
        <v>55539</v>
      </c>
      <c r="N360" s="1">
        <v>71464.800000000003</v>
      </c>
      <c r="O360" s="1">
        <v>80123.7</v>
      </c>
      <c r="P360" s="1">
        <v>51585</v>
      </c>
      <c r="Q360" s="1">
        <v>80328</v>
      </c>
      <c r="R360" s="1">
        <v>0</v>
      </c>
    </row>
    <row r="361" spans="1:18">
      <c r="A361" s="2">
        <v>0.79166666666666663</v>
      </c>
      <c r="B361" s="1">
        <v>242049</v>
      </c>
      <c r="C361" s="1">
        <v>29445</v>
      </c>
      <c r="D361" s="1">
        <v>35430.9</v>
      </c>
      <c r="E361" s="1">
        <v>0</v>
      </c>
      <c r="F361" s="1">
        <v>396903</v>
      </c>
      <c r="G361" s="1">
        <v>40603.599999999999</v>
      </c>
      <c r="H361" s="1">
        <v>366192</v>
      </c>
      <c r="I361" s="1">
        <v>528255</v>
      </c>
      <c r="J361" s="1">
        <v>47061.4</v>
      </c>
      <c r="K361" s="1">
        <v>87851.4</v>
      </c>
      <c r="L361" s="1">
        <v>87024.6</v>
      </c>
      <c r="M361" s="1">
        <v>55582</v>
      </c>
      <c r="N361" s="1">
        <v>71520.3</v>
      </c>
      <c r="O361" s="1">
        <v>80140.5</v>
      </c>
      <c r="P361" s="1">
        <v>51586</v>
      </c>
      <c r="Q361" s="1">
        <v>80329</v>
      </c>
      <c r="R361" s="1">
        <v>0</v>
      </c>
    </row>
    <row r="362" spans="1:18">
      <c r="A362" s="2">
        <v>0.83333333333333337</v>
      </c>
      <c r="B362" s="1">
        <v>242804</v>
      </c>
      <c r="C362" s="1">
        <v>29644</v>
      </c>
      <c r="D362" s="1">
        <v>35446</v>
      </c>
      <c r="E362" s="1">
        <v>0</v>
      </c>
      <c r="F362" s="1">
        <v>396919</v>
      </c>
      <c r="G362" s="1">
        <v>40674.800000000003</v>
      </c>
      <c r="H362" s="1">
        <v>366203</v>
      </c>
      <c r="I362" s="1">
        <v>528492</v>
      </c>
      <c r="J362" s="1">
        <v>47072.1</v>
      </c>
      <c r="K362" s="1">
        <v>87854.5</v>
      </c>
      <c r="L362" s="1">
        <v>87046.8</v>
      </c>
      <c r="M362" s="1">
        <v>55624</v>
      </c>
      <c r="N362" s="1">
        <v>71575.8</v>
      </c>
      <c r="O362" s="1">
        <v>80159</v>
      </c>
      <c r="P362" s="1">
        <v>51586</v>
      </c>
      <c r="Q362" s="1">
        <v>80329</v>
      </c>
      <c r="R362" s="1">
        <v>0</v>
      </c>
    </row>
    <row r="363" spans="1:18">
      <c r="A363" s="2">
        <v>0.875</v>
      </c>
      <c r="B363" s="1">
        <v>243524</v>
      </c>
      <c r="C363" s="1">
        <v>29826</v>
      </c>
      <c r="D363" s="1">
        <v>35463.800000000003</v>
      </c>
      <c r="E363" s="1">
        <v>0</v>
      </c>
      <c r="F363" s="1">
        <v>396934</v>
      </c>
      <c r="G363" s="1">
        <v>40740.6</v>
      </c>
      <c r="H363" s="1">
        <v>366215</v>
      </c>
      <c r="I363" s="1">
        <v>528713</v>
      </c>
      <c r="J363" s="1">
        <v>47082.6</v>
      </c>
      <c r="K363" s="1">
        <v>87858</v>
      </c>
      <c r="L363" s="1">
        <v>87069.4</v>
      </c>
      <c r="M363" s="1">
        <v>55666.5</v>
      </c>
      <c r="N363" s="1">
        <v>71630.8</v>
      </c>
      <c r="O363" s="1">
        <v>80177.899999999994</v>
      </c>
      <c r="P363" s="1">
        <v>51586</v>
      </c>
      <c r="Q363" s="1">
        <v>80329</v>
      </c>
      <c r="R363" s="1">
        <v>0</v>
      </c>
    </row>
    <row r="364" spans="1:18">
      <c r="A364" s="2">
        <v>0.91666666666666663</v>
      </c>
      <c r="B364" s="1">
        <v>244228</v>
      </c>
      <c r="C364" s="1">
        <v>30001</v>
      </c>
      <c r="D364" s="1">
        <v>35480.1</v>
      </c>
      <c r="E364" s="1">
        <v>0</v>
      </c>
      <c r="F364" s="1">
        <v>396950</v>
      </c>
      <c r="G364" s="1">
        <v>40804.9</v>
      </c>
      <c r="H364" s="1">
        <v>366226</v>
      </c>
      <c r="I364" s="1">
        <v>528930</v>
      </c>
      <c r="J364" s="1">
        <v>47093</v>
      </c>
      <c r="K364" s="1">
        <v>87861.5</v>
      </c>
      <c r="L364" s="1">
        <v>87090.8</v>
      </c>
      <c r="M364" s="1">
        <v>55707.8</v>
      </c>
      <c r="N364" s="1">
        <v>71685.8</v>
      </c>
      <c r="O364" s="1">
        <v>80197.399999999994</v>
      </c>
      <c r="P364" s="1">
        <v>51586</v>
      </c>
      <c r="Q364" s="1">
        <v>80329</v>
      </c>
      <c r="R364" s="1">
        <v>0</v>
      </c>
    </row>
    <row r="365" spans="1:18">
      <c r="A365" s="2">
        <v>0.95833333333333337</v>
      </c>
      <c r="B365" s="1">
        <v>244926</v>
      </c>
      <c r="C365" s="1">
        <v>30172</v>
      </c>
      <c r="D365" s="1">
        <v>35495.1</v>
      </c>
      <c r="E365" s="1">
        <v>0</v>
      </c>
      <c r="F365" s="1">
        <v>396965</v>
      </c>
      <c r="G365" s="1">
        <v>40866.300000000003</v>
      </c>
      <c r="H365" s="1">
        <v>366237</v>
      </c>
      <c r="I365" s="1">
        <v>529152</v>
      </c>
      <c r="J365" s="1">
        <v>47103.1</v>
      </c>
      <c r="K365" s="1">
        <v>87864.7</v>
      </c>
      <c r="L365" s="1">
        <v>87113.2</v>
      </c>
      <c r="M365" s="1">
        <v>55748.6</v>
      </c>
      <c r="N365" s="1">
        <v>71740.3</v>
      </c>
      <c r="O365" s="1">
        <v>80216.100000000006</v>
      </c>
      <c r="P365" s="1">
        <v>51586</v>
      </c>
      <c r="Q365" s="1">
        <v>80329</v>
      </c>
      <c r="R365" s="1">
        <v>0</v>
      </c>
    </row>
    <row r="366" spans="1:18">
      <c r="A366" s="2">
        <v>0</v>
      </c>
      <c r="B366" s="1">
        <v>245618</v>
      </c>
      <c r="C366" s="1">
        <v>30345</v>
      </c>
      <c r="D366" s="1">
        <v>35509.199999999997</v>
      </c>
      <c r="E366" s="1">
        <v>0</v>
      </c>
      <c r="F366" s="1">
        <v>396981</v>
      </c>
      <c r="G366" s="1">
        <v>40926.400000000001</v>
      </c>
      <c r="H366" s="1">
        <v>366248</v>
      </c>
      <c r="I366" s="1">
        <v>529371</v>
      </c>
      <c r="J366" s="1">
        <v>47113.1</v>
      </c>
      <c r="K366" s="1">
        <v>87867.6</v>
      </c>
      <c r="L366" s="1">
        <v>87135</v>
      </c>
      <c r="M366" s="1">
        <v>55788.9</v>
      </c>
      <c r="N366" s="1">
        <v>71794.600000000006</v>
      </c>
      <c r="O366" s="1">
        <v>80235.100000000006</v>
      </c>
      <c r="P366" s="1">
        <v>51586</v>
      </c>
      <c r="Q366" s="1">
        <v>80329</v>
      </c>
      <c r="R366" s="1">
        <v>0</v>
      </c>
    </row>
    <row r="367" spans="1:18">
      <c r="A367" s="2">
        <v>4.1666666666666664E-2</v>
      </c>
      <c r="B367" s="1">
        <v>246282</v>
      </c>
      <c r="C367" s="1">
        <v>30509</v>
      </c>
      <c r="D367" s="1">
        <v>35522</v>
      </c>
      <c r="E367" s="1">
        <v>0</v>
      </c>
      <c r="F367" s="1">
        <v>396995</v>
      </c>
      <c r="G367" s="1">
        <v>40984.9</v>
      </c>
      <c r="H367" s="1">
        <v>366259</v>
      </c>
      <c r="I367" s="1">
        <v>529580</v>
      </c>
      <c r="J367" s="1">
        <v>47123.1</v>
      </c>
      <c r="K367" s="1">
        <v>87870.5</v>
      </c>
      <c r="L367" s="1">
        <v>87155.5</v>
      </c>
      <c r="M367" s="1">
        <v>55829.4</v>
      </c>
      <c r="N367" s="1">
        <v>71848.899999999994</v>
      </c>
      <c r="O367" s="1">
        <v>80253.2</v>
      </c>
      <c r="P367" s="1">
        <v>51586</v>
      </c>
      <c r="Q367" s="1">
        <v>80329</v>
      </c>
      <c r="R367" s="1">
        <v>0</v>
      </c>
    </row>
    <row r="368" spans="1:18">
      <c r="A368" s="2">
        <v>8.3333333333333329E-2</v>
      </c>
      <c r="B368" s="1">
        <v>246940</v>
      </c>
      <c r="C368" s="1">
        <v>30669</v>
      </c>
      <c r="D368" s="1">
        <v>35535.5</v>
      </c>
      <c r="E368" s="1">
        <v>0</v>
      </c>
      <c r="F368" s="1">
        <v>397010</v>
      </c>
      <c r="G368" s="1">
        <v>41045.5</v>
      </c>
      <c r="H368" s="1">
        <v>366269</v>
      </c>
      <c r="I368" s="1">
        <v>529785</v>
      </c>
      <c r="J368" s="1">
        <v>47132.6</v>
      </c>
      <c r="K368" s="1">
        <v>87873.4</v>
      </c>
      <c r="L368" s="1">
        <v>87176.5</v>
      </c>
      <c r="M368" s="1">
        <v>55868.6</v>
      </c>
      <c r="N368" s="1">
        <v>71902.7</v>
      </c>
      <c r="O368" s="1">
        <v>80271.899999999994</v>
      </c>
      <c r="P368" s="1">
        <v>51586</v>
      </c>
      <c r="Q368" s="1">
        <v>80329</v>
      </c>
      <c r="R368" s="1">
        <v>0</v>
      </c>
    </row>
    <row r="369" spans="1:18">
      <c r="A369" s="2">
        <v>0.125</v>
      </c>
      <c r="B369" s="1">
        <v>247582</v>
      </c>
      <c r="C369" s="1">
        <v>30824</v>
      </c>
      <c r="D369" s="1">
        <v>35548.699999999997</v>
      </c>
      <c r="E369" s="1">
        <v>0</v>
      </c>
      <c r="F369" s="1">
        <v>397025</v>
      </c>
      <c r="G369" s="1">
        <v>41104.300000000003</v>
      </c>
      <c r="H369" s="1">
        <v>366280</v>
      </c>
      <c r="I369" s="1">
        <v>529981</v>
      </c>
      <c r="J369" s="1">
        <v>47142.3</v>
      </c>
      <c r="K369" s="1">
        <v>87876.800000000003</v>
      </c>
      <c r="L369" s="1">
        <v>87197.2</v>
      </c>
      <c r="M369" s="1">
        <v>55907.7</v>
      </c>
      <c r="N369" s="1">
        <v>71956.800000000003</v>
      </c>
      <c r="O369" s="1">
        <v>80290.8</v>
      </c>
      <c r="P369" s="1">
        <v>51586</v>
      </c>
      <c r="Q369" s="1">
        <v>80329</v>
      </c>
      <c r="R369" s="1">
        <v>0</v>
      </c>
    </row>
    <row r="370" spans="1:18">
      <c r="A370" s="2">
        <v>0.16666666666666666</v>
      </c>
      <c r="B370" s="1">
        <v>248219</v>
      </c>
      <c r="C370" s="1">
        <v>30977</v>
      </c>
      <c r="D370" s="1">
        <v>35562.199999999997</v>
      </c>
      <c r="E370" s="1">
        <v>0</v>
      </c>
      <c r="F370" s="1">
        <v>397039</v>
      </c>
      <c r="G370" s="1">
        <v>41162.5</v>
      </c>
      <c r="H370" s="1">
        <v>366291</v>
      </c>
      <c r="I370" s="1">
        <v>530175</v>
      </c>
      <c r="J370" s="1">
        <v>47151.8</v>
      </c>
      <c r="K370" s="1">
        <v>87880.1</v>
      </c>
      <c r="L370" s="1">
        <v>87218.2</v>
      </c>
      <c r="M370" s="1">
        <v>55947.4</v>
      </c>
      <c r="N370" s="1">
        <v>72010.899999999994</v>
      </c>
      <c r="O370" s="1">
        <v>80308.3</v>
      </c>
      <c r="P370" s="1">
        <v>51586</v>
      </c>
      <c r="Q370" s="1">
        <v>80329</v>
      </c>
      <c r="R370" s="1">
        <v>0</v>
      </c>
    </row>
    <row r="371" spans="1:18">
      <c r="A371" s="2">
        <v>0.20833333333333334</v>
      </c>
      <c r="B371" s="1">
        <v>248855</v>
      </c>
      <c r="C371" s="1">
        <v>31132</v>
      </c>
      <c r="D371" s="1">
        <v>35575.1</v>
      </c>
      <c r="E371" s="1">
        <v>0</v>
      </c>
      <c r="F371" s="1">
        <v>397053</v>
      </c>
      <c r="G371" s="1">
        <v>41220.800000000003</v>
      </c>
      <c r="H371" s="1">
        <v>366301</v>
      </c>
      <c r="I371" s="1">
        <v>530369</v>
      </c>
      <c r="J371" s="1">
        <v>47160.2</v>
      </c>
      <c r="K371" s="1">
        <v>87882.9</v>
      </c>
      <c r="L371" s="1">
        <v>87237.6</v>
      </c>
      <c r="M371" s="1">
        <v>55987.6</v>
      </c>
      <c r="N371" s="1">
        <v>72066.399999999994</v>
      </c>
      <c r="O371" s="1">
        <v>80326.8</v>
      </c>
      <c r="P371" s="1">
        <v>51586</v>
      </c>
      <c r="Q371" s="1">
        <v>80329</v>
      </c>
      <c r="R371" s="1">
        <v>0</v>
      </c>
    </row>
    <row r="372" spans="1:18">
      <c r="A372" s="2">
        <v>0.25</v>
      </c>
      <c r="B372" s="1">
        <v>249483</v>
      </c>
      <c r="C372" s="1">
        <v>31287</v>
      </c>
      <c r="D372" s="1">
        <v>35588.6</v>
      </c>
      <c r="E372" s="1">
        <v>0</v>
      </c>
      <c r="F372" s="1">
        <v>397068</v>
      </c>
      <c r="G372" s="1">
        <v>41275.5</v>
      </c>
      <c r="H372" s="1">
        <v>366312</v>
      </c>
      <c r="I372" s="1">
        <v>530562</v>
      </c>
      <c r="J372" s="1">
        <v>47169.7</v>
      </c>
      <c r="K372" s="1">
        <v>87885.7</v>
      </c>
      <c r="L372" s="1">
        <v>87255.8</v>
      </c>
      <c r="M372" s="1">
        <v>56026.2</v>
      </c>
      <c r="N372" s="1">
        <v>72119.600000000006</v>
      </c>
      <c r="O372" s="1">
        <v>80344.2</v>
      </c>
      <c r="P372" s="1">
        <v>51586</v>
      </c>
      <c r="Q372" s="1">
        <v>80329</v>
      </c>
      <c r="R372" s="1">
        <v>0</v>
      </c>
    </row>
    <row r="373" spans="1:18">
      <c r="A373" s="2">
        <v>0.29166666666666669</v>
      </c>
      <c r="B373" s="1">
        <v>250135</v>
      </c>
      <c r="C373" s="1">
        <v>31450</v>
      </c>
      <c r="D373" s="1">
        <v>35601.699999999997</v>
      </c>
      <c r="E373" s="1">
        <v>0</v>
      </c>
      <c r="F373" s="1">
        <v>397082</v>
      </c>
      <c r="G373" s="1">
        <v>41331.800000000003</v>
      </c>
      <c r="H373" s="1">
        <v>366323</v>
      </c>
      <c r="I373" s="1">
        <v>530763</v>
      </c>
      <c r="J373" s="1">
        <v>47179.199999999997</v>
      </c>
      <c r="K373" s="1">
        <v>87888.2</v>
      </c>
      <c r="L373" s="1">
        <v>87273.8</v>
      </c>
      <c r="M373" s="1">
        <v>56064.9</v>
      </c>
      <c r="N373" s="1">
        <v>72173.899999999994</v>
      </c>
      <c r="O373" s="1">
        <v>80362.2</v>
      </c>
      <c r="P373" s="1">
        <v>51586</v>
      </c>
      <c r="Q373" s="1">
        <v>80330</v>
      </c>
      <c r="R373" s="1">
        <v>0</v>
      </c>
    </row>
    <row r="374" spans="1:18">
      <c r="A374" s="2">
        <v>0.33333333333333331</v>
      </c>
      <c r="B374" s="1">
        <v>250810</v>
      </c>
      <c r="C374" s="1">
        <v>31629</v>
      </c>
      <c r="D374" s="1">
        <v>35615.1</v>
      </c>
      <c r="E374" s="1">
        <v>0</v>
      </c>
      <c r="F374" s="1">
        <v>397099</v>
      </c>
      <c r="G374" s="1">
        <v>41386.699999999997</v>
      </c>
      <c r="H374" s="1">
        <v>366333</v>
      </c>
      <c r="I374" s="1">
        <v>530972</v>
      </c>
      <c r="J374" s="1">
        <v>47189.5</v>
      </c>
      <c r="K374" s="1">
        <v>87888.7</v>
      </c>
      <c r="L374" s="1">
        <v>87291.5</v>
      </c>
      <c r="M374" s="1">
        <v>56104.7</v>
      </c>
      <c r="N374" s="1">
        <v>72223.399999999994</v>
      </c>
      <c r="O374" s="1">
        <v>80381.100000000006</v>
      </c>
      <c r="P374" s="1">
        <v>51588</v>
      </c>
      <c r="Q374" s="1">
        <v>80334</v>
      </c>
      <c r="R374" s="1">
        <v>0</v>
      </c>
    </row>
    <row r="375" spans="1:18">
      <c r="A375" s="2">
        <v>0.375</v>
      </c>
      <c r="B375" s="1">
        <v>251532</v>
      </c>
      <c r="C375" s="1">
        <v>31821</v>
      </c>
      <c r="D375" s="1">
        <v>35628.6</v>
      </c>
      <c r="E375" s="1">
        <v>0</v>
      </c>
      <c r="F375" s="1">
        <v>397122</v>
      </c>
      <c r="G375" s="1">
        <v>41437.1</v>
      </c>
      <c r="H375" s="1">
        <v>366344</v>
      </c>
      <c r="I375" s="1">
        <v>531207</v>
      </c>
      <c r="J375" s="1">
        <v>47200.9</v>
      </c>
      <c r="K375" s="1">
        <v>87888.7</v>
      </c>
      <c r="L375" s="1">
        <v>87309.5</v>
      </c>
      <c r="M375" s="1">
        <v>56149.599999999999</v>
      </c>
      <c r="N375" s="1">
        <v>72269.899999999994</v>
      </c>
      <c r="O375" s="1">
        <v>80399.7</v>
      </c>
      <c r="P375" s="1">
        <v>51592</v>
      </c>
      <c r="Q375" s="1">
        <v>80343</v>
      </c>
      <c r="R375" s="1">
        <v>0</v>
      </c>
    </row>
    <row r="376" spans="1:18">
      <c r="A376" s="2">
        <v>0.41666666666666669</v>
      </c>
      <c r="B376" s="1">
        <v>252337</v>
      </c>
      <c r="C376" s="1">
        <v>32038</v>
      </c>
      <c r="D376" s="1">
        <v>35647.699999999997</v>
      </c>
      <c r="E376" s="1">
        <v>0</v>
      </c>
      <c r="F376" s="1">
        <v>397144</v>
      </c>
      <c r="G376" s="1">
        <v>41481.300000000003</v>
      </c>
      <c r="H376" s="1">
        <v>366354</v>
      </c>
      <c r="I376" s="1">
        <v>531494</v>
      </c>
      <c r="J376" s="1">
        <v>47212.4</v>
      </c>
      <c r="K376" s="1">
        <v>87888.7</v>
      </c>
      <c r="L376" s="1">
        <v>87328</v>
      </c>
      <c r="M376" s="1">
        <v>56199</v>
      </c>
      <c r="N376" s="1">
        <v>72313.7</v>
      </c>
      <c r="O376" s="1">
        <v>80419.199999999997</v>
      </c>
      <c r="P376" s="1">
        <v>51604</v>
      </c>
      <c r="Q376" s="1">
        <v>80360</v>
      </c>
      <c r="R376" s="1">
        <v>0</v>
      </c>
    </row>
    <row r="377" spans="1:18">
      <c r="A377" s="2">
        <v>0.45833333333333331</v>
      </c>
      <c r="B377" s="1">
        <v>253235</v>
      </c>
      <c r="C377" s="1">
        <v>32276</v>
      </c>
      <c r="D377" s="1">
        <v>35674.699999999997</v>
      </c>
      <c r="E377" s="1">
        <v>0</v>
      </c>
      <c r="F377" s="1">
        <v>397174</v>
      </c>
      <c r="G377" s="1">
        <v>41535.1</v>
      </c>
      <c r="H377" s="1">
        <v>366367</v>
      </c>
      <c r="I377" s="1">
        <v>531820</v>
      </c>
      <c r="J377" s="1">
        <v>47227.5</v>
      </c>
      <c r="K377" s="1">
        <v>87888.7</v>
      </c>
      <c r="L377" s="1">
        <v>87348.2</v>
      </c>
      <c r="M377" s="1">
        <v>56245.9</v>
      </c>
      <c r="N377" s="1">
        <v>72358.100000000006</v>
      </c>
      <c r="O377" s="1">
        <v>80443.199999999997</v>
      </c>
      <c r="P377" s="1">
        <v>51617</v>
      </c>
      <c r="Q377" s="1">
        <v>80381</v>
      </c>
      <c r="R377" s="1">
        <v>0</v>
      </c>
    </row>
    <row r="378" spans="1:18">
      <c r="A378" s="2">
        <v>0.5</v>
      </c>
      <c r="B378" s="1">
        <v>254178</v>
      </c>
      <c r="C378" s="1">
        <v>32518</v>
      </c>
      <c r="D378" s="1">
        <v>35709.699999999997</v>
      </c>
      <c r="E378" s="1">
        <v>0</v>
      </c>
      <c r="F378" s="1">
        <v>397208</v>
      </c>
      <c r="G378" s="1">
        <v>41595.699999999997</v>
      </c>
      <c r="H378" s="1">
        <v>366384</v>
      </c>
      <c r="I378" s="1">
        <v>532171</v>
      </c>
      <c r="J378" s="1">
        <v>47243</v>
      </c>
      <c r="K378" s="1">
        <v>87888.7</v>
      </c>
      <c r="L378" s="1">
        <v>87368.4</v>
      </c>
      <c r="M378" s="1">
        <v>56292.9</v>
      </c>
      <c r="N378" s="1">
        <v>72401.2</v>
      </c>
      <c r="O378" s="1">
        <v>80463.600000000006</v>
      </c>
      <c r="P378" s="1">
        <v>51631</v>
      </c>
      <c r="Q378" s="1">
        <v>80402</v>
      </c>
      <c r="R378" s="1">
        <v>0</v>
      </c>
    </row>
    <row r="379" spans="1:18">
      <c r="A379" s="2">
        <v>0.54166666666666663</v>
      </c>
      <c r="B379" s="1">
        <v>255156</v>
      </c>
      <c r="C379" s="1">
        <v>32777</v>
      </c>
      <c r="D379" s="1">
        <v>35745.699999999997</v>
      </c>
      <c r="E379" s="1">
        <v>0</v>
      </c>
      <c r="F379" s="1">
        <v>397247</v>
      </c>
      <c r="G379" s="1">
        <v>41664.6</v>
      </c>
      <c r="H379" s="1">
        <v>366399</v>
      </c>
      <c r="I379" s="1">
        <v>532528</v>
      </c>
      <c r="J379" s="1">
        <v>47259.4</v>
      </c>
      <c r="K379" s="1">
        <v>87888.7</v>
      </c>
      <c r="L379" s="1">
        <v>87392</v>
      </c>
      <c r="M379" s="1">
        <v>56342.5</v>
      </c>
      <c r="N379" s="1">
        <v>72442.3</v>
      </c>
      <c r="O379" s="1">
        <v>80481.600000000006</v>
      </c>
      <c r="P379" s="1">
        <v>51646</v>
      </c>
      <c r="Q379" s="1">
        <v>80425</v>
      </c>
      <c r="R379" s="1">
        <v>0</v>
      </c>
    </row>
    <row r="380" spans="1:18">
      <c r="A380" s="2">
        <v>0.58333333333333337</v>
      </c>
      <c r="B380" s="1">
        <v>256177</v>
      </c>
      <c r="C380" s="1">
        <v>33042</v>
      </c>
      <c r="D380" s="1">
        <v>35780.9</v>
      </c>
      <c r="E380" s="1">
        <v>0</v>
      </c>
      <c r="F380" s="1">
        <v>397288</v>
      </c>
      <c r="G380" s="1">
        <v>41739.5</v>
      </c>
      <c r="H380" s="1">
        <v>366413</v>
      </c>
      <c r="I380" s="1">
        <v>532901</v>
      </c>
      <c r="J380" s="1">
        <v>47276</v>
      </c>
      <c r="K380" s="1">
        <v>87888.7</v>
      </c>
      <c r="L380" s="1">
        <v>87422</v>
      </c>
      <c r="M380" s="1">
        <v>56395.7</v>
      </c>
      <c r="N380" s="1">
        <v>72483</v>
      </c>
      <c r="O380" s="1">
        <v>80502.2</v>
      </c>
      <c r="P380" s="1">
        <v>51662</v>
      </c>
      <c r="Q380" s="1">
        <v>80449</v>
      </c>
      <c r="R380" s="1">
        <v>0</v>
      </c>
    </row>
    <row r="381" spans="1:18">
      <c r="A381" s="2">
        <v>0.625</v>
      </c>
      <c r="B381" s="1">
        <v>257255</v>
      </c>
      <c r="C381" s="1">
        <v>33314</v>
      </c>
      <c r="D381" s="1">
        <v>35821.800000000003</v>
      </c>
      <c r="E381" s="1">
        <v>0</v>
      </c>
      <c r="F381" s="1">
        <v>397335</v>
      </c>
      <c r="G381" s="1">
        <v>41819.4</v>
      </c>
      <c r="H381" s="1">
        <v>366429</v>
      </c>
      <c r="I381" s="1">
        <v>533295</v>
      </c>
      <c r="J381" s="1">
        <v>47293.5</v>
      </c>
      <c r="K381" s="1">
        <v>87888.7</v>
      </c>
      <c r="L381" s="1">
        <v>87458.9</v>
      </c>
      <c r="M381" s="1">
        <v>56448.6</v>
      </c>
      <c r="N381" s="1">
        <v>72525</v>
      </c>
      <c r="O381" s="1">
        <v>80522.600000000006</v>
      </c>
      <c r="P381" s="1">
        <v>51677</v>
      </c>
      <c r="Q381" s="1">
        <v>80471</v>
      </c>
      <c r="R381" s="1">
        <v>0</v>
      </c>
    </row>
    <row r="382" spans="1:18">
      <c r="A382" s="2">
        <v>0.66666666666666663</v>
      </c>
      <c r="B382" s="1">
        <v>258318</v>
      </c>
      <c r="C382" s="1">
        <v>33583</v>
      </c>
      <c r="D382" s="1">
        <v>35861.9</v>
      </c>
      <c r="E382" s="1">
        <v>0</v>
      </c>
      <c r="F382" s="1">
        <v>397378</v>
      </c>
      <c r="G382" s="1">
        <v>41909.4</v>
      </c>
      <c r="H382" s="1">
        <v>366444</v>
      </c>
      <c r="I382" s="1">
        <v>533666</v>
      </c>
      <c r="J382" s="1">
        <v>47311.199999999997</v>
      </c>
      <c r="K382" s="1">
        <v>87888.7</v>
      </c>
      <c r="L382" s="1">
        <v>87493.2</v>
      </c>
      <c r="M382" s="1">
        <v>56501.7</v>
      </c>
      <c r="N382" s="1">
        <v>72570.2</v>
      </c>
      <c r="O382" s="1">
        <v>80541.8</v>
      </c>
      <c r="P382" s="1">
        <v>51689</v>
      </c>
      <c r="Q382" s="1">
        <v>80489</v>
      </c>
      <c r="R382" s="1">
        <v>0</v>
      </c>
    </row>
    <row r="383" spans="1:18">
      <c r="A383" s="2">
        <v>0.70833333333333337</v>
      </c>
      <c r="B383" s="1">
        <v>259389</v>
      </c>
      <c r="C383" s="1">
        <v>33862</v>
      </c>
      <c r="D383" s="1">
        <v>35895.1</v>
      </c>
      <c r="E383" s="1">
        <v>0</v>
      </c>
      <c r="F383" s="1">
        <v>397427</v>
      </c>
      <c r="G383" s="1">
        <v>42008.2</v>
      </c>
      <c r="H383" s="1">
        <v>366459</v>
      </c>
      <c r="I383" s="1">
        <v>534023</v>
      </c>
      <c r="J383" s="1">
        <v>47325.5</v>
      </c>
      <c r="K383" s="1">
        <v>87888.7</v>
      </c>
      <c r="L383" s="1">
        <v>87524.5</v>
      </c>
      <c r="M383" s="1">
        <v>56551.199999999997</v>
      </c>
      <c r="N383" s="1">
        <v>72619.7</v>
      </c>
      <c r="O383" s="1">
        <v>80562.7</v>
      </c>
      <c r="P383" s="1">
        <v>51697</v>
      </c>
      <c r="Q383" s="1">
        <v>80501</v>
      </c>
      <c r="R383" s="1">
        <v>0</v>
      </c>
    </row>
    <row r="384" spans="1:18">
      <c r="A384" s="2">
        <v>0.75</v>
      </c>
      <c r="B384" s="1">
        <v>260420</v>
      </c>
      <c r="C384" s="1">
        <v>34130</v>
      </c>
      <c r="D384" s="1">
        <v>35923.800000000003</v>
      </c>
      <c r="E384" s="1">
        <v>0</v>
      </c>
      <c r="F384" s="1">
        <v>397469</v>
      </c>
      <c r="G384" s="1">
        <v>42102</v>
      </c>
      <c r="H384" s="1">
        <v>366476</v>
      </c>
      <c r="I384" s="1">
        <v>534365</v>
      </c>
      <c r="J384" s="1">
        <v>47339.7</v>
      </c>
      <c r="K384" s="1">
        <v>87889.2</v>
      </c>
      <c r="L384" s="1">
        <v>87551.8</v>
      </c>
      <c r="M384" s="1">
        <v>56603.7</v>
      </c>
      <c r="N384" s="1">
        <v>72672.100000000006</v>
      </c>
      <c r="O384" s="1">
        <v>80582.2</v>
      </c>
      <c r="P384" s="1">
        <v>51701</v>
      </c>
      <c r="Q384" s="1">
        <v>80509</v>
      </c>
      <c r="R384" s="1">
        <v>0</v>
      </c>
    </row>
    <row r="385" spans="1:18">
      <c r="A385" s="2">
        <v>0.79166666666666663</v>
      </c>
      <c r="B385" s="1">
        <v>261376</v>
      </c>
      <c r="C385" s="1">
        <v>34380</v>
      </c>
      <c r="D385" s="1">
        <v>35946.6</v>
      </c>
      <c r="E385" s="1">
        <v>0</v>
      </c>
      <c r="F385" s="1">
        <v>397504</v>
      </c>
      <c r="G385" s="1">
        <v>42196.2</v>
      </c>
      <c r="H385" s="1">
        <v>366490</v>
      </c>
      <c r="I385" s="1">
        <v>534673</v>
      </c>
      <c r="J385" s="1">
        <v>47353.1</v>
      </c>
      <c r="K385" s="1">
        <v>87891.4</v>
      </c>
      <c r="L385" s="1">
        <v>87579.5</v>
      </c>
      <c r="M385" s="1">
        <v>56651.7</v>
      </c>
      <c r="N385" s="1">
        <v>72726.899999999994</v>
      </c>
      <c r="O385" s="1">
        <v>80600.399999999994</v>
      </c>
      <c r="P385" s="1">
        <v>51702</v>
      </c>
      <c r="Q385" s="1">
        <v>80510</v>
      </c>
      <c r="R385" s="1">
        <v>0</v>
      </c>
    </row>
    <row r="386" spans="1:18">
      <c r="A386" s="2">
        <v>0.83333333333333337</v>
      </c>
      <c r="B386" s="1">
        <v>262245</v>
      </c>
      <c r="C386" s="1">
        <v>34610</v>
      </c>
      <c r="D386" s="1">
        <v>35963.300000000003</v>
      </c>
      <c r="E386" s="1">
        <v>0</v>
      </c>
      <c r="F386" s="1">
        <v>397531</v>
      </c>
      <c r="G386" s="1">
        <v>42282.1</v>
      </c>
      <c r="H386" s="1">
        <v>366505</v>
      </c>
      <c r="I386" s="1">
        <v>534942</v>
      </c>
      <c r="J386" s="1">
        <v>47366.3</v>
      </c>
      <c r="K386" s="1">
        <v>87894.5</v>
      </c>
      <c r="L386" s="1">
        <v>87604.5</v>
      </c>
      <c r="M386" s="1">
        <v>56697.9</v>
      </c>
      <c r="N386" s="1">
        <v>72783.199999999997</v>
      </c>
      <c r="O386" s="1">
        <v>80620.399999999994</v>
      </c>
      <c r="P386" s="1">
        <v>51702</v>
      </c>
      <c r="Q386" s="1">
        <v>80510</v>
      </c>
      <c r="R386" s="1">
        <v>0</v>
      </c>
    </row>
    <row r="387" spans="1:18">
      <c r="A387" s="2">
        <v>0.875</v>
      </c>
      <c r="B387" s="1">
        <v>263068</v>
      </c>
      <c r="C387" s="1">
        <v>34834</v>
      </c>
      <c r="D387" s="1">
        <v>35981</v>
      </c>
      <c r="E387" s="1">
        <v>0</v>
      </c>
      <c r="F387" s="1">
        <v>397554</v>
      </c>
      <c r="G387" s="1">
        <v>42360.3</v>
      </c>
      <c r="H387" s="1">
        <v>366521</v>
      </c>
      <c r="I387" s="1">
        <v>535191</v>
      </c>
      <c r="J387" s="1">
        <v>47377.9</v>
      </c>
      <c r="K387" s="1">
        <v>87897.5</v>
      </c>
      <c r="L387" s="1">
        <v>87629.7</v>
      </c>
      <c r="M387" s="1">
        <v>56743</v>
      </c>
      <c r="N387" s="1">
        <v>72838.8</v>
      </c>
      <c r="O387" s="1">
        <v>80640.899999999994</v>
      </c>
      <c r="P387" s="1">
        <v>51702</v>
      </c>
      <c r="Q387" s="1">
        <v>80510</v>
      </c>
      <c r="R387" s="1">
        <v>0</v>
      </c>
    </row>
    <row r="388" spans="1:18">
      <c r="A388" s="2">
        <v>0.91666666666666663</v>
      </c>
      <c r="B388" s="1">
        <v>263857</v>
      </c>
      <c r="C388" s="1">
        <v>35048</v>
      </c>
      <c r="D388" s="1">
        <v>35996.800000000003</v>
      </c>
      <c r="E388" s="1">
        <v>0</v>
      </c>
      <c r="F388" s="1">
        <v>397573</v>
      </c>
      <c r="G388" s="1">
        <v>42433.3</v>
      </c>
      <c r="H388" s="1">
        <v>366537</v>
      </c>
      <c r="I388" s="1">
        <v>535431</v>
      </c>
      <c r="J388" s="1">
        <v>47388.6</v>
      </c>
      <c r="K388" s="1">
        <v>87900.5</v>
      </c>
      <c r="L388" s="1">
        <v>87653.9</v>
      </c>
      <c r="M388" s="1">
        <v>56785.2</v>
      </c>
      <c r="N388" s="1">
        <v>72894.7</v>
      </c>
      <c r="O388" s="1">
        <v>80660.399999999994</v>
      </c>
      <c r="P388" s="1">
        <v>51702</v>
      </c>
      <c r="Q388" s="1">
        <v>80510</v>
      </c>
      <c r="R388" s="1">
        <v>0</v>
      </c>
    </row>
    <row r="389" spans="1:18">
      <c r="A389" s="2">
        <v>0.95833333333333337</v>
      </c>
      <c r="B389" s="1">
        <v>264624</v>
      </c>
      <c r="C389" s="1">
        <v>35249</v>
      </c>
      <c r="D389" s="1">
        <v>36012.300000000003</v>
      </c>
      <c r="E389" s="1">
        <v>0</v>
      </c>
      <c r="F389" s="1">
        <v>397594</v>
      </c>
      <c r="G389" s="1">
        <v>42502.6</v>
      </c>
      <c r="H389" s="1">
        <v>366553</v>
      </c>
      <c r="I389" s="1">
        <v>535668</v>
      </c>
      <c r="J389" s="1">
        <v>47399.199999999997</v>
      </c>
      <c r="K389" s="1">
        <v>87903.5</v>
      </c>
      <c r="L389" s="1">
        <v>87676.800000000003</v>
      </c>
      <c r="M389" s="1">
        <v>56827.5</v>
      </c>
      <c r="N389" s="1">
        <v>72950</v>
      </c>
      <c r="O389" s="1">
        <v>80679.899999999994</v>
      </c>
      <c r="P389" s="1">
        <v>51702</v>
      </c>
      <c r="Q389" s="1">
        <v>80510</v>
      </c>
      <c r="R389" s="1">
        <v>0</v>
      </c>
    </row>
    <row r="390" spans="1:18">
      <c r="A390" s="2">
        <v>0</v>
      </c>
      <c r="B390" s="1">
        <v>265381</v>
      </c>
      <c r="C390" s="1">
        <v>35446</v>
      </c>
      <c r="D390" s="1">
        <v>36027.4</v>
      </c>
      <c r="E390" s="1">
        <v>0</v>
      </c>
      <c r="F390" s="1">
        <v>397613</v>
      </c>
      <c r="G390" s="1">
        <v>42570.7</v>
      </c>
      <c r="H390" s="1">
        <v>366569</v>
      </c>
      <c r="I390" s="1">
        <v>535903</v>
      </c>
      <c r="J390" s="1">
        <v>47409.7</v>
      </c>
      <c r="K390" s="1">
        <v>87906.4</v>
      </c>
      <c r="L390" s="1">
        <v>87699.4</v>
      </c>
      <c r="M390" s="1">
        <v>56871.1</v>
      </c>
      <c r="N390" s="1">
        <v>73004.7</v>
      </c>
      <c r="O390" s="1">
        <v>80699.3</v>
      </c>
      <c r="P390" s="1">
        <v>51702</v>
      </c>
      <c r="Q390" s="1">
        <v>80510</v>
      </c>
      <c r="R390" s="1">
        <v>0</v>
      </c>
    </row>
    <row r="391" spans="1:18">
      <c r="A391" s="2">
        <v>4.1666666666666664E-2</v>
      </c>
      <c r="B391" s="1">
        <v>266120</v>
      </c>
      <c r="C391" s="1">
        <v>35638</v>
      </c>
      <c r="D391" s="1">
        <v>36041.9</v>
      </c>
      <c r="E391" s="1">
        <v>0</v>
      </c>
      <c r="F391" s="1">
        <v>397630</v>
      </c>
      <c r="G391" s="1">
        <v>42636.7</v>
      </c>
      <c r="H391" s="1">
        <v>366585</v>
      </c>
      <c r="I391" s="1">
        <v>536131</v>
      </c>
      <c r="J391" s="1">
        <v>47420.1</v>
      </c>
      <c r="K391" s="1">
        <v>87909.4</v>
      </c>
      <c r="L391" s="1">
        <v>87721.9</v>
      </c>
      <c r="M391" s="1">
        <v>56914.3</v>
      </c>
      <c r="N391" s="1">
        <v>73059.5</v>
      </c>
      <c r="O391" s="1">
        <v>80717.600000000006</v>
      </c>
      <c r="P391" s="1">
        <v>51702</v>
      </c>
      <c r="Q391" s="1">
        <v>80510</v>
      </c>
      <c r="R391" s="1">
        <v>0</v>
      </c>
    </row>
    <row r="392" spans="1:18">
      <c r="A392" s="2">
        <v>8.3333333333333329E-2</v>
      </c>
      <c r="B392" s="1">
        <v>266834</v>
      </c>
      <c r="C392" s="1">
        <v>35829</v>
      </c>
      <c r="D392" s="1">
        <v>36056.300000000003</v>
      </c>
      <c r="E392" s="1">
        <v>0</v>
      </c>
      <c r="F392" s="1">
        <v>397647</v>
      </c>
      <c r="G392" s="1">
        <v>42701.9</v>
      </c>
      <c r="H392" s="1">
        <v>366601</v>
      </c>
      <c r="I392" s="1">
        <v>536343</v>
      </c>
      <c r="J392" s="1">
        <v>47430.3</v>
      </c>
      <c r="K392" s="1">
        <v>87912.8</v>
      </c>
      <c r="L392" s="1">
        <v>87744.3</v>
      </c>
      <c r="M392" s="1">
        <v>56954</v>
      </c>
      <c r="N392" s="1">
        <v>73114.3</v>
      </c>
      <c r="O392" s="1">
        <v>80736.5</v>
      </c>
      <c r="P392" s="1">
        <v>51702</v>
      </c>
      <c r="Q392" s="1">
        <v>80510</v>
      </c>
      <c r="R392" s="1">
        <v>0</v>
      </c>
    </row>
    <row r="393" spans="1:18">
      <c r="A393" s="2">
        <v>0.125</v>
      </c>
      <c r="B393" s="1">
        <v>267530</v>
      </c>
      <c r="C393" s="1">
        <v>36010</v>
      </c>
      <c r="D393" s="1">
        <v>36070.1</v>
      </c>
      <c r="E393" s="1">
        <v>0</v>
      </c>
      <c r="F393" s="1">
        <v>397664</v>
      </c>
      <c r="G393" s="1">
        <v>42766.8</v>
      </c>
      <c r="H393" s="1">
        <v>366613</v>
      </c>
      <c r="I393" s="1">
        <v>536548</v>
      </c>
      <c r="J393" s="1">
        <v>47440.6</v>
      </c>
      <c r="K393" s="1">
        <v>87916.1</v>
      </c>
      <c r="L393" s="1">
        <v>87769.3</v>
      </c>
      <c r="M393" s="1">
        <v>56993.8</v>
      </c>
      <c r="N393" s="1">
        <v>73168.800000000003</v>
      </c>
      <c r="O393" s="1">
        <v>80755</v>
      </c>
      <c r="P393" s="1">
        <v>51702</v>
      </c>
      <c r="Q393" s="1">
        <v>80510</v>
      </c>
      <c r="R393" s="1">
        <v>0</v>
      </c>
    </row>
    <row r="394" spans="1:18">
      <c r="A394" s="2">
        <v>0.16666666666666666</v>
      </c>
      <c r="B394" s="1">
        <v>268227</v>
      </c>
      <c r="C394" s="1">
        <v>36192</v>
      </c>
      <c r="D394" s="1">
        <v>36084.400000000001</v>
      </c>
      <c r="E394" s="1">
        <v>0</v>
      </c>
      <c r="F394" s="1">
        <v>397682</v>
      </c>
      <c r="G394" s="1">
        <v>42832.2</v>
      </c>
      <c r="H394" s="1">
        <v>366623</v>
      </c>
      <c r="I394" s="1">
        <v>536753</v>
      </c>
      <c r="J394" s="1">
        <v>47450.5</v>
      </c>
      <c r="K394" s="1">
        <v>87919.1</v>
      </c>
      <c r="L394" s="1">
        <v>87794.1</v>
      </c>
      <c r="M394" s="1">
        <v>57033.599999999999</v>
      </c>
      <c r="N394" s="1">
        <v>73224</v>
      </c>
      <c r="O394" s="1">
        <v>80774.3</v>
      </c>
      <c r="P394" s="1">
        <v>51702</v>
      </c>
      <c r="Q394" s="1">
        <v>80510</v>
      </c>
      <c r="R394" s="1">
        <v>0</v>
      </c>
    </row>
    <row r="395" spans="1:18">
      <c r="A395" s="2">
        <v>0.20833333333333334</v>
      </c>
      <c r="B395" s="1">
        <v>268910</v>
      </c>
      <c r="C395" s="1">
        <v>36372</v>
      </c>
      <c r="D395" s="1">
        <v>36098.1</v>
      </c>
      <c r="E395" s="1">
        <v>0</v>
      </c>
      <c r="F395" s="1">
        <v>397699</v>
      </c>
      <c r="G395" s="1">
        <v>42895.5</v>
      </c>
      <c r="H395" s="1">
        <v>366634</v>
      </c>
      <c r="I395" s="1">
        <v>536955</v>
      </c>
      <c r="J395" s="1">
        <v>47460.6</v>
      </c>
      <c r="K395" s="1">
        <v>87922</v>
      </c>
      <c r="L395" s="1">
        <v>87815.5</v>
      </c>
      <c r="M395" s="1">
        <v>57072.800000000003</v>
      </c>
      <c r="N395" s="1">
        <v>73279.100000000006</v>
      </c>
      <c r="O395" s="1">
        <v>80793.5</v>
      </c>
      <c r="P395" s="1">
        <v>51702</v>
      </c>
      <c r="Q395" s="1">
        <v>80510</v>
      </c>
      <c r="R395" s="1">
        <v>0</v>
      </c>
    </row>
    <row r="396" spans="1:18">
      <c r="A396" s="2">
        <v>0.25</v>
      </c>
      <c r="B396" s="1">
        <v>269593</v>
      </c>
      <c r="C396" s="1">
        <v>36552</v>
      </c>
      <c r="D396" s="1">
        <v>36114</v>
      </c>
      <c r="E396" s="1">
        <v>0</v>
      </c>
      <c r="F396" s="1">
        <v>397716</v>
      </c>
      <c r="G396" s="1">
        <v>42958.5</v>
      </c>
      <c r="H396" s="1">
        <v>366644</v>
      </c>
      <c r="I396" s="1">
        <v>537155</v>
      </c>
      <c r="J396" s="1">
        <v>47470.5</v>
      </c>
      <c r="K396" s="1">
        <v>87924.800000000003</v>
      </c>
      <c r="L396" s="1">
        <v>87835.5</v>
      </c>
      <c r="M396" s="1">
        <v>57111.7</v>
      </c>
      <c r="N396" s="1">
        <v>73334</v>
      </c>
      <c r="O396" s="1">
        <v>80814.3</v>
      </c>
      <c r="P396" s="1">
        <v>51702</v>
      </c>
      <c r="Q396" s="1">
        <v>80510</v>
      </c>
      <c r="R396" s="1">
        <v>0</v>
      </c>
    </row>
    <row r="397" spans="1:18">
      <c r="A397" s="2">
        <v>0.29166666666666669</v>
      </c>
      <c r="B397" s="1">
        <v>270267</v>
      </c>
      <c r="C397" s="1">
        <v>36730</v>
      </c>
      <c r="D397" s="1">
        <v>36127.699999999997</v>
      </c>
      <c r="E397" s="1">
        <v>0</v>
      </c>
      <c r="F397" s="1">
        <v>397732</v>
      </c>
      <c r="G397" s="1">
        <v>43019.9</v>
      </c>
      <c r="H397" s="1">
        <v>366655</v>
      </c>
      <c r="I397" s="1">
        <v>537357</v>
      </c>
      <c r="J397" s="1">
        <v>47480.4</v>
      </c>
      <c r="K397" s="1">
        <v>87926.8</v>
      </c>
      <c r="L397" s="1">
        <v>87855.2</v>
      </c>
      <c r="M397" s="1">
        <v>57150.1</v>
      </c>
      <c r="N397" s="1">
        <v>73388.2</v>
      </c>
      <c r="O397" s="1">
        <v>80833.7</v>
      </c>
      <c r="P397" s="1">
        <v>51703</v>
      </c>
      <c r="Q397" s="1">
        <v>80511</v>
      </c>
      <c r="R397" s="1">
        <v>0</v>
      </c>
    </row>
    <row r="398" spans="1:18">
      <c r="A398" s="2">
        <v>0.33333333333333331</v>
      </c>
      <c r="B398" s="1">
        <v>270986</v>
      </c>
      <c r="C398" s="1">
        <v>36923</v>
      </c>
      <c r="D398" s="1">
        <v>36141.699999999997</v>
      </c>
      <c r="E398" s="1">
        <v>0</v>
      </c>
      <c r="F398" s="1">
        <v>397750</v>
      </c>
      <c r="G398" s="1">
        <v>43082.2</v>
      </c>
      <c r="H398" s="1">
        <v>366667</v>
      </c>
      <c r="I398" s="1">
        <v>537575</v>
      </c>
      <c r="J398" s="1">
        <v>47490.5</v>
      </c>
      <c r="K398" s="1">
        <v>87926.9</v>
      </c>
      <c r="L398" s="1">
        <v>87876.9</v>
      </c>
      <c r="M398" s="1">
        <v>57189.599999999999</v>
      </c>
      <c r="N398" s="1">
        <v>73439.8</v>
      </c>
      <c r="O398" s="1">
        <v>80858.8</v>
      </c>
      <c r="P398" s="1">
        <v>51705</v>
      </c>
      <c r="Q398" s="1">
        <v>80514</v>
      </c>
      <c r="R398" s="1">
        <v>0</v>
      </c>
    </row>
    <row r="399" spans="1:18">
      <c r="A399" s="2">
        <v>0.375</v>
      </c>
      <c r="B399" s="1">
        <v>271832</v>
      </c>
      <c r="C399" s="1">
        <v>37146</v>
      </c>
      <c r="D399" s="1">
        <v>36160</v>
      </c>
      <c r="E399" s="1">
        <v>0</v>
      </c>
      <c r="F399" s="1">
        <v>397774</v>
      </c>
      <c r="G399" s="1">
        <v>43145.4</v>
      </c>
      <c r="H399" s="1">
        <v>366677</v>
      </c>
      <c r="I399" s="1">
        <v>537831</v>
      </c>
      <c r="J399" s="1">
        <v>47501</v>
      </c>
      <c r="K399" s="1">
        <v>87927.7</v>
      </c>
      <c r="L399" s="1">
        <v>87908.4</v>
      </c>
      <c r="M399" s="1">
        <v>57236.2</v>
      </c>
      <c r="N399" s="1">
        <v>73490.899999999994</v>
      </c>
      <c r="O399" s="1">
        <v>80895.5</v>
      </c>
      <c r="P399" s="1">
        <v>51709</v>
      </c>
      <c r="Q399" s="1">
        <v>80522</v>
      </c>
      <c r="R399" s="1">
        <v>0</v>
      </c>
    </row>
    <row r="400" spans="1:18">
      <c r="A400" s="2">
        <v>0.41666666666666669</v>
      </c>
      <c r="B400" s="1">
        <v>272869</v>
      </c>
      <c r="C400" s="1">
        <v>37413</v>
      </c>
      <c r="D400" s="1">
        <v>36188.699999999997</v>
      </c>
      <c r="E400" s="1">
        <v>0</v>
      </c>
      <c r="F400" s="1">
        <v>397806</v>
      </c>
      <c r="G400" s="1">
        <v>43224.9</v>
      </c>
      <c r="H400" s="1">
        <v>366688</v>
      </c>
      <c r="I400" s="1">
        <v>538149</v>
      </c>
      <c r="J400" s="1">
        <v>47512.6</v>
      </c>
      <c r="K400" s="1">
        <v>87928.1</v>
      </c>
      <c r="L400" s="1">
        <v>87947.6</v>
      </c>
      <c r="M400" s="1">
        <v>57291.199999999997</v>
      </c>
      <c r="N400" s="1">
        <v>73539.5</v>
      </c>
      <c r="O400" s="1">
        <v>80946.7</v>
      </c>
      <c r="P400" s="1">
        <v>51718</v>
      </c>
      <c r="Q400" s="1">
        <v>80535</v>
      </c>
      <c r="R400" s="1">
        <v>0</v>
      </c>
    </row>
    <row r="401" spans="1:18">
      <c r="A401" s="2">
        <v>0.45833333333333331</v>
      </c>
      <c r="B401" s="1">
        <v>274030</v>
      </c>
      <c r="C401" s="1">
        <v>37716</v>
      </c>
      <c r="D401" s="1">
        <v>36218.699999999997</v>
      </c>
      <c r="E401" s="1">
        <v>0</v>
      </c>
      <c r="F401" s="1">
        <v>397857</v>
      </c>
      <c r="G401" s="1">
        <v>43312</v>
      </c>
      <c r="H401" s="1">
        <v>366700</v>
      </c>
      <c r="I401" s="1">
        <v>538511</v>
      </c>
      <c r="J401" s="1">
        <v>47530.8</v>
      </c>
      <c r="K401" s="1">
        <v>87928.1</v>
      </c>
      <c r="L401" s="1">
        <v>87987.7</v>
      </c>
      <c r="M401" s="1">
        <v>57343.8</v>
      </c>
      <c r="N401" s="1">
        <v>73585.2</v>
      </c>
      <c r="O401" s="1">
        <v>81016.399999999994</v>
      </c>
      <c r="P401" s="1">
        <v>51730</v>
      </c>
      <c r="Q401" s="1">
        <v>80555</v>
      </c>
      <c r="R401" s="1">
        <v>0</v>
      </c>
    </row>
    <row r="402" spans="1:18">
      <c r="A402" s="2">
        <v>0.5</v>
      </c>
      <c r="B402" s="1">
        <v>275220</v>
      </c>
      <c r="C402" s="1">
        <v>38030</v>
      </c>
      <c r="D402" s="1">
        <v>36246.300000000003</v>
      </c>
      <c r="E402" s="1">
        <v>0</v>
      </c>
      <c r="F402" s="1">
        <v>397912</v>
      </c>
      <c r="G402" s="1">
        <v>43399.7</v>
      </c>
      <c r="H402" s="1">
        <v>366710</v>
      </c>
      <c r="I402" s="1">
        <v>538892</v>
      </c>
      <c r="J402" s="1">
        <v>47550.400000000001</v>
      </c>
      <c r="K402" s="1">
        <v>87928.1</v>
      </c>
      <c r="L402" s="1">
        <v>88029.5</v>
      </c>
      <c r="M402" s="1">
        <v>57395.8</v>
      </c>
      <c r="N402" s="1">
        <v>73631.3</v>
      </c>
      <c r="O402" s="1">
        <v>81081.100000000006</v>
      </c>
      <c r="P402" s="1">
        <v>51745</v>
      </c>
      <c r="Q402" s="1">
        <v>80577</v>
      </c>
      <c r="R402" s="1">
        <v>0</v>
      </c>
    </row>
    <row r="403" spans="1:18">
      <c r="A403" s="2">
        <v>0.54166666666666663</v>
      </c>
      <c r="B403" s="1">
        <v>276427</v>
      </c>
      <c r="C403" s="1">
        <v>38329</v>
      </c>
      <c r="D403" s="1">
        <v>36279.699999999997</v>
      </c>
      <c r="E403" s="1">
        <v>0</v>
      </c>
      <c r="F403" s="1">
        <v>397961</v>
      </c>
      <c r="G403" s="1">
        <v>43487.199999999997</v>
      </c>
      <c r="H403" s="1">
        <v>366722</v>
      </c>
      <c r="I403" s="1">
        <v>539299</v>
      </c>
      <c r="J403" s="1">
        <v>47567</v>
      </c>
      <c r="K403" s="1">
        <v>87928.1</v>
      </c>
      <c r="L403" s="1">
        <v>88069.8</v>
      </c>
      <c r="M403" s="1">
        <v>57459.5</v>
      </c>
      <c r="N403" s="1">
        <v>73678.8</v>
      </c>
      <c r="O403" s="1">
        <v>81146.899999999994</v>
      </c>
      <c r="P403" s="1">
        <v>51760</v>
      </c>
      <c r="Q403" s="1">
        <v>80601</v>
      </c>
      <c r="R403" s="1">
        <v>0</v>
      </c>
    </row>
    <row r="404" spans="1:18">
      <c r="A404" s="2">
        <v>0.58333333333333337</v>
      </c>
      <c r="B404" s="1">
        <v>277726</v>
      </c>
      <c r="C404" s="1">
        <v>38649</v>
      </c>
      <c r="D404" s="1">
        <v>36321.1</v>
      </c>
      <c r="E404" s="1">
        <v>0</v>
      </c>
      <c r="F404" s="1">
        <v>398010</v>
      </c>
      <c r="G404" s="1">
        <v>43592.7</v>
      </c>
      <c r="H404" s="1">
        <v>366737</v>
      </c>
      <c r="I404" s="1">
        <v>539709</v>
      </c>
      <c r="J404" s="1">
        <v>47585.2</v>
      </c>
      <c r="K404" s="1">
        <v>87928.1</v>
      </c>
      <c r="L404" s="1">
        <v>88121.4</v>
      </c>
      <c r="M404" s="1">
        <v>57533.8</v>
      </c>
      <c r="N404" s="1">
        <v>73726.7</v>
      </c>
      <c r="O404" s="1">
        <v>81220.399999999994</v>
      </c>
      <c r="P404" s="1">
        <v>51775</v>
      </c>
      <c r="Q404" s="1">
        <v>80624</v>
      </c>
      <c r="R404" s="1">
        <v>0</v>
      </c>
    </row>
    <row r="405" spans="1:18">
      <c r="A405" s="2">
        <v>0.625</v>
      </c>
      <c r="B405" s="1">
        <v>279070</v>
      </c>
      <c r="C405" s="1">
        <v>38985</v>
      </c>
      <c r="D405" s="1">
        <v>36363.5</v>
      </c>
      <c r="E405" s="1">
        <v>0</v>
      </c>
      <c r="F405" s="1">
        <v>398058</v>
      </c>
      <c r="G405" s="1">
        <v>43702</v>
      </c>
      <c r="H405" s="1">
        <v>366759</v>
      </c>
      <c r="I405" s="1">
        <v>540141</v>
      </c>
      <c r="J405" s="1">
        <v>47602.3</v>
      </c>
      <c r="K405" s="1">
        <v>87928.1</v>
      </c>
      <c r="L405" s="1">
        <v>88182.2</v>
      </c>
      <c r="M405" s="1">
        <v>57605.1</v>
      </c>
      <c r="N405" s="1">
        <v>73771.399999999994</v>
      </c>
      <c r="O405" s="1">
        <v>81277</v>
      </c>
      <c r="P405" s="1">
        <v>51790</v>
      </c>
      <c r="Q405" s="1">
        <v>80645</v>
      </c>
      <c r="R405" s="1">
        <v>0</v>
      </c>
    </row>
    <row r="406" spans="1:18">
      <c r="A406" s="2">
        <v>0.66666666666666663</v>
      </c>
      <c r="B406" s="1">
        <v>280362</v>
      </c>
      <c r="C406" s="1">
        <v>39309</v>
      </c>
      <c r="D406" s="1">
        <v>36401.1</v>
      </c>
      <c r="E406" s="1">
        <v>0</v>
      </c>
      <c r="F406" s="1">
        <v>398106</v>
      </c>
      <c r="G406" s="1">
        <v>43814.1</v>
      </c>
      <c r="H406" s="1">
        <v>366786</v>
      </c>
      <c r="I406" s="1">
        <v>540562</v>
      </c>
      <c r="J406" s="1">
        <v>47619.4</v>
      </c>
      <c r="K406" s="1">
        <v>87928.1</v>
      </c>
      <c r="L406" s="1">
        <v>88247.3</v>
      </c>
      <c r="M406" s="1">
        <v>57670.6</v>
      </c>
      <c r="N406" s="1">
        <v>73819.100000000006</v>
      </c>
      <c r="O406" s="1">
        <v>81305.2</v>
      </c>
      <c r="P406" s="1">
        <v>51802</v>
      </c>
      <c r="Q406" s="1">
        <v>80664</v>
      </c>
      <c r="R406" s="1">
        <v>0</v>
      </c>
    </row>
    <row r="407" spans="1:18">
      <c r="A407" s="2">
        <v>0.70833333333333337</v>
      </c>
      <c r="B407" s="1">
        <v>281594</v>
      </c>
      <c r="C407" s="1">
        <v>39616</v>
      </c>
      <c r="D407" s="1">
        <v>36432.400000000001</v>
      </c>
      <c r="E407" s="1">
        <v>0</v>
      </c>
      <c r="F407" s="1">
        <v>398152</v>
      </c>
      <c r="G407" s="1">
        <v>43930.2</v>
      </c>
      <c r="H407" s="1">
        <v>366809</v>
      </c>
      <c r="I407" s="1">
        <v>540960</v>
      </c>
      <c r="J407" s="1">
        <v>47635.3</v>
      </c>
      <c r="K407" s="1">
        <v>87931</v>
      </c>
      <c r="L407" s="1">
        <v>88309.3</v>
      </c>
      <c r="M407" s="1">
        <v>57726.3</v>
      </c>
      <c r="N407" s="1">
        <v>73870.2</v>
      </c>
      <c r="O407" s="1">
        <v>81331.8</v>
      </c>
      <c r="P407" s="1">
        <v>51810</v>
      </c>
      <c r="Q407" s="1">
        <v>80677</v>
      </c>
      <c r="R407" s="1">
        <v>0</v>
      </c>
    </row>
    <row r="408" spans="1:18">
      <c r="A408" s="2">
        <v>0.75</v>
      </c>
      <c r="B408" s="1">
        <v>282732</v>
      </c>
      <c r="C408" s="1">
        <v>39901</v>
      </c>
      <c r="D408" s="1">
        <v>36455.4</v>
      </c>
      <c r="E408" s="1">
        <v>0</v>
      </c>
      <c r="F408" s="1">
        <v>398191</v>
      </c>
      <c r="G408" s="1">
        <v>44041</v>
      </c>
      <c r="H408" s="1">
        <v>366830</v>
      </c>
      <c r="I408" s="1">
        <v>541333</v>
      </c>
      <c r="J408" s="1">
        <v>47649</v>
      </c>
      <c r="K408" s="1">
        <v>87934.2</v>
      </c>
      <c r="L408" s="1">
        <v>88357.4</v>
      </c>
      <c r="M408" s="1">
        <v>57778.1</v>
      </c>
      <c r="N408" s="1">
        <v>73925.100000000006</v>
      </c>
      <c r="O408" s="1">
        <v>81356.2</v>
      </c>
      <c r="P408" s="1">
        <v>51814</v>
      </c>
      <c r="Q408" s="1">
        <v>80682</v>
      </c>
      <c r="R408" s="1">
        <v>0</v>
      </c>
    </row>
    <row r="409" spans="1:18">
      <c r="A409" s="2">
        <v>0.79166666666666663</v>
      </c>
      <c r="B409" s="1">
        <v>283750</v>
      </c>
      <c r="C409" s="1">
        <v>40162</v>
      </c>
      <c r="D409" s="1">
        <v>36474.9</v>
      </c>
      <c r="E409" s="1">
        <v>0</v>
      </c>
      <c r="F409" s="1">
        <v>398221</v>
      </c>
      <c r="G409" s="1">
        <v>44143.9</v>
      </c>
      <c r="H409" s="1">
        <v>366847</v>
      </c>
      <c r="I409" s="1">
        <v>541671</v>
      </c>
      <c r="J409" s="1">
        <v>47660.9</v>
      </c>
      <c r="K409" s="1">
        <v>87937.7</v>
      </c>
      <c r="L409" s="1">
        <v>88393.8</v>
      </c>
      <c r="M409" s="1">
        <v>57825.8</v>
      </c>
      <c r="N409" s="1">
        <v>73981</v>
      </c>
      <c r="O409" s="1">
        <v>81375.399999999994</v>
      </c>
      <c r="P409" s="1">
        <v>51814</v>
      </c>
      <c r="Q409" s="1">
        <v>80683</v>
      </c>
      <c r="R409" s="1">
        <v>0</v>
      </c>
    </row>
    <row r="410" spans="1:18">
      <c r="A410" s="2">
        <v>0.83333333333333337</v>
      </c>
      <c r="B410" s="1">
        <v>284671</v>
      </c>
      <c r="C410" s="1">
        <v>40392</v>
      </c>
      <c r="D410" s="1">
        <v>36490.800000000003</v>
      </c>
      <c r="E410" s="1">
        <v>0</v>
      </c>
      <c r="F410" s="1">
        <v>398248</v>
      </c>
      <c r="G410" s="1">
        <v>44229.1</v>
      </c>
      <c r="H410" s="1">
        <v>366862</v>
      </c>
      <c r="I410" s="1">
        <v>541984</v>
      </c>
      <c r="J410" s="1">
        <v>47672.4</v>
      </c>
      <c r="K410" s="1">
        <v>87941.8</v>
      </c>
      <c r="L410" s="1">
        <v>88426.6</v>
      </c>
      <c r="M410" s="1">
        <v>57871.7</v>
      </c>
      <c r="N410" s="1">
        <v>74037</v>
      </c>
      <c r="O410" s="1">
        <v>81395.7</v>
      </c>
      <c r="P410" s="1">
        <v>51814</v>
      </c>
      <c r="Q410" s="1">
        <v>80683</v>
      </c>
      <c r="R410" s="1">
        <v>0</v>
      </c>
    </row>
    <row r="411" spans="1:18">
      <c r="A411" s="2">
        <v>0.875</v>
      </c>
      <c r="B411" s="1">
        <v>285535</v>
      </c>
      <c r="C411" s="1">
        <v>40617</v>
      </c>
      <c r="D411" s="1">
        <v>36507.5</v>
      </c>
      <c r="E411" s="1">
        <v>0</v>
      </c>
      <c r="F411" s="1">
        <v>398272</v>
      </c>
      <c r="G411" s="1">
        <v>44299.3</v>
      </c>
      <c r="H411" s="1">
        <v>366876</v>
      </c>
      <c r="I411" s="1">
        <v>542269</v>
      </c>
      <c r="J411" s="1">
        <v>47683.6</v>
      </c>
      <c r="K411" s="1">
        <v>87945.9</v>
      </c>
      <c r="L411" s="1">
        <v>88456.7</v>
      </c>
      <c r="M411" s="1">
        <v>57914.2</v>
      </c>
      <c r="N411" s="1">
        <v>74092.800000000003</v>
      </c>
      <c r="O411" s="1">
        <v>81418.5</v>
      </c>
      <c r="P411" s="1">
        <v>51814</v>
      </c>
      <c r="Q411" s="1">
        <v>80683</v>
      </c>
      <c r="R411" s="1">
        <v>0</v>
      </c>
    </row>
    <row r="412" spans="1:18">
      <c r="A412" s="2">
        <v>0.91666666666666663</v>
      </c>
      <c r="B412" s="1">
        <v>286366</v>
      </c>
      <c r="C412" s="1">
        <v>40831</v>
      </c>
      <c r="D412" s="1">
        <v>36524.400000000001</v>
      </c>
      <c r="E412" s="1">
        <v>0</v>
      </c>
      <c r="F412" s="1">
        <v>398294</v>
      </c>
      <c r="G412" s="1">
        <v>44367.6</v>
      </c>
      <c r="H412" s="1">
        <v>366891</v>
      </c>
      <c r="I412" s="1">
        <v>542540</v>
      </c>
      <c r="J412" s="1">
        <v>47694.8</v>
      </c>
      <c r="K412" s="1">
        <v>87949.8</v>
      </c>
      <c r="L412" s="1">
        <v>88484.5</v>
      </c>
      <c r="M412" s="1">
        <v>57957.8</v>
      </c>
      <c r="N412" s="1">
        <v>74148.100000000006</v>
      </c>
      <c r="O412" s="1">
        <v>81439.600000000006</v>
      </c>
      <c r="P412" s="1">
        <v>51814</v>
      </c>
      <c r="Q412" s="1">
        <v>80683</v>
      </c>
      <c r="R412" s="1">
        <v>0</v>
      </c>
    </row>
    <row r="413" spans="1:18">
      <c r="A413" s="2">
        <v>0.95833333333333337</v>
      </c>
      <c r="B413" s="1">
        <v>287159</v>
      </c>
      <c r="C413" s="1">
        <v>41030</v>
      </c>
      <c r="D413" s="1">
        <v>36540.699999999997</v>
      </c>
      <c r="E413" s="1">
        <v>0</v>
      </c>
      <c r="F413" s="1">
        <v>398317</v>
      </c>
      <c r="G413" s="1">
        <v>44433</v>
      </c>
      <c r="H413" s="1">
        <v>366905</v>
      </c>
      <c r="I413" s="1">
        <v>542799</v>
      </c>
      <c r="J413" s="1">
        <v>47705.8</v>
      </c>
      <c r="K413" s="1">
        <v>87953.8</v>
      </c>
      <c r="L413" s="1">
        <v>88512.5</v>
      </c>
      <c r="M413" s="1">
        <v>57998.3</v>
      </c>
      <c r="N413" s="1">
        <v>74204.2</v>
      </c>
      <c r="O413" s="1">
        <v>81458.899999999994</v>
      </c>
      <c r="P413" s="1">
        <v>51814</v>
      </c>
      <c r="Q413" s="1">
        <v>80683</v>
      </c>
      <c r="R413" s="1">
        <v>0</v>
      </c>
    </row>
    <row r="414" spans="1:18">
      <c r="A414" s="2">
        <v>0</v>
      </c>
      <c r="B414" s="1">
        <v>287940</v>
      </c>
      <c r="C414" s="1">
        <v>41224</v>
      </c>
      <c r="D414" s="1">
        <v>36556.800000000003</v>
      </c>
      <c r="E414" s="1">
        <v>0</v>
      </c>
      <c r="F414" s="1">
        <v>398338</v>
      </c>
      <c r="G414" s="1">
        <v>44497.599999999999</v>
      </c>
      <c r="H414" s="1">
        <v>366920</v>
      </c>
      <c r="I414" s="1">
        <v>543057</v>
      </c>
      <c r="J414" s="1">
        <v>47716.800000000003</v>
      </c>
      <c r="K414" s="1">
        <v>87957.8</v>
      </c>
      <c r="L414" s="1">
        <v>88540.4</v>
      </c>
      <c r="M414" s="1">
        <v>58037.9</v>
      </c>
      <c r="N414" s="1">
        <v>74259</v>
      </c>
      <c r="O414" s="1">
        <v>81477.7</v>
      </c>
      <c r="P414" s="1">
        <v>51814</v>
      </c>
      <c r="Q414" s="1">
        <v>80683</v>
      </c>
      <c r="R414" s="1">
        <v>0</v>
      </c>
    </row>
    <row r="415" spans="1:18">
      <c r="A415" s="2">
        <v>4.1666666666666664E-2</v>
      </c>
      <c r="B415" s="1">
        <v>288690</v>
      </c>
      <c r="C415" s="1">
        <v>41418</v>
      </c>
      <c r="D415" s="1">
        <v>36572.5</v>
      </c>
      <c r="E415" s="1">
        <v>0</v>
      </c>
      <c r="F415" s="1">
        <v>398359</v>
      </c>
      <c r="G415" s="1">
        <v>44559.8</v>
      </c>
      <c r="H415" s="1">
        <v>366935</v>
      </c>
      <c r="I415" s="1">
        <v>543291</v>
      </c>
      <c r="J415" s="1">
        <v>47727.5</v>
      </c>
      <c r="K415" s="1">
        <v>87961.8</v>
      </c>
      <c r="L415" s="1">
        <v>88569.5</v>
      </c>
      <c r="M415" s="1">
        <v>58076.3</v>
      </c>
      <c r="N415" s="1">
        <v>74313.7</v>
      </c>
      <c r="O415" s="1">
        <v>81494.5</v>
      </c>
      <c r="P415" s="1">
        <v>51814</v>
      </c>
      <c r="Q415" s="1">
        <v>80683</v>
      </c>
      <c r="R415" s="1">
        <v>0</v>
      </c>
    </row>
    <row r="416" spans="1:18">
      <c r="A416" s="2">
        <v>8.3333333333333329E-2</v>
      </c>
      <c r="B416" s="1">
        <v>289421</v>
      </c>
      <c r="C416" s="1">
        <v>41605</v>
      </c>
      <c r="D416" s="1">
        <v>36586.9</v>
      </c>
      <c r="E416" s="1">
        <v>0</v>
      </c>
      <c r="F416" s="1">
        <v>398379</v>
      </c>
      <c r="G416" s="1">
        <v>44626.3</v>
      </c>
      <c r="H416" s="1">
        <v>366950</v>
      </c>
      <c r="I416" s="1">
        <v>543511</v>
      </c>
      <c r="J416" s="1">
        <v>47738</v>
      </c>
      <c r="K416" s="1">
        <v>87965.8</v>
      </c>
      <c r="L416" s="1">
        <v>88598.3</v>
      </c>
      <c r="M416" s="1">
        <v>58114.400000000001</v>
      </c>
      <c r="N416" s="1">
        <v>74368.3</v>
      </c>
      <c r="O416" s="1">
        <v>81512.600000000006</v>
      </c>
      <c r="P416" s="1">
        <v>51814</v>
      </c>
      <c r="Q416" s="1">
        <v>80683</v>
      </c>
      <c r="R416" s="1">
        <v>0</v>
      </c>
    </row>
    <row r="417" spans="1:18">
      <c r="A417" s="2">
        <v>0.125</v>
      </c>
      <c r="B417" s="1">
        <v>290134</v>
      </c>
      <c r="C417" s="1">
        <v>41785</v>
      </c>
      <c r="D417" s="1">
        <v>36600.6</v>
      </c>
      <c r="E417" s="1">
        <v>0</v>
      </c>
      <c r="F417" s="1">
        <v>398400</v>
      </c>
      <c r="G417" s="1">
        <v>44692.1</v>
      </c>
      <c r="H417" s="1">
        <v>366964</v>
      </c>
      <c r="I417" s="1">
        <v>543725</v>
      </c>
      <c r="J417" s="1">
        <v>47748.4</v>
      </c>
      <c r="K417" s="1">
        <v>87969.9</v>
      </c>
      <c r="L417" s="1">
        <v>88625.600000000006</v>
      </c>
      <c r="M417" s="1">
        <v>58152.9</v>
      </c>
      <c r="N417" s="1">
        <v>74422.7</v>
      </c>
      <c r="O417" s="1">
        <v>81529.899999999994</v>
      </c>
      <c r="P417" s="1">
        <v>51814</v>
      </c>
      <c r="Q417" s="1">
        <v>80683</v>
      </c>
      <c r="R417" s="1">
        <v>0</v>
      </c>
    </row>
    <row r="418" spans="1:18">
      <c r="A418" s="2">
        <v>0.16666666666666666</v>
      </c>
      <c r="B418" s="1">
        <v>290835</v>
      </c>
      <c r="C418" s="1">
        <v>41962</v>
      </c>
      <c r="D418" s="1">
        <v>36613.1</v>
      </c>
      <c r="E418" s="1">
        <v>0</v>
      </c>
      <c r="F418" s="1">
        <v>398419</v>
      </c>
      <c r="G418" s="1">
        <v>44753.2</v>
      </c>
      <c r="H418" s="1">
        <v>366978</v>
      </c>
      <c r="I418" s="1">
        <v>543939</v>
      </c>
      <c r="J418" s="1">
        <v>47758.7</v>
      </c>
      <c r="K418" s="1">
        <v>87974.1</v>
      </c>
      <c r="L418" s="1">
        <v>88652.3</v>
      </c>
      <c r="M418" s="1">
        <v>58191.6</v>
      </c>
      <c r="N418" s="1">
        <v>74477.7</v>
      </c>
      <c r="O418" s="1">
        <v>81547.899999999994</v>
      </c>
      <c r="P418" s="1">
        <v>51814</v>
      </c>
      <c r="Q418" s="1">
        <v>80683</v>
      </c>
      <c r="R418" s="1">
        <v>0</v>
      </c>
    </row>
    <row r="419" spans="1:18">
      <c r="A419" s="2">
        <v>0.20833333333333334</v>
      </c>
      <c r="B419" s="1">
        <v>291537</v>
      </c>
      <c r="C419" s="1">
        <v>42139</v>
      </c>
      <c r="D419" s="1">
        <v>36625.800000000003</v>
      </c>
      <c r="E419" s="1">
        <v>0</v>
      </c>
      <c r="F419" s="1">
        <v>398439</v>
      </c>
      <c r="G419" s="1">
        <v>44812.4</v>
      </c>
      <c r="H419" s="1">
        <v>366992</v>
      </c>
      <c r="I419" s="1">
        <v>544152</v>
      </c>
      <c r="J419" s="1">
        <v>47769.1</v>
      </c>
      <c r="K419" s="1">
        <v>87977.8</v>
      </c>
      <c r="L419" s="1">
        <v>88679.3</v>
      </c>
      <c r="M419" s="1">
        <v>58232.1</v>
      </c>
      <c r="N419" s="1">
        <v>74533.399999999994</v>
      </c>
      <c r="O419" s="1">
        <v>81566.3</v>
      </c>
      <c r="P419" s="1">
        <v>51814</v>
      </c>
      <c r="Q419" s="1">
        <v>80683</v>
      </c>
      <c r="R419" s="1">
        <v>0</v>
      </c>
    </row>
    <row r="420" spans="1:18">
      <c r="A420" s="2">
        <v>0.25</v>
      </c>
      <c r="B420" s="1">
        <v>292231</v>
      </c>
      <c r="C420" s="1">
        <v>42317</v>
      </c>
      <c r="D420" s="1">
        <v>36637.599999999999</v>
      </c>
      <c r="E420" s="1">
        <v>0</v>
      </c>
      <c r="F420" s="1">
        <v>398459</v>
      </c>
      <c r="G420" s="1">
        <v>44870</v>
      </c>
      <c r="H420" s="1">
        <v>367005</v>
      </c>
      <c r="I420" s="1">
        <v>544360</v>
      </c>
      <c r="J420" s="1">
        <v>47779</v>
      </c>
      <c r="K420" s="1">
        <v>87981</v>
      </c>
      <c r="L420" s="1">
        <v>88705.600000000006</v>
      </c>
      <c r="M420" s="1">
        <v>58271.199999999997</v>
      </c>
      <c r="N420" s="1">
        <v>74588.5</v>
      </c>
      <c r="O420" s="1">
        <v>81586.2</v>
      </c>
      <c r="P420" s="1">
        <v>51814</v>
      </c>
      <c r="Q420" s="1">
        <v>80683</v>
      </c>
      <c r="R420" s="1">
        <v>0</v>
      </c>
    </row>
    <row r="421" spans="1:18">
      <c r="A421" s="2">
        <v>0.29166666666666669</v>
      </c>
      <c r="B421" s="1">
        <v>292927</v>
      </c>
      <c r="C421" s="1">
        <v>42498</v>
      </c>
      <c r="D421" s="1">
        <v>36649.800000000003</v>
      </c>
      <c r="E421" s="1">
        <v>0</v>
      </c>
      <c r="F421" s="1">
        <v>398478</v>
      </c>
      <c r="G421" s="1">
        <v>44928.3</v>
      </c>
      <c r="H421" s="1">
        <v>367020</v>
      </c>
      <c r="I421" s="1">
        <v>544568</v>
      </c>
      <c r="J421" s="1">
        <v>47789.1</v>
      </c>
      <c r="K421" s="1">
        <v>87983.9</v>
      </c>
      <c r="L421" s="1">
        <v>88730.8</v>
      </c>
      <c r="M421" s="1">
        <v>58307.8</v>
      </c>
      <c r="N421" s="1">
        <v>74643.3</v>
      </c>
      <c r="O421" s="1">
        <v>81604.7</v>
      </c>
      <c r="P421" s="1">
        <v>51814</v>
      </c>
      <c r="Q421" s="1">
        <v>80683</v>
      </c>
      <c r="R421" s="1">
        <v>0</v>
      </c>
    </row>
    <row r="422" spans="1:18">
      <c r="A422" s="2">
        <v>0.33333333333333331</v>
      </c>
      <c r="B422" s="1">
        <v>293640</v>
      </c>
      <c r="C422" s="1">
        <v>42687</v>
      </c>
      <c r="D422" s="1">
        <v>36662.699999999997</v>
      </c>
      <c r="E422" s="1">
        <v>0</v>
      </c>
      <c r="F422" s="1">
        <v>398498</v>
      </c>
      <c r="G422" s="1">
        <v>44985.599999999999</v>
      </c>
      <c r="H422" s="1">
        <v>367034</v>
      </c>
      <c r="I422" s="1">
        <v>544782</v>
      </c>
      <c r="J422" s="1">
        <v>47799.3</v>
      </c>
      <c r="K422" s="1">
        <v>87986.1</v>
      </c>
      <c r="L422" s="1">
        <v>88753.600000000006</v>
      </c>
      <c r="M422" s="1">
        <v>58343.199999999997</v>
      </c>
      <c r="N422" s="1">
        <v>74696.600000000006</v>
      </c>
      <c r="O422" s="1">
        <v>81628.100000000006</v>
      </c>
      <c r="P422" s="1">
        <v>51815</v>
      </c>
      <c r="Q422" s="1">
        <v>80684</v>
      </c>
      <c r="R422" s="1">
        <v>0</v>
      </c>
    </row>
    <row r="423" spans="1:18">
      <c r="A423" s="2">
        <v>0.375</v>
      </c>
      <c r="B423" s="1">
        <v>294512</v>
      </c>
      <c r="C423" s="1">
        <v>42927</v>
      </c>
      <c r="D423" s="1">
        <v>36681.699999999997</v>
      </c>
      <c r="E423" s="1">
        <v>0</v>
      </c>
      <c r="F423" s="1">
        <v>398527</v>
      </c>
      <c r="G423" s="1">
        <v>45048.3</v>
      </c>
      <c r="H423" s="1">
        <v>367049</v>
      </c>
      <c r="I423" s="1">
        <v>545050</v>
      </c>
      <c r="J423" s="1">
        <v>47810.5</v>
      </c>
      <c r="K423" s="1">
        <v>87986.4</v>
      </c>
      <c r="L423" s="1">
        <v>88782</v>
      </c>
      <c r="M423" s="1">
        <v>58381.1</v>
      </c>
      <c r="N423" s="1">
        <v>74746</v>
      </c>
      <c r="O423" s="1">
        <v>81664.100000000006</v>
      </c>
      <c r="P423" s="1">
        <v>51820</v>
      </c>
      <c r="Q423" s="1">
        <v>80694</v>
      </c>
      <c r="R423" s="1">
        <v>0</v>
      </c>
    </row>
    <row r="424" spans="1:18">
      <c r="A424" s="2">
        <v>0.41666666666666669</v>
      </c>
      <c r="B424" s="1">
        <v>295594</v>
      </c>
      <c r="C424" s="1">
        <v>43223</v>
      </c>
      <c r="D424" s="1">
        <v>36710.9</v>
      </c>
      <c r="E424" s="1">
        <v>0</v>
      </c>
      <c r="F424" s="1">
        <v>398564</v>
      </c>
      <c r="G424" s="1">
        <v>45111.8</v>
      </c>
      <c r="H424" s="1">
        <v>367064</v>
      </c>
      <c r="I424" s="1">
        <v>545383</v>
      </c>
      <c r="J424" s="1">
        <v>47823.3</v>
      </c>
      <c r="K424" s="1">
        <v>87986.8</v>
      </c>
      <c r="L424" s="1">
        <v>88821.8</v>
      </c>
      <c r="M424" s="1">
        <v>58439.3</v>
      </c>
      <c r="N424" s="1">
        <v>74794</v>
      </c>
      <c r="O424" s="1">
        <v>81713.899999999994</v>
      </c>
      <c r="P424" s="1">
        <v>51831</v>
      </c>
      <c r="Q424" s="1">
        <v>80712</v>
      </c>
      <c r="R424" s="1">
        <v>0</v>
      </c>
    </row>
    <row r="425" spans="1:18">
      <c r="A425" s="2">
        <v>0.45833333333333331</v>
      </c>
      <c r="B425" s="1">
        <v>296862</v>
      </c>
      <c r="C425" s="1">
        <v>43572</v>
      </c>
      <c r="D425" s="1">
        <v>36740.400000000001</v>
      </c>
      <c r="E425" s="1">
        <v>0</v>
      </c>
      <c r="F425" s="1">
        <v>398606</v>
      </c>
      <c r="G425" s="1">
        <v>45193.3</v>
      </c>
      <c r="H425" s="1">
        <v>367079</v>
      </c>
      <c r="I425" s="1">
        <v>545780</v>
      </c>
      <c r="J425" s="1">
        <v>47841.8</v>
      </c>
      <c r="K425" s="1">
        <v>87987.4</v>
      </c>
      <c r="L425" s="1">
        <v>88863</v>
      </c>
      <c r="M425" s="1">
        <v>58508.3</v>
      </c>
      <c r="N425" s="1">
        <v>74844.899999999994</v>
      </c>
      <c r="O425" s="1">
        <v>81778.8</v>
      </c>
      <c r="P425" s="1">
        <v>51844</v>
      </c>
      <c r="Q425" s="1">
        <v>80732</v>
      </c>
      <c r="R425" s="1">
        <v>0</v>
      </c>
    </row>
    <row r="426" spans="1:18">
      <c r="A426" s="2">
        <v>0.5</v>
      </c>
      <c r="B426" s="1">
        <v>298186</v>
      </c>
      <c r="C426" s="1">
        <v>43932</v>
      </c>
      <c r="D426" s="1">
        <v>36767.599999999999</v>
      </c>
      <c r="E426" s="1">
        <v>0</v>
      </c>
      <c r="F426" s="1">
        <v>398653</v>
      </c>
      <c r="G426" s="1">
        <v>45278.7</v>
      </c>
      <c r="H426" s="1">
        <v>367093</v>
      </c>
      <c r="I426" s="1">
        <v>546186</v>
      </c>
      <c r="J426" s="1">
        <v>47859.1</v>
      </c>
      <c r="K426" s="1">
        <v>87987.5</v>
      </c>
      <c r="L426" s="1">
        <v>88915.9</v>
      </c>
      <c r="M426" s="1">
        <v>58582.9</v>
      </c>
      <c r="N426" s="1">
        <v>74894.100000000006</v>
      </c>
      <c r="O426" s="1">
        <v>81845.600000000006</v>
      </c>
      <c r="P426" s="1">
        <v>51860</v>
      </c>
      <c r="Q426" s="1">
        <v>80755</v>
      </c>
      <c r="R426" s="1">
        <v>0</v>
      </c>
    </row>
    <row r="427" spans="1:18">
      <c r="A427" s="2">
        <v>0.54166666666666663</v>
      </c>
      <c r="B427" s="1">
        <v>299522</v>
      </c>
      <c r="C427" s="1">
        <v>44280</v>
      </c>
      <c r="D427" s="1">
        <v>36807.300000000003</v>
      </c>
      <c r="E427" s="1">
        <v>0</v>
      </c>
      <c r="F427" s="1">
        <v>398700</v>
      </c>
      <c r="G427" s="1">
        <v>45363.7</v>
      </c>
      <c r="H427" s="1">
        <v>367108</v>
      </c>
      <c r="I427" s="1">
        <v>546614</v>
      </c>
      <c r="J427" s="1">
        <v>47873.8</v>
      </c>
      <c r="K427" s="1">
        <v>87987.5</v>
      </c>
      <c r="L427" s="1">
        <v>88969.8</v>
      </c>
      <c r="M427" s="1">
        <v>58657.8</v>
      </c>
      <c r="N427" s="1">
        <v>74938.8</v>
      </c>
      <c r="O427" s="1">
        <v>81917.399999999994</v>
      </c>
      <c r="P427" s="1">
        <v>51876</v>
      </c>
      <c r="Q427" s="1">
        <v>80780</v>
      </c>
      <c r="R427" s="1">
        <v>0</v>
      </c>
    </row>
    <row r="428" spans="1:18">
      <c r="A428" s="2">
        <v>0.58333333333333337</v>
      </c>
      <c r="B428" s="1">
        <v>301002</v>
      </c>
      <c r="C428" s="1">
        <v>44643</v>
      </c>
      <c r="D428" s="1">
        <v>36852</v>
      </c>
      <c r="E428" s="1">
        <v>0</v>
      </c>
      <c r="F428" s="1">
        <v>398750</v>
      </c>
      <c r="G428" s="1">
        <v>45462.6</v>
      </c>
      <c r="H428" s="1">
        <v>367208</v>
      </c>
      <c r="I428" s="1">
        <v>547060</v>
      </c>
      <c r="J428" s="1">
        <v>47888.4</v>
      </c>
      <c r="K428" s="1">
        <v>87987.6</v>
      </c>
      <c r="L428" s="1">
        <v>89019.5</v>
      </c>
      <c r="M428" s="1">
        <v>58729.599999999999</v>
      </c>
      <c r="N428" s="1">
        <v>74981.3</v>
      </c>
      <c r="O428" s="1">
        <v>81997.8</v>
      </c>
      <c r="P428" s="1">
        <v>51892</v>
      </c>
      <c r="Q428" s="1">
        <v>80804</v>
      </c>
      <c r="R428" s="1">
        <v>0</v>
      </c>
    </row>
    <row r="429" spans="1:18">
      <c r="A429" s="2">
        <v>0.625</v>
      </c>
      <c r="B429" s="1">
        <v>302421</v>
      </c>
      <c r="C429" s="1">
        <v>45007</v>
      </c>
      <c r="D429" s="1">
        <v>36896.400000000001</v>
      </c>
      <c r="E429" s="1">
        <v>0</v>
      </c>
      <c r="F429" s="1">
        <v>398806</v>
      </c>
      <c r="G429" s="1">
        <v>45561.599999999999</v>
      </c>
      <c r="H429" s="1">
        <v>367271</v>
      </c>
      <c r="I429" s="1">
        <v>547511</v>
      </c>
      <c r="J429" s="1">
        <v>47903.199999999997</v>
      </c>
      <c r="K429" s="1">
        <v>87987.6</v>
      </c>
      <c r="L429" s="1">
        <v>89067.3</v>
      </c>
      <c r="M429" s="1">
        <v>58808.3</v>
      </c>
      <c r="N429" s="1">
        <v>75027.5</v>
      </c>
      <c r="O429" s="1">
        <v>82053.5</v>
      </c>
      <c r="P429" s="1">
        <v>51907</v>
      </c>
      <c r="Q429" s="1">
        <v>80827</v>
      </c>
      <c r="R429" s="1">
        <v>0</v>
      </c>
    </row>
    <row r="430" spans="1:18">
      <c r="A430" s="2">
        <v>0.66666666666666663</v>
      </c>
      <c r="B430" s="1">
        <v>303799</v>
      </c>
      <c r="C430" s="1">
        <v>45382</v>
      </c>
      <c r="D430" s="1">
        <v>36937.1</v>
      </c>
      <c r="E430" s="1">
        <v>0</v>
      </c>
      <c r="F430" s="1">
        <v>398862</v>
      </c>
      <c r="G430" s="1">
        <v>45665.4</v>
      </c>
      <c r="H430" s="1">
        <v>367301</v>
      </c>
      <c r="I430" s="1">
        <v>547950</v>
      </c>
      <c r="J430" s="1">
        <v>47917.5</v>
      </c>
      <c r="K430" s="1">
        <v>87988.3</v>
      </c>
      <c r="L430" s="1">
        <v>89115.3</v>
      </c>
      <c r="M430" s="1">
        <v>58891.7</v>
      </c>
      <c r="N430" s="1">
        <v>75082.7</v>
      </c>
      <c r="O430" s="1">
        <v>82086</v>
      </c>
      <c r="P430" s="1">
        <v>51918</v>
      </c>
      <c r="Q430" s="1">
        <v>80844</v>
      </c>
      <c r="R430" s="1">
        <v>0</v>
      </c>
    </row>
    <row r="431" spans="1:18">
      <c r="A431" s="2">
        <v>0.70833333333333337</v>
      </c>
      <c r="B431" s="1">
        <v>305112</v>
      </c>
      <c r="C431" s="1">
        <v>45743</v>
      </c>
      <c r="D431" s="1">
        <v>36971.5</v>
      </c>
      <c r="E431" s="1">
        <v>0</v>
      </c>
      <c r="F431" s="1">
        <v>398913</v>
      </c>
      <c r="G431" s="1">
        <v>45767.7</v>
      </c>
      <c r="H431" s="1">
        <v>367321</v>
      </c>
      <c r="I431" s="1">
        <v>548385</v>
      </c>
      <c r="J431" s="1">
        <v>47931.199999999997</v>
      </c>
      <c r="K431" s="1">
        <v>87993.7</v>
      </c>
      <c r="L431" s="1">
        <v>89161.600000000006</v>
      </c>
      <c r="M431" s="1">
        <v>58957.4</v>
      </c>
      <c r="N431" s="1">
        <v>75139.600000000006</v>
      </c>
      <c r="O431" s="1">
        <v>82116.3</v>
      </c>
      <c r="P431" s="1">
        <v>51925</v>
      </c>
      <c r="Q431" s="1">
        <v>80855</v>
      </c>
      <c r="R431" s="1">
        <v>0</v>
      </c>
    </row>
    <row r="432" spans="1:18">
      <c r="A432" s="2">
        <v>0.75</v>
      </c>
      <c r="B432" s="1">
        <v>306260</v>
      </c>
      <c r="C432" s="1">
        <v>46057</v>
      </c>
      <c r="D432" s="1">
        <v>36997.9</v>
      </c>
      <c r="E432" s="1">
        <v>0</v>
      </c>
      <c r="F432" s="1">
        <v>398952</v>
      </c>
      <c r="G432" s="1">
        <v>45861.5</v>
      </c>
      <c r="H432" s="1">
        <v>367335</v>
      </c>
      <c r="I432" s="1">
        <v>548777</v>
      </c>
      <c r="J432" s="1">
        <v>47942.6</v>
      </c>
      <c r="K432" s="1">
        <v>87999.5</v>
      </c>
      <c r="L432" s="1">
        <v>89195.5</v>
      </c>
      <c r="M432" s="1">
        <v>59008.3</v>
      </c>
      <c r="N432" s="1">
        <v>75195.899999999994</v>
      </c>
      <c r="O432" s="1">
        <v>82144.800000000003</v>
      </c>
      <c r="P432" s="1">
        <v>51925</v>
      </c>
      <c r="Q432" s="1">
        <v>80855</v>
      </c>
      <c r="R432" s="1">
        <v>0</v>
      </c>
    </row>
    <row r="433" spans="1:18">
      <c r="A433" s="2">
        <v>0.79166666666666663</v>
      </c>
      <c r="B433" s="1">
        <v>307248</v>
      </c>
      <c r="C433" s="1">
        <v>46317</v>
      </c>
      <c r="D433" s="1">
        <v>37020</v>
      </c>
      <c r="E433" s="1">
        <v>0</v>
      </c>
      <c r="F433" s="1">
        <v>398985</v>
      </c>
      <c r="G433" s="1">
        <v>45945.2</v>
      </c>
      <c r="H433" s="1">
        <v>367348</v>
      </c>
      <c r="I433" s="1">
        <v>549115</v>
      </c>
      <c r="J433" s="1">
        <v>47953</v>
      </c>
      <c r="K433" s="1">
        <v>88002.7</v>
      </c>
      <c r="L433" s="1">
        <v>89222.6</v>
      </c>
      <c r="M433" s="1">
        <v>59055.3</v>
      </c>
      <c r="N433" s="1">
        <v>75251.399999999994</v>
      </c>
      <c r="O433" s="1">
        <v>82170.3</v>
      </c>
      <c r="P433" s="1">
        <v>51926</v>
      </c>
      <c r="Q433" s="1">
        <v>80856</v>
      </c>
      <c r="R433" s="1">
        <v>0</v>
      </c>
    </row>
    <row r="434" spans="1:18">
      <c r="A434" s="2">
        <v>0.83333333333333337</v>
      </c>
      <c r="B434" s="1">
        <v>308157</v>
      </c>
      <c r="C434" s="1">
        <v>46555</v>
      </c>
      <c r="D434" s="1">
        <v>37039.4</v>
      </c>
      <c r="E434" s="1">
        <v>0</v>
      </c>
      <c r="F434" s="1">
        <v>399015</v>
      </c>
      <c r="G434" s="1">
        <v>46027.3</v>
      </c>
      <c r="H434" s="1">
        <v>367360</v>
      </c>
      <c r="I434" s="1">
        <v>549412</v>
      </c>
      <c r="J434" s="1">
        <v>47963.4</v>
      </c>
      <c r="K434" s="1">
        <v>88005.9</v>
      </c>
      <c r="L434" s="1">
        <v>89247.1</v>
      </c>
      <c r="M434" s="1">
        <v>59102.9</v>
      </c>
      <c r="N434" s="1">
        <v>75307.5</v>
      </c>
      <c r="O434" s="1">
        <v>82196</v>
      </c>
      <c r="P434" s="1">
        <v>51926</v>
      </c>
      <c r="Q434" s="1">
        <v>80856</v>
      </c>
      <c r="R434" s="1">
        <v>0</v>
      </c>
    </row>
    <row r="435" spans="1:18">
      <c r="A435" s="2">
        <v>0.875</v>
      </c>
      <c r="B435" s="1">
        <v>309015</v>
      </c>
      <c r="C435" s="1">
        <v>46774</v>
      </c>
      <c r="D435" s="1">
        <v>37064.5</v>
      </c>
      <c r="E435" s="1">
        <v>0</v>
      </c>
      <c r="F435" s="1">
        <v>399040</v>
      </c>
      <c r="G435" s="1">
        <v>46105.7</v>
      </c>
      <c r="H435" s="1">
        <v>367373</v>
      </c>
      <c r="I435" s="1">
        <v>549687</v>
      </c>
      <c r="J435" s="1">
        <v>47974.7</v>
      </c>
      <c r="K435" s="1">
        <v>88009.1</v>
      </c>
      <c r="L435" s="1">
        <v>89273.2</v>
      </c>
      <c r="M435" s="1">
        <v>59145.4</v>
      </c>
      <c r="N435" s="1">
        <v>75363.100000000006</v>
      </c>
      <c r="O435" s="1">
        <v>82222.899999999994</v>
      </c>
      <c r="P435" s="1">
        <v>51926</v>
      </c>
      <c r="Q435" s="1">
        <v>80856</v>
      </c>
      <c r="R435" s="1">
        <v>0</v>
      </c>
    </row>
    <row r="436" spans="1:18">
      <c r="A436" s="2">
        <v>0.91666666666666663</v>
      </c>
      <c r="B436" s="1">
        <v>309834</v>
      </c>
      <c r="C436" s="1">
        <v>46990</v>
      </c>
      <c r="D436" s="1">
        <v>37083.800000000003</v>
      </c>
      <c r="E436" s="1">
        <v>0</v>
      </c>
      <c r="F436" s="1">
        <v>399063</v>
      </c>
      <c r="G436" s="1">
        <v>46177.3</v>
      </c>
      <c r="H436" s="1">
        <v>367385</v>
      </c>
      <c r="I436" s="1">
        <v>549946</v>
      </c>
      <c r="J436" s="1">
        <v>47985.1</v>
      </c>
      <c r="K436" s="1">
        <v>88012.3</v>
      </c>
      <c r="L436" s="1">
        <v>89298.4</v>
      </c>
      <c r="M436" s="1">
        <v>59186.8</v>
      </c>
      <c r="N436" s="1">
        <v>75418.8</v>
      </c>
      <c r="O436" s="1">
        <v>82249.7</v>
      </c>
      <c r="P436" s="1">
        <v>51926</v>
      </c>
      <c r="Q436" s="1">
        <v>80856</v>
      </c>
      <c r="R436" s="1">
        <v>0</v>
      </c>
    </row>
    <row r="437" spans="1:18">
      <c r="A437" s="2">
        <v>0.95833333333333337</v>
      </c>
      <c r="B437" s="1">
        <v>310623</v>
      </c>
      <c r="C437" s="1">
        <v>47194</v>
      </c>
      <c r="D437" s="1">
        <v>37101.199999999997</v>
      </c>
      <c r="E437" s="1">
        <v>0</v>
      </c>
      <c r="F437" s="1">
        <v>399086</v>
      </c>
      <c r="G437" s="1">
        <v>46245.3</v>
      </c>
      <c r="H437" s="1">
        <v>367397</v>
      </c>
      <c r="I437" s="1">
        <v>550196</v>
      </c>
      <c r="J437" s="1">
        <v>47995.6</v>
      </c>
      <c r="K437" s="1">
        <v>88015.5</v>
      </c>
      <c r="L437" s="1">
        <v>89325.1</v>
      </c>
      <c r="M437" s="1">
        <v>59227.6</v>
      </c>
      <c r="N437" s="1">
        <v>75475.5</v>
      </c>
      <c r="O437" s="1">
        <v>82271.8</v>
      </c>
      <c r="P437" s="1">
        <v>51926</v>
      </c>
      <c r="Q437" s="1">
        <v>80856</v>
      </c>
      <c r="R437" s="1">
        <v>0</v>
      </c>
    </row>
    <row r="438" spans="1:18">
      <c r="A438" s="2">
        <v>0</v>
      </c>
      <c r="B438" s="1">
        <v>311391</v>
      </c>
      <c r="C438" s="1">
        <v>47392</v>
      </c>
      <c r="D438" s="1">
        <v>37116.800000000003</v>
      </c>
      <c r="E438" s="1">
        <v>0</v>
      </c>
      <c r="F438" s="1">
        <v>399108</v>
      </c>
      <c r="G438" s="1">
        <v>46309.599999999999</v>
      </c>
      <c r="H438" s="1">
        <v>367409</v>
      </c>
      <c r="I438" s="1">
        <v>550439</v>
      </c>
      <c r="J438" s="1">
        <v>48006</v>
      </c>
      <c r="K438" s="1">
        <v>88018.6</v>
      </c>
      <c r="L438" s="1">
        <v>89351.5</v>
      </c>
      <c r="M438" s="1">
        <v>59270.1</v>
      </c>
      <c r="N438" s="1">
        <v>75530</v>
      </c>
      <c r="O438" s="1">
        <v>82292.7</v>
      </c>
      <c r="P438" s="1">
        <v>51926</v>
      </c>
      <c r="Q438" s="1">
        <v>80856</v>
      </c>
      <c r="R438" s="1">
        <v>0</v>
      </c>
    </row>
    <row r="439" spans="1:18">
      <c r="A439" s="2">
        <v>4.1666666666666664E-2</v>
      </c>
      <c r="B439" s="1">
        <v>312132</v>
      </c>
      <c r="C439" s="1">
        <v>47584</v>
      </c>
      <c r="D439" s="1">
        <v>37131.599999999999</v>
      </c>
      <c r="E439" s="1">
        <v>0</v>
      </c>
      <c r="F439" s="1">
        <v>399130</v>
      </c>
      <c r="G439" s="1">
        <v>46372.5</v>
      </c>
      <c r="H439" s="1">
        <v>367421</v>
      </c>
      <c r="I439" s="1">
        <v>550675</v>
      </c>
      <c r="J439" s="1">
        <v>48016.4</v>
      </c>
      <c r="K439" s="1">
        <v>88021.7</v>
      </c>
      <c r="L439" s="1">
        <v>89374.6</v>
      </c>
      <c r="M439" s="1">
        <v>59310.9</v>
      </c>
      <c r="N439" s="1">
        <v>75585.3</v>
      </c>
      <c r="O439" s="1">
        <v>82312.2</v>
      </c>
      <c r="P439" s="1">
        <v>51926</v>
      </c>
      <c r="Q439" s="1">
        <v>80856</v>
      </c>
      <c r="R439" s="1">
        <v>0</v>
      </c>
    </row>
    <row r="440" spans="1:18">
      <c r="A440" s="2">
        <v>8.3333333333333329E-2</v>
      </c>
      <c r="B440" s="1">
        <v>312861</v>
      </c>
      <c r="C440" s="1">
        <v>47774</v>
      </c>
      <c r="D440" s="1">
        <v>37145.5</v>
      </c>
      <c r="E440" s="1">
        <v>0</v>
      </c>
      <c r="F440" s="1">
        <v>399151</v>
      </c>
      <c r="G440" s="1">
        <v>46434.2</v>
      </c>
      <c r="H440" s="1">
        <v>367433</v>
      </c>
      <c r="I440" s="1">
        <v>550905</v>
      </c>
      <c r="J440" s="1">
        <v>48026.5</v>
      </c>
      <c r="K440" s="1">
        <v>88024.9</v>
      </c>
      <c r="L440" s="1">
        <v>89397.2</v>
      </c>
      <c r="M440" s="1">
        <v>59350.7</v>
      </c>
      <c r="N440" s="1">
        <v>75639</v>
      </c>
      <c r="O440" s="1">
        <v>82332.800000000003</v>
      </c>
      <c r="P440" s="1">
        <v>51926</v>
      </c>
      <c r="Q440" s="1">
        <v>80856</v>
      </c>
      <c r="R440" s="1">
        <v>0</v>
      </c>
    </row>
    <row r="441" spans="1:18">
      <c r="A441" s="2">
        <v>0.125</v>
      </c>
      <c r="B441" s="1">
        <v>313561</v>
      </c>
      <c r="C441" s="1">
        <v>47958</v>
      </c>
      <c r="D441" s="1">
        <v>37158</v>
      </c>
      <c r="E441" s="1">
        <v>0</v>
      </c>
      <c r="F441" s="1">
        <v>399173</v>
      </c>
      <c r="G441" s="1">
        <v>46494.6</v>
      </c>
      <c r="H441" s="1">
        <v>367444</v>
      </c>
      <c r="I441" s="1">
        <v>551116</v>
      </c>
      <c r="J441" s="1">
        <v>48036.800000000003</v>
      </c>
      <c r="K441" s="1">
        <v>88028</v>
      </c>
      <c r="L441" s="1">
        <v>89419.3</v>
      </c>
      <c r="M441" s="1">
        <v>59390.400000000001</v>
      </c>
      <c r="N441" s="1">
        <v>75693.100000000006</v>
      </c>
      <c r="O441" s="1">
        <v>82352.800000000003</v>
      </c>
      <c r="P441" s="1">
        <v>51926</v>
      </c>
      <c r="Q441" s="1">
        <v>80856</v>
      </c>
      <c r="R441" s="1">
        <v>0</v>
      </c>
    </row>
    <row r="442" spans="1:18">
      <c r="A442" s="2">
        <v>0.16666666666666666</v>
      </c>
      <c r="B442" s="1">
        <v>314245</v>
      </c>
      <c r="C442" s="1">
        <v>48138</v>
      </c>
      <c r="D442" s="1">
        <v>37170.5</v>
      </c>
      <c r="E442" s="1">
        <v>0</v>
      </c>
      <c r="F442" s="1">
        <v>399194</v>
      </c>
      <c r="G442" s="1">
        <v>46554.2</v>
      </c>
      <c r="H442" s="1">
        <v>367456</v>
      </c>
      <c r="I442" s="1">
        <v>551321</v>
      </c>
      <c r="J442" s="1">
        <v>48046.9</v>
      </c>
      <c r="K442" s="1">
        <v>88031.4</v>
      </c>
      <c r="L442" s="1">
        <v>89438.399999999994</v>
      </c>
      <c r="M442" s="1">
        <v>59430.1</v>
      </c>
      <c r="N442" s="1">
        <v>75747.399999999994</v>
      </c>
      <c r="O442" s="1">
        <v>82372.2</v>
      </c>
      <c r="P442" s="1">
        <v>51926</v>
      </c>
      <c r="Q442" s="1">
        <v>80856</v>
      </c>
      <c r="R442" s="1">
        <v>0</v>
      </c>
    </row>
    <row r="443" spans="1:18">
      <c r="A443" s="2">
        <v>0.20833333333333334</v>
      </c>
      <c r="B443" s="1">
        <v>314927</v>
      </c>
      <c r="C443" s="1">
        <v>48317</v>
      </c>
      <c r="D443" s="1">
        <v>37183.199999999997</v>
      </c>
      <c r="E443" s="1">
        <v>0</v>
      </c>
      <c r="F443" s="1">
        <v>399215</v>
      </c>
      <c r="G443" s="1">
        <v>46611.7</v>
      </c>
      <c r="H443" s="1">
        <v>367467</v>
      </c>
      <c r="I443" s="1">
        <v>551524</v>
      </c>
      <c r="J443" s="1">
        <v>48056.7</v>
      </c>
      <c r="K443" s="1">
        <v>88034.6</v>
      </c>
      <c r="L443" s="1">
        <v>89459.1</v>
      </c>
      <c r="M443" s="1">
        <v>59469.599999999999</v>
      </c>
      <c r="N443" s="1">
        <v>75802.8</v>
      </c>
      <c r="O443" s="1">
        <v>82392.5</v>
      </c>
      <c r="P443" s="1">
        <v>51926</v>
      </c>
      <c r="Q443" s="1">
        <v>80856</v>
      </c>
      <c r="R443" s="1">
        <v>0</v>
      </c>
    </row>
    <row r="444" spans="1:18">
      <c r="A444" s="2">
        <v>0.25</v>
      </c>
      <c r="B444" s="1">
        <v>315610</v>
      </c>
      <c r="C444" s="1">
        <v>48494</v>
      </c>
      <c r="D444" s="1">
        <v>37196.199999999997</v>
      </c>
      <c r="E444" s="1">
        <v>0</v>
      </c>
      <c r="F444" s="1">
        <v>399236</v>
      </c>
      <c r="G444" s="1">
        <v>46668.4</v>
      </c>
      <c r="H444" s="1">
        <v>367479</v>
      </c>
      <c r="I444" s="1">
        <v>551728</v>
      </c>
      <c r="J444" s="1">
        <v>48066.7</v>
      </c>
      <c r="K444" s="1">
        <v>88037.6</v>
      </c>
      <c r="L444" s="1">
        <v>89478.7</v>
      </c>
      <c r="M444" s="1">
        <v>59508.800000000003</v>
      </c>
      <c r="N444" s="1">
        <v>75856.5</v>
      </c>
      <c r="O444" s="1">
        <v>82415.3</v>
      </c>
      <c r="P444" s="1">
        <v>51926</v>
      </c>
      <c r="Q444" s="1">
        <v>80856</v>
      </c>
      <c r="R444" s="1">
        <v>0</v>
      </c>
    </row>
    <row r="445" spans="1:18">
      <c r="A445" s="2">
        <v>0.29166666666666669</v>
      </c>
      <c r="B445" s="1">
        <v>316308</v>
      </c>
      <c r="C445" s="1">
        <v>48678</v>
      </c>
      <c r="D445" s="1">
        <v>37209.699999999997</v>
      </c>
      <c r="E445" s="1">
        <v>0</v>
      </c>
      <c r="F445" s="1">
        <v>399257</v>
      </c>
      <c r="G445" s="1">
        <v>46727.5</v>
      </c>
      <c r="H445" s="1">
        <v>367491</v>
      </c>
      <c r="I445" s="1">
        <v>551936</v>
      </c>
      <c r="J445" s="1">
        <v>48076.5</v>
      </c>
      <c r="K445" s="1">
        <v>88040.2</v>
      </c>
      <c r="L445" s="1">
        <v>89498.1</v>
      </c>
      <c r="M445" s="1">
        <v>59548.2</v>
      </c>
      <c r="N445" s="1">
        <v>75911.5</v>
      </c>
      <c r="O445" s="1">
        <v>82436.800000000003</v>
      </c>
      <c r="P445" s="1">
        <v>51926</v>
      </c>
      <c r="Q445" s="1">
        <v>80856</v>
      </c>
      <c r="R445" s="1">
        <v>0</v>
      </c>
    </row>
    <row r="446" spans="1:18">
      <c r="A446" s="2">
        <v>0.33333333333333331</v>
      </c>
      <c r="B446" s="1">
        <v>317044</v>
      </c>
      <c r="C446" s="1">
        <v>48880</v>
      </c>
      <c r="D446" s="1">
        <v>37223.300000000003</v>
      </c>
      <c r="E446" s="1">
        <v>0</v>
      </c>
      <c r="F446" s="1">
        <v>399280</v>
      </c>
      <c r="G446" s="1">
        <v>46786.2</v>
      </c>
      <c r="H446" s="1">
        <v>367504</v>
      </c>
      <c r="I446" s="1">
        <v>552156</v>
      </c>
      <c r="J446" s="1">
        <v>48089.4</v>
      </c>
      <c r="K446" s="1">
        <v>88041.3</v>
      </c>
      <c r="L446" s="1">
        <v>89517.9</v>
      </c>
      <c r="M446" s="1">
        <v>59589.1</v>
      </c>
      <c r="N446" s="1">
        <v>75961.600000000006</v>
      </c>
      <c r="O446" s="1">
        <v>82460.600000000006</v>
      </c>
      <c r="P446" s="1">
        <v>51927</v>
      </c>
      <c r="Q446" s="1">
        <v>80859</v>
      </c>
      <c r="R446" s="1">
        <v>0</v>
      </c>
    </row>
    <row r="447" spans="1:18">
      <c r="A447" s="2">
        <v>0.375</v>
      </c>
      <c r="B447" s="1">
        <v>317900</v>
      </c>
      <c r="C447" s="1">
        <v>49112</v>
      </c>
      <c r="D447" s="1">
        <v>37238.6</v>
      </c>
      <c r="E447" s="1">
        <v>0</v>
      </c>
      <c r="F447" s="1">
        <v>399312</v>
      </c>
      <c r="G447" s="1">
        <v>46843.199999999997</v>
      </c>
      <c r="H447" s="1">
        <v>367533</v>
      </c>
      <c r="I447" s="1">
        <v>552407</v>
      </c>
      <c r="J447" s="1">
        <v>48103.4</v>
      </c>
      <c r="K447" s="1">
        <v>88042.8</v>
      </c>
      <c r="L447" s="1">
        <v>89543.5</v>
      </c>
      <c r="M447" s="1">
        <v>59636.5</v>
      </c>
      <c r="N447" s="1">
        <v>76011.8</v>
      </c>
      <c r="O447" s="1">
        <v>82496.100000000006</v>
      </c>
      <c r="P447" s="1">
        <v>51932</v>
      </c>
      <c r="Q447" s="1">
        <v>80868</v>
      </c>
      <c r="R447" s="1">
        <v>0</v>
      </c>
    </row>
    <row r="448" spans="1:18">
      <c r="A448" s="2">
        <v>0.41666666666666669</v>
      </c>
      <c r="B448" s="1">
        <v>319069</v>
      </c>
      <c r="C448" s="1">
        <v>49397</v>
      </c>
      <c r="D448" s="1">
        <v>37258.6</v>
      </c>
      <c r="E448" s="1">
        <v>0</v>
      </c>
      <c r="F448" s="1">
        <v>399360</v>
      </c>
      <c r="G448" s="1">
        <v>46899.7</v>
      </c>
      <c r="H448" s="1">
        <v>367673</v>
      </c>
      <c r="I448" s="1">
        <v>552726</v>
      </c>
      <c r="J448" s="1">
        <v>48116.9</v>
      </c>
      <c r="K448" s="1">
        <v>88043.199999999997</v>
      </c>
      <c r="L448" s="1">
        <v>89578.9</v>
      </c>
      <c r="M448" s="1">
        <v>59687.8</v>
      </c>
      <c r="N448" s="1">
        <v>76061</v>
      </c>
      <c r="O448" s="1">
        <v>82547.600000000006</v>
      </c>
      <c r="P448" s="1">
        <v>51942</v>
      </c>
      <c r="Q448" s="1">
        <v>80883</v>
      </c>
      <c r="R448" s="1">
        <v>0</v>
      </c>
    </row>
    <row r="449" spans="1:18">
      <c r="A449" s="2">
        <v>0.45833333333333331</v>
      </c>
      <c r="B449" s="1">
        <v>320386</v>
      </c>
      <c r="C449" s="1">
        <v>49719</v>
      </c>
      <c r="D449" s="1">
        <v>37284.199999999997</v>
      </c>
      <c r="E449" s="1">
        <v>0</v>
      </c>
      <c r="F449" s="1">
        <v>399415</v>
      </c>
      <c r="G449" s="1">
        <v>46956.3</v>
      </c>
      <c r="H449" s="1">
        <v>367822</v>
      </c>
      <c r="I449" s="1">
        <v>553108</v>
      </c>
      <c r="J449" s="1">
        <v>48133.5</v>
      </c>
      <c r="K449" s="1">
        <v>88043.3</v>
      </c>
      <c r="L449" s="1">
        <v>89619.199999999997</v>
      </c>
      <c r="M449" s="1">
        <v>59749.599999999999</v>
      </c>
      <c r="N449" s="1">
        <v>76110.2</v>
      </c>
      <c r="O449" s="1">
        <v>82610.8</v>
      </c>
      <c r="P449" s="1">
        <v>51956</v>
      </c>
      <c r="Q449" s="1">
        <v>80904</v>
      </c>
      <c r="R449" s="1">
        <v>0</v>
      </c>
    </row>
    <row r="450" spans="1:18">
      <c r="A450" s="2">
        <v>0.5</v>
      </c>
      <c r="B450" s="1">
        <v>321714</v>
      </c>
      <c r="C450" s="1">
        <v>50052</v>
      </c>
      <c r="D450" s="1">
        <v>37312</v>
      </c>
      <c r="E450" s="1">
        <v>0</v>
      </c>
      <c r="F450" s="1">
        <v>399470</v>
      </c>
      <c r="G450" s="1">
        <v>47020.4</v>
      </c>
      <c r="H450" s="1">
        <v>367944</v>
      </c>
      <c r="I450" s="1">
        <v>553520</v>
      </c>
      <c r="J450" s="1">
        <v>48149.4</v>
      </c>
      <c r="K450" s="1">
        <v>88043.4</v>
      </c>
      <c r="L450" s="1">
        <v>89663.3</v>
      </c>
      <c r="M450" s="1">
        <v>59809.8</v>
      </c>
      <c r="N450" s="1">
        <v>76155.899999999994</v>
      </c>
      <c r="O450" s="1">
        <v>82672.399999999994</v>
      </c>
      <c r="P450" s="1">
        <v>51971</v>
      </c>
      <c r="Q450" s="1">
        <v>80928</v>
      </c>
      <c r="R450" s="1">
        <v>0</v>
      </c>
    </row>
    <row r="451" spans="1:18">
      <c r="A451" s="2">
        <v>0.54166666666666663</v>
      </c>
      <c r="B451" s="1">
        <v>323035</v>
      </c>
      <c r="C451" s="1">
        <v>50382</v>
      </c>
      <c r="D451" s="1">
        <v>37347.800000000003</v>
      </c>
      <c r="E451" s="1">
        <v>0</v>
      </c>
      <c r="F451" s="1">
        <v>399518</v>
      </c>
      <c r="G451" s="1">
        <v>47093.599999999999</v>
      </c>
      <c r="H451" s="1">
        <v>368027</v>
      </c>
      <c r="I451" s="1">
        <v>553944</v>
      </c>
      <c r="J451" s="1">
        <v>48165.3</v>
      </c>
      <c r="K451" s="1">
        <v>88043.4</v>
      </c>
      <c r="L451" s="1">
        <v>89714.2</v>
      </c>
      <c r="M451" s="1">
        <v>59870.7</v>
      </c>
      <c r="N451" s="1">
        <v>76200.399999999994</v>
      </c>
      <c r="O451" s="1">
        <v>82742.8</v>
      </c>
      <c r="P451" s="1">
        <v>51988</v>
      </c>
      <c r="Q451" s="1">
        <v>80953</v>
      </c>
      <c r="R451" s="1">
        <v>0</v>
      </c>
    </row>
    <row r="452" spans="1:18">
      <c r="A452" s="2">
        <v>0.58333333333333337</v>
      </c>
      <c r="B452" s="1">
        <v>324417</v>
      </c>
      <c r="C452" s="1">
        <v>50735</v>
      </c>
      <c r="D452" s="1">
        <v>37388.5</v>
      </c>
      <c r="E452" s="1">
        <v>0</v>
      </c>
      <c r="F452" s="1">
        <v>399568</v>
      </c>
      <c r="G452" s="1">
        <v>47183.6</v>
      </c>
      <c r="H452" s="1">
        <v>368097</v>
      </c>
      <c r="I452" s="1">
        <v>554379</v>
      </c>
      <c r="J452" s="1">
        <v>48180.7</v>
      </c>
      <c r="K452" s="1">
        <v>88043.6</v>
      </c>
      <c r="L452" s="1">
        <v>89770.9</v>
      </c>
      <c r="M452" s="1">
        <v>59935.7</v>
      </c>
      <c r="N452" s="1">
        <v>76243.899999999994</v>
      </c>
      <c r="O452" s="1">
        <v>82813.899999999994</v>
      </c>
      <c r="P452" s="1">
        <v>52004</v>
      </c>
      <c r="Q452" s="1">
        <v>80978</v>
      </c>
      <c r="R452" s="1">
        <v>0</v>
      </c>
    </row>
    <row r="453" spans="1:18">
      <c r="A453" s="2">
        <v>0.625</v>
      </c>
      <c r="B453" s="1">
        <v>325804</v>
      </c>
      <c r="C453" s="1">
        <v>51101</v>
      </c>
      <c r="D453" s="1">
        <v>37431.300000000003</v>
      </c>
      <c r="E453" s="1">
        <v>0</v>
      </c>
      <c r="F453" s="1">
        <v>399617</v>
      </c>
      <c r="G453" s="1">
        <v>47275.7</v>
      </c>
      <c r="H453" s="1">
        <v>368166</v>
      </c>
      <c r="I453" s="1">
        <v>554817</v>
      </c>
      <c r="J453" s="1">
        <v>48196.3</v>
      </c>
      <c r="K453" s="1">
        <v>88043.9</v>
      </c>
      <c r="L453" s="1">
        <v>89826.5</v>
      </c>
      <c r="M453" s="1">
        <v>60000.4</v>
      </c>
      <c r="N453" s="1">
        <v>76288.399999999994</v>
      </c>
      <c r="O453" s="1">
        <v>82870</v>
      </c>
      <c r="P453" s="1">
        <v>52019</v>
      </c>
      <c r="Q453" s="1">
        <v>81001</v>
      </c>
      <c r="R453" s="1">
        <v>0</v>
      </c>
    </row>
    <row r="454" spans="1:18">
      <c r="A454" s="2">
        <v>0.66666666666666663</v>
      </c>
      <c r="B454" s="1">
        <v>327152</v>
      </c>
      <c r="C454" s="1">
        <v>51450</v>
      </c>
      <c r="D454" s="1">
        <v>37469.699999999997</v>
      </c>
      <c r="E454" s="1">
        <v>0</v>
      </c>
      <c r="F454" s="1">
        <v>399668</v>
      </c>
      <c r="G454" s="1">
        <v>47375.9</v>
      </c>
      <c r="H454" s="1">
        <v>368233</v>
      </c>
      <c r="I454" s="1">
        <v>555249</v>
      </c>
      <c r="J454" s="1">
        <v>48211.5</v>
      </c>
      <c r="K454" s="1">
        <v>88043.9</v>
      </c>
      <c r="L454" s="1">
        <v>89880.9</v>
      </c>
      <c r="M454" s="1">
        <v>60063.8</v>
      </c>
      <c r="N454" s="1">
        <v>76335.5</v>
      </c>
      <c r="O454" s="1">
        <v>82907.7</v>
      </c>
      <c r="P454" s="1">
        <v>52032</v>
      </c>
      <c r="Q454" s="1">
        <v>81021</v>
      </c>
      <c r="R454" s="1">
        <v>0</v>
      </c>
    </row>
    <row r="455" spans="1:18">
      <c r="A455" s="2">
        <v>0.70833333333333337</v>
      </c>
      <c r="B455" s="1">
        <v>328507</v>
      </c>
      <c r="C455" s="1">
        <v>51784</v>
      </c>
      <c r="D455" s="1">
        <v>37504.9</v>
      </c>
      <c r="E455" s="1">
        <v>0</v>
      </c>
      <c r="F455" s="1">
        <v>399732</v>
      </c>
      <c r="G455" s="1">
        <v>47480.1</v>
      </c>
      <c r="H455" s="1">
        <v>368302</v>
      </c>
      <c r="I455" s="1">
        <v>555679</v>
      </c>
      <c r="J455" s="1">
        <v>48225.9</v>
      </c>
      <c r="K455" s="1">
        <v>88045.4</v>
      </c>
      <c r="L455" s="1">
        <v>89940.6</v>
      </c>
      <c r="M455" s="1">
        <v>60121.7</v>
      </c>
      <c r="N455" s="1">
        <v>76386.899999999994</v>
      </c>
      <c r="O455" s="1">
        <v>82945.8</v>
      </c>
      <c r="P455" s="1">
        <v>52042</v>
      </c>
      <c r="Q455" s="1">
        <v>81035</v>
      </c>
      <c r="R455" s="1">
        <v>0</v>
      </c>
    </row>
    <row r="456" spans="1:18">
      <c r="A456" s="2">
        <v>0.75</v>
      </c>
      <c r="B456" s="1">
        <v>329740</v>
      </c>
      <c r="C456" s="1">
        <v>52096</v>
      </c>
      <c r="D456" s="1">
        <v>37536.400000000001</v>
      </c>
      <c r="E456" s="1">
        <v>0</v>
      </c>
      <c r="F456" s="1">
        <v>399787</v>
      </c>
      <c r="G456" s="1">
        <v>47576.9</v>
      </c>
      <c r="H456" s="1">
        <v>368351</v>
      </c>
      <c r="I456" s="1">
        <v>556079</v>
      </c>
      <c r="J456" s="1">
        <v>48238.7</v>
      </c>
      <c r="K456" s="1">
        <v>88049.2</v>
      </c>
      <c r="L456" s="1">
        <v>89980.5</v>
      </c>
      <c r="M456" s="1">
        <v>60171.199999999997</v>
      </c>
      <c r="N456" s="1">
        <v>76441.600000000006</v>
      </c>
      <c r="O456" s="1">
        <v>82986.5</v>
      </c>
      <c r="P456" s="1">
        <v>52046</v>
      </c>
      <c r="Q456" s="1">
        <v>81042</v>
      </c>
      <c r="R456" s="1">
        <v>0</v>
      </c>
    </row>
    <row r="457" spans="1:18">
      <c r="A457" s="2">
        <v>0.79166666666666663</v>
      </c>
      <c r="B457" s="1">
        <v>330814</v>
      </c>
      <c r="C457" s="1">
        <v>52365</v>
      </c>
      <c r="D457" s="1">
        <v>37565.800000000003</v>
      </c>
      <c r="E457" s="1">
        <v>0</v>
      </c>
      <c r="F457" s="1">
        <v>399828</v>
      </c>
      <c r="G457" s="1">
        <v>47659.6</v>
      </c>
      <c r="H457" s="1">
        <v>368367</v>
      </c>
      <c r="I457" s="1">
        <v>556453</v>
      </c>
      <c r="J457" s="1">
        <v>48250.9</v>
      </c>
      <c r="K457" s="1">
        <v>88053.7</v>
      </c>
      <c r="L457" s="1">
        <v>90010.8</v>
      </c>
      <c r="M457" s="1">
        <v>60215.7</v>
      </c>
      <c r="N457" s="1">
        <v>76498.399999999994</v>
      </c>
      <c r="O457" s="1">
        <v>83029.2</v>
      </c>
      <c r="P457" s="1">
        <v>52047</v>
      </c>
      <c r="Q457" s="1">
        <v>81043</v>
      </c>
      <c r="R457" s="1">
        <v>0</v>
      </c>
    </row>
    <row r="458" spans="1:18">
      <c r="A458" s="2">
        <v>0.83333333333333337</v>
      </c>
      <c r="B458" s="1">
        <v>331763</v>
      </c>
      <c r="C458" s="1">
        <v>52611</v>
      </c>
      <c r="D458" s="1">
        <v>37588</v>
      </c>
      <c r="E458" s="1">
        <v>0</v>
      </c>
      <c r="F458" s="1">
        <v>399861</v>
      </c>
      <c r="G458" s="1">
        <v>47737.5</v>
      </c>
      <c r="H458" s="1">
        <v>368384</v>
      </c>
      <c r="I458" s="1">
        <v>556762</v>
      </c>
      <c r="J458" s="1">
        <v>48261.8</v>
      </c>
      <c r="K458" s="1">
        <v>88057.9</v>
      </c>
      <c r="L458" s="1">
        <v>90038.399999999994</v>
      </c>
      <c r="M458" s="1">
        <v>60257.7</v>
      </c>
      <c r="N458" s="1">
        <v>76554.8</v>
      </c>
      <c r="O458" s="1">
        <v>83070.100000000006</v>
      </c>
      <c r="P458" s="1">
        <v>52047</v>
      </c>
      <c r="Q458" s="1">
        <v>81043</v>
      </c>
      <c r="R458" s="1">
        <v>0</v>
      </c>
    </row>
    <row r="459" spans="1:18">
      <c r="A459" s="2">
        <v>0.875</v>
      </c>
      <c r="B459" s="1">
        <v>332643</v>
      </c>
      <c r="C459" s="1">
        <v>52832</v>
      </c>
      <c r="D459" s="1">
        <v>37610.199999999997</v>
      </c>
      <c r="E459" s="1">
        <v>0</v>
      </c>
      <c r="F459" s="1">
        <v>399888</v>
      </c>
      <c r="G459" s="1">
        <v>47814</v>
      </c>
      <c r="H459" s="1">
        <v>368398</v>
      </c>
      <c r="I459" s="1">
        <v>557042</v>
      </c>
      <c r="J459" s="1">
        <v>48272.800000000003</v>
      </c>
      <c r="K459" s="1">
        <v>88062.2</v>
      </c>
      <c r="L459" s="1">
        <v>90064.6</v>
      </c>
      <c r="M459" s="1">
        <v>60298.400000000001</v>
      </c>
      <c r="N459" s="1">
        <v>76610.600000000006</v>
      </c>
      <c r="O459" s="1">
        <v>83117</v>
      </c>
      <c r="P459" s="1">
        <v>52047</v>
      </c>
      <c r="Q459" s="1">
        <v>81043</v>
      </c>
      <c r="R459" s="1">
        <v>0</v>
      </c>
    </row>
    <row r="460" spans="1:18">
      <c r="A460" s="2">
        <v>0.91666666666666663</v>
      </c>
      <c r="B460" s="1">
        <v>333482</v>
      </c>
      <c r="C460" s="1">
        <v>53039</v>
      </c>
      <c r="D460" s="1">
        <v>37632.1</v>
      </c>
      <c r="E460" s="1">
        <v>0</v>
      </c>
      <c r="F460" s="1">
        <v>399913</v>
      </c>
      <c r="G460" s="1">
        <v>47886.5</v>
      </c>
      <c r="H460" s="1">
        <v>368410</v>
      </c>
      <c r="I460" s="1">
        <v>557315</v>
      </c>
      <c r="J460" s="1">
        <v>48283.5</v>
      </c>
      <c r="K460" s="1">
        <v>88066.4</v>
      </c>
      <c r="L460" s="1">
        <v>90088.7</v>
      </c>
      <c r="M460" s="1">
        <v>60338.9</v>
      </c>
      <c r="N460" s="1">
        <v>76666.100000000006</v>
      </c>
      <c r="O460" s="1">
        <v>83156</v>
      </c>
      <c r="P460" s="1">
        <v>52047</v>
      </c>
      <c r="Q460" s="1">
        <v>81043</v>
      </c>
      <c r="R460" s="1">
        <v>0</v>
      </c>
    </row>
    <row r="461" spans="1:18">
      <c r="A461" s="2">
        <v>0.95833333333333337</v>
      </c>
      <c r="B461" s="1">
        <v>334272</v>
      </c>
      <c r="C461" s="1">
        <v>53242</v>
      </c>
      <c r="D461" s="1">
        <v>37649.599999999999</v>
      </c>
      <c r="E461" s="1">
        <v>0</v>
      </c>
      <c r="F461" s="1">
        <v>399937</v>
      </c>
      <c r="G461" s="1">
        <v>47956.6</v>
      </c>
      <c r="H461" s="1">
        <v>368421</v>
      </c>
      <c r="I461" s="1">
        <v>557570</v>
      </c>
      <c r="J461" s="1">
        <v>48293.9</v>
      </c>
      <c r="K461" s="1">
        <v>88070.5</v>
      </c>
      <c r="L461" s="1">
        <v>90111</v>
      </c>
      <c r="M461" s="1">
        <v>60379.4</v>
      </c>
      <c r="N461" s="1">
        <v>76721.100000000006</v>
      </c>
      <c r="O461" s="1">
        <v>83179.100000000006</v>
      </c>
      <c r="P461" s="1">
        <v>52047</v>
      </c>
      <c r="Q461" s="1">
        <v>81043</v>
      </c>
      <c r="R461" s="1">
        <v>0</v>
      </c>
    </row>
    <row r="462" spans="1:18">
      <c r="A462" s="2">
        <v>0</v>
      </c>
      <c r="B462" s="1">
        <v>335031</v>
      </c>
      <c r="C462" s="1">
        <v>53440</v>
      </c>
      <c r="D462" s="1">
        <v>37664.400000000001</v>
      </c>
      <c r="E462" s="1">
        <v>0</v>
      </c>
      <c r="F462" s="1">
        <v>399961</v>
      </c>
      <c r="G462" s="1">
        <v>48025.599999999999</v>
      </c>
      <c r="H462" s="1">
        <v>368433</v>
      </c>
      <c r="I462" s="1">
        <v>557809</v>
      </c>
      <c r="J462" s="1">
        <v>48304.6</v>
      </c>
      <c r="K462" s="1">
        <v>88074.7</v>
      </c>
      <c r="L462" s="1">
        <v>90133.5</v>
      </c>
      <c r="M462" s="1">
        <v>60419.6</v>
      </c>
      <c r="N462" s="1">
        <v>76775.399999999994</v>
      </c>
      <c r="O462" s="1">
        <v>83199.8</v>
      </c>
      <c r="P462" s="1">
        <v>52047</v>
      </c>
      <c r="Q462" s="1">
        <v>81043</v>
      </c>
      <c r="R462" s="1">
        <v>0</v>
      </c>
    </row>
    <row r="463" spans="1:18">
      <c r="A463" s="2">
        <v>4.1666666666666664E-2</v>
      </c>
      <c r="B463" s="1">
        <v>335787</v>
      </c>
      <c r="C463" s="1">
        <v>53638</v>
      </c>
      <c r="D463" s="1">
        <v>37679.599999999999</v>
      </c>
      <c r="E463" s="1">
        <v>0</v>
      </c>
      <c r="F463" s="1">
        <v>399984</v>
      </c>
      <c r="G463" s="1">
        <v>48093.2</v>
      </c>
      <c r="H463" s="1">
        <v>368444</v>
      </c>
      <c r="I463" s="1">
        <v>558045</v>
      </c>
      <c r="J463" s="1">
        <v>48314.9</v>
      </c>
      <c r="K463" s="1">
        <v>88078.8</v>
      </c>
      <c r="L463" s="1">
        <v>90156.7</v>
      </c>
      <c r="M463" s="1">
        <v>60460.9</v>
      </c>
      <c r="N463" s="1">
        <v>76830.2</v>
      </c>
      <c r="O463" s="1">
        <v>83218.899999999994</v>
      </c>
      <c r="P463" s="1">
        <v>52047</v>
      </c>
      <c r="Q463" s="1">
        <v>81043</v>
      </c>
      <c r="R463" s="1">
        <v>0</v>
      </c>
    </row>
    <row r="464" spans="1:18">
      <c r="A464" s="2">
        <v>8.3333333333333329E-2</v>
      </c>
      <c r="B464" s="1">
        <v>336537</v>
      </c>
      <c r="C464" s="1">
        <v>53834</v>
      </c>
      <c r="D464" s="1">
        <v>37694.1</v>
      </c>
      <c r="E464" s="1">
        <v>0</v>
      </c>
      <c r="F464" s="1">
        <v>400007</v>
      </c>
      <c r="G464" s="1">
        <v>48157.599999999999</v>
      </c>
      <c r="H464" s="1">
        <v>368456</v>
      </c>
      <c r="I464" s="1">
        <v>558276</v>
      </c>
      <c r="J464" s="1">
        <v>48325.4</v>
      </c>
      <c r="K464" s="1">
        <v>88083</v>
      </c>
      <c r="L464" s="1">
        <v>90179.6</v>
      </c>
      <c r="M464" s="1">
        <v>60503.5</v>
      </c>
      <c r="N464" s="1">
        <v>76884.399999999994</v>
      </c>
      <c r="O464" s="1">
        <v>83241.2</v>
      </c>
      <c r="P464" s="1">
        <v>52047</v>
      </c>
      <c r="Q464" s="1">
        <v>81043</v>
      </c>
      <c r="R464" s="1">
        <v>0</v>
      </c>
    </row>
    <row r="465" spans="1:18">
      <c r="A465" s="2">
        <v>0.125</v>
      </c>
      <c r="B465" s="1">
        <v>337276</v>
      </c>
      <c r="C465" s="1">
        <v>54029</v>
      </c>
      <c r="D465" s="1">
        <v>37708.199999999997</v>
      </c>
      <c r="E465" s="1">
        <v>0</v>
      </c>
      <c r="F465" s="1">
        <v>400029</v>
      </c>
      <c r="G465" s="1">
        <v>48220.1</v>
      </c>
      <c r="H465" s="1">
        <v>368467</v>
      </c>
      <c r="I465" s="1">
        <v>558506</v>
      </c>
      <c r="J465" s="1">
        <v>48336.3</v>
      </c>
      <c r="K465" s="1">
        <v>88086.7</v>
      </c>
      <c r="L465" s="1">
        <v>90202.2</v>
      </c>
      <c r="M465" s="1">
        <v>60543.9</v>
      </c>
      <c r="N465" s="1">
        <v>76938.7</v>
      </c>
      <c r="O465" s="1">
        <v>83261.7</v>
      </c>
      <c r="P465" s="1">
        <v>52047</v>
      </c>
      <c r="Q465" s="1">
        <v>81043</v>
      </c>
      <c r="R465" s="1">
        <v>0</v>
      </c>
    </row>
    <row r="466" spans="1:18">
      <c r="A466" s="2">
        <v>0.16666666666666666</v>
      </c>
      <c r="B466" s="1">
        <v>337992</v>
      </c>
      <c r="C466" s="1">
        <v>54216</v>
      </c>
      <c r="D466" s="1">
        <v>37722</v>
      </c>
      <c r="E466" s="1">
        <v>0</v>
      </c>
      <c r="F466" s="1">
        <v>400051</v>
      </c>
      <c r="G466" s="1">
        <v>48281.5</v>
      </c>
      <c r="H466" s="1">
        <v>368479</v>
      </c>
      <c r="I466" s="1">
        <v>558726</v>
      </c>
      <c r="J466" s="1">
        <v>48346.400000000001</v>
      </c>
      <c r="K466" s="1">
        <v>88090.2</v>
      </c>
      <c r="L466" s="1">
        <v>90223.2</v>
      </c>
      <c r="M466" s="1">
        <v>60583.9</v>
      </c>
      <c r="N466" s="1">
        <v>76993.5</v>
      </c>
      <c r="O466" s="1">
        <v>83282</v>
      </c>
      <c r="P466" s="1">
        <v>52047</v>
      </c>
      <c r="Q466" s="1">
        <v>81043</v>
      </c>
      <c r="R466" s="1">
        <v>0</v>
      </c>
    </row>
    <row r="467" spans="1:18">
      <c r="A467" s="2">
        <v>0.20833333333333334</v>
      </c>
      <c r="B467" s="1">
        <v>338702</v>
      </c>
      <c r="C467" s="1">
        <v>54403</v>
      </c>
      <c r="D467" s="1">
        <v>37736.1</v>
      </c>
      <c r="E467" s="1">
        <v>0</v>
      </c>
      <c r="F467" s="1">
        <v>400073</v>
      </c>
      <c r="G467" s="1">
        <v>48343.3</v>
      </c>
      <c r="H467" s="1">
        <v>368489</v>
      </c>
      <c r="I467" s="1">
        <v>558941</v>
      </c>
      <c r="J467" s="1">
        <v>48356.6</v>
      </c>
      <c r="K467" s="1">
        <v>88093.8</v>
      </c>
      <c r="L467" s="1">
        <v>90242.3</v>
      </c>
      <c r="M467" s="1">
        <v>60623.9</v>
      </c>
      <c r="N467" s="1">
        <v>77048.5</v>
      </c>
      <c r="O467" s="1">
        <v>83302.899999999994</v>
      </c>
      <c r="P467" s="1">
        <v>52047</v>
      </c>
      <c r="Q467" s="1">
        <v>81043</v>
      </c>
      <c r="R467" s="1">
        <v>0</v>
      </c>
    </row>
    <row r="468" spans="1:18">
      <c r="A468" s="2">
        <v>0.25</v>
      </c>
      <c r="B468" s="1">
        <v>339414</v>
      </c>
      <c r="C468" s="1">
        <v>54592</v>
      </c>
      <c r="D468" s="1">
        <v>37749.300000000003</v>
      </c>
      <c r="E468" s="1">
        <v>0</v>
      </c>
      <c r="F468" s="1">
        <v>400096</v>
      </c>
      <c r="G468" s="1">
        <v>48404.4</v>
      </c>
      <c r="H468" s="1">
        <v>368500</v>
      </c>
      <c r="I468" s="1">
        <v>559156</v>
      </c>
      <c r="J468" s="1">
        <v>48366.9</v>
      </c>
      <c r="K468" s="1">
        <v>88097.4</v>
      </c>
      <c r="L468" s="1">
        <v>90262</v>
      </c>
      <c r="M468" s="1">
        <v>60664.2</v>
      </c>
      <c r="N468" s="1">
        <v>77102.899999999994</v>
      </c>
      <c r="O468" s="1">
        <v>83325.5</v>
      </c>
      <c r="P468" s="1">
        <v>52047</v>
      </c>
      <c r="Q468" s="1">
        <v>81043</v>
      </c>
      <c r="R468" s="1">
        <v>0</v>
      </c>
    </row>
    <row r="469" spans="1:18">
      <c r="A469" s="2">
        <v>0.29166666666666669</v>
      </c>
      <c r="B469" s="1">
        <v>340131</v>
      </c>
      <c r="C469" s="1">
        <v>54784</v>
      </c>
      <c r="D469" s="1">
        <v>37763.199999999997</v>
      </c>
      <c r="E469" s="1">
        <v>0</v>
      </c>
      <c r="F469" s="1">
        <v>400118</v>
      </c>
      <c r="G469" s="1">
        <v>48465.3</v>
      </c>
      <c r="H469" s="1">
        <v>368511</v>
      </c>
      <c r="I469" s="1">
        <v>559376</v>
      </c>
      <c r="J469" s="1">
        <v>48377.1</v>
      </c>
      <c r="K469" s="1">
        <v>88100</v>
      </c>
      <c r="L469" s="1">
        <v>90281</v>
      </c>
      <c r="M469" s="1">
        <v>60704</v>
      </c>
      <c r="N469" s="1">
        <v>77157.100000000006</v>
      </c>
      <c r="O469" s="1">
        <v>83347.199999999997</v>
      </c>
      <c r="P469" s="1">
        <v>52048</v>
      </c>
      <c r="Q469" s="1">
        <v>81044</v>
      </c>
      <c r="R469" s="1">
        <v>0</v>
      </c>
    </row>
    <row r="470" spans="1:18">
      <c r="A470" s="2">
        <v>0.33333333333333331</v>
      </c>
      <c r="B470" s="1">
        <v>340871</v>
      </c>
      <c r="C470" s="1">
        <v>54990</v>
      </c>
      <c r="D470" s="1">
        <v>37776.6</v>
      </c>
      <c r="E470" s="1">
        <v>0</v>
      </c>
      <c r="F470" s="1">
        <v>400140</v>
      </c>
      <c r="G470" s="1">
        <v>48523.4</v>
      </c>
      <c r="H470" s="1">
        <v>368522</v>
      </c>
      <c r="I470" s="1">
        <v>559606</v>
      </c>
      <c r="J470" s="1">
        <v>48387.4</v>
      </c>
      <c r="K470" s="1">
        <v>88101</v>
      </c>
      <c r="L470" s="1">
        <v>90301</v>
      </c>
      <c r="M470" s="1">
        <v>60744.800000000003</v>
      </c>
      <c r="N470" s="1">
        <v>77208</v>
      </c>
      <c r="O470" s="1">
        <v>83372.5</v>
      </c>
      <c r="P470" s="1">
        <v>52049</v>
      </c>
      <c r="Q470" s="1">
        <v>81047</v>
      </c>
      <c r="R470" s="1">
        <v>0</v>
      </c>
    </row>
    <row r="471" spans="1:18">
      <c r="A471" s="2">
        <v>0.375</v>
      </c>
      <c r="B471" s="1">
        <v>341723</v>
      </c>
      <c r="C471" s="1">
        <v>55222</v>
      </c>
      <c r="D471" s="1">
        <v>37792.1</v>
      </c>
      <c r="E471" s="1">
        <v>0</v>
      </c>
      <c r="F471" s="1">
        <v>400169</v>
      </c>
      <c r="G471" s="1">
        <v>48584.2</v>
      </c>
      <c r="H471" s="1">
        <v>368535</v>
      </c>
      <c r="I471" s="1">
        <v>559864</v>
      </c>
      <c r="J471" s="1">
        <v>48398.1</v>
      </c>
      <c r="K471" s="1">
        <v>88102.1</v>
      </c>
      <c r="L471" s="1">
        <v>90327.9</v>
      </c>
      <c r="M471" s="1">
        <v>60789.599999999999</v>
      </c>
      <c r="N471" s="1">
        <v>77258.2</v>
      </c>
      <c r="O471" s="1">
        <v>83408.3</v>
      </c>
      <c r="P471" s="1">
        <v>52053</v>
      </c>
      <c r="Q471" s="1">
        <v>81056</v>
      </c>
      <c r="R471" s="1">
        <v>0</v>
      </c>
    </row>
    <row r="472" spans="1:18">
      <c r="A472" s="2">
        <v>0.41666666666666669</v>
      </c>
      <c r="B472" s="1">
        <v>342813</v>
      </c>
      <c r="C472" s="1">
        <v>55531</v>
      </c>
      <c r="D472" s="1">
        <v>37817.9</v>
      </c>
      <c r="E472" s="1">
        <v>0</v>
      </c>
      <c r="F472" s="1">
        <v>400204</v>
      </c>
      <c r="G472" s="1">
        <v>48648.800000000003</v>
      </c>
      <c r="H472" s="1">
        <v>368557</v>
      </c>
      <c r="I472" s="1">
        <v>560217</v>
      </c>
      <c r="J472" s="1">
        <v>48409.8</v>
      </c>
      <c r="K472" s="1">
        <v>88102.3</v>
      </c>
      <c r="L472" s="1">
        <v>90356.4</v>
      </c>
      <c r="M472" s="1">
        <v>60843.9</v>
      </c>
      <c r="N472" s="1">
        <v>77304.100000000006</v>
      </c>
      <c r="O472" s="1">
        <v>83462.899999999994</v>
      </c>
      <c r="P472" s="1">
        <v>52063</v>
      </c>
      <c r="Q472" s="1">
        <v>81071</v>
      </c>
      <c r="R472" s="1">
        <v>0</v>
      </c>
    </row>
    <row r="473" spans="1:18">
      <c r="A473" s="2">
        <v>0.45833333333333331</v>
      </c>
      <c r="B473" s="1">
        <v>344001</v>
      </c>
      <c r="C473" s="1">
        <v>55870</v>
      </c>
      <c r="D473" s="1">
        <v>37849</v>
      </c>
      <c r="E473" s="1">
        <v>0</v>
      </c>
      <c r="F473" s="1">
        <v>400247</v>
      </c>
      <c r="G473" s="1">
        <v>48722.1</v>
      </c>
      <c r="H473" s="1">
        <v>368572</v>
      </c>
      <c r="I473" s="1">
        <v>560597</v>
      </c>
      <c r="J473" s="1">
        <v>48424</v>
      </c>
      <c r="K473" s="1">
        <v>88102.3</v>
      </c>
      <c r="L473" s="1">
        <v>90389.3</v>
      </c>
      <c r="M473" s="1">
        <v>60906.5</v>
      </c>
      <c r="N473" s="1">
        <v>77349.100000000006</v>
      </c>
      <c r="O473" s="1">
        <v>83530.899999999994</v>
      </c>
      <c r="P473" s="1">
        <v>52076</v>
      </c>
      <c r="Q473" s="1">
        <v>81091</v>
      </c>
      <c r="R473" s="1">
        <v>0</v>
      </c>
    </row>
    <row r="474" spans="1:18">
      <c r="A474" s="2">
        <v>0.5</v>
      </c>
      <c r="B474" s="1">
        <v>345233</v>
      </c>
      <c r="C474" s="1">
        <v>56193</v>
      </c>
      <c r="D474" s="1">
        <v>37877.4</v>
      </c>
      <c r="E474" s="1">
        <v>0</v>
      </c>
      <c r="F474" s="1">
        <v>400289</v>
      </c>
      <c r="G474" s="1">
        <v>48800.5</v>
      </c>
      <c r="H474" s="1">
        <v>368591</v>
      </c>
      <c r="I474" s="1">
        <v>561026</v>
      </c>
      <c r="J474" s="1">
        <v>48435.6</v>
      </c>
      <c r="K474" s="1">
        <v>88102.3</v>
      </c>
      <c r="L474" s="1">
        <v>90423.5</v>
      </c>
      <c r="M474" s="1">
        <v>60968.2</v>
      </c>
      <c r="N474" s="1">
        <v>77396</v>
      </c>
      <c r="O474" s="1">
        <v>83593.2</v>
      </c>
      <c r="P474" s="1">
        <v>52091</v>
      </c>
      <c r="Q474" s="1">
        <v>81114</v>
      </c>
      <c r="R474" s="1">
        <v>0</v>
      </c>
    </row>
    <row r="475" spans="1:18">
      <c r="A475" s="2">
        <v>0.54166666666666663</v>
      </c>
      <c r="B475" s="1">
        <v>346488</v>
      </c>
      <c r="C475" s="1">
        <v>56517</v>
      </c>
      <c r="D475" s="1">
        <v>37907.599999999999</v>
      </c>
      <c r="E475" s="1">
        <v>0</v>
      </c>
      <c r="F475" s="1">
        <v>400339</v>
      </c>
      <c r="G475" s="1">
        <v>48880.2</v>
      </c>
      <c r="H475" s="1">
        <v>368607</v>
      </c>
      <c r="I475" s="1">
        <v>561465</v>
      </c>
      <c r="J475" s="1">
        <v>48448.3</v>
      </c>
      <c r="K475" s="1">
        <v>88102.3</v>
      </c>
      <c r="L475" s="1">
        <v>90457.9</v>
      </c>
      <c r="M475" s="1">
        <v>61024.3</v>
      </c>
      <c r="N475" s="1">
        <v>77441.100000000006</v>
      </c>
      <c r="O475" s="1">
        <v>83659.7</v>
      </c>
      <c r="P475" s="1">
        <v>52107</v>
      </c>
      <c r="Q475" s="1">
        <v>81138</v>
      </c>
      <c r="R475" s="1">
        <v>0</v>
      </c>
    </row>
    <row r="476" spans="1:18">
      <c r="A476" s="2">
        <v>0.58333333333333337</v>
      </c>
      <c r="B476" s="1">
        <v>347776</v>
      </c>
      <c r="C476" s="1">
        <v>56851</v>
      </c>
      <c r="D476" s="1">
        <v>37936.199999999997</v>
      </c>
      <c r="E476" s="1">
        <v>0</v>
      </c>
      <c r="F476" s="1">
        <v>400383</v>
      </c>
      <c r="G476" s="1">
        <v>48967.199999999997</v>
      </c>
      <c r="H476" s="1">
        <v>368619</v>
      </c>
      <c r="I476" s="1">
        <v>561904</v>
      </c>
      <c r="J476" s="1">
        <v>48462.6</v>
      </c>
      <c r="K476" s="1">
        <v>88102.3</v>
      </c>
      <c r="L476" s="1">
        <v>90499</v>
      </c>
      <c r="M476" s="1">
        <v>61082.3</v>
      </c>
      <c r="N476" s="1">
        <v>77487.100000000006</v>
      </c>
      <c r="O476" s="1">
        <v>83736.800000000003</v>
      </c>
      <c r="P476" s="1">
        <v>52120</v>
      </c>
      <c r="Q476" s="1">
        <v>81158</v>
      </c>
      <c r="R476" s="1">
        <v>0</v>
      </c>
    </row>
    <row r="477" spans="1:18">
      <c r="A477" s="2">
        <v>0.625</v>
      </c>
      <c r="B477" s="1">
        <v>349089</v>
      </c>
      <c r="C477" s="1">
        <v>57204</v>
      </c>
      <c r="D477" s="1">
        <v>37978.699999999997</v>
      </c>
      <c r="E477" s="1">
        <v>0</v>
      </c>
      <c r="F477" s="1">
        <v>400429</v>
      </c>
      <c r="G477" s="1">
        <v>49049.9</v>
      </c>
      <c r="H477" s="1">
        <v>368632</v>
      </c>
      <c r="I477" s="1">
        <v>562358</v>
      </c>
      <c r="J477" s="1">
        <v>48476</v>
      </c>
      <c r="K477" s="1">
        <v>88102.3</v>
      </c>
      <c r="L477" s="1">
        <v>90540.4</v>
      </c>
      <c r="M477" s="1">
        <v>61142.3</v>
      </c>
      <c r="N477" s="1">
        <v>77532.899999999994</v>
      </c>
      <c r="O477" s="1">
        <v>83793</v>
      </c>
      <c r="P477" s="1">
        <v>52134</v>
      </c>
      <c r="Q477" s="1">
        <v>81180</v>
      </c>
      <c r="R477" s="1">
        <v>0</v>
      </c>
    </row>
    <row r="478" spans="1:18">
      <c r="A478" s="2">
        <v>0.66666666666666663</v>
      </c>
      <c r="B478" s="1">
        <v>350367</v>
      </c>
      <c r="C478" s="1">
        <v>57553</v>
      </c>
      <c r="D478" s="1">
        <v>38021.9</v>
      </c>
      <c r="E478" s="1">
        <v>0</v>
      </c>
      <c r="F478" s="1">
        <v>400476</v>
      </c>
      <c r="G478" s="1">
        <v>49138.8</v>
      </c>
      <c r="H478" s="1">
        <v>368645</v>
      </c>
      <c r="I478" s="1">
        <v>562804</v>
      </c>
      <c r="J478" s="1">
        <v>48488.800000000003</v>
      </c>
      <c r="K478" s="1">
        <v>88102.3</v>
      </c>
      <c r="L478" s="1">
        <v>90588.3</v>
      </c>
      <c r="M478" s="1">
        <v>61205.1</v>
      </c>
      <c r="N478" s="1">
        <v>77582.8</v>
      </c>
      <c r="O478" s="1">
        <v>83817</v>
      </c>
      <c r="P478" s="1">
        <v>52147</v>
      </c>
      <c r="Q478" s="1">
        <v>81198</v>
      </c>
      <c r="R478" s="1">
        <v>0</v>
      </c>
    </row>
    <row r="479" spans="1:18">
      <c r="A479" s="2">
        <v>0.70833333333333337</v>
      </c>
      <c r="B479" s="1">
        <v>351599</v>
      </c>
      <c r="C479" s="1">
        <v>57897</v>
      </c>
      <c r="D479" s="1">
        <v>38057.199999999997</v>
      </c>
      <c r="E479" s="1">
        <v>0</v>
      </c>
      <c r="F479" s="1">
        <v>400518</v>
      </c>
      <c r="G479" s="1">
        <v>49226.400000000001</v>
      </c>
      <c r="H479" s="1">
        <v>368658</v>
      </c>
      <c r="I479" s="1">
        <v>563231</v>
      </c>
      <c r="J479" s="1">
        <v>48501.3</v>
      </c>
      <c r="K479" s="1">
        <v>88103.4</v>
      </c>
      <c r="L479" s="1">
        <v>90633</v>
      </c>
      <c r="M479" s="1">
        <v>61266.7</v>
      </c>
      <c r="N479" s="1">
        <v>77635.899999999994</v>
      </c>
      <c r="O479" s="1">
        <v>83841.2</v>
      </c>
      <c r="P479" s="1">
        <v>52156</v>
      </c>
      <c r="Q479" s="1">
        <v>81212</v>
      </c>
      <c r="R479" s="1">
        <v>0</v>
      </c>
    </row>
    <row r="480" spans="1:18">
      <c r="A480" s="2">
        <v>0.75</v>
      </c>
      <c r="B480" s="1">
        <v>352736</v>
      </c>
      <c r="C480" s="1">
        <v>58218</v>
      </c>
      <c r="D480" s="1">
        <v>38083.199999999997</v>
      </c>
      <c r="E480" s="1">
        <v>0</v>
      </c>
      <c r="F480" s="1">
        <v>400555</v>
      </c>
      <c r="G480" s="1">
        <v>49308.9</v>
      </c>
      <c r="H480" s="1">
        <v>368669</v>
      </c>
      <c r="I480" s="1">
        <v>563624</v>
      </c>
      <c r="J480" s="1">
        <v>48514.1</v>
      </c>
      <c r="K480" s="1">
        <v>88105.7</v>
      </c>
      <c r="L480" s="1">
        <v>90672</v>
      </c>
      <c r="M480" s="1">
        <v>61323.4</v>
      </c>
      <c r="N480" s="1">
        <v>77692.3</v>
      </c>
      <c r="O480" s="1">
        <v>83864.399999999994</v>
      </c>
      <c r="P480" s="1">
        <v>52160</v>
      </c>
      <c r="Q480" s="1">
        <v>81219</v>
      </c>
      <c r="R480" s="1">
        <v>0</v>
      </c>
    </row>
    <row r="481" spans="1:18">
      <c r="A481" s="2">
        <v>0.79166666666666663</v>
      </c>
      <c r="B481" s="1">
        <v>353749</v>
      </c>
      <c r="C481" s="1">
        <v>58489</v>
      </c>
      <c r="D481" s="1">
        <v>38104.5</v>
      </c>
      <c r="E481" s="1">
        <v>0</v>
      </c>
      <c r="F481" s="1">
        <v>400586</v>
      </c>
      <c r="G481" s="1">
        <v>49386.8</v>
      </c>
      <c r="H481" s="1">
        <v>368681</v>
      </c>
      <c r="I481" s="1">
        <v>563992</v>
      </c>
      <c r="J481" s="1">
        <v>48526.2</v>
      </c>
      <c r="K481" s="1">
        <v>88108.9</v>
      </c>
      <c r="L481" s="1">
        <v>90702.1</v>
      </c>
      <c r="M481" s="1">
        <v>61371</v>
      </c>
      <c r="N481" s="1">
        <v>77748.600000000006</v>
      </c>
      <c r="O481" s="1">
        <v>83883.600000000006</v>
      </c>
      <c r="P481" s="1">
        <v>52161</v>
      </c>
      <c r="Q481" s="1">
        <v>81220</v>
      </c>
      <c r="R481" s="1">
        <v>0</v>
      </c>
    </row>
    <row r="482" spans="1:18">
      <c r="A482" s="2">
        <v>0.83333333333333337</v>
      </c>
      <c r="B482" s="1">
        <v>354654</v>
      </c>
      <c r="C482" s="1">
        <v>58734</v>
      </c>
      <c r="D482" s="1">
        <v>38122.9</v>
      </c>
      <c r="E482" s="1">
        <v>0</v>
      </c>
      <c r="F482" s="1">
        <v>400612</v>
      </c>
      <c r="G482" s="1">
        <v>49458.7</v>
      </c>
      <c r="H482" s="1">
        <v>368692</v>
      </c>
      <c r="I482" s="1">
        <v>564301</v>
      </c>
      <c r="J482" s="1">
        <v>48538.400000000001</v>
      </c>
      <c r="K482" s="1">
        <v>88112.1</v>
      </c>
      <c r="L482" s="1">
        <v>90726.6</v>
      </c>
      <c r="M482" s="1">
        <v>61416.2</v>
      </c>
      <c r="N482" s="1">
        <v>77805</v>
      </c>
      <c r="O482" s="1">
        <v>83904.9</v>
      </c>
      <c r="P482" s="1">
        <v>52161</v>
      </c>
      <c r="Q482" s="1">
        <v>81220</v>
      </c>
      <c r="R482" s="1">
        <v>0</v>
      </c>
    </row>
    <row r="483" spans="1:18">
      <c r="A483" s="2">
        <v>0.875</v>
      </c>
      <c r="B483" s="1">
        <v>355488</v>
      </c>
      <c r="C483" s="1">
        <v>58956</v>
      </c>
      <c r="D483" s="1">
        <v>38140</v>
      </c>
      <c r="E483" s="1">
        <v>0</v>
      </c>
      <c r="F483" s="1">
        <v>400636</v>
      </c>
      <c r="G483" s="1">
        <v>49529</v>
      </c>
      <c r="H483" s="1">
        <v>368703</v>
      </c>
      <c r="I483" s="1">
        <v>564573</v>
      </c>
      <c r="J483" s="1">
        <v>48549.3</v>
      </c>
      <c r="K483" s="1">
        <v>88115</v>
      </c>
      <c r="L483" s="1">
        <v>90749.2</v>
      </c>
      <c r="M483" s="1">
        <v>61462.3</v>
      </c>
      <c r="N483" s="1">
        <v>77861.2</v>
      </c>
      <c r="O483" s="1">
        <v>83927.1</v>
      </c>
      <c r="P483" s="1">
        <v>52161</v>
      </c>
      <c r="Q483" s="1">
        <v>81220</v>
      </c>
      <c r="R483" s="1">
        <v>0</v>
      </c>
    </row>
    <row r="484" spans="1:18">
      <c r="A484" s="2">
        <v>0.91666666666666663</v>
      </c>
      <c r="B484" s="1">
        <v>356286</v>
      </c>
      <c r="C484" s="1">
        <v>59166</v>
      </c>
      <c r="D484" s="1">
        <v>38153.9</v>
      </c>
      <c r="E484" s="1">
        <v>0</v>
      </c>
      <c r="F484" s="1">
        <v>400660</v>
      </c>
      <c r="G484" s="1">
        <v>49598.5</v>
      </c>
      <c r="H484" s="1">
        <v>368715</v>
      </c>
      <c r="I484" s="1">
        <v>564830</v>
      </c>
      <c r="J484" s="1">
        <v>48560.3</v>
      </c>
      <c r="K484" s="1">
        <v>88117.9</v>
      </c>
      <c r="L484" s="1">
        <v>90773.2</v>
      </c>
      <c r="M484" s="1">
        <v>61507.8</v>
      </c>
      <c r="N484" s="1">
        <v>77916.7</v>
      </c>
      <c r="O484" s="1">
        <v>83946.1</v>
      </c>
      <c r="P484" s="1">
        <v>52161</v>
      </c>
      <c r="Q484" s="1">
        <v>81220</v>
      </c>
      <c r="R484" s="1">
        <v>0</v>
      </c>
    </row>
    <row r="485" spans="1:18">
      <c r="A485" s="2">
        <v>0.95833333333333337</v>
      </c>
      <c r="B485" s="1">
        <v>357062</v>
      </c>
      <c r="C485" s="1">
        <v>59370</v>
      </c>
      <c r="D485" s="1">
        <v>38167.699999999997</v>
      </c>
      <c r="E485" s="1">
        <v>0</v>
      </c>
      <c r="F485" s="1">
        <v>400684</v>
      </c>
      <c r="G485" s="1">
        <v>49661.599999999999</v>
      </c>
      <c r="H485" s="1">
        <v>368727</v>
      </c>
      <c r="I485" s="1">
        <v>565070</v>
      </c>
      <c r="J485" s="1">
        <v>48570.8</v>
      </c>
      <c r="K485" s="1">
        <v>88120.7</v>
      </c>
      <c r="L485" s="1">
        <v>90805.8</v>
      </c>
      <c r="M485" s="1">
        <v>61552.4</v>
      </c>
      <c r="N485" s="1">
        <v>77972.800000000003</v>
      </c>
      <c r="O485" s="1">
        <v>83963.7</v>
      </c>
      <c r="P485" s="1">
        <v>52161</v>
      </c>
      <c r="Q485" s="1">
        <v>81220</v>
      </c>
      <c r="R485" s="1">
        <v>0</v>
      </c>
    </row>
    <row r="486" spans="1:18">
      <c r="A486" s="2">
        <v>0</v>
      </c>
      <c r="B486" s="1">
        <v>357813</v>
      </c>
      <c r="C486" s="1">
        <v>59568</v>
      </c>
      <c r="D486" s="1">
        <v>38182.6</v>
      </c>
      <c r="E486" s="1">
        <v>0</v>
      </c>
      <c r="F486" s="1">
        <v>400706</v>
      </c>
      <c r="G486" s="1">
        <v>49721.3</v>
      </c>
      <c r="H486" s="1">
        <v>368738</v>
      </c>
      <c r="I486" s="1">
        <v>565305</v>
      </c>
      <c r="J486" s="1">
        <v>48581</v>
      </c>
      <c r="K486" s="1">
        <v>88124</v>
      </c>
      <c r="L486" s="1">
        <v>90832.8</v>
      </c>
      <c r="M486" s="1">
        <v>61595</v>
      </c>
      <c r="N486" s="1">
        <v>78028.399999999994</v>
      </c>
      <c r="O486" s="1">
        <v>83980.7</v>
      </c>
      <c r="P486" s="1">
        <v>52161</v>
      </c>
      <c r="Q486" s="1">
        <v>81220</v>
      </c>
      <c r="R486" s="1">
        <v>0</v>
      </c>
    </row>
    <row r="487" spans="1:18">
      <c r="A487" s="2">
        <v>4.1666666666666664E-2</v>
      </c>
      <c r="B487" s="1">
        <v>358550</v>
      </c>
      <c r="C487" s="1">
        <v>59761</v>
      </c>
      <c r="D487" s="1">
        <v>38197.599999999999</v>
      </c>
      <c r="E487" s="1">
        <v>0</v>
      </c>
      <c r="F487" s="1">
        <v>400729</v>
      </c>
      <c r="G487" s="1">
        <v>49780</v>
      </c>
      <c r="H487" s="1">
        <v>368749</v>
      </c>
      <c r="I487" s="1">
        <v>565537</v>
      </c>
      <c r="J487" s="1">
        <v>48591.6</v>
      </c>
      <c r="K487" s="1">
        <v>88127.3</v>
      </c>
      <c r="L487" s="1">
        <v>90856.1</v>
      </c>
      <c r="M487" s="1">
        <v>61637.2</v>
      </c>
      <c r="N487" s="1">
        <v>78084.3</v>
      </c>
      <c r="O487" s="1">
        <v>83996.9</v>
      </c>
      <c r="P487" s="1">
        <v>52161</v>
      </c>
      <c r="Q487" s="1">
        <v>81220</v>
      </c>
      <c r="R487" s="1">
        <v>0</v>
      </c>
    </row>
    <row r="488" spans="1:18">
      <c r="A488" s="2">
        <v>8.3333333333333329E-2</v>
      </c>
      <c r="B488" s="1">
        <v>359266</v>
      </c>
      <c r="C488" s="1">
        <v>59949</v>
      </c>
      <c r="D488" s="1">
        <v>38211.9</v>
      </c>
      <c r="E488" s="1">
        <v>0</v>
      </c>
      <c r="F488" s="1">
        <v>400751</v>
      </c>
      <c r="G488" s="1">
        <v>49838.1</v>
      </c>
      <c r="H488" s="1">
        <v>368760</v>
      </c>
      <c r="I488" s="1">
        <v>565756</v>
      </c>
      <c r="J488" s="1">
        <v>48601.7</v>
      </c>
      <c r="K488" s="1">
        <v>88130.2</v>
      </c>
      <c r="L488" s="1">
        <v>90879.1</v>
      </c>
      <c r="M488" s="1">
        <v>61678.8</v>
      </c>
      <c r="N488" s="1">
        <v>78139.899999999994</v>
      </c>
      <c r="O488" s="1">
        <v>84014.8</v>
      </c>
      <c r="P488" s="1">
        <v>52161</v>
      </c>
      <c r="Q488" s="1">
        <v>81220</v>
      </c>
      <c r="R488" s="1">
        <v>0</v>
      </c>
    </row>
    <row r="489" spans="1:18">
      <c r="A489" s="2">
        <v>0.125</v>
      </c>
      <c r="B489" s="1">
        <v>359970</v>
      </c>
      <c r="C489" s="1">
        <v>60135</v>
      </c>
      <c r="D489" s="1">
        <v>38225.699999999997</v>
      </c>
      <c r="E489" s="1">
        <v>0</v>
      </c>
      <c r="F489" s="1">
        <v>400773</v>
      </c>
      <c r="G489" s="1">
        <v>49895.5</v>
      </c>
      <c r="H489" s="1">
        <v>368771</v>
      </c>
      <c r="I489" s="1">
        <v>565970</v>
      </c>
      <c r="J489" s="1">
        <v>48611.9</v>
      </c>
      <c r="K489" s="1">
        <v>88133</v>
      </c>
      <c r="L489" s="1">
        <v>90901.7</v>
      </c>
      <c r="M489" s="1">
        <v>61719.9</v>
      </c>
      <c r="N489" s="1">
        <v>78194.899999999994</v>
      </c>
      <c r="O489" s="1">
        <v>84031.5</v>
      </c>
      <c r="P489" s="1">
        <v>52161</v>
      </c>
      <c r="Q489" s="1">
        <v>81220</v>
      </c>
      <c r="R489" s="1">
        <v>0</v>
      </c>
    </row>
    <row r="490" spans="1:18">
      <c r="A490" s="2">
        <v>0.16666666666666666</v>
      </c>
      <c r="B490" s="1">
        <v>360676</v>
      </c>
      <c r="C490" s="1">
        <v>60322</v>
      </c>
      <c r="D490" s="1">
        <v>38240.6</v>
      </c>
      <c r="E490" s="1">
        <v>0</v>
      </c>
      <c r="F490" s="1">
        <v>400795</v>
      </c>
      <c r="G490" s="1">
        <v>49952.1</v>
      </c>
      <c r="H490" s="1">
        <v>368782</v>
      </c>
      <c r="I490" s="1">
        <v>566185</v>
      </c>
      <c r="J490" s="1">
        <v>48621.8</v>
      </c>
      <c r="K490" s="1">
        <v>88135.9</v>
      </c>
      <c r="L490" s="1">
        <v>90922.9</v>
      </c>
      <c r="M490" s="1">
        <v>61762.8</v>
      </c>
      <c r="N490" s="1">
        <v>78249.899999999994</v>
      </c>
      <c r="O490" s="1">
        <v>84047.9</v>
      </c>
      <c r="P490" s="1">
        <v>52161</v>
      </c>
      <c r="Q490" s="1">
        <v>81220</v>
      </c>
      <c r="R490" s="1">
        <v>0</v>
      </c>
    </row>
    <row r="491" spans="1:18">
      <c r="A491" s="2">
        <v>0.20833333333333334</v>
      </c>
      <c r="B491" s="1">
        <v>361376</v>
      </c>
      <c r="C491" s="1">
        <v>60508</v>
      </c>
      <c r="D491" s="1">
        <v>38254.699999999997</v>
      </c>
      <c r="E491" s="1">
        <v>0</v>
      </c>
      <c r="F491" s="1">
        <v>400817</v>
      </c>
      <c r="G491" s="1">
        <v>50006.1</v>
      </c>
      <c r="H491" s="1">
        <v>368792</v>
      </c>
      <c r="I491" s="1">
        <v>566396</v>
      </c>
      <c r="J491" s="1">
        <v>48631.6</v>
      </c>
      <c r="K491" s="1">
        <v>88139.1</v>
      </c>
      <c r="L491" s="1">
        <v>90943.9</v>
      </c>
      <c r="M491" s="1">
        <v>61806.400000000001</v>
      </c>
      <c r="N491" s="1">
        <v>78306.5</v>
      </c>
      <c r="O491" s="1">
        <v>84065.3</v>
      </c>
      <c r="P491" s="1">
        <v>52161</v>
      </c>
      <c r="Q491" s="1">
        <v>81220</v>
      </c>
      <c r="R491" s="1">
        <v>0</v>
      </c>
    </row>
    <row r="492" spans="1:18">
      <c r="A492" s="2">
        <v>0.25</v>
      </c>
      <c r="B492" s="1">
        <v>362073</v>
      </c>
      <c r="C492" s="1">
        <v>60695</v>
      </c>
      <c r="D492" s="1">
        <v>38268.199999999997</v>
      </c>
      <c r="E492" s="1">
        <v>0</v>
      </c>
      <c r="F492" s="1">
        <v>400838</v>
      </c>
      <c r="G492" s="1">
        <v>50060.3</v>
      </c>
      <c r="H492" s="1">
        <v>368803</v>
      </c>
      <c r="I492" s="1">
        <v>566608</v>
      </c>
      <c r="J492" s="1">
        <v>48641.4</v>
      </c>
      <c r="K492" s="1">
        <v>88141.9</v>
      </c>
      <c r="L492" s="1">
        <v>90963.9</v>
      </c>
      <c r="M492" s="1">
        <v>61848</v>
      </c>
      <c r="N492" s="1">
        <v>78361.7</v>
      </c>
      <c r="O492" s="1">
        <v>84082.4</v>
      </c>
      <c r="P492" s="1">
        <v>52161</v>
      </c>
      <c r="Q492" s="1">
        <v>81220</v>
      </c>
      <c r="R492" s="1">
        <v>0</v>
      </c>
    </row>
    <row r="493" spans="1:18">
      <c r="A493" s="2">
        <v>0.29166666666666669</v>
      </c>
      <c r="B493" s="1">
        <v>362775</v>
      </c>
      <c r="C493" s="1">
        <v>60886</v>
      </c>
      <c r="D493" s="1">
        <v>38282.6</v>
      </c>
      <c r="E493" s="1">
        <v>0</v>
      </c>
      <c r="F493" s="1">
        <v>400860</v>
      </c>
      <c r="G493" s="1">
        <v>50113.5</v>
      </c>
      <c r="H493" s="1">
        <v>368815</v>
      </c>
      <c r="I493" s="1">
        <v>566823</v>
      </c>
      <c r="J493" s="1">
        <v>48651.1</v>
      </c>
      <c r="K493" s="1">
        <v>88143.7</v>
      </c>
      <c r="L493" s="1">
        <v>90985.600000000006</v>
      </c>
      <c r="M493" s="1">
        <v>61887.7</v>
      </c>
      <c r="N493" s="1">
        <v>78416.5</v>
      </c>
      <c r="O493" s="1">
        <v>84097.8</v>
      </c>
      <c r="P493" s="1">
        <v>52161</v>
      </c>
      <c r="Q493" s="1">
        <v>81220</v>
      </c>
      <c r="R493" s="1">
        <v>0</v>
      </c>
    </row>
    <row r="494" spans="1:18">
      <c r="A494" s="2">
        <v>0.33333333333333331</v>
      </c>
      <c r="B494" s="1">
        <v>363484</v>
      </c>
      <c r="C494" s="1">
        <v>61084</v>
      </c>
      <c r="D494" s="1">
        <v>38296.5</v>
      </c>
      <c r="E494" s="1">
        <v>0</v>
      </c>
      <c r="F494" s="1">
        <v>400884</v>
      </c>
      <c r="G494" s="1">
        <v>50165</v>
      </c>
      <c r="H494" s="1">
        <v>368826</v>
      </c>
      <c r="I494" s="1">
        <v>567042</v>
      </c>
      <c r="J494" s="1">
        <v>48661.4</v>
      </c>
      <c r="K494" s="1">
        <v>88144</v>
      </c>
      <c r="L494" s="1">
        <v>91006.8</v>
      </c>
      <c r="M494" s="1">
        <v>61928.3</v>
      </c>
      <c r="N494" s="1">
        <v>78469.3</v>
      </c>
      <c r="O494" s="1">
        <v>84114.4</v>
      </c>
      <c r="P494" s="1">
        <v>52162</v>
      </c>
      <c r="Q494" s="1">
        <v>81223</v>
      </c>
      <c r="R494" s="1">
        <v>0</v>
      </c>
    </row>
    <row r="495" spans="1:18">
      <c r="A495" s="2">
        <v>0.375</v>
      </c>
      <c r="B495" s="1">
        <v>364201</v>
      </c>
      <c r="C495" s="1">
        <v>61285</v>
      </c>
      <c r="D495" s="1">
        <v>38310.699999999997</v>
      </c>
      <c r="E495" s="1">
        <v>0</v>
      </c>
      <c r="F495" s="1">
        <v>400909</v>
      </c>
      <c r="G495" s="1">
        <v>50213.9</v>
      </c>
      <c r="H495" s="1">
        <v>368836</v>
      </c>
      <c r="I495" s="1">
        <v>567267</v>
      </c>
      <c r="J495" s="1">
        <v>48671.7</v>
      </c>
      <c r="K495" s="1">
        <v>88144</v>
      </c>
      <c r="L495" s="1">
        <v>91026.7</v>
      </c>
      <c r="M495" s="1">
        <v>61968.9</v>
      </c>
      <c r="N495" s="1">
        <v>78521</v>
      </c>
      <c r="O495" s="1">
        <v>84132.1</v>
      </c>
      <c r="P495" s="1">
        <v>52165</v>
      </c>
      <c r="Q495" s="1">
        <v>81228</v>
      </c>
      <c r="R495" s="1">
        <v>0</v>
      </c>
    </row>
    <row r="496" spans="1:18">
      <c r="A496" s="2">
        <v>0.41666666666666669</v>
      </c>
      <c r="B496" s="1">
        <v>364923</v>
      </c>
      <c r="C496" s="1">
        <v>61487</v>
      </c>
      <c r="D496" s="1">
        <v>38326.199999999997</v>
      </c>
      <c r="E496" s="1">
        <v>0</v>
      </c>
      <c r="F496" s="1">
        <v>400934</v>
      </c>
      <c r="G496" s="1">
        <v>50259.1</v>
      </c>
      <c r="H496" s="1">
        <v>368847</v>
      </c>
      <c r="I496" s="1">
        <v>567499</v>
      </c>
      <c r="J496" s="1">
        <v>48682.3</v>
      </c>
      <c r="K496" s="1">
        <v>88144</v>
      </c>
      <c r="L496" s="1">
        <v>91047.6</v>
      </c>
      <c r="M496" s="1">
        <v>62012.7</v>
      </c>
      <c r="N496" s="1">
        <v>78570.899999999994</v>
      </c>
      <c r="O496" s="1">
        <v>84150.3</v>
      </c>
      <c r="P496" s="1">
        <v>52171</v>
      </c>
      <c r="Q496" s="1">
        <v>81236</v>
      </c>
      <c r="R496" s="1">
        <v>0</v>
      </c>
    </row>
    <row r="497" spans="1:18">
      <c r="A497" s="2">
        <v>0.45833333333333331</v>
      </c>
      <c r="B497" s="1">
        <v>365689</v>
      </c>
      <c r="C497" s="1">
        <v>61698</v>
      </c>
      <c r="D497" s="1">
        <v>38347.5</v>
      </c>
      <c r="E497" s="1">
        <v>0</v>
      </c>
      <c r="F497" s="1">
        <v>400960</v>
      </c>
      <c r="G497" s="1">
        <v>50303</v>
      </c>
      <c r="H497" s="1">
        <v>368858</v>
      </c>
      <c r="I497" s="1">
        <v>567762</v>
      </c>
      <c r="J497" s="1">
        <v>48693.5</v>
      </c>
      <c r="K497" s="1">
        <v>88144</v>
      </c>
      <c r="L497" s="1">
        <v>91072.5</v>
      </c>
      <c r="M497" s="1">
        <v>62054.7</v>
      </c>
      <c r="N497" s="1">
        <v>78618.8</v>
      </c>
      <c r="O497" s="1">
        <v>84168.7</v>
      </c>
      <c r="P497" s="1">
        <v>52180</v>
      </c>
      <c r="Q497" s="1">
        <v>81251</v>
      </c>
      <c r="R497" s="1">
        <v>0</v>
      </c>
    </row>
    <row r="498" spans="1:18">
      <c r="A498" s="2">
        <v>0.5</v>
      </c>
      <c r="B498" s="1">
        <v>366467</v>
      </c>
      <c r="C498" s="1">
        <v>61920</v>
      </c>
      <c r="D498" s="1">
        <v>38364.800000000003</v>
      </c>
      <c r="E498" s="1">
        <v>0</v>
      </c>
      <c r="F498" s="1">
        <v>400988</v>
      </c>
      <c r="G498" s="1">
        <v>50338.8</v>
      </c>
      <c r="H498" s="1">
        <v>368868</v>
      </c>
      <c r="I498" s="1">
        <v>568037</v>
      </c>
      <c r="J498" s="1">
        <v>48705</v>
      </c>
      <c r="K498" s="1">
        <v>88144</v>
      </c>
      <c r="L498" s="1">
        <v>91097.8</v>
      </c>
      <c r="M498" s="1">
        <v>62098.5</v>
      </c>
      <c r="N498" s="1">
        <v>78664.800000000003</v>
      </c>
      <c r="O498" s="1">
        <v>84186.6</v>
      </c>
      <c r="P498" s="1">
        <v>52195</v>
      </c>
      <c r="Q498" s="1">
        <v>81273</v>
      </c>
      <c r="R498" s="1">
        <v>0</v>
      </c>
    </row>
    <row r="499" spans="1:18">
      <c r="A499" s="2">
        <v>0.54166666666666663</v>
      </c>
      <c r="B499" s="1">
        <v>367274</v>
      </c>
      <c r="C499" s="1">
        <v>62150</v>
      </c>
      <c r="D499" s="1">
        <v>38384.699999999997</v>
      </c>
      <c r="E499" s="1">
        <v>0</v>
      </c>
      <c r="F499" s="1">
        <v>401016</v>
      </c>
      <c r="G499" s="1">
        <v>50374.3</v>
      </c>
      <c r="H499" s="1">
        <v>368879</v>
      </c>
      <c r="I499" s="1">
        <v>568329</v>
      </c>
      <c r="J499" s="1">
        <v>48717</v>
      </c>
      <c r="K499" s="1">
        <v>88144</v>
      </c>
      <c r="L499" s="1">
        <v>91126.3</v>
      </c>
      <c r="M499" s="1">
        <v>62145.3</v>
      </c>
      <c r="N499" s="1">
        <v>78711.199999999997</v>
      </c>
      <c r="O499" s="1">
        <v>84203.7</v>
      </c>
      <c r="P499" s="1">
        <v>52210</v>
      </c>
      <c r="Q499" s="1">
        <v>81297</v>
      </c>
      <c r="R499" s="1">
        <v>0</v>
      </c>
    </row>
    <row r="500" spans="1:18">
      <c r="A500" s="2">
        <v>0.58333333333333337</v>
      </c>
      <c r="B500" s="1">
        <v>368105</v>
      </c>
      <c r="C500" s="1">
        <v>62387</v>
      </c>
      <c r="D500" s="1">
        <v>38405</v>
      </c>
      <c r="E500" s="1">
        <v>0</v>
      </c>
      <c r="F500" s="1">
        <v>401045</v>
      </c>
      <c r="G500" s="1">
        <v>50415.3</v>
      </c>
      <c r="H500" s="1">
        <v>368891</v>
      </c>
      <c r="I500" s="1">
        <v>568627</v>
      </c>
      <c r="J500" s="1">
        <v>48729.1</v>
      </c>
      <c r="K500" s="1">
        <v>88144</v>
      </c>
      <c r="L500" s="1">
        <v>91155.9</v>
      </c>
      <c r="M500" s="1">
        <v>62190.9</v>
      </c>
      <c r="N500" s="1">
        <v>78755.199999999997</v>
      </c>
      <c r="O500" s="1">
        <v>84221.7</v>
      </c>
      <c r="P500" s="1">
        <v>52226</v>
      </c>
      <c r="Q500" s="1">
        <v>81321</v>
      </c>
      <c r="R500" s="1">
        <v>0</v>
      </c>
    </row>
    <row r="501" spans="1:18">
      <c r="A501" s="2">
        <v>0.625</v>
      </c>
      <c r="B501" s="1">
        <v>368983</v>
      </c>
      <c r="C501" s="1">
        <v>62630</v>
      </c>
      <c r="D501" s="1">
        <v>38437.199999999997</v>
      </c>
      <c r="E501" s="1">
        <v>0</v>
      </c>
      <c r="F501" s="1">
        <v>401074</v>
      </c>
      <c r="G501" s="1">
        <v>50461.3</v>
      </c>
      <c r="H501" s="1">
        <v>368903</v>
      </c>
      <c r="I501" s="1">
        <v>568944</v>
      </c>
      <c r="J501" s="1">
        <v>48741.4</v>
      </c>
      <c r="K501" s="1">
        <v>88144</v>
      </c>
      <c r="L501" s="1">
        <v>91185</v>
      </c>
      <c r="M501" s="1">
        <v>62240.6</v>
      </c>
      <c r="N501" s="1">
        <v>78797.399999999994</v>
      </c>
      <c r="O501" s="1">
        <v>84240.5</v>
      </c>
      <c r="P501" s="1">
        <v>52241</v>
      </c>
      <c r="Q501" s="1">
        <v>81342</v>
      </c>
      <c r="R501" s="1">
        <v>0</v>
      </c>
    </row>
    <row r="502" spans="1:18">
      <c r="A502" s="2">
        <v>0.66666666666666663</v>
      </c>
      <c r="B502" s="1">
        <v>369890</v>
      </c>
      <c r="C502" s="1">
        <v>62888</v>
      </c>
      <c r="D502" s="1">
        <v>38467.5</v>
      </c>
      <c r="E502" s="1">
        <v>0</v>
      </c>
      <c r="F502" s="1">
        <v>401104</v>
      </c>
      <c r="G502" s="1">
        <v>50514.5</v>
      </c>
      <c r="H502" s="1">
        <v>368914</v>
      </c>
      <c r="I502" s="1">
        <v>569262</v>
      </c>
      <c r="J502" s="1">
        <v>48753.5</v>
      </c>
      <c r="K502" s="1">
        <v>88144</v>
      </c>
      <c r="L502" s="1">
        <v>91213.1</v>
      </c>
      <c r="M502" s="1">
        <v>62287.5</v>
      </c>
      <c r="N502" s="1">
        <v>78843.3</v>
      </c>
      <c r="O502" s="1">
        <v>84258.7</v>
      </c>
      <c r="P502" s="1">
        <v>52252</v>
      </c>
      <c r="Q502" s="1">
        <v>81360</v>
      </c>
      <c r="R502" s="1">
        <v>0</v>
      </c>
    </row>
    <row r="503" spans="1:18">
      <c r="A503" s="2">
        <v>0.70833333333333337</v>
      </c>
      <c r="B503" s="1">
        <v>370799</v>
      </c>
      <c r="C503" s="1">
        <v>63144</v>
      </c>
      <c r="D503" s="1">
        <v>38494</v>
      </c>
      <c r="E503" s="1">
        <v>0</v>
      </c>
      <c r="F503" s="1">
        <v>401133</v>
      </c>
      <c r="G503" s="1">
        <v>50572.1</v>
      </c>
      <c r="H503" s="1">
        <v>368925</v>
      </c>
      <c r="I503" s="1">
        <v>569575</v>
      </c>
      <c r="J503" s="1">
        <v>48766.6</v>
      </c>
      <c r="K503" s="1">
        <v>88144</v>
      </c>
      <c r="L503" s="1">
        <v>91237.9</v>
      </c>
      <c r="M503" s="1">
        <v>62336.2</v>
      </c>
      <c r="N503" s="1">
        <v>78894</v>
      </c>
      <c r="O503" s="1">
        <v>84278.5</v>
      </c>
      <c r="P503" s="1">
        <v>52261</v>
      </c>
      <c r="Q503" s="1">
        <v>81374</v>
      </c>
      <c r="R503" s="1">
        <v>0</v>
      </c>
    </row>
    <row r="504" spans="1:18">
      <c r="A504" s="2">
        <v>0.75</v>
      </c>
      <c r="B504" s="1">
        <v>371698</v>
      </c>
      <c r="C504" s="1">
        <v>63403</v>
      </c>
      <c r="D504" s="1">
        <v>38515.599999999999</v>
      </c>
      <c r="E504" s="1">
        <v>0</v>
      </c>
      <c r="F504" s="1">
        <v>401165</v>
      </c>
      <c r="G504" s="1">
        <v>50633.5</v>
      </c>
      <c r="H504" s="1">
        <v>368937</v>
      </c>
      <c r="I504" s="1">
        <v>569873</v>
      </c>
      <c r="J504" s="1">
        <v>48778.1</v>
      </c>
      <c r="K504" s="1">
        <v>88145.5</v>
      </c>
      <c r="L504" s="1">
        <v>91260.5</v>
      </c>
      <c r="M504" s="1">
        <v>62381.9</v>
      </c>
      <c r="N504" s="1">
        <v>78947.3</v>
      </c>
      <c r="O504" s="1">
        <v>84296.5</v>
      </c>
      <c r="P504" s="1">
        <v>52266</v>
      </c>
      <c r="Q504" s="1">
        <v>81381</v>
      </c>
      <c r="R504" s="1">
        <v>0</v>
      </c>
    </row>
    <row r="505" spans="1:18">
      <c r="A505" s="2">
        <v>0.79166666666666663</v>
      </c>
      <c r="B505" s="1">
        <v>372550</v>
      </c>
      <c r="C505" s="1">
        <v>63648</v>
      </c>
      <c r="D505" s="1">
        <v>38534.199999999997</v>
      </c>
      <c r="E505" s="1">
        <v>0</v>
      </c>
      <c r="F505" s="1">
        <v>401195</v>
      </c>
      <c r="G505" s="1">
        <v>50701.7</v>
      </c>
      <c r="H505" s="1">
        <v>368948</v>
      </c>
      <c r="I505" s="1">
        <v>570144</v>
      </c>
      <c r="J505" s="1">
        <v>48789.1</v>
      </c>
      <c r="K505" s="1">
        <v>88148.800000000003</v>
      </c>
      <c r="L505" s="1">
        <v>91282.4</v>
      </c>
      <c r="M505" s="1">
        <v>62425</v>
      </c>
      <c r="N505" s="1">
        <v>79003.199999999997</v>
      </c>
      <c r="O505" s="1">
        <v>84312.2</v>
      </c>
      <c r="P505" s="1">
        <v>52266</v>
      </c>
      <c r="Q505" s="1">
        <v>81382</v>
      </c>
      <c r="R505" s="1">
        <v>0</v>
      </c>
    </row>
    <row r="506" spans="1:18">
      <c r="A506" s="2">
        <v>0.83333333333333337</v>
      </c>
      <c r="B506" s="1">
        <v>373375</v>
      </c>
      <c r="C506" s="1">
        <v>63890</v>
      </c>
      <c r="D506" s="1">
        <v>38550.300000000003</v>
      </c>
      <c r="E506" s="1">
        <v>0</v>
      </c>
      <c r="F506" s="1">
        <v>401225</v>
      </c>
      <c r="G506" s="1">
        <v>50770.2</v>
      </c>
      <c r="H506" s="1">
        <v>368960</v>
      </c>
      <c r="I506" s="1">
        <v>570388</v>
      </c>
      <c r="J506" s="1">
        <v>48799.7</v>
      </c>
      <c r="K506" s="1">
        <v>88152</v>
      </c>
      <c r="L506" s="1">
        <v>91305.7</v>
      </c>
      <c r="M506" s="1">
        <v>62470.1</v>
      </c>
      <c r="N506" s="1">
        <v>79059.399999999994</v>
      </c>
      <c r="O506" s="1">
        <v>84329.600000000006</v>
      </c>
      <c r="P506" s="1">
        <v>52266</v>
      </c>
      <c r="Q506" s="1">
        <v>81382</v>
      </c>
      <c r="R506" s="1">
        <v>0</v>
      </c>
    </row>
    <row r="507" spans="1:18">
      <c r="A507" s="2">
        <v>0.875</v>
      </c>
      <c r="B507" s="1">
        <v>374161</v>
      </c>
      <c r="C507" s="1">
        <v>64116</v>
      </c>
      <c r="D507" s="1">
        <v>38565.5</v>
      </c>
      <c r="E507" s="1">
        <v>0</v>
      </c>
      <c r="F507" s="1">
        <v>401251</v>
      </c>
      <c r="G507" s="1">
        <v>50835.9</v>
      </c>
      <c r="H507" s="1">
        <v>368971</v>
      </c>
      <c r="I507" s="1">
        <v>570617</v>
      </c>
      <c r="J507" s="1">
        <v>48810.2</v>
      </c>
      <c r="K507" s="1">
        <v>88155</v>
      </c>
      <c r="L507" s="1">
        <v>91329.2</v>
      </c>
      <c r="M507" s="1">
        <v>62514.400000000001</v>
      </c>
      <c r="N507" s="1">
        <v>79115.5</v>
      </c>
      <c r="O507" s="1">
        <v>84348.4</v>
      </c>
      <c r="P507" s="1">
        <v>52266</v>
      </c>
      <c r="Q507" s="1">
        <v>81382</v>
      </c>
      <c r="R507" s="1">
        <v>0</v>
      </c>
    </row>
    <row r="508" spans="1:18">
      <c r="A508" s="2">
        <v>0.91666666666666663</v>
      </c>
      <c r="B508" s="1">
        <v>374943</v>
      </c>
      <c r="C508" s="1">
        <v>64328</v>
      </c>
      <c r="D508" s="1">
        <v>38580.699999999997</v>
      </c>
      <c r="E508" s="1">
        <v>0</v>
      </c>
      <c r="F508" s="1">
        <v>401278</v>
      </c>
      <c r="G508" s="1">
        <v>50895.3</v>
      </c>
      <c r="H508" s="1">
        <v>368982</v>
      </c>
      <c r="I508" s="1">
        <v>570856</v>
      </c>
      <c r="J508" s="1">
        <v>48820.3</v>
      </c>
      <c r="K508" s="1">
        <v>88158.1</v>
      </c>
      <c r="L508" s="1">
        <v>91360.8</v>
      </c>
      <c r="M508" s="1">
        <v>62559.4</v>
      </c>
      <c r="N508" s="1">
        <v>79171</v>
      </c>
      <c r="O508" s="1">
        <v>84367.8</v>
      </c>
      <c r="P508" s="1">
        <v>52266</v>
      </c>
      <c r="Q508" s="1">
        <v>81382</v>
      </c>
      <c r="R508" s="1">
        <v>0</v>
      </c>
    </row>
    <row r="509" spans="1:18">
      <c r="A509" s="2">
        <v>0.95833333333333337</v>
      </c>
      <c r="B509" s="1">
        <v>375716</v>
      </c>
      <c r="C509" s="1">
        <v>64533</v>
      </c>
      <c r="D509" s="1">
        <v>38598.1</v>
      </c>
      <c r="E509" s="1">
        <v>0</v>
      </c>
      <c r="F509" s="1">
        <v>401305</v>
      </c>
      <c r="G509" s="1">
        <v>50953.2</v>
      </c>
      <c r="H509" s="1">
        <v>368993</v>
      </c>
      <c r="I509" s="1">
        <v>571093</v>
      </c>
      <c r="J509" s="1">
        <v>48830.6</v>
      </c>
      <c r="K509" s="1">
        <v>88161.3</v>
      </c>
      <c r="L509" s="1">
        <v>91391.4</v>
      </c>
      <c r="M509" s="1">
        <v>62603.9</v>
      </c>
      <c r="N509" s="1">
        <v>79228.7</v>
      </c>
      <c r="O509" s="1">
        <v>84385.4</v>
      </c>
      <c r="P509" s="1">
        <v>52266</v>
      </c>
      <c r="Q509" s="1">
        <v>81382</v>
      </c>
      <c r="R509" s="1">
        <v>0</v>
      </c>
    </row>
    <row r="510" spans="1:18">
      <c r="A510" s="2">
        <v>0</v>
      </c>
      <c r="B510" s="1">
        <v>376482</v>
      </c>
      <c r="C510" s="1">
        <v>64741</v>
      </c>
      <c r="D510" s="1">
        <v>38618</v>
      </c>
      <c r="E510" s="1">
        <v>0</v>
      </c>
      <c r="F510" s="1">
        <v>401329</v>
      </c>
      <c r="G510" s="1">
        <v>51011.7</v>
      </c>
      <c r="H510" s="1">
        <v>369004</v>
      </c>
      <c r="I510" s="1">
        <v>571325</v>
      </c>
      <c r="J510" s="1">
        <v>48840.800000000003</v>
      </c>
      <c r="K510" s="1">
        <v>88164.2</v>
      </c>
      <c r="L510" s="1">
        <v>91420.9</v>
      </c>
      <c r="M510" s="1">
        <v>62648.7</v>
      </c>
      <c r="N510" s="1">
        <v>79284.800000000003</v>
      </c>
      <c r="O510" s="1">
        <v>84402.6</v>
      </c>
      <c r="P510" s="1">
        <v>52266</v>
      </c>
      <c r="Q510" s="1">
        <v>81382</v>
      </c>
      <c r="R510" s="1">
        <v>0</v>
      </c>
    </row>
    <row r="511" spans="1:18">
      <c r="A511" s="2">
        <v>4.1666666666666664E-2</v>
      </c>
      <c r="B511" s="1">
        <v>377228</v>
      </c>
      <c r="C511" s="1">
        <v>64948</v>
      </c>
      <c r="D511" s="1">
        <v>38636.1</v>
      </c>
      <c r="E511" s="1">
        <v>0</v>
      </c>
      <c r="F511" s="1">
        <v>401353</v>
      </c>
      <c r="G511" s="1">
        <v>51071.4</v>
      </c>
      <c r="H511" s="1">
        <v>369015</v>
      </c>
      <c r="I511" s="1">
        <v>571543</v>
      </c>
      <c r="J511" s="1">
        <v>48850.7</v>
      </c>
      <c r="K511" s="1">
        <v>88167.2</v>
      </c>
      <c r="L511" s="1">
        <v>91450.2</v>
      </c>
      <c r="M511" s="1">
        <v>62690.8</v>
      </c>
      <c r="N511" s="1">
        <v>79340.800000000003</v>
      </c>
      <c r="O511" s="1">
        <v>84419.4</v>
      </c>
      <c r="P511" s="1">
        <v>52266</v>
      </c>
      <c r="Q511" s="1">
        <v>81382</v>
      </c>
      <c r="R511" s="1">
        <v>0</v>
      </c>
    </row>
    <row r="512" spans="1:18">
      <c r="A512" s="2">
        <v>8.3333333333333329E-2</v>
      </c>
      <c r="B512" s="1">
        <v>377956</v>
      </c>
      <c r="C512" s="1">
        <v>65150</v>
      </c>
      <c r="D512" s="1">
        <v>38652.400000000001</v>
      </c>
      <c r="E512" s="1">
        <v>0</v>
      </c>
      <c r="F512" s="1">
        <v>401376</v>
      </c>
      <c r="G512" s="1">
        <v>51130.2</v>
      </c>
      <c r="H512" s="1">
        <v>369025</v>
      </c>
      <c r="I512" s="1">
        <v>571755</v>
      </c>
      <c r="J512" s="1">
        <v>48860.6</v>
      </c>
      <c r="K512" s="1">
        <v>88170.1</v>
      </c>
      <c r="L512" s="1">
        <v>91475.9</v>
      </c>
      <c r="M512" s="1">
        <v>62731.6</v>
      </c>
      <c r="N512" s="1">
        <v>79396.5</v>
      </c>
      <c r="O512" s="1">
        <v>84437.2</v>
      </c>
      <c r="P512" s="1">
        <v>52266</v>
      </c>
      <c r="Q512" s="1">
        <v>81382</v>
      </c>
      <c r="R512" s="1">
        <v>0</v>
      </c>
    </row>
    <row r="513" spans="1:18">
      <c r="A513" s="2">
        <v>0.125</v>
      </c>
      <c r="B513" s="1">
        <v>378675</v>
      </c>
      <c r="C513" s="1">
        <v>65351</v>
      </c>
      <c r="D513" s="1">
        <v>38666.5</v>
      </c>
      <c r="E513" s="1">
        <v>0</v>
      </c>
      <c r="F513" s="1">
        <v>401398</v>
      </c>
      <c r="G513" s="1">
        <v>51188.5</v>
      </c>
      <c r="H513" s="1">
        <v>369037</v>
      </c>
      <c r="I513" s="1">
        <v>571970</v>
      </c>
      <c r="J513" s="1">
        <v>48870.400000000001</v>
      </c>
      <c r="K513" s="1">
        <v>88173</v>
      </c>
      <c r="L513" s="1">
        <v>91498</v>
      </c>
      <c r="M513" s="1">
        <v>62772.3</v>
      </c>
      <c r="N513" s="1">
        <v>79451.8</v>
      </c>
      <c r="O513" s="1">
        <v>84454.6</v>
      </c>
      <c r="P513" s="1">
        <v>52266</v>
      </c>
      <c r="Q513" s="1">
        <v>81382</v>
      </c>
      <c r="R513" s="1">
        <v>0</v>
      </c>
    </row>
    <row r="514" spans="1:18">
      <c r="A514" s="2">
        <v>0.16666666666666666</v>
      </c>
      <c r="B514" s="1">
        <v>379386</v>
      </c>
      <c r="C514" s="1">
        <v>65547</v>
      </c>
      <c r="D514" s="1">
        <v>38679.4</v>
      </c>
      <c r="E514" s="1">
        <v>0</v>
      </c>
      <c r="F514" s="1">
        <v>401419</v>
      </c>
      <c r="G514" s="1">
        <v>51246.1</v>
      </c>
      <c r="H514" s="1">
        <v>369047</v>
      </c>
      <c r="I514" s="1">
        <v>572183</v>
      </c>
      <c r="J514" s="1">
        <v>48880</v>
      </c>
      <c r="K514" s="1">
        <v>88175.8</v>
      </c>
      <c r="L514" s="1">
        <v>91520.3</v>
      </c>
      <c r="M514" s="1">
        <v>62815.1</v>
      </c>
      <c r="N514" s="1">
        <v>79507.199999999997</v>
      </c>
      <c r="O514" s="1">
        <v>84471.3</v>
      </c>
      <c r="P514" s="1">
        <v>52266</v>
      </c>
      <c r="Q514" s="1">
        <v>81382</v>
      </c>
      <c r="R514" s="1">
        <v>0</v>
      </c>
    </row>
    <row r="515" spans="1:18">
      <c r="A515" s="2">
        <v>0.20833333333333334</v>
      </c>
      <c r="B515" s="1">
        <v>380089</v>
      </c>
      <c r="C515" s="1">
        <v>65740</v>
      </c>
      <c r="D515" s="1">
        <v>38692.800000000003</v>
      </c>
      <c r="E515" s="1">
        <v>0</v>
      </c>
      <c r="F515" s="1">
        <v>401441</v>
      </c>
      <c r="G515" s="1">
        <v>51300.800000000003</v>
      </c>
      <c r="H515" s="1">
        <v>369058</v>
      </c>
      <c r="I515" s="1">
        <v>572396</v>
      </c>
      <c r="J515" s="1">
        <v>48889.599999999999</v>
      </c>
      <c r="K515" s="1">
        <v>88178.7</v>
      </c>
      <c r="L515" s="1">
        <v>91542.399999999994</v>
      </c>
      <c r="M515" s="1">
        <v>62855.5</v>
      </c>
      <c r="N515" s="1">
        <v>79562.5</v>
      </c>
      <c r="O515" s="1">
        <v>84489.1</v>
      </c>
      <c r="P515" s="1">
        <v>52266</v>
      </c>
      <c r="Q515" s="1">
        <v>81382</v>
      </c>
      <c r="R515" s="1">
        <v>0</v>
      </c>
    </row>
    <row r="516" spans="1:18">
      <c r="A516" s="2">
        <v>0.25</v>
      </c>
      <c r="B516" s="1">
        <v>380784</v>
      </c>
      <c r="C516" s="1">
        <v>65932</v>
      </c>
      <c r="D516" s="1">
        <v>38705.4</v>
      </c>
      <c r="E516" s="1">
        <v>0</v>
      </c>
      <c r="F516" s="1">
        <v>401461</v>
      </c>
      <c r="G516" s="1">
        <v>51354.9</v>
      </c>
      <c r="H516" s="1">
        <v>369069</v>
      </c>
      <c r="I516" s="1">
        <v>572603</v>
      </c>
      <c r="J516" s="1">
        <v>48899.199999999997</v>
      </c>
      <c r="K516" s="1">
        <v>88181.5</v>
      </c>
      <c r="L516" s="1">
        <v>91564.1</v>
      </c>
      <c r="M516" s="1">
        <v>62895</v>
      </c>
      <c r="N516" s="1">
        <v>79617.7</v>
      </c>
      <c r="O516" s="1">
        <v>84506.7</v>
      </c>
      <c r="P516" s="1">
        <v>52266</v>
      </c>
      <c r="Q516" s="1">
        <v>81382</v>
      </c>
      <c r="R516" s="1">
        <v>0</v>
      </c>
    </row>
    <row r="517" spans="1:18">
      <c r="A517" s="2">
        <v>0.29166666666666669</v>
      </c>
      <c r="B517" s="1">
        <v>381469</v>
      </c>
      <c r="C517" s="1">
        <v>66125</v>
      </c>
      <c r="D517" s="1">
        <v>38718.6</v>
      </c>
      <c r="E517" s="1">
        <v>0</v>
      </c>
      <c r="F517" s="1">
        <v>401482</v>
      </c>
      <c r="G517" s="1">
        <v>51407.4</v>
      </c>
      <c r="H517" s="1">
        <v>369079</v>
      </c>
      <c r="I517" s="1">
        <v>572807</v>
      </c>
      <c r="J517" s="1">
        <v>48908.6</v>
      </c>
      <c r="K517" s="1">
        <v>88183.8</v>
      </c>
      <c r="L517" s="1">
        <v>91584.3</v>
      </c>
      <c r="M517" s="1">
        <v>62934.5</v>
      </c>
      <c r="N517" s="1">
        <v>79672.5</v>
      </c>
      <c r="O517" s="1">
        <v>84521.5</v>
      </c>
      <c r="P517" s="1">
        <v>52266</v>
      </c>
      <c r="Q517" s="1">
        <v>81382</v>
      </c>
      <c r="R517" s="1">
        <v>0</v>
      </c>
    </row>
    <row r="518" spans="1:18">
      <c r="A518" s="2">
        <v>0.33333333333333331</v>
      </c>
      <c r="B518" s="1">
        <v>382164</v>
      </c>
      <c r="C518" s="1">
        <v>66325</v>
      </c>
      <c r="D518" s="1">
        <v>38731.800000000003</v>
      </c>
      <c r="E518" s="1">
        <v>0</v>
      </c>
      <c r="F518" s="1">
        <v>401504</v>
      </c>
      <c r="G518" s="1">
        <v>51458.400000000001</v>
      </c>
      <c r="H518" s="1">
        <v>369090</v>
      </c>
      <c r="I518" s="1">
        <v>573015</v>
      </c>
      <c r="J518" s="1">
        <v>48918.2</v>
      </c>
      <c r="K518" s="1">
        <v>88184.3</v>
      </c>
      <c r="L518" s="1">
        <v>91603.6</v>
      </c>
      <c r="M518" s="1">
        <v>62975.6</v>
      </c>
      <c r="N518" s="1">
        <v>79725.7</v>
      </c>
      <c r="O518" s="1">
        <v>84538.1</v>
      </c>
      <c r="P518" s="1">
        <v>52268</v>
      </c>
      <c r="Q518" s="1">
        <v>81384</v>
      </c>
      <c r="R518" s="1">
        <v>0</v>
      </c>
    </row>
    <row r="519" spans="1:18">
      <c r="A519" s="2">
        <v>0.375</v>
      </c>
      <c r="B519" s="1">
        <v>382874</v>
      </c>
      <c r="C519" s="1">
        <v>66526</v>
      </c>
      <c r="D519" s="1">
        <v>38745.199999999997</v>
      </c>
      <c r="E519" s="1">
        <v>0</v>
      </c>
      <c r="F519" s="1">
        <v>401527</v>
      </c>
      <c r="G519" s="1">
        <v>51508</v>
      </c>
      <c r="H519" s="1">
        <v>369101</v>
      </c>
      <c r="I519" s="1">
        <v>573234</v>
      </c>
      <c r="J519" s="1">
        <v>48928.2</v>
      </c>
      <c r="K519" s="1">
        <v>88184.4</v>
      </c>
      <c r="L519" s="1">
        <v>91622.5</v>
      </c>
      <c r="M519" s="1">
        <v>63018.6</v>
      </c>
      <c r="N519" s="1">
        <v>79777.7</v>
      </c>
      <c r="O519" s="1">
        <v>84556.2</v>
      </c>
      <c r="P519" s="1">
        <v>52270</v>
      </c>
      <c r="Q519" s="1">
        <v>81388</v>
      </c>
      <c r="R519" s="1">
        <v>0</v>
      </c>
    </row>
    <row r="520" spans="1:18">
      <c r="A520" s="2">
        <v>0.41666666666666669</v>
      </c>
      <c r="B520" s="1">
        <v>383593</v>
      </c>
      <c r="C520" s="1">
        <v>66734</v>
      </c>
      <c r="D520" s="1">
        <v>38758.800000000003</v>
      </c>
      <c r="E520" s="1">
        <v>0</v>
      </c>
      <c r="F520" s="1">
        <v>401551</v>
      </c>
      <c r="G520" s="1">
        <v>51552.800000000003</v>
      </c>
      <c r="H520" s="1">
        <v>369113</v>
      </c>
      <c r="I520" s="1">
        <v>573466</v>
      </c>
      <c r="J520" s="1">
        <v>48938.6</v>
      </c>
      <c r="K520" s="1">
        <v>88184.4</v>
      </c>
      <c r="L520" s="1">
        <v>91641.7</v>
      </c>
      <c r="M520" s="1">
        <v>63059.9</v>
      </c>
      <c r="N520" s="1">
        <v>79828.5</v>
      </c>
      <c r="O520" s="1">
        <v>84573.8</v>
      </c>
      <c r="P520" s="1">
        <v>52277</v>
      </c>
      <c r="Q520" s="1">
        <v>81399</v>
      </c>
      <c r="R520" s="1">
        <v>0</v>
      </c>
    </row>
    <row r="521" spans="1:18">
      <c r="A521" s="2">
        <v>0.45833333333333331</v>
      </c>
      <c r="B521" s="1">
        <v>384317</v>
      </c>
      <c r="C521" s="1">
        <v>66948</v>
      </c>
      <c r="D521" s="1">
        <v>38779.5</v>
      </c>
      <c r="E521" s="1">
        <v>0</v>
      </c>
      <c r="F521" s="1">
        <v>401577</v>
      </c>
      <c r="G521" s="1">
        <v>51589.599999999999</v>
      </c>
      <c r="H521" s="1">
        <v>369124</v>
      </c>
      <c r="I521" s="1">
        <v>573703</v>
      </c>
      <c r="J521" s="1">
        <v>48949.9</v>
      </c>
      <c r="K521" s="1">
        <v>88184.4</v>
      </c>
      <c r="L521" s="1">
        <v>91662.5</v>
      </c>
      <c r="M521" s="1">
        <v>63102.5</v>
      </c>
      <c r="N521" s="1">
        <v>79873.5</v>
      </c>
      <c r="O521" s="1">
        <v>84592</v>
      </c>
      <c r="P521" s="1">
        <v>52289</v>
      </c>
      <c r="Q521" s="1">
        <v>81417</v>
      </c>
      <c r="R521" s="1">
        <v>0</v>
      </c>
    </row>
    <row r="522" spans="1:18">
      <c r="A522" s="2">
        <v>0.5</v>
      </c>
      <c r="B522" s="1">
        <v>385045</v>
      </c>
      <c r="C522" s="1">
        <v>67166</v>
      </c>
      <c r="D522" s="1">
        <v>38797.9</v>
      </c>
      <c r="E522" s="1">
        <v>0</v>
      </c>
      <c r="F522" s="1">
        <v>401606</v>
      </c>
      <c r="G522" s="1">
        <v>51623.9</v>
      </c>
      <c r="H522" s="1">
        <v>369134</v>
      </c>
      <c r="I522" s="1">
        <v>573938</v>
      </c>
      <c r="J522" s="1">
        <v>48961.5</v>
      </c>
      <c r="K522" s="1">
        <v>88184.4</v>
      </c>
      <c r="L522" s="1">
        <v>91686.6</v>
      </c>
      <c r="M522" s="1">
        <v>63147.9</v>
      </c>
      <c r="N522" s="1">
        <v>79915.100000000006</v>
      </c>
      <c r="O522" s="1">
        <v>84610.3</v>
      </c>
      <c r="P522" s="1">
        <v>52303</v>
      </c>
      <c r="Q522" s="1">
        <v>81439</v>
      </c>
      <c r="R522" s="1">
        <v>0</v>
      </c>
    </row>
    <row r="523" spans="1:18">
      <c r="A523" s="2">
        <v>0.54166666666666663</v>
      </c>
      <c r="B523" s="1">
        <v>385802</v>
      </c>
      <c r="C523" s="1">
        <v>67397</v>
      </c>
      <c r="D523" s="1">
        <v>38815.5</v>
      </c>
      <c r="E523" s="1">
        <v>0</v>
      </c>
      <c r="F523" s="1">
        <v>401641</v>
      </c>
      <c r="G523" s="1">
        <v>51660.6</v>
      </c>
      <c r="H523" s="1">
        <v>369145</v>
      </c>
      <c r="I523" s="1">
        <v>574184</v>
      </c>
      <c r="J523" s="1">
        <v>48973.3</v>
      </c>
      <c r="K523" s="1">
        <v>88184.4</v>
      </c>
      <c r="L523" s="1">
        <v>91714.6</v>
      </c>
      <c r="M523" s="1">
        <v>63192.6</v>
      </c>
      <c r="N523" s="1">
        <v>79954.5</v>
      </c>
      <c r="O523" s="1">
        <v>84628.1</v>
      </c>
      <c r="P523" s="1">
        <v>52319</v>
      </c>
      <c r="Q523" s="1">
        <v>81462</v>
      </c>
      <c r="R523" s="1">
        <v>0</v>
      </c>
    </row>
    <row r="524" spans="1:18">
      <c r="A524" s="2">
        <v>0.58333333333333337</v>
      </c>
      <c r="B524" s="1">
        <v>386624</v>
      </c>
      <c r="C524" s="1">
        <v>67637</v>
      </c>
      <c r="D524" s="1">
        <v>38833.9</v>
      </c>
      <c r="E524" s="1">
        <v>0</v>
      </c>
      <c r="F524" s="1">
        <v>401676</v>
      </c>
      <c r="G524" s="1">
        <v>51707.6</v>
      </c>
      <c r="H524" s="1">
        <v>369157</v>
      </c>
      <c r="I524" s="1">
        <v>574461</v>
      </c>
      <c r="J524" s="1">
        <v>48985</v>
      </c>
      <c r="K524" s="1">
        <v>88184.4</v>
      </c>
      <c r="L524" s="1">
        <v>91745.4</v>
      </c>
      <c r="M524" s="1">
        <v>63242.6</v>
      </c>
      <c r="N524" s="1">
        <v>79994.5</v>
      </c>
      <c r="O524" s="1">
        <v>84646.1</v>
      </c>
      <c r="P524" s="1">
        <v>52334</v>
      </c>
      <c r="Q524" s="1">
        <v>81486</v>
      </c>
      <c r="R524" s="1">
        <v>0</v>
      </c>
    </row>
    <row r="525" spans="1:18">
      <c r="A525" s="2">
        <v>0.625</v>
      </c>
      <c r="B525" s="1">
        <v>387471</v>
      </c>
      <c r="C525" s="1">
        <v>67880</v>
      </c>
      <c r="D525" s="1">
        <v>38858.1</v>
      </c>
      <c r="E525" s="1">
        <v>0</v>
      </c>
      <c r="F525" s="1">
        <v>401712</v>
      </c>
      <c r="G525" s="1">
        <v>51758.3</v>
      </c>
      <c r="H525" s="1">
        <v>369168</v>
      </c>
      <c r="I525" s="1">
        <v>574750</v>
      </c>
      <c r="J525" s="1">
        <v>48997</v>
      </c>
      <c r="K525" s="1">
        <v>88184.4</v>
      </c>
      <c r="L525" s="1">
        <v>91773.5</v>
      </c>
      <c r="M525" s="1">
        <v>63289.1</v>
      </c>
      <c r="N525" s="1">
        <v>80036.399999999994</v>
      </c>
      <c r="O525" s="1">
        <v>84663.5</v>
      </c>
      <c r="P525" s="1">
        <v>52348</v>
      </c>
      <c r="Q525" s="1">
        <v>81507</v>
      </c>
      <c r="R525" s="1">
        <v>0</v>
      </c>
    </row>
    <row r="526" spans="1:18">
      <c r="A526" s="2">
        <v>0.66666666666666663</v>
      </c>
      <c r="B526" s="1">
        <v>388355</v>
      </c>
      <c r="C526" s="1">
        <v>68132</v>
      </c>
      <c r="D526" s="1">
        <v>38881.699999999997</v>
      </c>
      <c r="E526" s="1">
        <v>0</v>
      </c>
      <c r="F526" s="1">
        <v>401749</v>
      </c>
      <c r="G526" s="1">
        <v>51818.400000000001</v>
      </c>
      <c r="H526" s="1">
        <v>369180</v>
      </c>
      <c r="I526" s="1">
        <v>575042</v>
      </c>
      <c r="J526" s="1">
        <v>49009.5</v>
      </c>
      <c r="K526" s="1">
        <v>88184.4</v>
      </c>
      <c r="L526" s="1">
        <v>91799.8</v>
      </c>
      <c r="M526" s="1">
        <v>63343.1</v>
      </c>
      <c r="N526" s="1">
        <v>80081.899999999994</v>
      </c>
      <c r="O526" s="1">
        <v>84681.3</v>
      </c>
      <c r="P526" s="1">
        <v>52360</v>
      </c>
      <c r="Q526" s="1">
        <v>81524</v>
      </c>
      <c r="R526" s="1">
        <v>0</v>
      </c>
    </row>
    <row r="527" spans="1:18">
      <c r="A527" s="2">
        <v>0.70833333333333337</v>
      </c>
      <c r="B527" s="1">
        <v>389246</v>
      </c>
      <c r="C527" s="1">
        <v>68384</v>
      </c>
      <c r="D527" s="1">
        <v>38906.300000000003</v>
      </c>
      <c r="E527" s="1">
        <v>0</v>
      </c>
      <c r="F527" s="1">
        <v>401785</v>
      </c>
      <c r="G527" s="1">
        <v>51884.6</v>
      </c>
      <c r="H527" s="1">
        <v>369191</v>
      </c>
      <c r="I527" s="1">
        <v>575329</v>
      </c>
      <c r="J527" s="1">
        <v>49022.3</v>
      </c>
      <c r="K527" s="1">
        <v>88184.4</v>
      </c>
      <c r="L527" s="1">
        <v>91823.3</v>
      </c>
      <c r="M527" s="1">
        <v>63392.2</v>
      </c>
      <c r="N527" s="1">
        <v>80134.100000000006</v>
      </c>
      <c r="O527" s="1">
        <v>84699.9</v>
      </c>
      <c r="P527" s="1">
        <v>52366</v>
      </c>
      <c r="Q527" s="1">
        <v>81534</v>
      </c>
      <c r="R527" s="1">
        <v>0</v>
      </c>
    </row>
    <row r="528" spans="1:18">
      <c r="A528" s="2">
        <v>0.75</v>
      </c>
      <c r="B528" s="1">
        <v>390112</v>
      </c>
      <c r="C528" s="1">
        <v>68626</v>
      </c>
      <c r="D528" s="1">
        <v>38925.599999999999</v>
      </c>
      <c r="E528" s="1">
        <v>0</v>
      </c>
      <c r="F528" s="1">
        <v>401818</v>
      </c>
      <c r="G528" s="1">
        <v>51952.9</v>
      </c>
      <c r="H528" s="1">
        <v>369202</v>
      </c>
      <c r="I528" s="1">
        <v>575606</v>
      </c>
      <c r="J528" s="1">
        <v>49034.400000000001</v>
      </c>
      <c r="K528" s="1">
        <v>88186.4</v>
      </c>
      <c r="L528" s="1">
        <v>91845.8</v>
      </c>
      <c r="M528" s="1">
        <v>63437.8</v>
      </c>
      <c r="N528" s="1">
        <v>80188.100000000006</v>
      </c>
      <c r="O528" s="1">
        <v>84718</v>
      </c>
      <c r="P528" s="1">
        <v>52369</v>
      </c>
      <c r="Q528" s="1">
        <v>81539</v>
      </c>
      <c r="R528" s="1">
        <v>0</v>
      </c>
    </row>
    <row r="529" spans="1:18">
      <c r="A529" s="2">
        <v>0.79166666666666663</v>
      </c>
      <c r="B529" s="1">
        <v>390959</v>
      </c>
      <c r="C529" s="1">
        <v>68861</v>
      </c>
      <c r="D529" s="1">
        <v>38943.1</v>
      </c>
      <c r="E529" s="1">
        <v>0</v>
      </c>
      <c r="F529" s="1">
        <v>401850</v>
      </c>
      <c r="G529" s="1">
        <v>52021.9</v>
      </c>
      <c r="H529" s="1">
        <v>369214</v>
      </c>
      <c r="I529" s="1">
        <v>575876</v>
      </c>
      <c r="J529" s="1">
        <v>49045.9</v>
      </c>
      <c r="K529" s="1">
        <v>88189.4</v>
      </c>
      <c r="L529" s="1">
        <v>91867.9</v>
      </c>
      <c r="M529" s="1">
        <v>63484.800000000003</v>
      </c>
      <c r="N529" s="1">
        <v>80244.2</v>
      </c>
      <c r="O529" s="1">
        <v>84733.5</v>
      </c>
      <c r="P529" s="1">
        <v>52369</v>
      </c>
      <c r="Q529" s="1">
        <v>81539</v>
      </c>
      <c r="R529" s="1">
        <v>0</v>
      </c>
    </row>
    <row r="530" spans="1:18">
      <c r="A530" s="2">
        <v>0.83333333333333337</v>
      </c>
      <c r="B530" s="1">
        <v>391783</v>
      </c>
      <c r="C530" s="1">
        <v>69079</v>
      </c>
      <c r="D530" s="1">
        <v>38958.6</v>
      </c>
      <c r="E530" s="1">
        <v>0</v>
      </c>
      <c r="F530" s="1">
        <v>401880</v>
      </c>
      <c r="G530" s="1">
        <v>52090</v>
      </c>
      <c r="H530" s="1">
        <v>369225</v>
      </c>
      <c r="I530" s="1">
        <v>576145</v>
      </c>
      <c r="J530" s="1">
        <v>49056.5</v>
      </c>
      <c r="K530" s="1">
        <v>88192.4</v>
      </c>
      <c r="L530" s="1">
        <v>91890.2</v>
      </c>
      <c r="M530" s="1">
        <v>63529.5</v>
      </c>
      <c r="N530" s="1">
        <v>80300.600000000006</v>
      </c>
      <c r="O530" s="1">
        <v>84750.8</v>
      </c>
      <c r="P530" s="1">
        <v>52369</v>
      </c>
      <c r="Q530" s="1">
        <v>81539</v>
      </c>
      <c r="R530" s="1">
        <v>0</v>
      </c>
    </row>
    <row r="531" spans="1:18">
      <c r="A531" s="2">
        <v>0.875</v>
      </c>
      <c r="B531" s="1">
        <v>392584</v>
      </c>
      <c r="C531" s="1">
        <v>69289</v>
      </c>
      <c r="D531" s="1">
        <v>38973.4</v>
      </c>
      <c r="E531" s="1">
        <v>0</v>
      </c>
      <c r="F531" s="1">
        <v>401910</v>
      </c>
      <c r="G531" s="1">
        <v>52156.800000000003</v>
      </c>
      <c r="H531" s="1">
        <v>369236</v>
      </c>
      <c r="I531" s="1">
        <v>576398</v>
      </c>
      <c r="J531" s="1">
        <v>49066.6</v>
      </c>
      <c r="K531" s="1">
        <v>88195.5</v>
      </c>
      <c r="L531" s="1">
        <v>91920.8</v>
      </c>
      <c r="M531" s="1">
        <v>63571.6</v>
      </c>
      <c r="N531" s="1">
        <v>80356.5</v>
      </c>
      <c r="O531" s="1">
        <v>84768.4</v>
      </c>
      <c r="P531" s="1">
        <v>52369</v>
      </c>
      <c r="Q531" s="1">
        <v>81539</v>
      </c>
      <c r="R531" s="1">
        <v>0</v>
      </c>
    </row>
    <row r="532" spans="1:18">
      <c r="A532" s="2">
        <v>0.91666666666666663</v>
      </c>
      <c r="B532" s="1">
        <v>393373</v>
      </c>
      <c r="C532" s="1">
        <v>69493</v>
      </c>
      <c r="D532" s="1">
        <v>38987.800000000003</v>
      </c>
      <c r="E532" s="1">
        <v>0</v>
      </c>
      <c r="F532" s="1">
        <v>401942</v>
      </c>
      <c r="G532" s="1">
        <v>52223.1</v>
      </c>
      <c r="H532" s="1">
        <v>369247</v>
      </c>
      <c r="I532" s="1">
        <v>576643</v>
      </c>
      <c r="J532" s="1">
        <v>49076.800000000003</v>
      </c>
      <c r="K532" s="1">
        <v>88198.7</v>
      </c>
      <c r="L532" s="1">
        <v>91950.7</v>
      </c>
      <c r="M532" s="1">
        <v>63614.7</v>
      </c>
      <c r="N532" s="1">
        <v>80412.3</v>
      </c>
      <c r="O532" s="1">
        <v>84787</v>
      </c>
      <c r="P532" s="1">
        <v>52369</v>
      </c>
      <c r="Q532" s="1">
        <v>81539</v>
      </c>
      <c r="R532" s="1">
        <v>0</v>
      </c>
    </row>
    <row r="533" spans="1:18">
      <c r="A533" s="2">
        <v>0.95833333333333337</v>
      </c>
      <c r="B533" s="1">
        <v>394153</v>
      </c>
      <c r="C533" s="1">
        <v>69694</v>
      </c>
      <c r="D533" s="1">
        <v>39004.199999999997</v>
      </c>
      <c r="E533" s="1">
        <v>0</v>
      </c>
      <c r="F533" s="1">
        <v>401971</v>
      </c>
      <c r="G533" s="1">
        <v>52285</v>
      </c>
      <c r="H533" s="1">
        <v>369259</v>
      </c>
      <c r="I533" s="1">
        <v>576888</v>
      </c>
      <c r="J533" s="1">
        <v>49087</v>
      </c>
      <c r="K533" s="1">
        <v>88202.1</v>
      </c>
      <c r="L533" s="1">
        <v>91978.1</v>
      </c>
      <c r="M533" s="1">
        <v>63660.1</v>
      </c>
      <c r="N533" s="1">
        <v>80467.7</v>
      </c>
      <c r="O533" s="1">
        <v>84804.6</v>
      </c>
      <c r="P533" s="1">
        <v>52369</v>
      </c>
      <c r="Q533" s="1">
        <v>81539</v>
      </c>
      <c r="R533" s="1">
        <v>0</v>
      </c>
    </row>
    <row r="534" spans="1:18">
      <c r="A534" s="2">
        <v>0</v>
      </c>
      <c r="B534" s="1">
        <v>394916</v>
      </c>
      <c r="C534" s="1">
        <v>69894</v>
      </c>
      <c r="D534" s="1">
        <v>39021.199999999997</v>
      </c>
      <c r="E534" s="1">
        <v>0</v>
      </c>
      <c r="F534" s="1">
        <v>402000</v>
      </c>
      <c r="G534" s="1">
        <v>52345.8</v>
      </c>
      <c r="H534" s="1">
        <v>369270</v>
      </c>
      <c r="I534" s="1">
        <v>577121</v>
      </c>
      <c r="J534" s="1">
        <v>49096.9</v>
      </c>
      <c r="K534" s="1">
        <v>88205.2</v>
      </c>
      <c r="L534" s="1">
        <v>92004.3</v>
      </c>
      <c r="M534" s="1">
        <v>63705.2</v>
      </c>
      <c r="N534" s="1">
        <v>80523.100000000006</v>
      </c>
      <c r="O534" s="1">
        <v>84822.2</v>
      </c>
      <c r="P534" s="1">
        <v>52369</v>
      </c>
      <c r="Q534" s="1">
        <v>81539</v>
      </c>
      <c r="R534" s="1">
        <v>0</v>
      </c>
    </row>
    <row r="535" spans="1:18">
      <c r="A535" s="2">
        <v>4.1666666666666664E-2</v>
      </c>
      <c r="B535" s="1">
        <v>395655</v>
      </c>
      <c r="C535" s="1">
        <v>70092</v>
      </c>
      <c r="D535" s="1">
        <v>39035.5</v>
      </c>
      <c r="E535" s="1">
        <v>0</v>
      </c>
      <c r="F535" s="1">
        <v>402027</v>
      </c>
      <c r="G535" s="1">
        <v>52405.1</v>
      </c>
      <c r="H535" s="1">
        <v>369281</v>
      </c>
      <c r="I535" s="1">
        <v>577344</v>
      </c>
      <c r="J535" s="1">
        <v>49106.9</v>
      </c>
      <c r="K535" s="1">
        <v>88208.2</v>
      </c>
      <c r="L535" s="1">
        <v>92030.3</v>
      </c>
      <c r="M535" s="1">
        <v>63749.3</v>
      </c>
      <c r="N535" s="1">
        <v>80578.2</v>
      </c>
      <c r="O535" s="1">
        <v>84839.2</v>
      </c>
      <c r="P535" s="1">
        <v>52369</v>
      </c>
      <c r="Q535" s="1">
        <v>81539</v>
      </c>
      <c r="R535" s="1">
        <v>0</v>
      </c>
    </row>
    <row r="536" spans="1:18">
      <c r="A536" s="2">
        <v>8.3333333333333329E-2</v>
      </c>
      <c r="B536" s="1">
        <v>396391</v>
      </c>
      <c r="C536" s="1">
        <v>70294</v>
      </c>
      <c r="D536" s="1">
        <v>39050.300000000003</v>
      </c>
      <c r="E536" s="1">
        <v>0</v>
      </c>
      <c r="F536" s="1">
        <v>402052</v>
      </c>
      <c r="G536" s="1">
        <v>52464.1</v>
      </c>
      <c r="H536" s="1">
        <v>369292</v>
      </c>
      <c r="I536" s="1">
        <v>577564</v>
      </c>
      <c r="J536" s="1">
        <v>49116.7</v>
      </c>
      <c r="K536" s="1">
        <v>88211.1</v>
      </c>
      <c r="L536" s="1">
        <v>92055.9</v>
      </c>
      <c r="M536" s="1">
        <v>63790.5</v>
      </c>
      <c r="N536" s="1">
        <v>80633.100000000006</v>
      </c>
      <c r="O536" s="1">
        <v>84857.1</v>
      </c>
      <c r="P536" s="1">
        <v>52369</v>
      </c>
      <c r="Q536" s="1">
        <v>81539</v>
      </c>
      <c r="R536" s="1">
        <v>0</v>
      </c>
    </row>
    <row r="537" spans="1:18">
      <c r="A537" s="2">
        <v>0.125</v>
      </c>
      <c r="B537" s="1">
        <v>397108</v>
      </c>
      <c r="C537" s="1">
        <v>70492</v>
      </c>
      <c r="D537" s="1">
        <v>39064.1</v>
      </c>
      <c r="E537" s="1">
        <v>0</v>
      </c>
      <c r="F537" s="1">
        <v>402074</v>
      </c>
      <c r="G537" s="1">
        <v>52521.2</v>
      </c>
      <c r="H537" s="1">
        <v>369302</v>
      </c>
      <c r="I537" s="1">
        <v>577777</v>
      </c>
      <c r="J537" s="1">
        <v>49126.400000000001</v>
      </c>
      <c r="K537" s="1">
        <v>88214.1</v>
      </c>
      <c r="L537" s="1">
        <v>92081.4</v>
      </c>
      <c r="M537" s="1">
        <v>63831.3</v>
      </c>
      <c r="N537" s="1">
        <v>80687.899999999994</v>
      </c>
      <c r="O537" s="1">
        <v>84874.5</v>
      </c>
      <c r="P537" s="1">
        <v>52369</v>
      </c>
      <c r="Q537" s="1">
        <v>81539</v>
      </c>
      <c r="R537" s="1">
        <v>0</v>
      </c>
    </row>
    <row r="538" spans="1:18">
      <c r="A538" s="2">
        <v>0.16666666666666666</v>
      </c>
      <c r="B538" s="1">
        <v>397814</v>
      </c>
      <c r="C538" s="1">
        <v>70686</v>
      </c>
      <c r="D538" s="1">
        <v>39077.300000000003</v>
      </c>
      <c r="E538" s="1">
        <v>0</v>
      </c>
      <c r="F538" s="1">
        <v>402096</v>
      </c>
      <c r="G538" s="1">
        <v>52578.3</v>
      </c>
      <c r="H538" s="1">
        <v>369313</v>
      </c>
      <c r="I538" s="1">
        <v>577985</v>
      </c>
      <c r="J538" s="1">
        <v>49136.1</v>
      </c>
      <c r="K538" s="1">
        <v>88217</v>
      </c>
      <c r="L538" s="1">
        <v>92106.1</v>
      </c>
      <c r="M538" s="1">
        <v>63871.5</v>
      </c>
      <c r="N538" s="1">
        <v>80742.7</v>
      </c>
      <c r="O538" s="1">
        <v>84892.3</v>
      </c>
      <c r="P538" s="1">
        <v>52369</v>
      </c>
      <c r="Q538" s="1">
        <v>81539</v>
      </c>
      <c r="R538" s="1">
        <v>0</v>
      </c>
    </row>
    <row r="539" spans="1:18">
      <c r="A539" s="2">
        <v>0.20833333333333334</v>
      </c>
      <c r="B539" s="1">
        <v>398524</v>
      </c>
      <c r="C539" s="1">
        <v>70879</v>
      </c>
      <c r="D539" s="1">
        <v>39090.6</v>
      </c>
      <c r="E539" s="1">
        <v>0</v>
      </c>
      <c r="F539" s="1">
        <v>402118</v>
      </c>
      <c r="G539" s="1">
        <v>52634.400000000001</v>
      </c>
      <c r="H539" s="1">
        <v>369323</v>
      </c>
      <c r="I539" s="1">
        <v>578200</v>
      </c>
      <c r="J539" s="1">
        <v>49145.4</v>
      </c>
      <c r="K539" s="1">
        <v>88219.9</v>
      </c>
      <c r="L539" s="1">
        <v>92128</v>
      </c>
      <c r="M539" s="1">
        <v>63913.3</v>
      </c>
      <c r="N539" s="1">
        <v>80798.899999999994</v>
      </c>
      <c r="O539" s="1">
        <v>84910.1</v>
      </c>
      <c r="P539" s="1">
        <v>52369</v>
      </c>
      <c r="Q539" s="1">
        <v>81539</v>
      </c>
      <c r="R539" s="1">
        <v>0</v>
      </c>
    </row>
    <row r="540" spans="1:18">
      <c r="A540" s="2">
        <v>0.25</v>
      </c>
      <c r="B540" s="1">
        <v>399225</v>
      </c>
      <c r="C540" s="1">
        <v>71067</v>
      </c>
      <c r="D540" s="1">
        <v>39104.199999999997</v>
      </c>
      <c r="E540" s="1">
        <v>0</v>
      </c>
      <c r="F540" s="1">
        <v>402139</v>
      </c>
      <c r="G540" s="1">
        <v>52689.599999999999</v>
      </c>
      <c r="H540" s="1">
        <v>369335</v>
      </c>
      <c r="I540" s="1">
        <v>578412</v>
      </c>
      <c r="J540" s="1">
        <v>49156.1</v>
      </c>
      <c r="K540" s="1">
        <v>88222.7</v>
      </c>
      <c r="L540" s="1">
        <v>92148.800000000003</v>
      </c>
      <c r="M540" s="1">
        <v>63952.9</v>
      </c>
      <c r="N540" s="1">
        <v>80853</v>
      </c>
      <c r="O540" s="1">
        <v>84930</v>
      </c>
      <c r="P540" s="1">
        <v>52369</v>
      </c>
      <c r="Q540" s="1">
        <v>81539</v>
      </c>
      <c r="R540" s="1">
        <v>0</v>
      </c>
    </row>
    <row r="541" spans="1:18">
      <c r="A541" s="2">
        <v>0.29166666666666669</v>
      </c>
      <c r="B541" s="1">
        <v>399935</v>
      </c>
      <c r="C541" s="1">
        <v>71263</v>
      </c>
      <c r="D541" s="1">
        <v>39117.300000000003</v>
      </c>
      <c r="E541" s="1">
        <v>0</v>
      </c>
      <c r="F541" s="1">
        <v>402162</v>
      </c>
      <c r="G541" s="1">
        <v>52744.7</v>
      </c>
      <c r="H541" s="1">
        <v>369345</v>
      </c>
      <c r="I541" s="1">
        <v>578624</v>
      </c>
      <c r="J541" s="1">
        <v>49166</v>
      </c>
      <c r="K541" s="1">
        <v>88224.9</v>
      </c>
      <c r="L541" s="1">
        <v>92170.2</v>
      </c>
      <c r="M541" s="1">
        <v>63992.5</v>
      </c>
      <c r="N541" s="1">
        <v>80906.5</v>
      </c>
      <c r="O541" s="1">
        <v>84950.7</v>
      </c>
      <c r="P541" s="1">
        <v>52370</v>
      </c>
      <c r="Q541" s="1">
        <v>81540</v>
      </c>
      <c r="R541" s="1">
        <v>0</v>
      </c>
    </row>
    <row r="542" spans="1:18">
      <c r="A542" s="2">
        <v>0.33333333333333331</v>
      </c>
      <c r="B542" s="1">
        <v>400691</v>
      </c>
      <c r="C542" s="1">
        <v>71482</v>
      </c>
      <c r="D542" s="1">
        <v>39131.699999999997</v>
      </c>
      <c r="E542" s="1">
        <v>0</v>
      </c>
      <c r="F542" s="1">
        <v>402186</v>
      </c>
      <c r="G542" s="1">
        <v>52797</v>
      </c>
      <c r="H542" s="1">
        <v>369356</v>
      </c>
      <c r="I542" s="1">
        <v>578851</v>
      </c>
      <c r="J542" s="1">
        <v>49176.3</v>
      </c>
      <c r="K542" s="1">
        <v>88225.2</v>
      </c>
      <c r="L542" s="1">
        <v>92192.8</v>
      </c>
      <c r="M542" s="1">
        <v>64032.3</v>
      </c>
      <c r="N542" s="1">
        <v>80956.800000000003</v>
      </c>
      <c r="O542" s="1">
        <v>84974.2</v>
      </c>
      <c r="P542" s="1">
        <v>52372</v>
      </c>
      <c r="Q542" s="1">
        <v>81544</v>
      </c>
      <c r="R542" s="1">
        <v>0</v>
      </c>
    </row>
    <row r="543" spans="1:18">
      <c r="A543" s="2">
        <v>0.375</v>
      </c>
      <c r="B543" s="1">
        <v>401614</v>
      </c>
      <c r="C543" s="1">
        <v>71746</v>
      </c>
      <c r="D543" s="1">
        <v>39149.699999999997</v>
      </c>
      <c r="E543" s="1">
        <v>0</v>
      </c>
      <c r="F543" s="1">
        <v>402220</v>
      </c>
      <c r="G543" s="1">
        <v>52856.3</v>
      </c>
      <c r="H543" s="1">
        <v>369372</v>
      </c>
      <c r="I543" s="1">
        <v>579125</v>
      </c>
      <c r="J543" s="1">
        <v>49187</v>
      </c>
      <c r="K543" s="1">
        <v>88227.199999999997</v>
      </c>
      <c r="L543" s="1">
        <v>92222.7</v>
      </c>
      <c r="M543" s="1">
        <v>64086.400000000001</v>
      </c>
      <c r="N543" s="1">
        <v>81007.3</v>
      </c>
      <c r="O543" s="1">
        <v>85010.9</v>
      </c>
      <c r="P543" s="1">
        <v>52376</v>
      </c>
      <c r="Q543" s="1">
        <v>81551</v>
      </c>
      <c r="R543" s="1">
        <v>0</v>
      </c>
    </row>
    <row r="544" spans="1:18">
      <c r="A544" s="2">
        <v>0.41666666666666669</v>
      </c>
      <c r="B544" s="1">
        <v>402839</v>
      </c>
      <c r="C544" s="1">
        <v>72088</v>
      </c>
      <c r="D544" s="1">
        <v>39178.1</v>
      </c>
      <c r="E544" s="1">
        <v>0</v>
      </c>
      <c r="F544" s="1">
        <v>402263</v>
      </c>
      <c r="G544" s="1">
        <v>52924.4</v>
      </c>
      <c r="H544" s="1">
        <v>369419</v>
      </c>
      <c r="I544" s="1">
        <v>579513</v>
      </c>
      <c r="J544" s="1">
        <v>49198.400000000001</v>
      </c>
      <c r="K544" s="1">
        <v>88233.1</v>
      </c>
      <c r="L544" s="1">
        <v>92254.1</v>
      </c>
      <c r="M544" s="1">
        <v>64145.9</v>
      </c>
      <c r="N544" s="1">
        <v>81058.5</v>
      </c>
      <c r="O544" s="1">
        <v>85066</v>
      </c>
      <c r="P544" s="1">
        <v>52381</v>
      </c>
      <c r="Q544" s="1">
        <v>81559</v>
      </c>
      <c r="R544" s="1">
        <v>0</v>
      </c>
    </row>
    <row r="545" spans="1:18">
      <c r="A545" s="2">
        <v>0.45833333333333331</v>
      </c>
      <c r="B545" s="1">
        <v>404224</v>
      </c>
      <c r="C545" s="1">
        <v>72475</v>
      </c>
      <c r="D545" s="1">
        <v>39209.199999999997</v>
      </c>
      <c r="E545" s="1">
        <v>0</v>
      </c>
      <c r="F545" s="1">
        <v>402325</v>
      </c>
      <c r="G545" s="1">
        <v>53001.4</v>
      </c>
      <c r="H545" s="1">
        <v>369464</v>
      </c>
      <c r="I545" s="1">
        <v>579954</v>
      </c>
      <c r="J545" s="1">
        <v>49214.3</v>
      </c>
      <c r="K545" s="1">
        <v>88238.6</v>
      </c>
      <c r="L545" s="1">
        <v>92291.4</v>
      </c>
      <c r="M545" s="1">
        <v>64213.5</v>
      </c>
      <c r="N545" s="1">
        <v>81115</v>
      </c>
      <c r="O545" s="1">
        <v>85133.8</v>
      </c>
      <c r="P545" s="1">
        <v>52388</v>
      </c>
      <c r="Q545" s="1">
        <v>81570</v>
      </c>
      <c r="R545" s="1">
        <v>0</v>
      </c>
    </row>
    <row r="546" spans="1:18">
      <c r="A546" s="2">
        <v>0.5</v>
      </c>
      <c r="B546" s="1">
        <v>405637</v>
      </c>
      <c r="C546" s="1">
        <v>72863</v>
      </c>
      <c r="D546" s="1">
        <v>39245.199999999997</v>
      </c>
      <c r="E546" s="1">
        <v>0</v>
      </c>
      <c r="F546" s="1">
        <v>402390</v>
      </c>
      <c r="G546" s="1">
        <v>53080.2</v>
      </c>
      <c r="H546" s="1">
        <v>369508</v>
      </c>
      <c r="I546" s="1">
        <v>580425</v>
      </c>
      <c r="J546" s="1">
        <v>49228.7</v>
      </c>
      <c r="K546" s="1">
        <v>88239.9</v>
      </c>
      <c r="L546" s="1">
        <v>92331.7</v>
      </c>
      <c r="M546" s="1">
        <v>64276.4</v>
      </c>
      <c r="N546" s="1">
        <v>81167.5</v>
      </c>
      <c r="O546" s="1">
        <v>85197.8</v>
      </c>
      <c r="P546" s="1">
        <v>52402</v>
      </c>
      <c r="Q546" s="1">
        <v>81591</v>
      </c>
      <c r="R546" s="1">
        <v>0</v>
      </c>
    </row>
    <row r="547" spans="1:18">
      <c r="A547" s="2">
        <v>0.54166666666666663</v>
      </c>
      <c r="B547" s="1">
        <v>407074</v>
      </c>
      <c r="C547" s="1">
        <v>73254</v>
      </c>
      <c r="D547" s="1">
        <v>39285.9</v>
      </c>
      <c r="E547" s="1">
        <v>0</v>
      </c>
      <c r="F547" s="1">
        <v>402454</v>
      </c>
      <c r="G547" s="1">
        <v>53169.1</v>
      </c>
      <c r="H547" s="1">
        <v>369531</v>
      </c>
      <c r="I547" s="1">
        <v>580911</v>
      </c>
      <c r="J547" s="1">
        <v>49241</v>
      </c>
      <c r="K547" s="1">
        <v>88240</v>
      </c>
      <c r="L547" s="1">
        <v>92379.6</v>
      </c>
      <c r="M547" s="1">
        <v>64337.3</v>
      </c>
      <c r="N547" s="1">
        <v>81217.399999999994</v>
      </c>
      <c r="O547" s="1">
        <v>85270.399999999994</v>
      </c>
      <c r="P547" s="1">
        <v>52417</v>
      </c>
      <c r="Q547" s="1">
        <v>81614</v>
      </c>
      <c r="R547" s="1">
        <v>0</v>
      </c>
    </row>
    <row r="548" spans="1:18">
      <c r="A548" s="2">
        <v>0.58333333333333337</v>
      </c>
      <c r="B548" s="1">
        <v>408586</v>
      </c>
      <c r="C548" s="1">
        <v>73650</v>
      </c>
      <c r="D548" s="1">
        <v>39332.9</v>
      </c>
      <c r="E548" s="1">
        <v>0</v>
      </c>
      <c r="F548" s="1">
        <v>402519</v>
      </c>
      <c r="G548" s="1">
        <v>53262.3</v>
      </c>
      <c r="H548" s="1">
        <v>369565</v>
      </c>
      <c r="I548" s="1">
        <v>581413</v>
      </c>
      <c r="J548" s="1">
        <v>49252.9</v>
      </c>
      <c r="K548" s="1">
        <v>88240</v>
      </c>
      <c r="L548" s="1">
        <v>92436.5</v>
      </c>
      <c r="M548" s="1">
        <v>64398.8</v>
      </c>
      <c r="N548" s="1">
        <v>81266.8</v>
      </c>
      <c r="O548" s="1">
        <v>85345.7</v>
      </c>
      <c r="P548" s="1">
        <v>52432</v>
      </c>
      <c r="Q548" s="1">
        <v>81637</v>
      </c>
      <c r="R548" s="1">
        <v>0</v>
      </c>
    </row>
    <row r="549" spans="1:18">
      <c r="A549" s="2">
        <v>0.625</v>
      </c>
      <c r="B549" s="1">
        <v>410139</v>
      </c>
      <c r="C549" s="1">
        <v>74064</v>
      </c>
      <c r="D549" s="1">
        <v>39383.800000000003</v>
      </c>
      <c r="E549" s="1">
        <v>0</v>
      </c>
      <c r="F549" s="1">
        <v>402592</v>
      </c>
      <c r="G549" s="1">
        <v>53362.7</v>
      </c>
      <c r="H549" s="1">
        <v>369615</v>
      </c>
      <c r="I549" s="1">
        <v>581917</v>
      </c>
      <c r="J549" s="1">
        <v>49264.9</v>
      </c>
      <c r="K549" s="1">
        <v>88240</v>
      </c>
      <c r="L549" s="1">
        <v>92500.800000000003</v>
      </c>
      <c r="M549" s="1">
        <v>64455.7</v>
      </c>
      <c r="N549" s="1">
        <v>81319.100000000006</v>
      </c>
      <c r="O549" s="1">
        <v>85404.2</v>
      </c>
      <c r="P549" s="1">
        <v>52446</v>
      </c>
      <c r="Q549" s="1">
        <v>81658</v>
      </c>
      <c r="R549" s="1">
        <v>0</v>
      </c>
    </row>
    <row r="550" spans="1:18">
      <c r="A550" s="2">
        <v>0.66666666666666663</v>
      </c>
      <c r="B550" s="1">
        <v>411673</v>
      </c>
      <c r="C550" s="1">
        <v>74482</v>
      </c>
      <c r="D550" s="1">
        <v>39430.300000000003</v>
      </c>
      <c r="E550" s="1">
        <v>0</v>
      </c>
      <c r="F550" s="1">
        <v>402661</v>
      </c>
      <c r="G550" s="1">
        <v>53474.3</v>
      </c>
      <c r="H550" s="1">
        <v>369662</v>
      </c>
      <c r="I550" s="1">
        <v>582420</v>
      </c>
      <c r="J550" s="1">
        <v>49278.5</v>
      </c>
      <c r="K550" s="1">
        <v>88240.1</v>
      </c>
      <c r="L550" s="1">
        <v>92560</v>
      </c>
      <c r="M550" s="1">
        <v>64521.4</v>
      </c>
      <c r="N550" s="1">
        <v>81369.5</v>
      </c>
      <c r="O550" s="1">
        <v>85440.8</v>
      </c>
      <c r="P550" s="1">
        <v>52458</v>
      </c>
      <c r="Q550" s="1">
        <v>81675</v>
      </c>
      <c r="R550" s="1">
        <v>0</v>
      </c>
    </row>
    <row r="551" spans="1:18">
      <c r="A551" s="2">
        <v>0.70833333333333337</v>
      </c>
      <c r="B551" s="1">
        <v>413135</v>
      </c>
      <c r="C551" s="1">
        <v>74881</v>
      </c>
      <c r="D551" s="1">
        <v>39476.5</v>
      </c>
      <c r="E551" s="1">
        <v>0</v>
      </c>
      <c r="F551" s="1">
        <v>402720</v>
      </c>
      <c r="G551" s="1">
        <v>53589.1</v>
      </c>
      <c r="H551" s="1">
        <v>369708</v>
      </c>
      <c r="I551" s="1">
        <v>582894</v>
      </c>
      <c r="J551" s="1">
        <v>49290.7</v>
      </c>
      <c r="K551" s="1">
        <v>88244.6</v>
      </c>
      <c r="L551" s="1">
        <v>92612.6</v>
      </c>
      <c r="M551" s="1">
        <v>64580.3</v>
      </c>
      <c r="N551" s="1">
        <v>81422.100000000006</v>
      </c>
      <c r="O551" s="1">
        <v>85475.6</v>
      </c>
      <c r="P551" s="1">
        <v>52466</v>
      </c>
      <c r="Q551" s="1">
        <v>81688</v>
      </c>
      <c r="R551" s="1">
        <v>0</v>
      </c>
    </row>
    <row r="552" spans="1:18">
      <c r="A552" s="2">
        <v>0.75</v>
      </c>
      <c r="B552" s="1">
        <v>414403</v>
      </c>
      <c r="C552" s="1">
        <v>75234</v>
      </c>
      <c r="D552" s="1">
        <v>39514.400000000001</v>
      </c>
      <c r="E552" s="1">
        <v>0</v>
      </c>
      <c r="F552" s="1">
        <v>402773</v>
      </c>
      <c r="G552" s="1">
        <v>53686.2</v>
      </c>
      <c r="H552" s="1">
        <v>369725</v>
      </c>
      <c r="I552" s="1">
        <v>583328</v>
      </c>
      <c r="J552" s="1">
        <v>49302.8</v>
      </c>
      <c r="K552" s="1">
        <v>88247</v>
      </c>
      <c r="L552" s="1">
        <v>92655</v>
      </c>
      <c r="M552" s="1">
        <v>64627.7</v>
      </c>
      <c r="N552" s="1">
        <v>81477.5</v>
      </c>
      <c r="O552" s="1">
        <v>85508.3</v>
      </c>
      <c r="P552" s="1">
        <v>52470</v>
      </c>
      <c r="Q552" s="1">
        <v>81695</v>
      </c>
      <c r="R552" s="1">
        <v>0</v>
      </c>
    </row>
    <row r="553" spans="1:18">
      <c r="A553" s="2">
        <v>0.79166666666666663</v>
      </c>
      <c r="B553" s="1">
        <v>415476</v>
      </c>
      <c r="C553" s="1">
        <v>75521</v>
      </c>
      <c r="D553" s="1">
        <v>39543.300000000003</v>
      </c>
      <c r="E553" s="1">
        <v>0</v>
      </c>
      <c r="F553" s="1">
        <v>402817</v>
      </c>
      <c r="G553" s="1">
        <v>53764.7</v>
      </c>
      <c r="H553" s="1">
        <v>369738</v>
      </c>
      <c r="I553" s="1">
        <v>583700</v>
      </c>
      <c r="J553" s="1">
        <v>49314.3</v>
      </c>
      <c r="K553" s="1">
        <v>88249.4</v>
      </c>
      <c r="L553" s="1">
        <v>92689.4</v>
      </c>
      <c r="M553" s="1">
        <v>64673.3</v>
      </c>
      <c r="N553" s="1">
        <v>81534.3</v>
      </c>
      <c r="O553" s="1">
        <v>85534.8</v>
      </c>
      <c r="P553" s="1">
        <v>52471</v>
      </c>
      <c r="Q553" s="1">
        <v>81695</v>
      </c>
      <c r="R553" s="1">
        <v>0</v>
      </c>
    </row>
    <row r="554" spans="1:18">
      <c r="A554" s="2">
        <v>0.83333333333333337</v>
      </c>
      <c r="B554" s="1">
        <v>416439</v>
      </c>
      <c r="C554" s="1">
        <v>75785</v>
      </c>
      <c r="D554" s="1">
        <v>39566.1</v>
      </c>
      <c r="E554" s="1">
        <v>0</v>
      </c>
      <c r="F554" s="1">
        <v>402851</v>
      </c>
      <c r="G554" s="1">
        <v>53840.4</v>
      </c>
      <c r="H554" s="1">
        <v>369749</v>
      </c>
      <c r="I554" s="1">
        <v>584023</v>
      </c>
      <c r="J554" s="1">
        <v>49325.1</v>
      </c>
      <c r="K554" s="1">
        <v>88252.1</v>
      </c>
      <c r="L554" s="1">
        <v>92721.5</v>
      </c>
      <c r="M554" s="1">
        <v>64717.8</v>
      </c>
      <c r="N554" s="1">
        <v>81591.399999999994</v>
      </c>
      <c r="O554" s="1">
        <v>85555.6</v>
      </c>
      <c r="P554" s="1">
        <v>52471</v>
      </c>
      <c r="Q554" s="1">
        <v>81695</v>
      </c>
      <c r="R554" s="1">
        <v>0</v>
      </c>
    </row>
    <row r="555" spans="1:18">
      <c r="A555" s="2">
        <v>0.875</v>
      </c>
      <c r="B555" s="1">
        <v>417332</v>
      </c>
      <c r="C555" s="1">
        <v>76044</v>
      </c>
      <c r="D555" s="1">
        <v>39585.199999999997</v>
      </c>
      <c r="E555" s="1">
        <v>0</v>
      </c>
      <c r="F555" s="1">
        <v>402882</v>
      </c>
      <c r="G555" s="1">
        <v>53905.9</v>
      </c>
      <c r="H555" s="1">
        <v>369761</v>
      </c>
      <c r="I555" s="1">
        <v>584308</v>
      </c>
      <c r="J555" s="1">
        <v>49336</v>
      </c>
      <c r="K555" s="1">
        <v>88255.2</v>
      </c>
      <c r="L555" s="1">
        <v>92751.6</v>
      </c>
      <c r="M555" s="1">
        <v>64757.5</v>
      </c>
      <c r="N555" s="1">
        <v>81647.5</v>
      </c>
      <c r="O555" s="1">
        <v>85575</v>
      </c>
      <c r="P555" s="1">
        <v>52471</v>
      </c>
      <c r="Q555" s="1">
        <v>81695</v>
      </c>
      <c r="R555" s="1">
        <v>0</v>
      </c>
    </row>
    <row r="556" spans="1:18">
      <c r="A556" s="2">
        <v>0.91666666666666663</v>
      </c>
      <c r="B556" s="1">
        <v>418183</v>
      </c>
      <c r="C556" s="1">
        <v>76281</v>
      </c>
      <c r="D556" s="1">
        <v>39603.4</v>
      </c>
      <c r="E556" s="1">
        <v>0</v>
      </c>
      <c r="F556" s="1">
        <v>402915</v>
      </c>
      <c r="G556" s="1">
        <v>53968.4</v>
      </c>
      <c r="H556" s="1">
        <v>369772</v>
      </c>
      <c r="I556" s="1">
        <v>584577</v>
      </c>
      <c r="J556" s="1">
        <v>49346.7</v>
      </c>
      <c r="K556" s="1">
        <v>88257.8</v>
      </c>
      <c r="L556" s="1">
        <v>92783.1</v>
      </c>
      <c r="M556" s="1">
        <v>64799.4</v>
      </c>
      <c r="N556" s="1">
        <v>81703.7</v>
      </c>
      <c r="O556" s="1">
        <v>85594.7</v>
      </c>
      <c r="P556" s="1">
        <v>52471</v>
      </c>
      <c r="Q556" s="1">
        <v>81695</v>
      </c>
      <c r="R556" s="1">
        <v>0</v>
      </c>
    </row>
    <row r="557" spans="1:18">
      <c r="A557" s="2">
        <v>0.95833333333333337</v>
      </c>
      <c r="B557" s="1">
        <v>419014</v>
      </c>
      <c r="C557" s="1">
        <v>76511</v>
      </c>
      <c r="D557" s="1">
        <v>39620.300000000003</v>
      </c>
      <c r="E557" s="1">
        <v>0</v>
      </c>
      <c r="F557" s="1">
        <v>402947</v>
      </c>
      <c r="G557" s="1">
        <v>54031.3</v>
      </c>
      <c r="H557" s="1">
        <v>369784</v>
      </c>
      <c r="I557" s="1">
        <v>584835</v>
      </c>
      <c r="J557" s="1">
        <v>49357.3</v>
      </c>
      <c r="K557" s="1">
        <v>88260.5</v>
      </c>
      <c r="L557" s="1">
        <v>92815.4</v>
      </c>
      <c r="M557" s="1">
        <v>64841</v>
      </c>
      <c r="N557" s="1">
        <v>81759.5</v>
      </c>
      <c r="O557" s="1">
        <v>85612.3</v>
      </c>
      <c r="P557" s="1">
        <v>52471</v>
      </c>
      <c r="Q557" s="1">
        <v>81695</v>
      </c>
      <c r="R557" s="1">
        <v>0</v>
      </c>
    </row>
    <row r="558" spans="1:18">
      <c r="A558" s="2">
        <v>0</v>
      </c>
      <c r="B558" s="1">
        <v>419826</v>
      </c>
      <c r="C558" s="1">
        <v>76728</v>
      </c>
      <c r="D558" s="1">
        <v>39636.400000000001</v>
      </c>
      <c r="E558" s="1">
        <v>0</v>
      </c>
      <c r="F558" s="1">
        <v>402980</v>
      </c>
      <c r="G558" s="1">
        <v>54092.6</v>
      </c>
      <c r="H558" s="1">
        <v>369795</v>
      </c>
      <c r="I558" s="1">
        <v>585090</v>
      </c>
      <c r="J558" s="1">
        <v>49367.9</v>
      </c>
      <c r="K558" s="1">
        <v>88263.2</v>
      </c>
      <c r="L558" s="1">
        <v>92847.5</v>
      </c>
      <c r="M558" s="1">
        <v>64883.199999999997</v>
      </c>
      <c r="N558" s="1">
        <v>81815.5</v>
      </c>
      <c r="O558" s="1">
        <v>85630.6</v>
      </c>
      <c r="P558" s="1">
        <v>52471</v>
      </c>
      <c r="Q558" s="1">
        <v>81695</v>
      </c>
      <c r="R558" s="1">
        <v>0</v>
      </c>
    </row>
    <row r="559" spans="1:18">
      <c r="A559" s="2">
        <v>4.1666666666666664E-2</v>
      </c>
      <c r="B559" s="1">
        <v>420616</v>
      </c>
      <c r="C559" s="1">
        <v>76940</v>
      </c>
      <c r="D559" s="1">
        <v>39650.300000000003</v>
      </c>
      <c r="E559" s="1">
        <v>0</v>
      </c>
      <c r="F559" s="1">
        <v>403010</v>
      </c>
      <c r="G559" s="1">
        <v>54152.7</v>
      </c>
      <c r="H559" s="1">
        <v>369807</v>
      </c>
      <c r="I559" s="1">
        <v>585339</v>
      </c>
      <c r="J559" s="1">
        <v>49378.2</v>
      </c>
      <c r="K559" s="1">
        <v>88265.9</v>
      </c>
      <c r="L559" s="1">
        <v>92879.3</v>
      </c>
      <c r="M559" s="1">
        <v>64925</v>
      </c>
      <c r="N559" s="1">
        <v>81870.399999999994</v>
      </c>
      <c r="O559" s="1">
        <v>85647.3</v>
      </c>
      <c r="P559" s="1">
        <v>52471</v>
      </c>
      <c r="Q559" s="1">
        <v>81695</v>
      </c>
      <c r="R559" s="1">
        <v>0</v>
      </c>
    </row>
    <row r="560" spans="1:18">
      <c r="A560" s="2">
        <v>8.3333333333333329E-2</v>
      </c>
      <c r="B560" s="1">
        <v>421382</v>
      </c>
      <c r="C560" s="1">
        <v>77147</v>
      </c>
      <c r="D560" s="1">
        <v>39664.5</v>
      </c>
      <c r="E560" s="1">
        <v>0</v>
      </c>
      <c r="F560" s="1">
        <v>403033</v>
      </c>
      <c r="G560" s="1">
        <v>54213.2</v>
      </c>
      <c r="H560" s="1">
        <v>369818</v>
      </c>
      <c r="I560" s="1">
        <v>585583</v>
      </c>
      <c r="J560" s="1">
        <v>49388.7</v>
      </c>
      <c r="K560" s="1">
        <v>88268.5</v>
      </c>
      <c r="L560" s="1">
        <v>92904.1</v>
      </c>
      <c r="M560" s="1">
        <v>64964.6</v>
      </c>
      <c r="N560" s="1">
        <v>81925.399999999994</v>
      </c>
      <c r="O560" s="1">
        <v>85664.8</v>
      </c>
      <c r="P560" s="1">
        <v>52471</v>
      </c>
      <c r="Q560" s="1">
        <v>81695</v>
      </c>
      <c r="R560" s="1">
        <v>0</v>
      </c>
    </row>
    <row r="561" spans="1:18">
      <c r="A561" s="2">
        <v>0.125</v>
      </c>
      <c r="B561" s="1">
        <v>422119</v>
      </c>
      <c r="C561" s="1">
        <v>77351</v>
      </c>
      <c r="D561" s="1">
        <v>39677.699999999997</v>
      </c>
      <c r="E561" s="1">
        <v>0</v>
      </c>
      <c r="F561" s="1">
        <v>403054</v>
      </c>
      <c r="G561" s="1">
        <v>54271.6</v>
      </c>
      <c r="H561" s="1">
        <v>369828</v>
      </c>
      <c r="I561" s="1">
        <v>585813</v>
      </c>
      <c r="J561" s="1">
        <v>49399</v>
      </c>
      <c r="K561" s="1">
        <v>88271.2</v>
      </c>
      <c r="L561" s="1">
        <v>92927.9</v>
      </c>
      <c r="M561" s="1">
        <v>65003.199999999997</v>
      </c>
      <c r="N561" s="1">
        <v>81980.100000000006</v>
      </c>
      <c r="O561" s="1">
        <v>85681.8</v>
      </c>
      <c r="P561" s="1">
        <v>52471</v>
      </c>
      <c r="Q561" s="1">
        <v>81695</v>
      </c>
      <c r="R561" s="1">
        <v>0</v>
      </c>
    </row>
    <row r="562" spans="1:18">
      <c r="A562" s="2">
        <v>0.16666666666666666</v>
      </c>
      <c r="B562" s="1">
        <v>422846</v>
      </c>
      <c r="C562" s="1">
        <v>77548</v>
      </c>
      <c r="D562" s="1">
        <v>39691.1</v>
      </c>
      <c r="E562" s="1">
        <v>0</v>
      </c>
      <c r="F562" s="1">
        <v>403075</v>
      </c>
      <c r="G562" s="1">
        <v>54328.7</v>
      </c>
      <c r="H562" s="1">
        <v>369839</v>
      </c>
      <c r="I562" s="1">
        <v>586038</v>
      </c>
      <c r="J562" s="1">
        <v>49409</v>
      </c>
      <c r="K562" s="1">
        <v>88273.9</v>
      </c>
      <c r="L562" s="1">
        <v>92951.6</v>
      </c>
      <c r="M562" s="1">
        <v>65043.7</v>
      </c>
      <c r="N562" s="1">
        <v>82035.100000000006</v>
      </c>
      <c r="O562" s="1">
        <v>85699.5</v>
      </c>
      <c r="P562" s="1">
        <v>52471</v>
      </c>
      <c r="Q562" s="1">
        <v>81695</v>
      </c>
      <c r="R562" s="1">
        <v>0</v>
      </c>
    </row>
    <row r="563" spans="1:18">
      <c r="A563" s="2">
        <v>0.20833333333333334</v>
      </c>
      <c r="B563" s="1">
        <v>423576</v>
      </c>
      <c r="C563" s="1">
        <v>77744</v>
      </c>
      <c r="D563" s="1">
        <v>39704.9</v>
      </c>
      <c r="E563" s="1">
        <v>0</v>
      </c>
      <c r="F563" s="1">
        <v>403095</v>
      </c>
      <c r="G563" s="1">
        <v>54384.800000000003</v>
      </c>
      <c r="H563" s="1">
        <v>369850</v>
      </c>
      <c r="I563" s="1">
        <v>586262</v>
      </c>
      <c r="J563" s="1">
        <v>49419.199999999997</v>
      </c>
      <c r="K563" s="1">
        <v>88277</v>
      </c>
      <c r="L563" s="1">
        <v>92974.5</v>
      </c>
      <c r="M563" s="1">
        <v>65086.8</v>
      </c>
      <c r="N563" s="1">
        <v>82093.899999999994</v>
      </c>
      <c r="O563" s="1">
        <v>85717.2</v>
      </c>
      <c r="P563" s="1">
        <v>52471</v>
      </c>
      <c r="Q563" s="1">
        <v>81695</v>
      </c>
      <c r="R563" s="1">
        <v>0</v>
      </c>
    </row>
    <row r="564" spans="1:18">
      <c r="A564" s="2">
        <v>0.25</v>
      </c>
      <c r="B564" s="1">
        <v>424290</v>
      </c>
      <c r="C564" s="1">
        <v>77933</v>
      </c>
      <c r="D564" s="1">
        <v>39718.199999999997</v>
      </c>
      <c r="E564" s="1">
        <v>0</v>
      </c>
      <c r="F564" s="1">
        <v>403116</v>
      </c>
      <c r="G564" s="1">
        <v>54440</v>
      </c>
      <c r="H564" s="1">
        <v>369861</v>
      </c>
      <c r="I564" s="1">
        <v>586489</v>
      </c>
      <c r="J564" s="1">
        <v>49429.3</v>
      </c>
      <c r="K564" s="1">
        <v>88280</v>
      </c>
      <c r="L564" s="1">
        <v>92996.4</v>
      </c>
      <c r="M564" s="1">
        <v>65124.3</v>
      </c>
      <c r="N564" s="1">
        <v>82148.5</v>
      </c>
      <c r="O564" s="1">
        <v>85736.2</v>
      </c>
      <c r="P564" s="1">
        <v>52471</v>
      </c>
      <c r="Q564" s="1">
        <v>81695</v>
      </c>
      <c r="R564" s="1">
        <v>0</v>
      </c>
    </row>
    <row r="565" spans="1:18">
      <c r="A565" s="2">
        <v>0.29166666666666669</v>
      </c>
      <c r="B565" s="1">
        <v>425008</v>
      </c>
      <c r="C565" s="1">
        <v>78128</v>
      </c>
      <c r="D565" s="1">
        <v>39731.699999999997</v>
      </c>
      <c r="E565" s="1">
        <v>0</v>
      </c>
      <c r="F565" s="1">
        <v>403137</v>
      </c>
      <c r="G565" s="1">
        <v>54494.3</v>
      </c>
      <c r="H565" s="1">
        <v>369871</v>
      </c>
      <c r="I565" s="1">
        <v>586716</v>
      </c>
      <c r="J565" s="1">
        <v>49438.9</v>
      </c>
      <c r="K565" s="1">
        <v>88282.2</v>
      </c>
      <c r="L565" s="1">
        <v>93018.7</v>
      </c>
      <c r="M565" s="1">
        <v>65161.5</v>
      </c>
      <c r="N565" s="1">
        <v>82202.7</v>
      </c>
      <c r="O565" s="1">
        <v>85755.5</v>
      </c>
      <c r="P565" s="1">
        <v>52471</v>
      </c>
      <c r="Q565" s="1">
        <v>81696</v>
      </c>
      <c r="R565" s="1">
        <v>0</v>
      </c>
    </row>
    <row r="566" spans="1:18">
      <c r="A566" s="2">
        <v>0.33333333333333331</v>
      </c>
      <c r="B566" s="1">
        <v>425777</v>
      </c>
      <c r="C566" s="1">
        <v>78334</v>
      </c>
      <c r="D566" s="1">
        <v>39745.699999999997</v>
      </c>
      <c r="E566" s="1">
        <v>0</v>
      </c>
      <c r="F566" s="1">
        <v>403164</v>
      </c>
      <c r="G566" s="1">
        <v>54547.3</v>
      </c>
      <c r="H566" s="1">
        <v>369883</v>
      </c>
      <c r="I566" s="1">
        <v>586958</v>
      </c>
      <c r="J566" s="1">
        <v>49450.6</v>
      </c>
      <c r="K566" s="1">
        <v>88282.8</v>
      </c>
      <c r="L566" s="1">
        <v>93042.9</v>
      </c>
      <c r="M566" s="1">
        <v>65199.4</v>
      </c>
      <c r="N566" s="1">
        <v>82254.100000000006</v>
      </c>
      <c r="O566" s="1">
        <v>85783.9</v>
      </c>
      <c r="P566" s="1">
        <v>52472</v>
      </c>
      <c r="Q566" s="1">
        <v>81698</v>
      </c>
      <c r="R566" s="1">
        <v>0</v>
      </c>
    </row>
    <row r="567" spans="1:18">
      <c r="A567" s="2">
        <v>0.375</v>
      </c>
      <c r="B567" s="1">
        <v>426696</v>
      </c>
      <c r="C567" s="1">
        <v>78584</v>
      </c>
      <c r="D567" s="1">
        <v>39764.5</v>
      </c>
      <c r="E567" s="1">
        <v>0</v>
      </c>
      <c r="F567" s="1">
        <v>403195</v>
      </c>
      <c r="G567" s="1">
        <v>54601.1</v>
      </c>
      <c r="H567" s="1">
        <v>369894</v>
      </c>
      <c r="I567" s="1">
        <v>587260</v>
      </c>
      <c r="J567" s="1">
        <v>49462.6</v>
      </c>
      <c r="K567" s="1">
        <v>88282.9</v>
      </c>
      <c r="L567" s="1">
        <v>93074.6</v>
      </c>
      <c r="M567" s="1">
        <v>65245.4</v>
      </c>
      <c r="N567" s="1">
        <v>82303.5</v>
      </c>
      <c r="O567" s="1">
        <v>85821.9</v>
      </c>
      <c r="P567" s="1">
        <v>52477</v>
      </c>
      <c r="Q567" s="1">
        <v>81708</v>
      </c>
      <c r="R567" s="1">
        <v>0</v>
      </c>
    </row>
    <row r="568" spans="1:18">
      <c r="A568" s="2">
        <v>0.41666666666666669</v>
      </c>
      <c r="B568" s="1">
        <v>427879</v>
      </c>
      <c r="C568" s="1">
        <v>78916</v>
      </c>
      <c r="D568" s="1">
        <v>39793.1</v>
      </c>
      <c r="E568" s="1">
        <v>0</v>
      </c>
      <c r="F568" s="1">
        <v>403234</v>
      </c>
      <c r="G568" s="1">
        <v>54663.6</v>
      </c>
      <c r="H568" s="1">
        <v>369938</v>
      </c>
      <c r="I568" s="1">
        <v>587635</v>
      </c>
      <c r="J568" s="1">
        <v>49474.400000000001</v>
      </c>
      <c r="K568" s="1">
        <v>88282.9</v>
      </c>
      <c r="L568" s="1">
        <v>93111.6</v>
      </c>
      <c r="M568" s="1">
        <v>65296.6</v>
      </c>
      <c r="N568" s="1">
        <v>82351.5</v>
      </c>
      <c r="O568" s="1">
        <v>85877.8</v>
      </c>
      <c r="P568" s="1">
        <v>52487</v>
      </c>
      <c r="Q568" s="1">
        <v>81723</v>
      </c>
      <c r="R568" s="1">
        <v>0</v>
      </c>
    </row>
    <row r="569" spans="1:18">
      <c r="A569" s="2">
        <v>0.45833333333333331</v>
      </c>
      <c r="B569" s="1">
        <v>429187</v>
      </c>
      <c r="C569" s="1">
        <v>79280</v>
      </c>
      <c r="D569" s="1">
        <v>39826.800000000003</v>
      </c>
      <c r="E569" s="1">
        <v>0</v>
      </c>
      <c r="F569" s="1">
        <v>403283</v>
      </c>
      <c r="G569" s="1">
        <v>54745.9</v>
      </c>
      <c r="H569" s="1">
        <v>369985</v>
      </c>
      <c r="I569" s="1">
        <v>588052</v>
      </c>
      <c r="J569" s="1">
        <v>49489.599999999999</v>
      </c>
      <c r="K569" s="1">
        <v>88283</v>
      </c>
      <c r="L569" s="1">
        <v>93153.9</v>
      </c>
      <c r="M569" s="1">
        <v>65344.5</v>
      </c>
      <c r="N569" s="1">
        <v>82403.199999999997</v>
      </c>
      <c r="O569" s="1">
        <v>85948.5</v>
      </c>
      <c r="P569" s="1">
        <v>52500</v>
      </c>
      <c r="Q569" s="1">
        <v>81742</v>
      </c>
      <c r="R569" s="1">
        <v>0</v>
      </c>
    </row>
    <row r="570" spans="1:18">
      <c r="A570" s="2">
        <v>0.5</v>
      </c>
      <c r="B570" s="1">
        <v>430576</v>
      </c>
      <c r="C570" s="1">
        <v>79668</v>
      </c>
      <c r="D570" s="1">
        <v>39863.4</v>
      </c>
      <c r="E570" s="1">
        <v>0</v>
      </c>
      <c r="F570" s="1">
        <v>403342</v>
      </c>
      <c r="G570" s="1">
        <v>54846.8</v>
      </c>
      <c r="H570" s="1">
        <v>370032</v>
      </c>
      <c r="I570" s="1">
        <v>588498</v>
      </c>
      <c r="J570" s="1">
        <v>49505.8</v>
      </c>
      <c r="K570" s="1">
        <v>88283</v>
      </c>
      <c r="L570" s="1">
        <v>93193.9</v>
      </c>
      <c r="M570" s="1">
        <v>65399.1</v>
      </c>
      <c r="N570" s="1">
        <v>82451.399999999994</v>
      </c>
      <c r="O570" s="1">
        <v>86014.1</v>
      </c>
      <c r="P570" s="1">
        <v>52514</v>
      </c>
      <c r="Q570" s="1">
        <v>81764</v>
      </c>
      <c r="R570" s="1">
        <v>0</v>
      </c>
    </row>
    <row r="571" spans="1:18">
      <c r="A571" s="2">
        <v>0.54166666666666663</v>
      </c>
      <c r="B571" s="1">
        <v>432014</v>
      </c>
      <c r="C571" s="1">
        <v>80060</v>
      </c>
      <c r="D571" s="1">
        <v>39905.5</v>
      </c>
      <c r="E571" s="1">
        <v>0</v>
      </c>
      <c r="F571" s="1">
        <v>403402</v>
      </c>
      <c r="G571" s="1">
        <v>54946.7</v>
      </c>
      <c r="H571" s="1">
        <v>370066</v>
      </c>
      <c r="I571" s="1">
        <v>588985</v>
      </c>
      <c r="J571" s="1">
        <v>49520.800000000003</v>
      </c>
      <c r="K571" s="1">
        <v>88283.199999999997</v>
      </c>
      <c r="L571" s="1">
        <v>93236.1</v>
      </c>
      <c r="M571" s="1">
        <v>65456.4</v>
      </c>
      <c r="N571" s="1">
        <v>82502.7</v>
      </c>
      <c r="O571" s="1">
        <v>86082.5</v>
      </c>
      <c r="P571" s="1">
        <v>52529</v>
      </c>
      <c r="Q571" s="1">
        <v>81787</v>
      </c>
      <c r="R571" s="1">
        <v>0</v>
      </c>
    </row>
    <row r="572" spans="1:18">
      <c r="A572" s="2">
        <v>0.58333333333333337</v>
      </c>
      <c r="B572" s="1">
        <v>433531</v>
      </c>
      <c r="C572" s="1">
        <v>80459</v>
      </c>
      <c r="D572" s="1">
        <v>39956</v>
      </c>
      <c r="E572" s="1">
        <v>0</v>
      </c>
      <c r="F572" s="1">
        <v>403472</v>
      </c>
      <c r="G572" s="1">
        <v>55062.5</v>
      </c>
      <c r="H572" s="1">
        <v>370111</v>
      </c>
      <c r="I572" s="1">
        <v>589483</v>
      </c>
      <c r="J572" s="1">
        <v>49536.3</v>
      </c>
      <c r="K572" s="1">
        <v>88283.199999999997</v>
      </c>
      <c r="L572" s="1">
        <v>93283.4</v>
      </c>
      <c r="M572" s="1">
        <v>65512.2</v>
      </c>
      <c r="N572" s="1">
        <v>82550</v>
      </c>
      <c r="O572" s="1">
        <v>86158.8</v>
      </c>
      <c r="P572" s="1">
        <v>52544</v>
      </c>
      <c r="Q572" s="1">
        <v>81810</v>
      </c>
      <c r="R572" s="1">
        <v>0</v>
      </c>
    </row>
    <row r="573" spans="1:18">
      <c r="A573" s="2">
        <v>0.625</v>
      </c>
      <c r="B573" s="1">
        <v>435082</v>
      </c>
      <c r="C573" s="1">
        <v>80882</v>
      </c>
      <c r="D573" s="1">
        <v>40006.400000000001</v>
      </c>
      <c r="E573" s="1">
        <v>0</v>
      </c>
      <c r="F573" s="1">
        <v>403537</v>
      </c>
      <c r="G573" s="1">
        <v>55190.8</v>
      </c>
      <c r="H573" s="1">
        <v>370155</v>
      </c>
      <c r="I573" s="1">
        <v>589986</v>
      </c>
      <c r="J573" s="1">
        <v>49551.4</v>
      </c>
      <c r="K573" s="1">
        <v>88283.3</v>
      </c>
      <c r="L573" s="1">
        <v>93334.3</v>
      </c>
      <c r="M573" s="1">
        <v>65578.7</v>
      </c>
      <c r="N573" s="1">
        <v>82598.399999999994</v>
      </c>
      <c r="O573" s="1">
        <v>86211.6</v>
      </c>
      <c r="P573" s="1">
        <v>52559</v>
      </c>
      <c r="Q573" s="1">
        <v>81832</v>
      </c>
      <c r="R573" s="1">
        <v>0</v>
      </c>
    </row>
    <row r="574" spans="1:18">
      <c r="A574" s="2">
        <v>0.66666666666666663</v>
      </c>
      <c r="B574" s="1">
        <v>436615</v>
      </c>
      <c r="C574" s="1">
        <v>81311</v>
      </c>
      <c r="D574" s="1">
        <v>40055.5</v>
      </c>
      <c r="E574" s="1">
        <v>0</v>
      </c>
      <c r="F574" s="1">
        <v>403602</v>
      </c>
      <c r="G574" s="1">
        <v>55320.800000000003</v>
      </c>
      <c r="H574" s="1">
        <v>370194</v>
      </c>
      <c r="I574" s="1">
        <v>590490</v>
      </c>
      <c r="J574" s="1">
        <v>49564.6</v>
      </c>
      <c r="K574" s="1">
        <v>88287.1</v>
      </c>
      <c r="L574" s="1">
        <v>93384.5</v>
      </c>
      <c r="M574" s="1">
        <v>65640</v>
      </c>
      <c r="N574" s="1">
        <v>82653.399999999994</v>
      </c>
      <c r="O574" s="1">
        <v>86241.4</v>
      </c>
      <c r="P574" s="1">
        <v>52567</v>
      </c>
      <c r="Q574" s="1">
        <v>81845</v>
      </c>
      <c r="R574" s="1">
        <v>0</v>
      </c>
    </row>
    <row r="575" spans="1:18">
      <c r="A575" s="2">
        <v>0.70833333333333337</v>
      </c>
      <c r="B575" s="1">
        <v>438033</v>
      </c>
      <c r="C575" s="1">
        <v>81697</v>
      </c>
      <c r="D575" s="1">
        <v>40097.800000000003</v>
      </c>
      <c r="E575" s="1">
        <v>0</v>
      </c>
      <c r="F575" s="1">
        <v>403654</v>
      </c>
      <c r="G575" s="1">
        <v>55460</v>
      </c>
      <c r="H575" s="1">
        <v>370236</v>
      </c>
      <c r="I575" s="1">
        <v>590954</v>
      </c>
      <c r="J575" s="1">
        <v>49575.6</v>
      </c>
      <c r="K575" s="1">
        <v>88294.7</v>
      </c>
      <c r="L575" s="1">
        <v>93426.6</v>
      </c>
      <c r="M575" s="1">
        <v>65696.399999999994</v>
      </c>
      <c r="N575" s="1">
        <v>82710.600000000006</v>
      </c>
      <c r="O575" s="1">
        <v>86265.9</v>
      </c>
      <c r="P575" s="1">
        <v>52570</v>
      </c>
      <c r="Q575" s="1">
        <v>81848</v>
      </c>
      <c r="R575" s="1">
        <v>0</v>
      </c>
    </row>
    <row r="576" spans="1:18">
      <c r="A576" s="2">
        <v>0.75</v>
      </c>
      <c r="B576" s="1">
        <v>439287</v>
      </c>
      <c r="C576" s="1">
        <v>82062</v>
      </c>
      <c r="D576" s="1">
        <v>40133.599999999999</v>
      </c>
      <c r="E576" s="1">
        <v>0</v>
      </c>
      <c r="F576" s="1">
        <v>403698</v>
      </c>
      <c r="G576" s="1">
        <v>55566.1</v>
      </c>
      <c r="H576" s="1">
        <v>370256</v>
      </c>
      <c r="I576" s="1">
        <v>591368</v>
      </c>
      <c r="J576" s="1">
        <v>49586.6</v>
      </c>
      <c r="K576" s="1">
        <v>88297.8</v>
      </c>
      <c r="L576" s="1">
        <v>93466.9</v>
      </c>
      <c r="M576" s="1">
        <v>65744.800000000003</v>
      </c>
      <c r="N576" s="1">
        <v>82767.100000000006</v>
      </c>
      <c r="O576" s="1">
        <v>86290.2</v>
      </c>
      <c r="P576" s="1">
        <v>52573</v>
      </c>
      <c r="Q576" s="1">
        <v>81853</v>
      </c>
      <c r="R576" s="1">
        <v>0</v>
      </c>
    </row>
    <row r="577" spans="1:18">
      <c r="A577" s="2">
        <v>0.79166666666666663</v>
      </c>
      <c r="B577" s="1">
        <v>440385</v>
      </c>
      <c r="C577" s="1">
        <v>82365</v>
      </c>
      <c r="D577" s="1">
        <v>40162.400000000001</v>
      </c>
      <c r="E577" s="1">
        <v>0</v>
      </c>
      <c r="F577" s="1">
        <v>403730</v>
      </c>
      <c r="G577" s="1">
        <v>55656.9</v>
      </c>
      <c r="H577" s="1">
        <v>370274</v>
      </c>
      <c r="I577" s="1">
        <v>591740</v>
      </c>
      <c r="J577" s="1">
        <v>49597.4</v>
      </c>
      <c r="K577" s="1">
        <v>88301.6</v>
      </c>
      <c r="L577" s="1">
        <v>93502.7</v>
      </c>
      <c r="M577" s="1">
        <v>65790</v>
      </c>
      <c r="N577" s="1">
        <v>82824.100000000006</v>
      </c>
      <c r="O577" s="1">
        <v>86310.7</v>
      </c>
      <c r="P577" s="1">
        <v>52573</v>
      </c>
      <c r="Q577" s="1">
        <v>81854</v>
      </c>
      <c r="R577" s="1">
        <v>0</v>
      </c>
    </row>
    <row r="578" spans="1:18">
      <c r="A578" s="2">
        <v>0.83333333333333337</v>
      </c>
      <c r="B578" s="1">
        <v>441399</v>
      </c>
      <c r="C578" s="1">
        <v>82645</v>
      </c>
      <c r="D578" s="1">
        <v>40182.300000000003</v>
      </c>
      <c r="E578" s="1">
        <v>0</v>
      </c>
      <c r="F578" s="1">
        <v>403754</v>
      </c>
      <c r="G578" s="1">
        <v>55742.400000000001</v>
      </c>
      <c r="H578" s="1">
        <v>370288</v>
      </c>
      <c r="I578" s="1">
        <v>592097</v>
      </c>
      <c r="J578" s="1">
        <v>49608</v>
      </c>
      <c r="K578" s="1">
        <v>88305.5</v>
      </c>
      <c r="L578" s="1">
        <v>93532.6</v>
      </c>
      <c r="M578" s="1">
        <v>65833.100000000006</v>
      </c>
      <c r="N578" s="1">
        <v>82881.399999999994</v>
      </c>
      <c r="O578" s="1">
        <v>86334</v>
      </c>
      <c r="P578" s="1">
        <v>52573</v>
      </c>
      <c r="Q578" s="1">
        <v>81854</v>
      </c>
      <c r="R578" s="1">
        <v>0</v>
      </c>
    </row>
    <row r="579" spans="1:18">
      <c r="A579" s="2">
        <v>0.875</v>
      </c>
      <c r="B579" s="1">
        <v>442332</v>
      </c>
      <c r="C579" s="1">
        <v>82902</v>
      </c>
      <c r="D579" s="1">
        <v>40202.199999999997</v>
      </c>
      <c r="E579" s="1">
        <v>0</v>
      </c>
      <c r="F579" s="1">
        <v>403776</v>
      </c>
      <c r="G579" s="1">
        <v>55819.4</v>
      </c>
      <c r="H579" s="1">
        <v>370300</v>
      </c>
      <c r="I579" s="1">
        <v>592414</v>
      </c>
      <c r="J579" s="1">
        <v>49618.5</v>
      </c>
      <c r="K579" s="1">
        <v>88309.4</v>
      </c>
      <c r="L579" s="1">
        <v>93560.9</v>
      </c>
      <c r="M579" s="1">
        <v>65874.3</v>
      </c>
      <c r="N579" s="1">
        <v>82938.2</v>
      </c>
      <c r="O579" s="1">
        <v>86358</v>
      </c>
      <c r="P579" s="1">
        <v>52573</v>
      </c>
      <c r="Q579" s="1">
        <v>81854</v>
      </c>
      <c r="R579" s="1">
        <v>0</v>
      </c>
    </row>
    <row r="580" spans="1:18">
      <c r="A580" s="2">
        <v>0.91666666666666663</v>
      </c>
      <c r="B580" s="1">
        <v>443202</v>
      </c>
      <c r="C580" s="1">
        <v>83139</v>
      </c>
      <c r="D580" s="1">
        <v>40221.4</v>
      </c>
      <c r="E580" s="1">
        <v>0</v>
      </c>
      <c r="F580" s="1">
        <v>403796</v>
      </c>
      <c r="G580" s="1">
        <v>55899.5</v>
      </c>
      <c r="H580" s="1">
        <v>370312</v>
      </c>
      <c r="I580" s="1">
        <v>592701</v>
      </c>
      <c r="J580" s="1">
        <v>49628.800000000003</v>
      </c>
      <c r="K580" s="1">
        <v>88313.3</v>
      </c>
      <c r="L580" s="1">
        <v>93586.4</v>
      </c>
      <c r="M580" s="1">
        <v>65913.100000000006</v>
      </c>
      <c r="N580" s="1">
        <v>82993.8</v>
      </c>
      <c r="O580" s="1">
        <v>86381.4</v>
      </c>
      <c r="P580" s="1">
        <v>52573</v>
      </c>
      <c r="Q580" s="1">
        <v>81854</v>
      </c>
      <c r="R580" s="1">
        <v>0</v>
      </c>
    </row>
    <row r="581" spans="1:18">
      <c r="A581" s="2">
        <v>0.95833333333333337</v>
      </c>
      <c r="B581" s="1">
        <v>443999</v>
      </c>
      <c r="C581" s="1">
        <v>83340</v>
      </c>
      <c r="D581" s="1">
        <v>40237.4</v>
      </c>
      <c r="E581" s="1">
        <v>0</v>
      </c>
      <c r="F581" s="1">
        <v>403815</v>
      </c>
      <c r="G581" s="1">
        <v>55970.2</v>
      </c>
      <c r="H581" s="1">
        <v>370323</v>
      </c>
      <c r="I581" s="1">
        <v>592976</v>
      </c>
      <c r="J581" s="1">
        <v>49638.6</v>
      </c>
      <c r="K581" s="1">
        <v>88316.800000000003</v>
      </c>
      <c r="L581" s="1">
        <v>93613.1</v>
      </c>
      <c r="M581" s="1">
        <v>65950.8</v>
      </c>
      <c r="N581" s="1">
        <v>83048.600000000006</v>
      </c>
      <c r="O581" s="1">
        <v>86399.7</v>
      </c>
      <c r="P581" s="1">
        <v>52573</v>
      </c>
      <c r="Q581" s="1">
        <v>81854</v>
      </c>
      <c r="R581" s="1">
        <v>0</v>
      </c>
    </row>
    <row r="582" spans="1:18">
      <c r="A582" s="2">
        <v>0</v>
      </c>
      <c r="B582" s="1">
        <v>444769</v>
      </c>
      <c r="C582" s="1">
        <v>83534</v>
      </c>
      <c r="D582" s="1">
        <v>40254.400000000001</v>
      </c>
      <c r="E582" s="1">
        <v>0</v>
      </c>
      <c r="F582" s="1">
        <v>403834</v>
      </c>
      <c r="G582" s="1">
        <v>56037.599999999999</v>
      </c>
      <c r="H582" s="1">
        <v>370334</v>
      </c>
      <c r="I582" s="1">
        <v>593236</v>
      </c>
      <c r="J582" s="1">
        <v>49648.4</v>
      </c>
      <c r="K582" s="1">
        <v>88320.2</v>
      </c>
      <c r="L582" s="1">
        <v>93640.5</v>
      </c>
      <c r="M582" s="1">
        <v>65987.5</v>
      </c>
      <c r="N582" s="1">
        <v>83103.100000000006</v>
      </c>
      <c r="O582" s="1">
        <v>86417.9</v>
      </c>
      <c r="P582" s="1">
        <v>52573</v>
      </c>
      <c r="Q582" s="1">
        <v>81854</v>
      </c>
      <c r="R582" s="1">
        <v>0</v>
      </c>
    </row>
    <row r="583" spans="1:18">
      <c r="A583" s="2">
        <v>4.1666666666666664E-2</v>
      </c>
      <c r="B583" s="1">
        <v>445522</v>
      </c>
      <c r="C583" s="1">
        <v>83728</v>
      </c>
      <c r="D583" s="1">
        <v>40271.199999999997</v>
      </c>
      <c r="E583" s="1">
        <v>0</v>
      </c>
      <c r="F583" s="1">
        <v>403853</v>
      </c>
      <c r="G583" s="1">
        <v>56100.9</v>
      </c>
      <c r="H583" s="1">
        <v>370346</v>
      </c>
      <c r="I583" s="1">
        <v>593488</v>
      </c>
      <c r="J583" s="1">
        <v>49658</v>
      </c>
      <c r="K583" s="1">
        <v>88323.6</v>
      </c>
      <c r="L583" s="1">
        <v>93664.3</v>
      </c>
      <c r="M583" s="1">
        <v>66024</v>
      </c>
      <c r="N583" s="1">
        <v>83157.899999999994</v>
      </c>
      <c r="O583" s="1">
        <v>86433.9</v>
      </c>
      <c r="P583" s="1">
        <v>52573</v>
      </c>
      <c r="Q583" s="1">
        <v>81854</v>
      </c>
      <c r="R583" s="1">
        <v>0</v>
      </c>
    </row>
    <row r="584" spans="1:18">
      <c r="A584" s="2">
        <v>8.3333333333333329E-2</v>
      </c>
      <c r="B584" s="1">
        <v>446256</v>
      </c>
      <c r="C584" s="1">
        <v>83917</v>
      </c>
      <c r="D584" s="1">
        <v>40286.300000000003</v>
      </c>
      <c r="E584" s="1">
        <v>0</v>
      </c>
      <c r="F584" s="1">
        <v>403871</v>
      </c>
      <c r="G584" s="1">
        <v>56164.5</v>
      </c>
      <c r="H584" s="1">
        <v>370357</v>
      </c>
      <c r="I584" s="1">
        <v>593731</v>
      </c>
      <c r="J584" s="1">
        <v>49667.5</v>
      </c>
      <c r="K584" s="1">
        <v>88327</v>
      </c>
      <c r="L584" s="1">
        <v>93687</v>
      </c>
      <c r="M584" s="1">
        <v>66060.3</v>
      </c>
      <c r="N584" s="1">
        <v>83212.399999999994</v>
      </c>
      <c r="O584" s="1">
        <v>86451.199999999997</v>
      </c>
      <c r="P584" s="1">
        <v>52573</v>
      </c>
      <c r="Q584" s="1">
        <v>81854</v>
      </c>
      <c r="R584" s="1">
        <v>0</v>
      </c>
    </row>
    <row r="585" spans="1:18">
      <c r="A585" s="2">
        <v>0.125</v>
      </c>
      <c r="B585" s="1">
        <v>446988</v>
      </c>
      <c r="C585" s="1">
        <v>84103</v>
      </c>
      <c r="D585" s="1">
        <v>40300.699999999997</v>
      </c>
      <c r="E585" s="1">
        <v>0</v>
      </c>
      <c r="F585" s="1">
        <v>403889</v>
      </c>
      <c r="G585" s="1">
        <v>56224.7</v>
      </c>
      <c r="H585" s="1">
        <v>370368</v>
      </c>
      <c r="I585" s="1">
        <v>593976</v>
      </c>
      <c r="J585" s="1">
        <v>49677.2</v>
      </c>
      <c r="K585" s="1">
        <v>88330.5</v>
      </c>
      <c r="L585" s="1">
        <v>93709.4</v>
      </c>
      <c r="M585" s="1">
        <v>66098.7</v>
      </c>
      <c r="N585" s="1">
        <v>83267.399999999994</v>
      </c>
      <c r="O585" s="1">
        <v>86468</v>
      </c>
      <c r="P585" s="1">
        <v>52573</v>
      </c>
      <c r="Q585" s="1">
        <v>81854</v>
      </c>
      <c r="R585" s="1">
        <v>0</v>
      </c>
    </row>
    <row r="586" spans="1:18">
      <c r="A586" s="2">
        <v>0.16666666666666666</v>
      </c>
      <c r="B586" s="1">
        <v>447719</v>
      </c>
      <c r="C586" s="1">
        <v>84292</v>
      </c>
      <c r="D586" s="1">
        <v>40315.5</v>
      </c>
      <c r="E586" s="1">
        <v>0</v>
      </c>
      <c r="F586" s="1">
        <v>403908</v>
      </c>
      <c r="G586" s="1">
        <v>56282</v>
      </c>
      <c r="H586" s="1">
        <v>370380</v>
      </c>
      <c r="I586" s="1">
        <v>594219</v>
      </c>
      <c r="J586" s="1">
        <v>49686.7</v>
      </c>
      <c r="K586" s="1">
        <v>88334</v>
      </c>
      <c r="L586" s="1">
        <v>93731.8</v>
      </c>
      <c r="M586" s="1">
        <v>66138.2</v>
      </c>
      <c r="N586" s="1">
        <v>83321.899999999994</v>
      </c>
      <c r="O586" s="1">
        <v>86485.2</v>
      </c>
      <c r="P586" s="1">
        <v>52573</v>
      </c>
      <c r="Q586" s="1">
        <v>81854</v>
      </c>
      <c r="R586" s="1">
        <v>0</v>
      </c>
    </row>
    <row r="587" spans="1:18">
      <c r="A587" s="2">
        <v>0.20833333333333334</v>
      </c>
      <c r="B587" s="1">
        <v>448448</v>
      </c>
      <c r="C587" s="1">
        <v>84482</v>
      </c>
      <c r="D587" s="1">
        <v>40329.1</v>
      </c>
      <c r="E587" s="1">
        <v>0</v>
      </c>
      <c r="F587" s="1">
        <v>403926</v>
      </c>
      <c r="G587" s="1">
        <v>56339.1</v>
      </c>
      <c r="H587" s="1">
        <v>370391</v>
      </c>
      <c r="I587" s="1">
        <v>594459</v>
      </c>
      <c r="J587" s="1">
        <v>49696.3</v>
      </c>
      <c r="K587" s="1">
        <v>88337.5</v>
      </c>
      <c r="L587" s="1">
        <v>93754</v>
      </c>
      <c r="M587" s="1">
        <v>66178.100000000006</v>
      </c>
      <c r="N587" s="1">
        <v>83377.5</v>
      </c>
      <c r="O587" s="1">
        <v>86502.8</v>
      </c>
      <c r="P587" s="1">
        <v>52573</v>
      </c>
      <c r="Q587" s="1">
        <v>81854</v>
      </c>
      <c r="R587" s="1">
        <v>0</v>
      </c>
    </row>
    <row r="588" spans="1:18">
      <c r="A588" s="2">
        <v>0.25</v>
      </c>
      <c r="B588" s="1">
        <v>449170</v>
      </c>
      <c r="C588" s="1">
        <v>84671</v>
      </c>
      <c r="D588" s="1">
        <v>40342.400000000001</v>
      </c>
      <c r="E588" s="1">
        <v>0</v>
      </c>
      <c r="F588" s="1">
        <v>403945</v>
      </c>
      <c r="G588" s="1">
        <v>56396.4</v>
      </c>
      <c r="H588" s="1">
        <v>370402</v>
      </c>
      <c r="I588" s="1">
        <v>594692</v>
      </c>
      <c r="J588" s="1">
        <v>49706.1</v>
      </c>
      <c r="K588" s="1">
        <v>88341</v>
      </c>
      <c r="L588" s="1">
        <v>93775.4</v>
      </c>
      <c r="M588" s="1">
        <v>66215.8</v>
      </c>
      <c r="N588" s="1">
        <v>83433</v>
      </c>
      <c r="O588" s="1">
        <v>86523.3</v>
      </c>
      <c r="P588" s="1">
        <v>52573</v>
      </c>
      <c r="Q588" s="1">
        <v>81854</v>
      </c>
      <c r="R588" s="1">
        <v>0</v>
      </c>
    </row>
    <row r="589" spans="1:18">
      <c r="A589" s="2">
        <v>0.29166666666666669</v>
      </c>
      <c r="B589" s="1">
        <v>449879</v>
      </c>
      <c r="C589" s="1">
        <v>84862</v>
      </c>
      <c r="D589" s="1">
        <v>40355.5</v>
      </c>
      <c r="E589" s="1">
        <v>0</v>
      </c>
      <c r="F589" s="1">
        <v>403962</v>
      </c>
      <c r="G589" s="1">
        <v>56451.5</v>
      </c>
      <c r="H589" s="1">
        <v>370414</v>
      </c>
      <c r="I589" s="1">
        <v>594918</v>
      </c>
      <c r="J589" s="1">
        <v>49715.3</v>
      </c>
      <c r="K589" s="1">
        <v>88344.6</v>
      </c>
      <c r="L589" s="1">
        <v>93795.9</v>
      </c>
      <c r="M589" s="1">
        <v>66252.600000000006</v>
      </c>
      <c r="N589" s="1">
        <v>83487.899999999994</v>
      </c>
      <c r="O589" s="1">
        <v>86542.1</v>
      </c>
      <c r="P589" s="1">
        <v>52573</v>
      </c>
      <c r="Q589" s="1">
        <v>81854</v>
      </c>
      <c r="R589" s="1">
        <v>0</v>
      </c>
    </row>
    <row r="590" spans="1:18">
      <c r="A590" s="2">
        <v>0.33333333333333331</v>
      </c>
      <c r="B590" s="1">
        <v>450603</v>
      </c>
      <c r="C590" s="1">
        <v>85060</v>
      </c>
      <c r="D590" s="1">
        <v>40368.300000000003</v>
      </c>
      <c r="E590" s="1">
        <v>0</v>
      </c>
      <c r="F590" s="1">
        <v>403979</v>
      </c>
      <c r="G590" s="1">
        <v>56505.1</v>
      </c>
      <c r="H590" s="1">
        <v>370425</v>
      </c>
      <c r="I590" s="1">
        <v>595146</v>
      </c>
      <c r="J590" s="1">
        <v>49724.5</v>
      </c>
      <c r="K590" s="1">
        <v>88347.6</v>
      </c>
      <c r="L590" s="1">
        <v>93816.4</v>
      </c>
      <c r="M590" s="1">
        <v>66288.100000000006</v>
      </c>
      <c r="N590" s="1">
        <v>83542.100000000006</v>
      </c>
      <c r="O590" s="1">
        <v>86567.7</v>
      </c>
      <c r="P590" s="1">
        <v>52574</v>
      </c>
      <c r="Q590" s="1">
        <v>81855</v>
      </c>
      <c r="R590" s="1">
        <v>0</v>
      </c>
    </row>
    <row r="591" spans="1:18">
      <c r="A591" s="2">
        <v>0.375</v>
      </c>
      <c r="B591" s="1">
        <v>451448</v>
      </c>
      <c r="C591" s="1">
        <v>85291</v>
      </c>
      <c r="D591" s="1">
        <v>40385.4</v>
      </c>
      <c r="E591" s="1">
        <v>0</v>
      </c>
      <c r="F591" s="1">
        <v>404002</v>
      </c>
      <c r="G591" s="1">
        <v>56565.1</v>
      </c>
      <c r="H591" s="1">
        <v>370436</v>
      </c>
      <c r="I591" s="1">
        <v>595405</v>
      </c>
      <c r="J591" s="1">
        <v>49733.7</v>
      </c>
      <c r="K591" s="1">
        <v>88353.600000000006</v>
      </c>
      <c r="L591" s="1">
        <v>93843.4</v>
      </c>
      <c r="M591" s="1">
        <v>66331</v>
      </c>
      <c r="N591" s="1">
        <v>83598.100000000006</v>
      </c>
      <c r="O591" s="1">
        <v>86604.4</v>
      </c>
      <c r="P591" s="1">
        <v>52574</v>
      </c>
      <c r="Q591" s="1">
        <v>81856</v>
      </c>
      <c r="R591" s="1">
        <v>0</v>
      </c>
    </row>
    <row r="592" spans="1:18">
      <c r="A592" s="2">
        <v>0.41666666666666669</v>
      </c>
      <c r="B592" s="1">
        <v>452517</v>
      </c>
      <c r="C592" s="1">
        <v>85582</v>
      </c>
      <c r="D592" s="1">
        <v>40407.4</v>
      </c>
      <c r="E592" s="1">
        <v>0</v>
      </c>
      <c r="F592" s="1">
        <v>404041</v>
      </c>
      <c r="G592" s="1">
        <v>56633.2</v>
      </c>
      <c r="H592" s="1">
        <v>370473</v>
      </c>
      <c r="I592" s="1">
        <v>595733</v>
      </c>
      <c r="J592" s="1">
        <v>49743.6</v>
      </c>
      <c r="K592" s="1">
        <v>88359.4</v>
      </c>
      <c r="L592" s="1">
        <v>93876.6</v>
      </c>
      <c r="M592" s="1">
        <v>66376</v>
      </c>
      <c r="N592" s="1">
        <v>83653.5</v>
      </c>
      <c r="O592" s="1">
        <v>86653.6</v>
      </c>
      <c r="P592" s="1">
        <v>52576</v>
      </c>
      <c r="Q592" s="1">
        <v>81859</v>
      </c>
      <c r="R592" s="1">
        <v>0</v>
      </c>
    </row>
    <row r="593" spans="1:18">
      <c r="A593" s="2">
        <v>0.45833333333333331</v>
      </c>
      <c r="B593" s="1">
        <v>453763</v>
      </c>
      <c r="C593" s="1">
        <v>85928</v>
      </c>
      <c r="D593" s="1">
        <v>40431.800000000003</v>
      </c>
      <c r="E593" s="1">
        <v>0</v>
      </c>
      <c r="F593" s="1">
        <v>404092</v>
      </c>
      <c r="G593" s="1">
        <v>56721.1</v>
      </c>
      <c r="H593" s="1">
        <v>370507</v>
      </c>
      <c r="I593" s="1">
        <v>596131</v>
      </c>
      <c r="J593" s="1">
        <v>49755.7</v>
      </c>
      <c r="K593" s="1">
        <v>88361</v>
      </c>
      <c r="L593" s="1">
        <v>93908.5</v>
      </c>
      <c r="M593" s="1">
        <v>66421.8</v>
      </c>
      <c r="N593" s="1">
        <v>83706.399999999994</v>
      </c>
      <c r="O593" s="1">
        <v>86722.3</v>
      </c>
      <c r="P593" s="1">
        <v>52583</v>
      </c>
      <c r="Q593" s="1">
        <v>81869</v>
      </c>
      <c r="R593" s="1">
        <v>0</v>
      </c>
    </row>
    <row r="594" spans="1:18">
      <c r="A594" s="2">
        <v>0.5</v>
      </c>
      <c r="B594" s="1">
        <v>455064</v>
      </c>
      <c r="C594" s="1">
        <v>86275</v>
      </c>
      <c r="D594" s="1">
        <v>40462.400000000001</v>
      </c>
      <c r="E594" s="1">
        <v>0</v>
      </c>
      <c r="F594" s="1">
        <v>404145</v>
      </c>
      <c r="G594" s="1">
        <v>56817.5</v>
      </c>
      <c r="H594" s="1">
        <v>370546</v>
      </c>
      <c r="I594" s="1">
        <v>596547</v>
      </c>
      <c r="J594" s="1">
        <v>49769.599999999999</v>
      </c>
      <c r="K594" s="1">
        <v>88362.1</v>
      </c>
      <c r="L594" s="1">
        <v>93949.8</v>
      </c>
      <c r="M594" s="1">
        <v>66474.8</v>
      </c>
      <c r="N594" s="1">
        <v>83756.7</v>
      </c>
      <c r="O594" s="1">
        <v>86791.7</v>
      </c>
      <c r="P594" s="1">
        <v>52592</v>
      </c>
      <c r="Q594" s="1">
        <v>81883</v>
      </c>
      <c r="R594" s="1">
        <v>0</v>
      </c>
    </row>
    <row r="595" spans="1:18">
      <c r="A595" s="2">
        <v>0.54166666666666663</v>
      </c>
      <c r="B595" s="1">
        <v>456376</v>
      </c>
      <c r="C595" s="1">
        <v>86628</v>
      </c>
      <c r="D595" s="1">
        <v>40490.9</v>
      </c>
      <c r="E595" s="1">
        <v>0</v>
      </c>
      <c r="F595" s="1">
        <v>404199</v>
      </c>
      <c r="G595" s="1">
        <v>56914.3</v>
      </c>
      <c r="H595" s="1">
        <v>370571</v>
      </c>
      <c r="I595" s="1">
        <v>596979</v>
      </c>
      <c r="J595" s="1">
        <v>49783.199999999997</v>
      </c>
      <c r="K595" s="1">
        <v>88363.4</v>
      </c>
      <c r="L595" s="1">
        <v>94000.8</v>
      </c>
      <c r="M595" s="1">
        <v>66522.5</v>
      </c>
      <c r="N595" s="1">
        <v>83806.7</v>
      </c>
      <c r="O595" s="1">
        <v>86861.7</v>
      </c>
      <c r="P595" s="1">
        <v>52602</v>
      </c>
      <c r="Q595" s="1">
        <v>81898</v>
      </c>
      <c r="R595" s="1">
        <v>0</v>
      </c>
    </row>
    <row r="596" spans="1:18">
      <c r="A596" s="2">
        <v>0.58333333333333337</v>
      </c>
      <c r="B596" s="1">
        <v>457772</v>
      </c>
      <c r="C596" s="1">
        <v>86999</v>
      </c>
      <c r="D596" s="1">
        <v>40524</v>
      </c>
      <c r="E596" s="1">
        <v>0</v>
      </c>
      <c r="F596" s="1">
        <v>404256</v>
      </c>
      <c r="G596" s="1">
        <v>57027.7</v>
      </c>
      <c r="H596" s="1">
        <v>370582</v>
      </c>
      <c r="I596" s="1">
        <v>597445</v>
      </c>
      <c r="J596" s="1">
        <v>49797</v>
      </c>
      <c r="K596" s="1">
        <v>88365.1</v>
      </c>
      <c r="L596" s="1">
        <v>94052.5</v>
      </c>
      <c r="M596" s="1">
        <v>66581.8</v>
      </c>
      <c r="N596" s="1">
        <v>83857.100000000006</v>
      </c>
      <c r="O596" s="1">
        <v>86935.4</v>
      </c>
      <c r="P596" s="1">
        <v>52613</v>
      </c>
      <c r="Q596" s="1">
        <v>81915</v>
      </c>
      <c r="R596" s="1">
        <v>0</v>
      </c>
    </row>
    <row r="597" spans="1:18">
      <c r="A597" s="2">
        <v>0.625</v>
      </c>
      <c r="B597" s="1">
        <v>459207</v>
      </c>
      <c r="C597" s="1">
        <v>87386</v>
      </c>
      <c r="D597" s="1">
        <v>40564.400000000001</v>
      </c>
      <c r="E597" s="1">
        <v>0</v>
      </c>
      <c r="F597" s="1">
        <v>404311</v>
      </c>
      <c r="G597" s="1">
        <v>57153.5</v>
      </c>
      <c r="H597" s="1">
        <v>370593</v>
      </c>
      <c r="I597" s="1">
        <v>597926</v>
      </c>
      <c r="J597" s="1">
        <v>49811.199999999997</v>
      </c>
      <c r="K597" s="1">
        <v>88369.2</v>
      </c>
      <c r="L597" s="1">
        <v>94102.3</v>
      </c>
      <c r="M597" s="1">
        <v>66641.100000000006</v>
      </c>
      <c r="N597" s="1">
        <v>83911.3</v>
      </c>
      <c r="O597" s="1">
        <v>86989.7</v>
      </c>
      <c r="P597" s="1">
        <v>52620</v>
      </c>
      <c r="Q597" s="1">
        <v>81926</v>
      </c>
      <c r="R597" s="1">
        <v>0</v>
      </c>
    </row>
    <row r="598" spans="1:18">
      <c r="A598" s="2">
        <v>0.66666666666666663</v>
      </c>
      <c r="B598" s="1">
        <v>460593</v>
      </c>
      <c r="C598" s="1">
        <v>87785</v>
      </c>
      <c r="D598" s="1">
        <v>40601.699999999997</v>
      </c>
      <c r="E598" s="1">
        <v>0</v>
      </c>
      <c r="F598" s="1">
        <v>404365</v>
      </c>
      <c r="G598" s="1">
        <v>57272.6</v>
      </c>
      <c r="H598" s="1">
        <v>370604</v>
      </c>
      <c r="I598" s="1">
        <v>598402</v>
      </c>
      <c r="J598" s="1">
        <v>49823.5</v>
      </c>
      <c r="K598" s="1">
        <v>88371.3</v>
      </c>
      <c r="L598" s="1">
        <v>94145.9</v>
      </c>
      <c r="M598" s="1">
        <v>66696.7</v>
      </c>
      <c r="N598" s="1">
        <v>83964.6</v>
      </c>
      <c r="O598" s="1">
        <v>87016.3</v>
      </c>
      <c r="P598" s="1">
        <v>52627</v>
      </c>
      <c r="Q598" s="1">
        <v>81937</v>
      </c>
      <c r="R598" s="1">
        <v>0</v>
      </c>
    </row>
    <row r="599" spans="1:18">
      <c r="A599" s="2">
        <v>0.70833333333333337</v>
      </c>
      <c r="B599" s="1">
        <v>461916</v>
      </c>
      <c r="C599" s="1">
        <v>88163</v>
      </c>
      <c r="D599" s="1">
        <v>40636.800000000003</v>
      </c>
      <c r="E599" s="1">
        <v>0</v>
      </c>
      <c r="F599" s="1">
        <v>404414</v>
      </c>
      <c r="G599" s="1">
        <v>57378.2</v>
      </c>
      <c r="H599" s="1">
        <v>370616</v>
      </c>
      <c r="I599" s="1">
        <v>598866</v>
      </c>
      <c r="J599" s="1">
        <v>49835.5</v>
      </c>
      <c r="K599" s="1">
        <v>88373.3</v>
      </c>
      <c r="L599" s="1">
        <v>94188.1</v>
      </c>
      <c r="M599" s="1">
        <v>66746.7</v>
      </c>
      <c r="N599" s="1">
        <v>84016.2</v>
      </c>
      <c r="O599" s="1">
        <v>87043.1</v>
      </c>
      <c r="P599" s="1">
        <v>52634</v>
      </c>
      <c r="Q599" s="1">
        <v>81948</v>
      </c>
      <c r="R599" s="1">
        <v>0</v>
      </c>
    </row>
    <row r="600" spans="1:18">
      <c r="A600" s="2">
        <v>0.75</v>
      </c>
      <c r="B600" s="1">
        <v>463135</v>
      </c>
      <c r="C600" s="1">
        <v>88512</v>
      </c>
      <c r="D600" s="1">
        <v>40665.699999999997</v>
      </c>
      <c r="E600" s="1">
        <v>0</v>
      </c>
      <c r="F600" s="1">
        <v>404453</v>
      </c>
      <c r="G600" s="1">
        <v>57474.9</v>
      </c>
      <c r="H600" s="1">
        <v>370628</v>
      </c>
      <c r="I600" s="1">
        <v>599300</v>
      </c>
      <c r="J600" s="1">
        <v>49848.2</v>
      </c>
      <c r="K600" s="1">
        <v>88374.2</v>
      </c>
      <c r="L600" s="1">
        <v>94222.7</v>
      </c>
      <c r="M600" s="1">
        <v>66793.899999999994</v>
      </c>
      <c r="N600" s="1">
        <v>84069.8</v>
      </c>
      <c r="O600" s="1">
        <v>87069.9</v>
      </c>
      <c r="P600" s="1">
        <v>52638</v>
      </c>
      <c r="Q600" s="1">
        <v>81954</v>
      </c>
      <c r="R600" s="1">
        <v>0</v>
      </c>
    </row>
    <row r="601" spans="1:18">
      <c r="A601" s="2">
        <v>0.79166666666666663</v>
      </c>
      <c r="B601" s="1">
        <v>464202</v>
      </c>
      <c r="C601" s="1">
        <v>88800</v>
      </c>
      <c r="D601" s="1">
        <v>40682.5</v>
      </c>
      <c r="E601" s="1">
        <v>0</v>
      </c>
      <c r="F601" s="1">
        <v>404487</v>
      </c>
      <c r="G601" s="1">
        <v>57563</v>
      </c>
      <c r="H601" s="1">
        <v>370639</v>
      </c>
      <c r="I601" s="1">
        <v>599693</v>
      </c>
      <c r="J601" s="1">
        <v>49861.1</v>
      </c>
      <c r="K601" s="1">
        <v>88377.600000000006</v>
      </c>
      <c r="L601" s="1">
        <v>94247.8</v>
      </c>
      <c r="M601" s="1">
        <v>66836.5</v>
      </c>
      <c r="N601" s="1">
        <v>84125.3</v>
      </c>
      <c r="O601" s="1">
        <v>87092.7</v>
      </c>
      <c r="P601" s="1">
        <v>52639</v>
      </c>
      <c r="Q601" s="1">
        <v>81955</v>
      </c>
      <c r="R601" s="1">
        <v>0</v>
      </c>
    </row>
    <row r="602" spans="1:18">
      <c r="A602" s="2">
        <v>0.83333333333333337</v>
      </c>
      <c r="B602" s="1">
        <v>465163</v>
      </c>
      <c r="C602" s="1">
        <v>89060</v>
      </c>
      <c r="D602" s="1">
        <v>40698.5</v>
      </c>
      <c r="E602" s="1">
        <v>0</v>
      </c>
      <c r="F602" s="1">
        <v>404514</v>
      </c>
      <c r="G602" s="1">
        <v>57642.2</v>
      </c>
      <c r="H602" s="1">
        <v>370650</v>
      </c>
      <c r="I602" s="1">
        <v>600034</v>
      </c>
      <c r="J602" s="1">
        <v>49872.1</v>
      </c>
      <c r="K602" s="1">
        <v>88381.3</v>
      </c>
      <c r="L602" s="1">
        <v>94271.6</v>
      </c>
      <c r="M602" s="1">
        <v>66877.899999999994</v>
      </c>
      <c r="N602" s="1">
        <v>84181.5</v>
      </c>
      <c r="O602" s="1">
        <v>87116.9</v>
      </c>
      <c r="P602" s="1">
        <v>52639</v>
      </c>
      <c r="Q602" s="1">
        <v>81955</v>
      </c>
      <c r="R602" s="1">
        <v>0</v>
      </c>
    </row>
    <row r="603" spans="1:18">
      <c r="A603" s="2">
        <v>0.875</v>
      </c>
      <c r="B603" s="1">
        <v>466044</v>
      </c>
      <c r="C603" s="1">
        <v>89297</v>
      </c>
      <c r="D603" s="1">
        <v>40713.5</v>
      </c>
      <c r="E603" s="1">
        <v>0</v>
      </c>
      <c r="F603" s="1">
        <v>404539</v>
      </c>
      <c r="G603" s="1">
        <v>57715.9</v>
      </c>
      <c r="H603" s="1">
        <v>370662</v>
      </c>
      <c r="I603" s="1">
        <v>600337</v>
      </c>
      <c r="J603" s="1">
        <v>49882.2</v>
      </c>
      <c r="K603" s="1">
        <v>88384.9</v>
      </c>
      <c r="L603" s="1">
        <v>94294.6</v>
      </c>
      <c r="M603" s="1">
        <v>66919.3</v>
      </c>
      <c r="N603" s="1">
        <v>84237.9</v>
      </c>
      <c r="O603" s="1">
        <v>87138.4</v>
      </c>
      <c r="P603" s="1">
        <v>52639</v>
      </c>
      <c r="Q603" s="1">
        <v>81955</v>
      </c>
      <c r="R603" s="1">
        <v>0</v>
      </c>
    </row>
    <row r="604" spans="1:18">
      <c r="A604" s="2">
        <v>0.91666666666666663</v>
      </c>
      <c r="B604" s="1">
        <v>466909</v>
      </c>
      <c r="C604" s="1">
        <v>89532</v>
      </c>
      <c r="D604" s="1">
        <v>40729.300000000003</v>
      </c>
      <c r="E604" s="1">
        <v>0</v>
      </c>
      <c r="F604" s="1">
        <v>404563</v>
      </c>
      <c r="G604" s="1">
        <v>57788.9</v>
      </c>
      <c r="H604" s="1">
        <v>370673</v>
      </c>
      <c r="I604" s="1">
        <v>600625</v>
      </c>
      <c r="J604" s="1">
        <v>49892.1</v>
      </c>
      <c r="K604" s="1">
        <v>88388.6</v>
      </c>
      <c r="L604" s="1">
        <v>94318.9</v>
      </c>
      <c r="M604" s="1">
        <v>66963.5</v>
      </c>
      <c r="N604" s="1">
        <v>84294.1</v>
      </c>
      <c r="O604" s="1">
        <v>87160</v>
      </c>
      <c r="P604" s="1">
        <v>52639</v>
      </c>
      <c r="Q604" s="1">
        <v>81955</v>
      </c>
      <c r="R604" s="1">
        <v>0</v>
      </c>
    </row>
    <row r="605" spans="1:18">
      <c r="A605" s="2">
        <v>0.95833333333333337</v>
      </c>
      <c r="B605" s="1">
        <v>467741</v>
      </c>
      <c r="C605" s="1">
        <v>89752</v>
      </c>
      <c r="D605" s="1">
        <v>40743.4</v>
      </c>
      <c r="E605" s="1">
        <v>0</v>
      </c>
      <c r="F605" s="1">
        <v>404587</v>
      </c>
      <c r="G605" s="1">
        <v>57862.9</v>
      </c>
      <c r="H605" s="1">
        <v>370684</v>
      </c>
      <c r="I605" s="1">
        <v>600904</v>
      </c>
      <c r="J605" s="1">
        <v>49902.1</v>
      </c>
      <c r="K605" s="1">
        <v>88392.1</v>
      </c>
      <c r="L605" s="1">
        <v>94343.6</v>
      </c>
      <c r="M605" s="1">
        <v>67001.5</v>
      </c>
      <c r="N605" s="1">
        <v>84351.5</v>
      </c>
      <c r="O605" s="1">
        <v>87179.4</v>
      </c>
      <c r="P605" s="1">
        <v>52639</v>
      </c>
      <c r="Q605" s="1">
        <v>81955</v>
      </c>
      <c r="R605" s="1">
        <v>0</v>
      </c>
    </row>
    <row r="606" spans="1:18">
      <c r="A606" s="2">
        <v>0</v>
      </c>
      <c r="B606" s="1">
        <v>468533</v>
      </c>
      <c r="C606" s="1">
        <v>89961</v>
      </c>
      <c r="D606" s="1">
        <v>40756.800000000003</v>
      </c>
      <c r="E606" s="1">
        <v>0</v>
      </c>
      <c r="F606" s="1">
        <v>404608</v>
      </c>
      <c r="G606" s="1">
        <v>57930.6</v>
      </c>
      <c r="H606" s="1">
        <v>370696</v>
      </c>
      <c r="I606" s="1">
        <v>601168</v>
      </c>
      <c r="J606" s="1">
        <v>49912</v>
      </c>
      <c r="K606" s="1">
        <v>88395.5</v>
      </c>
      <c r="L606" s="1">
        <v>94367.9</v>
      </c>
      <c r="M606" s="1">
        <v>67038.3</v>
      </c>
      <c r="N606" s="1">
        <v>84406.9</v>
      </c>
      <c r="O606" s="1">
        <v>87198.399999999994</v>
      </c>
      <c r="P606" s="1">
        <v>52639</v>
      </c>
      <c r="Q606" s="1">
        <v>81955</v>
      </c>
      <c r="R606" s="1">
        <v>0</v>
      </c>
    </row>
    <row r="607" spans="1:18">
      <c r="A607" s="2">
        <v>4.1666666666666664E-2</v>
      </c>
      <c r="B607" s="1">
        <v>469289</v>
      </c>
      <c r="C607" s="1">
        <v>90161</v>
      </c>
      <c r="D607" s="1">
        <v>40770.6</v>
      </c>
      <c r="E607" s="1">
        <v>0</v>
      </c>
      <c r="F607" s="1">
        <v>404629</v>
      </c>
      <c r="G607" s="1">
        <v>57993.9</v>
      </c>
      <c r="H607" s="1">
        <v>370707</v>
      </c>
      <c r="I607" s="1">
        <v>601417</v>
      </c>
      <c r="J607" s="1">
        <v>49921.599999999999</v>
      </c>
      <c r="K607" s="1">
        <v>88398.9</v>
      </c>
      <c r="L607" s="1">
        <v>94391.2</v>
      </c>
      <c r="M607" s="1">
        <v>67075.100000000006</v>
      </c>
      <c r="N607" s="1">
        <v>84462.3</v>
      </c>
      <c r="O607" s="1">
        <v>87216.4</v>
      </c>
      <c r="P607" s="1">
        <v>52639</v>
      </c>
      <c r="Q607" s="1">
        <v>81955</v>
      </c>
      <c r="R607" s="1">
        <v>0</v>
      </c>
    </row>
    <row r="608" spans="1:18">
      <c r="A608" s="2">
        <v>8.3333333333333329E-2</v>
      </c>
      <c r="B608" s="1">
        <v>470019</v>
      </c>
      <c r="C608" s="1">
        <v>90353</v>
      </c>
      <c r="D608" s="1">
        <v>40783.199999999997</v>
      </c>
      <c r="E608" s="1">
        <v>0</v>
      </c>
      <c r="F608" s="1">
        <v>404649</v>
      </c>
      <c r="G608" s="1">
        <v>58051.3</v>
      </c>
      <c r="H608" s="1">
        <v>370718</v>
      </c>
      <c r="I608" s="1">
        <v>601654</v>
      </c>
      <c r="J608" s="1">
        <v>49931.1</v>
      </c>
      <c r="K608" s="1">
        <v>88402.3</v>
      </c>
      <c r="L608" s="1">
        <v>94414</v>
      </c>
      <c r="M608" s="1">
        <v>67114.600000000006</v>
      </c>
      <c r="N608" s="1">
        <v>84517.5</v>
      </c>
      <c r="O608" s="1">
        <v>87236</v>
      </c>
      <c r="P608" s="1">
        <v>52639</v>
      </c>
      <c r="Q608" s="1">
        <v>81955</v>
      </c>
      <c r="R608" s="1">
        <v>0</v>
      </c>
    </row>
    <row r="609" spans="1:18">
      <c r="A609" s="2">
        <v>0.125</v>
      </c>
      <c r="B609" s="1">
        <v>470739</v>
      </c>
      <c r="C609" s="1">
        <v>90544</v>
      </c>
      <c r="D609" s="1">
        <v>40796.6</v>
      </c>
      <c r="E609" s="1">
        <v>0</v>
      </c>
      <c r="F609" s="1">
        <v>404670</v>
      </c>
      <c r="G609" s="1">
        <v>58107.7</v>
      </c>
      <c r="H609" s="1">
        <v>370729</v>
      </c>
      <c r="I609" s="1">
        <v>601883</v>
      </c>
      <c r="J609" s="1">
        <v>49940.7</v>
      </c>
      <c r="K609" s="1">
        <v>88405.6</v>
      </c>
      <c r="L609" s="1">
        <v>94438.7</v>
      </c>
      <c r="M609" s="1">
        <v>67153.100000000006</v>
      </c>
      <c r="N609" s="1">
        <v>84571.7</v>
      </c>
      <c r="O609" s="1">
        <v>87254.5</v>
      </c>
      <c r="P609" s="1">
        <v>52639</v>
      </c>
      <c r="Q609" s="1">
        <v>81955</v>
      </c>
      <c r="R609" s="1">
        <v>0</v>
      </c>
    </row>
    <row r="610" spans="1:18">
      <c r="A610" s="2">
        <v>0.16666666666666666</v>
      </c>
      <c r="B610" s="1">
        <v>471452</v>
      </c>
      <c r="C610" s="1">
        <v>90730</v>
      </c>
      <c r="D610" s="1">
        <v>40809.9</v>
      </c>
      <c r="E610" s="1">
        <v>0</v>
      </c>
      <c r="F610" s="1">
        <v>404691</v>
      </c>
      <c r="G610" s="1">
        <v>58163.5</v>
      </c>
      <c r="H610" s="1">
        <v>370740</v>
      </c>
      <c r="I610" s="1">
        <v>602110</v>
      </c>
      <c r="J610" s="1">
        <v>49950.1</v>
      </c>
      <c r="K610" s="1">
        <v>88409</v>
      </c>
      <c r="L610" s="1">
        <v>94463.6</v>
      </c>
      <c r="M610" s="1">
        <v>67190.5</v>
      </c>
      <c r="N610" s="1">
        <v>84625.9</v>
      </c>
      <c r="O610" s="1">
        <v>87273.3</v>
      </c>
      <c r="P610" s="1">
        <v>52639</v>
      </c>
      <c r="Q610" s="1">
        <v>81955</v>
      </c>
      <c r="R610" s="1">
        <v>0</v>
      </c>
    </row>
    <row r="611" spans="1:18">
      <c r="A611" s="2">
        <v>0.20833333333333334</v>
      </c>
      <c r="B611" s="1">
        <v>472162</v>
      </c>
      <c r="C611" s="1">
        <v>90915</v>
      </c>
      <c r="D611" s="1">
        <v>40823</v>
      </c>
      <c r="E611" s="1">
        <v>0</v>
      </c>
      <c r="F611" s="1">
        <v>404711</v>
      </c>
      <c r="G611" s="1">
        <v>58218.400000000001</v>
      </c>
      <c r="H611" s="1">
        <v>370751</v>
      </c>
      <c r="I611" s="1">
        <v>602335</v>
      </c>
      <c r="J611" s="1">
        <v>49959.5</v>
      </c>
      <c r="K611" s="1">
        <v>88412.800000000003</v>
      </c>
      <c r="L611" s="1">
        <v>94487.1</v>
      </c>
      <c r="M611" s="1">
        <v>67229</v>
      </c>
      <c r="N611" s="1">
        <v>84681.4</v>
      </c>
      <c r="O611" s="1">
        <v>87293.3</v>
      </c>
      <c r="P611" s="1">
        <v>52639</v>
      </c>
      <c r="Q611" s="1">
        <v>81955</v>
      </c>
      <c r="R611" s="1">
        <v>0</v>
      </c>
    </row>
    <row r="612" spans="1:18">
      <c r="A612" s="2">
        <v>0.25</v>
      </c>
      <c r="B612" s="1">
        <v>472861</v>
      </c>
      <c r="C612" s="1">
        <v>91097</v>
      </c>
      <c r="D612" s="1">
        <v>40836.699999999997</v>
      </c>
      <c r="E612" s="1">
        <v>0</v>
      </c>
      <c r="F612" s="1">
        <v>404730</v>
      </c>
      <c r="G612" s="1">
        <v>58272.800000000003</v>
      </c>
      <c r="H612" s="1">
        <v>370763</v>
      </c>
      <c r="I612" s="1">
        <v>602557</v>
      </c>
      <c r="J612" s="1">
        <v>49968.7</v>
      </c>
      <c r="K612" s="1">
        <v>88416.2</v>
      </c>
      <c r="L612" s="1">
        <v>94508.1</v>
      </c>
      <c r="M612" s="1">
        <v>67266.600000000006</v>
      </c>
      <c r="N612" s="1">
        <v>84736</v>
      </c>
      <c r="O612" s="1">
        <v>87313.8</v>
      </c>
      <c r="P612" s="1">
        <v>52639</v>
      </c>
      <c r="Q612" s="1">
        <v>81955</v>
      </c>
      <c r="R612" s="1">
        <v>0</v>
      </c>
    </row>
    <row r="613" spans="1:18">
      <c r="A613" s="2">
        <v>0.29166666666666669</v>
      </c>
      <c r="B613" s="1">
        <v>473560</v>
      </c>
      <c r="C613" s="1">
        <v>91280</v>
      </c>
      <c r="D613" s="1">
        <v>40849.699999999997</v>
      </c>
      <c r="E613" s="1">
        <v>0</v>
      </c>
      <c r="F613" s="1">
        <v>404748</v>
      </c>
      <c r="G613" s="1">
        <v>58325.599999999999</v>
      </c>
      <c r="H613" s="1">
        <v>370773</v>
      </c>
      <c r="I613" s="1">
        <v>602785</v>
      </c>
      <c r="J613" s="1">
        <v>49977.8</v>
      </c>
      <c r="K613" s="1">
        <v>88418.7</v>
      </c>
      <c r="L613" s="1">
        <v>94528.4</v>
      </c>
      <c r="M613" s="1">
        <v>67301.3</v>
      </c>
      <c r="N613" s="1">
        <v>84790</v>
      </c>
      <c r="O613" s="1">
        <v>87334.2</v>
      </c>
      <c r="P613" s="1">
        <v>52639</v>
      </c>
      <c r="Q613" s="1">
        <v>81956</v>
      </c>
      <c r="R613" s="1">
        <v>0</v>
      </c>
    </row>
    <row r="614" spans="1:18">
      <c r="A614" s="2">
        <v>0.33333333333333331</v>
      </c>
      <c r="B614" s="1">
        <v>474284</v>
      </c>
      <c r="C614" s="1">
        <v>91479</v>
      </c>
      <c r="D614" s="1">
        <v>40863.5</v>
      </c>
      <c r="E614" s="1">
        <v>0</v>
      </c>
      <c r="F614" s="1">
        <v>404767</v>
      </c>
      <c r="G614" s="1">
        <v>58375.8</v>
      </c>
      <c r="H614" s="1">
        <v>370784</v>
      </c>
      <c r="I614" s="1">
        <v>603020</v>
      </c>
      <c r="J614" s="1">
        <v>49986.3</v>
      </c>
      <c r="K614" s="1">
        <v>88419.4</v>
      </c>
      <c r="L614" s="1">
        <v>94550.8</v>
      </c>
      <c r="M614" s="1">
        <v>67336.5</v>
      </c>
      <c r="N614" s="1">
        <v>84841.4</v>
      </c>
      <c r="O614" s="1">
        <v>87358.7</v>
      </c>
      <c r="P614" s="1">
        <v>52641</v>
      </c>
      <c r="Q614" s="1">
        <v>81959</v>
      </c>
      <c r="R614" s="1">
        <v>0</v>
      </c>
    </row>
    <row r="615" spans="1:18">
      <c r="A615" s="2">
        <v>0.375</v>
      </c>
      <c r="B615" s="1">
        <v>475149</v>
      </c>
      <c r="C615" s="1">
        <v>91715</v>
      </c>
      <c r="D615" s="1">
        <v>40878.5</v>
      </c>
      <c r="E615" s="1">
        <v>0</v>
      </c>
      <c r="F615" s="1">
        <v>404792</v>
      </c>
      <c r="G615" s="1">
        <v>58428.6</v>
      </c>
      <c r="H615" s="1">
        <v>370795</v>
      </c>
      <c r="I615" s="1">
        <v>603307</v>
      </c>
      <c r="J615" s="1">
        <v>49995.8</v>
      </c>
      <c r="K615" s="1">
        <v>88419.4</v>
      </c>
      <c r="L615" s="1">
        <v>94579.8</v>
      </c>
      <c r="M615" s="1">
        <v>67380.100000000006</v>
      </c>
      <c r="N615" s="1">
        <v>84890.2</v>
      </c>
      <c r="O615" s="1">
        <v>87397.3</v>
      </c>
      <c r="P615" s="1">
        <v>52646</v>
      </c>
      <c r="Q615" s="1">
        <v>81969</v>
      </c>
      <c r="R615" s="1">
        <v>0</v>
      </c>
    </row>
    <row r="616" spans="1:18">
      <c r="A616" s="2">
        <v>0.41666666666666669</v>
      </c>
      <c r="B616" s="1">
        <v>476231</v>
      </c>
      <c r="C616" s="1">
        <v>92013</v>
      </c>
      <c r="D616" s="1">
        <v>40901.5</v>
      </c>
      <c r="E616" s="1">
        <v>0</v>
      </c>
      <c r="F616" s="1">
        <v>404827</v>
      </c>
      <c r="G616" s="1">
        <v>58491.9</v>
      </c>
      <c r="H616" s="1">
        <v>370806</v>
      </c>
      <c r="I616" s="1">
        <v>603677</v>
      </c>
      <c r="J616" s="1">
        <v>50000.6</v>
      </c>
      <c r="K616" s="1">
        <v>88422.6</v>
      </c>
      <c r="L616" s="1">
        <v>94611.6</v>
      </c>
      <c r="M616" s="1">
        <v>67425.600000000006</v>
      </c>
      <c r="N616" s="1">
        <v>84942.1</v>
      </c>
      <c r="O616" s="1">
        <v>87452.6</v>
      </c>
      <c r="P616" s="1">
        <v>52652</v>
      </c>
      <c r="Q616" s="1">
        <v>81977</v>
      </c>
      <c r="R616" s="1">
        <v>0</v>
      </c>
    </row>
    <row r="617" spans="1:18">
      <c r="A617" s="2">
        <v>0.45833333333333331</v>
      </c>
      <c r="B617" s="1">
        <v>477479</v>
      </c>
      <c r="C617" s="1">
        <v>92350</v>
      </c>
      <c r="D617" s="1">
        <v>40932.699999999997</v>
      </c>
      <c r="E617" s="1">
        <v>0</v>
      </c>
      <c r="F617" s="1">
        <v>404877</v>
      </c>
      <c r="G617" s="1">
        <v>58582.9</v>
      </c>
      <c r="H617" s="1">
        <v>370830</v>
      </c>
      <c r="I617" s="1">
        <v>604081</v>
      </c>
      <c r="J617" s="1">
        <v>50006.5</v>
      </c>
      <c r="K617" s="1">
        <v>88423.5</v>
      </c>
      <c r="L617" s="1">
        <v>94644</v>
      </c>
      <c r="M617" s="1">
        <v>67478.7</v>
      </c>
      <c r="N617" s="1">
        <v>84992.4</v>
      </c>
      <c r="O617" s="1">
        <v>87525.1</v>
      </c>
      <c r="P617" s="1">
        <v>52662</v>
      </c>
      <c r="Q617" s="1">
        <v>81993</v>
      </c>
      <c r="R617" s="1">
        <v>0</v>
      </c>
    </row>
    <row r="618" spans="1:18">
      <c r="A618" s="2">
        <v>0.5</v>
      </c>
      <c r="B618" s="1">
        <v>478756</v>
      </c>
      <c r="C618" s="1">
        <v>92719</v>
      </c>
      <c r="D618" s="1">
        <v>40963.300000000003</v>
      </c>
      <c r="E618" s="1">
        <v>0</v>
      </c>
      <c r="F618" s="1">
        <v>404927</v>
      </c>
      <c r="G618" s="1">
        <v>58671.5</v>
      </c>
      <c r="H618" s="1">
        <v>370844</v>
      </c>
      <c r="I618" s="1">
        <v>604507</v>
      </c>
      <c r="J618" s="1">
        <v>50012.6</v>
      </c>
      <c r="K618" s="1">
        <v>88423.6</v>
      </c>
      <c r="L618" s="1">
        <v>94681.3</v>
      </c>
      <c r="M618" s="1">
        <v>67530.8</v>
      </c>
      <c r="N618" s="1">
        <v>85037.5</v>
      </c>
      <c r="O618" s="1">
        <v>87592.8</v>
      </c>
      <c r="P618" s="1">
        <v>52676</v>
      </c>
      <c r="Q618" s="1">
        <v>82014</v>
      </c>
      <c r="R618" s="1">
        <v>0</v>
      </c>
    </row>
    <row r="619" spans="1:18">
      <c r="A619" s="2">
        <v>0.54166666666666663</v>
      </c>
      <c r="B619" s="1">
        <v>480070</v>
      </c>
      <c r="C619" s="1">
        <v>93091</v>
      </c>
      <c r="D619" s="1">
        <v>40995</v>
      </c>
      <c r="E619" s="1">
        <v>0</v>
      </c>
      <c r="F619" s="1">
        <v>404987</v>
      </c>
      <c r="G619" s="1">
        <v>58763.199999999997</v>
      </c>
      <c r="H619" s="1">
        <v>370858</v>
      </c>
      <c r="I619" s="1">
        <v>604943</v>
      </c>
      <c r="J619" s="1">
        <v>50023.4</v>
      </c>
      <c r="K619" s="1">
        <v>88423.6</v>
      </c>
      <c r="L619" s="1">
        <v>94723.5</v>
      </c>
      <c r="M619" s="1">
        <v>67584.899999999994</v>
      </c>
      <c r="N619" s="1">
        <v>85084.3</v>
      </c>
      <c r="O619" s="1">
        <v>87659.199999999997</v>
      </c>
      <c r="P619" s="1">
        <v>52686</v>
      </c>
      <c r="Q619" s="1">
        <v>82031</v>
      </c>
      <c r="R619" s="1">
        <v>0</v>
      </c>
    </row>
    <row r="620" spans="1:18">
      <c r="A620" s="2">
        <v>0.58333333333333337</v>
      </c>
      <c r="B620" s="1">
        <v>481468</v>
      </c>
      <c r="C620" s="1">
        <v>93495</v>
      </c>
      <c r="D620" s="1">
        <v>41036.400000000001</v>
      </c>
      <c r="E620" s="1">
        <v>0</v>
      </c>
      <c r="F620" s="1">
        <v>405045</v>
      </c>
      <c r="G620" s="1">
        <v>58859.3</v>
      </c>
      <c r="H620" s="1">
        <v>370874</v>
      </c>
      <c r="I620" s="1">
        <v>605399</v>
      </c>
      <c r="J620" s="1">
        <v>50034.9</v>
      </c>
      <c r="K620" s="1">
        <v>88423.8</v>
      </c>
      <c r="L620" s="1">
        <v>94773.1</v>
      </c>
      <c r="M620" s="1">
        <v>67641.399999999994</v>
      </c>
      <c r="N620" s="1">
        <v>85128.2</v>
      </c>
      <c r="O620" s="1">
        <v>87733.6</v>
      </c>
      <c r="P620" s="1">
        <v>52700</v>
      </c>
      <c r="Q620" s="1">
        <v>82051</v>
      </c>
      <c r="R620" s="1">
        <v>0</v>
      </c>
    </row>
    <row r="621" spans="1:18">
      <c r="A621" s="2">
        <v>0.625</v>
      </c>
      <c r="B621" s="1">
        <v>482914</v>
      </c>
      <c r="C621" s="1">
        <v>93920</v>
      </c>
      <c r="D621" s="1">
        <v>41078.199999999997</v>
      </c>
      <c r="E621" s="1">
        <v>0</v>
      </c>
      <c r="F621" s="1">
        <v>405108</v>
      </c>
      <c r="G621" s="1">
        <v>58969.8</v>
      </c>
      <c r="H621" s="1">
        <v>370886</v>
      </c>
      <c r="I621" s="1">
        <v>605880</v>
      </c>
      <c r="J621" s="1">
        <v>50047</v>
      </c>
      <c r="K621" s="1">
        <v>88423.8</v>
      </c>
      <c r="L621" s="1">
        <v>94820.2</v>
      </c>
      <c r="M621" s="1">
        <v>67699.3</v>
      </c>
      <c r="N621" s="1">
        <v>85172.5</v>
      </c>
      <c r="O621" s="1">
        <v>87786.3</v>
      </c>
      <c r="P621" s="1">
        <v>52714</v>
      </c>
      <c r="Q621" s="1">
        <v>82073</v>
      </c>
      <c r="R621" s="1">
        <v>0</v>
      </c>
    </row>
    <row r="622" spans="1:18">
      <c r="A622" s="2">
        <v>0.66666666666666663</v>
      </c>
      <c r="B622" s="1">
        <v>484306</v>
      </c>
      <c r="C622" s="1">
        <v>94316</v>
      </c>
      <c r="D622" s="1">
        <v>41119</v>
      </c>
      <c r="E622" s="1">
        <v>0</v>
      </c>
      <c r="F622" s="1">
        <v>405167</v>
      </c>
      <c r="G622" s="1">
        <v>59074.7</v>
      </c>
      <c r="H622" s="1">
        <v>370897</v>
      </c>
      <c r="I622" s="1">
        <v>606345</v>
      </c>
      <c r="J622" s="1">
        <v>50060.7</v>
      </c>
      <c r="K622" s="1">
        <v>88423.8</v>
      </c>
      <c r="L622" s="1">
        <v>94874</v>
      </c>
      <c r="M622" s="1">
        <v>67756.399999999994</v>
      </c>
      <c r="N622" s="1">
        <v>85220.9</v>
      </c>
      <c r="O622" s="1">
        <v>87817.2</v>
      </c>
      <c r="P622" s="1">
        <v>52726</v>
      </c>
      <c r="Q622" s="1">
        <v>82091</v>
      </c>
      <c r="R622" s="1">
        <v>0</v>
      </c>
    </row>
    <row r="623" spans="1:18">
      <c r="A623" s="2">
        <v>0.70833333333333337</v>
      </c>
      <c r="B623" s="1">
        <v>485643</v>
      </c>
      <c r="C623" s="1">
        <v>94689</v>
      </c>
      <c r="D623" s="1">
        <v>41156</v>
      </c>
      <c r="E623" s="1">
        <v>0</v>
      </c>
      <c r="F623" s="1">
        <v>405222</v>
      </c>
      <c r="G623" s="1">
        <v>59178.6</v>
      </c>
      <c r="H623" s="1">
        <v>370911</v>
      </c>
      <c r="I623" s="1">
        <v>606800</v>
      </c>
      <c r="J623" s="1">
        <v>50071.7</v>
      </c>
      <c r="K623" s="1">
        <v>88426.9</v>
      </c>
      <c r="L623" s="1">
        <v>94925.9</v>
      </c>
      <c r="M623" s="1">
        <v>67809.899999999994</v>
      </c>
      <c r="N623" s="1">
        <v>85271.8</v>
      </c>
      <c r="O623" s="1">
        <v>87846.3</v>
      </c>
      <c r="P623" s="1">
        <v>52735</v>
      </c>
      <c r="Q623" s="1">
        <v>82105</v>
      </c>
      <c r="R623" s="1">
        <v>0</v>
      </c>
    </row>
    <row r="624" spans="1:18">
      <c r="A624" s="2">
        <v>0.75</v>
      </c>
      <c r="B624" s="1">
        <v>486869</v>
      </c>
      <c r="C624" s="1">
        <v>95032</v>
      </c>
      <c r="D624" s="1">
        <v>41185.199999999997</v>
      </c>
      <c r="E624" s="1">
        <v>0</v>
      </c>
      <c r="F624" s="1">
        <v>405264</v>
      </c>
      <c r="G624" s="1">
        <v>59277.7</v>
      </c>
      <c r="H624" s="1">
        <v>370936</v>
      </c>
      <c r="I624" s="1">
        <v>607207</v>
      </c>
      <c r="J624" s="1">
        <v>50080.9</v>
      </c>
      <c r="K624" s="1">
        <v>88430.8</v>
      </c>
      <c r="L624" s="1">
        <v>94973.8</v>
      </c>
      <c r="M624" s="1">
        <v>67860.899999999994</v>
      </c>
      <c r="N624" s="1">
        <v>85327.1</v>
      </c>
      <c r="O624" s="1">
        <v>87874.7</v>
      </c>
      <c r="P624" s="1">
        <v>52739</v>
      </c>
      <c r="Q624" s="1">
        <v>82111</v>
      </c>
      <c r="R624" s="1">
        <v>0</v>
      </c>
    </row>
    <row r="625" spans="1:18">
      <c r="A625" s="2">
        <v>0.79166666666666663</v>
      </c>
      <c r="B625" s="1">
        <v>487943</v>
      </c>
      <c r="C625" s="1">
        <v>95323</v>
      </c>
      <c r="D625" s="1">
        <v>41204.5</v>
      </c>
      <c r="E625" s="1">
        <v>0</v>
      </c>
      <c r="F625" s="1">
        <v>405295</v>
      </c>
      <c r="G625" s="1">
        <v>59365.2</v>
      </c>
      <c r="H625" s="1">
        <v>370957</v>
      </c>
      <c r="I625" s="1">
        <v>607580</v>
      </c>
      <c r="J625" s="1">
        <v>50089.2</v>
      </c>
      <c r="K625" s="1">
        <v>88434.5</v>
      </c>
      <c r="L625" s="1">
        <v>95013.2</v>
      </c>
      <c r="M625" s="1">
        <v>67909.899999999994</v>
      </c>
      <c r="N625" s="1">
        <v>85381.9</v>
      </c>
      <c r="O625" s="1">
        <v>87899.5</v>
      </c>
      <c r="P625" s="1">
        <v>52740</v>
      </c>
      <c r="Q625" s="1">
        <v>82112</v>
      </c>
      <c r="R625" s="1">
        <v>0</v>
      </c>
    </row>
    <row r="626" spans="1:18">
      <c r="A626" s="2">
        <v>0.83333333333333337</v>
      </c>
      <c r="B626" s="1">
        <v>488879</v>
      </c>
      <c r="C626" s="1">
        <v>95576</v>
      </c>
      <c r="D626" s="1">
        <v>41222.1</v>
      </c>
      <c r="E626" s="1">
        <v>0</v>
      </c>
      <c r="F626" s="1">
        <v>405320</v>
      </c>
      <c r="G626" s="1">
        <v>59440.9</v>
      </c>
      <c r="H626" s="1">
        <v>370970</v>
      </c>
      <c r="I626" s="1">
        <v>607901</v>
      </c>
      <c r="J626" s="1">
        <v>50096.800000000003</v>
      </c>
      <c r="K626" s="1">
        <v>88438.3</v>
      </c>
      <c r="L626" s="1">
        <v>95047.4</v>
      </c>
      <c r="M626" s="1">
        <v>67953.899999999994</v>
      </c>
      <c r="N626" s="1">
        <v>85436.4</v>
      </c>
      <c r="O626" s="1">
        <v>87924.9</v>
      </c>
      <c r="P626" s="1">
        <v>52740</v>
      </c>
      <c r="Q626" s="1">
        <v>82112</v>
      </c>
      <c r="R626" s="1">
        <v>0</v>
      </c>
    </row>
    <row r="627" spans="1:18">
      <c r="A627" s="2">
        <v>0.875</v>
      </c>
      <c r="B627" s="1">
        <v>489722</v>
      </c>
      <c r="C627" s="1">
        <v>95798</v>
      </c>
      <c r="D627" s="1">
        <v>41241.800000000003</v>
      </c>
      <c r="E627" s="1">
        <v>0</v>
      </c>
      <c r="F627" s="1">
        <v>405343</v>
      </c>
      <c r="G627" s="1">
        <v>59511.199999999997</v>
      </c>
      <c r="H627" s="1">
        <v>370983</v>
      </c>
      <c r="I627" s="1">
        <v>608176</v>
      </c>
      <c r="J627" s="1">
        <v>50104.1</v>
      </c>
      <c r="K627" s="1">
        <v>88441.8</v>
      </c>
      <c r="L627" s="1">
        <v>95075.8</v>
      </c>
      <c r="M627" s="1">
        <v>67997.399999999994</v>
      </c>
      <c r="N627" s="1">
        <v>85490.9</v>
      </c>
      <c r="O627" s="1">
        <v>87951.3</v>
      </c>
      <c r="P627" s="1">
        <v>52740</v>
      </c>
      <c r="Q627" s="1">
        <v>82112</v>
      </c>
      <c r="R627" s="1">
        <v>0</v>
      </c>
    </row>
    <row r="628" spans="1:18">
      <c r="A628" s="2">
        <v>0.91666666666666663</v>
      </c>
      <c r="B628" s="1">
        <v>490515</v>
      </c>
      <c r="C628" s="1">
        <v>96004</v>
      </c>
      <c r="D628" s="1">
        <v>41259.1</v>
      </c>
      <c r="E628" s="1">
        <v>0</v>
      </c>
      <c r="F628" s="1">
        <v>405366</v>
      </c>
      <c r="G628" s="1">
        <v>59577.5</v>
      </c>
      <c r="H628" s="1">
        <v>370996</v>
      </c>
      <c r="I628" s="1">
        <v>608435</v>
      </c>
      <c r="J628" s="1">
        <v>50110.8</v>
      </c>
      <c r="K628" s="1">
        <v>88445.2</v>
      </c>
      <c r="L628" s="1">
        <v>95099.1</v>
      </c>
      <c r="M628" s="1">
        <v>68041.3</v>
      </c>
      <c r="N628" s="1">
        <v>85545.1</v>
      </c>
      <c r="O628" s="1">
        <v>87976.2</v>
      </c>
      <c r="P628" s="1">
        <v>52740</v>
      </c>
      <c r="Q628" s="1">
        <v>82112</v>
      </c>
      <c r="R628" s="1">
        <v>0</v>
      </c>
    </row>
    <row r="629" spans="1:18">
      <c r="A629" s="2">
        <v>0.95833333333333337</v>
      </c>
      <c r="B629" s="1">
        <v>491301</v>
      </c>
      <c r="C629" s="1">
        <v>96204</v>
      </c>
      <c r="D629" s="1">
        <v>41276.5</v>
      </c>
      <c r="E629" s="1">
        <v>0</v>
      </c>
      <c r="F629" s="1">
        <v>405389</v>
      </c>
      <c r="G629" s="1">
        <v>59642.2</v>
      </c>
      <c r="H629" s="1">
        <v>371008</v>
      </c>
      <c r="I629" s="1">
        <v>608700</v>
      </c>
      <c r="J629" s="1">
        <v>50117.4</v>
      </c>
      <c r="K629" s="1">
        <v>88448.5</v>
      </c>
      <c r="L629" s="1">
        <v>95123.6</v>
      </c>
      <c r="M629" s="1">
        <v>68083.199999999997</v>
      </c>
      <c r="N629" s="1">
        <v>85601.4</v>
      </c>
      <c r="O629" s="1">
        <v>87997.5</v>
      </c>
      <c r="P629" s="1">
        <v>52740</v>
      </c>
      <c r="Q629" s="1">
        <v>82112</v>
      </c>
      <c r="R629" s="1">
        <v>0</v>
      </c>
    </row>
    <row r="630" spans="1:18">
      <c r="A630" s="2">
        <v>0</v>
      </c>
      <c r="B630" s="1">
        <v>492059</v>
      </c>
      <c r="C630" s="1">
        <v>96395</v>
      </c>
      <c r="D630" s="1">
        <v>41291.199999999997</v>
      </c>
      <c r="E630" s="1">
        <v>0</v>
      </c>
      <c r="F630" s="1">
        <v>405410</v>
      </c>
      <c r="G630" s="1">
        <v>59709.7</v>
      </c>
      <c r="H630" s="1">
        <v>371020</v>
      </c>
      <c r="I630" s="1">
        <v>608956</v>
      </c>
      <c r="J630" s="1">
        <v>50123.7</v>
      </c>
      <c r="K630" s="1">
        <v>88451.8</v>
      </c>
      <c r="L630" s="1">
        <v>95146.4</v>
      </c>
      <c r="M630" s="1">
        <v>68121.100000000006</v>
      </c>
      <c r="N630" s="1">
        <v>85655.1</v>
      </c>
      <c r="O630" s="1">
        <v>88017.5</v>
      </c>
      <c r="P630" s="1">
        <v>52740</v>
      </c>
      <c r="Q630" s="1">
        <v>82112</v>
      </c>
      <c r="R630" s="1">
        <v>0</v>
      </c>
    </row>
    <row r="631" spans="1:18">
      <c r="A631" s="2">
        <v>4.1666666666666664E-2</v>
      </c>
      <c r="B631" s="1">
        <v>492796</v>
      </c>
      <c r="C631" s="1">
        <v>96581</v>
      </c>
      <c r="D631" s="1">
        <v>41305.9</v>
      </c>
      <c r="E631" s="1">
        <v>0</v>
      </c>
      <c r="F631" s="1">
        <v>405431</v>
      </c>
      <c r="G631" s="1">
        <v>59777.7</v>
      </c>
      <c r="H631" s="1">
        <v>371033</v>
      </c>
      <c r="I631" s="1">
        <v>609197</v>
      </c>
      <c r="J631" s="1">
        <v>50129.7</v>
      </c>
      <c r="K631" s="1">
        <v>88455.1</v>
      </c>
      <c r="L631" s="1">
        <v>95170.5</v>
      </c>
      <c r="M631" s="1">
        <v>68158.3</v>
      </c>
      <c r="N631" s="1">
        <v>85708.800000000003</v>
      </c>
      <c r="O631" s="1">
        <v>88036.5</v>
      </c>
      <c r="P631" s="1">
        <v>52740</v>
      </c>
      <c r="Q631" s="1">
        <v>82112</v>
      </c>
      <c r="R631" s="1">
        <v>0</v>
      </c>
    </row>
    <row r="632" spans="1:18">
      <c r="A632" s="2">
        <v>8.3333333333333329E-2</v>
      </c>
      <c r="B632" s="1">
        <v>493508</v>
      </c>
      <c r="C632" s="1">
        <v>96758</v>
      </c>
      <c r="D632" s="1">
        <v>41319.800000000003</v>
      </c>
      <c r="E632" s="1">
        <v>0</v>
      </c>
      <c r="F632" s="1">
        <v>405451</v>
      </c>
      <c r="G632" s="1">
        <v>59841.2</v>
      </c>
      <c r="H632" s="1">
        <v>371045</v>
      </c>
      <c r="I632" s="1">
        <v>609431</v>
      </c>
      <c r="J632" s="1">
        <v>50135.9</v>
      </c>
      <c r="K632" s="1">
        <v>88458.4</v>
      </c>
      <c r="L632" s="1">
        <v>95193.3</v>
      </c>
      <c r="M632" s="1">
        <v>68195.100000000006</v>
      </c>
      <c r="N632" s="1">
        <v>85762.3</v>
      </c>
      <c r="O632" s="1">
        <v>88056.4</v>
      </c>
      <c r="P632" s="1">
        <v>52740</v>
      </c>
      <c r="Q632" s="1">
        <v>82112</v>
      </c>
      <c r="R632" s="1">
        <v>0</v>
      </c>
    </row>
    <row r="633" spans="1:18">
      <c r="A633" s="2">
        <v>0.125</v>
      </c>
      <c r="B633" s="1">
        <v>494209</v>
      </c>
      <c r="C633" s="1">
        <v>96930</v>
      </c>
      <c r="D633" s="1">
        <v>41333.9</v>
      </c>
      <c r="E633" s="1">
        <v>0</v>
      </c>
      <c r="F633" s="1">
        <v>405471</v>
      </c>
      <c r="G633" s="1">
        <v>59902.9</v>
      </c>
      <c r="H633" s="1">
        <v>371057</v>
      </c>
      <c r="I633" s="1">
        <v>609662</v>
      </c>
      <c r="J633" s="1">
        <v>50142</v>
      </c>
      <c r="K633" s="1">
        <v>88461.6</v>
      </c>
      <c r="L633" s="1">
        <v>95215.4</v>
      </c>
      <c r="M633" s="1">
        <v>68231.899999999994</v>
      </c>
      <c r="N633" s="1">
        <v>85816</v>
      </c>
      <c r="O633" s="1">
        <v>88075.8</v>
      </c>
      <c r="P633" s="1">
        <v>52740</v>
      </c>
      <c r="Q633" s="1">
        <v>82112</v>
      </c>
      <c r="R633" s="1">
        <v>0</v>
      </c>
    </row>
    <row r="634" spans="1:18">
      <c r="A634" s="2">
        <v>0.16666666666666666</v>
      </c>
      <c r="B634" s="1">
        <v>494889</v>
      </c>
      <c r="C634" s="1">
        <v>97099</v>
      </c>
      <c r="D634" s="1">
        <v>41348.5</v>
      </c>
      <c r="E634" s="1">
        <v>0</v>
      </c>
      <c r="F634" s="1">
        <v>405490</v>
      </c>
      <c r="G634" s="1">
        <v>59964.800000000003</v>
      </c>
      <c r="H634" s="1">
        <v>371068</v>
      </c>
      <c r="I634" s="1">
        <v>609877</v>
      </c>
      <c r="J634" s="1">
        <v>50147.7</v>
      </c>
      <c r="K634" s="1">
        <v>88464.8</v>
      </c>
      <c r="L634" s="1">
        <v>95237.2</v>
      </c>
      <c r="M634" s="1">
        <v>68268.3</v>
      </c>
      <c r="N634" s="1">
        <v>85869.5</v>
      </c>
      <c r="O634" s="1">
        <v>88094.9</v>
      </c>
      <c r="P634" s="1">
        <v>52740</v>
      </c>
      <c r="Q634" s="1">
        <v>82112</v>
      </c>
      <c r="R634" s="1">
        <v>0</v>
      </c>
    </row>
    <row r="635" spans="1:18">
      <c r="A635" s="2">
        <v>0.20833333333333334</v>
      </c>
      <c r="B635" s="1">
        <v>495562</v>
      </c>
      <c r="C635" s="1">
        <v>97265</v>
      </c>
      <c r="D635" s="1">
        <v>41362.1</v>
      </c>
      <c r="E635" s="1">
        <v>0</v>
      </c>
      <c r="F635" s="1">
        <v>405510</v>
      </c>
      <c r="G635" s="1">
        <v>60025</v>
      </c>
      <c r="H635" s="1">
        <v>371080</v>
      </c>
      <c r="I635" s="1">
        <v>610087</v>
      </c>
      <c r="J635" s="1">
        <v>50153.599999999999</v>
      </c>
      <c r="K635" s="1">
        <v>88467.9</v>
      </c>
      <c r="L635" s="1">
        <v>95258.7</v>
      </c>
      <c r="M635" s="1">
        <v>68304.100000000006</v>
      </c>
      <c r="N635" s="1">
        <v>85925.6</v>
      </c>
      <c r="O635" s="1">
        <v>88115</v>
      </c>
      <c r="P635" s="1">
        <v>52740</v>
      </c>
      <c r="Q635" s="1">
        <v>82112</v>
      </c>
      <c r="R635" s="1">
        <v>0</v>
      </c>
    </row>
    <row r="636" spans="1:18">
      <c r="A636" s="2">
        <v>0.25</v>
      </c>
      <c r="B636" s="1">
        <v>496234</v>
      </c>
      <c r="C636" s="1">
        <v>97434</v>
      </c>
      <c r="D636" s="1">
        <v>41376.1</v>
      </c>
      <c r="E636" s="1">
        <v>0</v>
      </c>
      <c r="F636" s="1">
        <v>405529</v>
      </c>
      <c r="G636" s="1">
        <v>60084.6</v>
      </c>
      <c r="H636" s="1">
        <v>371092</v>
      </c>
      <c r="I636" s="1">
        <v>610296</v>
      </c>
      <c r="J636" s="1">
        <v>50159.5</v>
      </c>
      <c r="K636" s="1">
        <v>88471.4</v>
      </c>
      <c r="L636" s="1">
        <v>95280.3</v>
      </c>
      <c r="M636" s="1">
        <v>68339.7</v>
      </c>
      <c r="N636" s="1">
        <v>85979.4</v>
      </c>
      <c r="O636" s="1">
        <v>88136.1</v>
      </c>
      <c r="P636" s="1">
        <v>52740</v>
      </c>
      <c r="Q636" s="1">
        <v>82112</v>
      </c>
      <c r="R636" s="1">
        <v>0</v>
      </c>
    </row>
    <row r="637" spans="1:18">
      <c r="A637" s="2">
        <v>0.29166666666666669</v>
      </c>
      <c r="B637" s="1">
        <v>496907</v>
      </c>
      <c r="C637" s="1">
        <v>97605</v>
      </c>
      <c r="D637" s="1">
        <v>41390.199999999997</v>
      </c>
      <c r="E637" s="1">
        <v>0</v>
      </c>
      <c r="F637" s="1">
        <v>405548</v>
      </c>
      <c r="G637" s="1">
        <v>60143.199999999997</v>
      </c>
      <c r="H637" s="1">
        <v>371104</v>
      </c>
      <c r="I637" s="1">
        <v>610506</v>
      </c>
      <c r="J637" s="1">
        <v>50165.2</v>
      </c>
      <c r="K637" s="1">
        <v>88474.1</v>
      </c>
      <c r="L637" s="1">
        <v>95301.3</v>
      </c>
      <c r="M637" s="1">
        <v>68375.600000000006</v>
      </c>
      <c r="N637" s="1">
        <v>86032.6</v>
      </c>
      <c r="O637" s="1">
        <v>88157.4</v>
      </c>
      <c r="P637" s="1">
        <v>52740</v>
      </c>
      <c r="Q637" s="1">
        <v>82113</v>
      </c>
      <c r="R637" s="1">
        <v>0</v>
      </c>
    </row>
    <row r="638" spans="1:18">
      <c r="A638" s="2">
        <v>0.33333333333333331</v>
      </c>
      <c r="B638" s="1">
        <v>497621</v>
      </c>
      <c r="C638" s="1">
        <v>97789</v>
      </c>
      <c r="D638" s="1">
        <v>41404.400000000001</v>
      </c>
      <c r="E638" s="1">
        <v>0</v>
      </c>
      <c r="F638" s="1">
        <v>405568</v>
      </c>
      <c r="G638" s="1">
        <v>60200.5</v>
      </c>
      <c r="H638" s="1">
        <v>371117</v>
      </c>
      <c r="I638" s="1">
        <v>610736</v>
      </c>
      <c r="J638" s="1">
        <v>50171.4</v>
      </c>
      <c r="K638" s="1">
        <v>88475.1</v>
      </c>
      <c r="L638" s="1">
        <v>95323.1</v>
      </c>
      <c r="M638" s="1">
        <v>68413</v>
      </c>
      <c r="N638" s="1">
        <v>86083.6</v>
      </c>
      <c r="O638" s="1">
        <v>88184.3</v>
      </c>
      <c r="P638" s="1">
        <v>52742</v>
      </c>
      <c r="Q638" s="1">
        <v>82116</v>
      </c>
      <c r="R638" s="1">
        <v>0</v>
      </c>
    </row>
    <row r="639" spans="1:18">
      <c r="A639" s="2">
        <v>0.375</v>
      </c>
      <c r="B639" s="1">
        <v>498460</v>
      </c>
      <c r="C639" s="1">
        <v>98007</v>
      </c>
      <c r="D639" s="1">
        <v>41422</v>
      </c>
      <c r="E639" s="1">
        <v>0</v>
      </c>
      <c r="F639" s="1">
        <v>405599</v>
      </c>
      <c r="G639" s="1">
        <v>60256.1</v>
      </c>
      <c r="H639" s="1">
        <v>371129</v>
      </c>
      <c r="I639" s="1">
        <v>611005</v>
      </c>
      <c r="J639" s="1">
        <v>50178.3</v>
      </c>
      <c r="K639" s="1">
        <v>88475.4</v>
      </c>
      <c r="L639" s="1">
        <v>95350.1</v>
      </c>
      <c r="M639" s="1">
        <v>68456.7</v>
      </c>
      <c r="N639" s="1">
        <v>86131.4</v>
      </c>
      <c r="O639" s="1">
        <v>88232.1</v>
      </c>
      <c r="P639" s="1">
        <v>52747</v>
      </c>
      <c r="Q639" s="1">
        <v>82125</v>
      </c>
      <c r="R639" s="1">
        <v>0</v>
      </c>
    </row>
    <row r="640" spans="1:18">
      <c r="A640" s="2">
        <v>0.41666666666666669</v>
      </c>
      <c r="B640" s="1">
        <v>499526</v>
      </c>
      <c r="C640" s="1">
        <v>98281</v>
      </c>
      <c r="D640" s="1">
        <v>41448.300000000003</v>
      </c>
      <c r="E640" s="1">
        <v>0</v>
      </c>
      <c r="F640" s="1">
        <v>405640</v>
      </c>
      <c r="G640" s="1">
        <v>60329.7</v>
      </c>
      <c r="H640" s="1">
        <v>371141</v>
      </c>
      <c r="I640" s="1">
        <v>611370</v>
      </c>
      <c r="J640" s="1">
        <v>50185.1</v>
      </c>
      <c r="K640" s="1">
        <v>88476.9</v>
      </c>
      <c r="L640" s="1">
        <v>95379.5</v>
      </c>
      <c r="M640" s="1">
        <v>68502.899999999994</v>
      </c>
      <c r="N640" s="1">
        <v>86181.5</v>
      </c>
      <c r="O640" s="1">
        <v>88290.2</v>
      </c>
      <c r="P640" s="1">
        <v>52756</v>
      </c>
      <c r="Q640" s="1">
        <v>82138</v>
      </c>
      <c r="R640" s="1">
        <v>0</v>
      </c>
    </row>
    <row r="641" spans="1:18">
      <c r="A641" s="2">
        <v>0.45833333333333331</v>
      </c>
      <c r="B641" s="1">
        <v>500750</v>
      </c>
      <c r="C641" s="1">
        <v>98612</v>
      </c>
      <c r="D641" s="1">
        <v>41481.199999999997</v>
      </c>
      <c r="E641" s="1">
        <v>0</v>
      </c>
      <c r="F641" s="1">
        <v>405705</v>
      </c>
      <c r="G641" s="1">
        <v>60414.7</v>
      </c>
      <c r="H641" s="1">
        <v>371154</v>
      </c>
      <c r="I641" s="1">
        <v>611783</v>
      </c>
      <c r="J641" s="1">
        <v>50193.7</v>
      </c>
      <c r="K641" s="1">
        <v>88478</v>
      </c>
      <c r="L641" s="1">
        <v>95408.5</v>
      </c>
      <c r="M641" s="1">
        <v>68548.600000000006</v>
      </c>
      <c r="N641" s="1">
        <v>86234.2</v>
      </c>
      <c r="O641" s="1">
        <v>88355.6</v>
      </c>
      <c r="P641" s="1">
        <v>52765</v>
      </c>
      <c r="Q641" s="1">
        <v>82153</v>
      </c>
      <c r="R641" s="1">
        <v>0</v>
      </c>
    </row>
    <row r="642" spans="1:18">
      <c r="A642" s="2">
        <v>0.5</v>
      </c>
      <c r="B642" s="1">
        <v>502017</v>
      </c>
      <c r="C642" s="1">
        <v>98959</v>
      </c>
      <c r="D642" s="1">
        <v>41515.599999999999</v>
      </c>
      <c r="E642" s="1">
        <v>0</v>
      </c>
      <c r="F642" s="1">
        <v>405776</v>
      </c>
      <c r="G642" s="1">
        <v>60495.3</v>
      </c>
      <c r="H642" s="1">
        <v>371167</v>
      </c>
      <c r="I642" s="1">
        <v>612217</v>
      </c>
      <c r="J642" s="1">
        <v>50203.1</v>
      </c>
      <c r="K642" s="1">
        <v>88479</v>
      </c>
      <c r="L642" s="1">
        <v>95442</v>
      </c>
      <c r="M642" s="1">
        <v>68596.600000000006</v>
      </c>
      <c r="N642" s="1">
        <v>86287.9</v>
      </c>
      <c r="O642" s="1">
        <v>88418.8</v>
      </c>
      <c r="P642" s="1">
        <v>52780</v>
      </c>
      <c r="Q642" s="1">
        <v>82175</v>
      </c>
      <c r="R642" s="1">
        <v>0</v>
      </c>
    </row>
    <row r="643" spans="1:18">
      <c r="A643" s="2">
        <v>0.54166666666666663</v>
      </c>
      <c r="B643" s="1">
        <v>503314</v>
      </c>
      <c r="C643" s="1">
        <v>99311</v>
      </c>
      <c r="D643" s="1">
        <v>41553.5</v>
      </c>
      <c r="E643" s="1">
        <v>0</v>
      </c>
      <c r="F643" s="1">
        <v>405840</v>
      </c>
      <c r="G643" s="1">
        <v>60576.4</v>
      </c>
      <c r="H643" s="1">
        <v>371179</v>
      </c>
      <c r="I643" s="1">
        <v>612673</v>
      </c>
      <c r="J643" s="1">
        <v>50213.4</v>
      </c>
      <c r="K643" s="1">
        <v>88479.4</v>
      </c>
      <c r="L643" s="1">
        <v>95477.2</v>
      </c>
      <c r="M643" s="1">
        <v>68646.8</v>
      </c>
      <c r="N643" s="1">
        <v>86339.3</v>
      </c>
      <c r="O643" s="1">
        <v>88491.3</v>
      </c>
      <c r="P643" s="1">
        <v>52795</v>
      </c>
      <c r="Q643" s="1">
        <v>82199</v>
      </c>
      <c r="R643" s="1">
        <v>0</v>
      </c>
    </row>
    <row r="644" spans="1:18">
      <c r="A644" s="2">
        <v>0.58333333333333337</v>
      </c>
      <c r="B644" s="1">
        <v>504660</v>
      </c>
      <c r="C644" s="1">
        <v>99677</v>
      </c>
      <c r="D644" s="1">
        <v>41592.699999999997</v>
      </c>
      <c r="E644" s="1">
        <v>0</v>
      </c>
      <c r="F644" s="1">
        <v>405896</v>
      </c>
      <c r="G644" s="1">
        <v>60671.3</v>
      </c>
      <c r="H644" s="1">
        <v>371194</v>
      </c>
      <c r="I644" s="1">
        <v>613144</v>
      </c>
      <c r="J644" s="1">
        <v>50223.199999999997</v>
      </c>
      <c r="K644" s="1">
        <v>88481.7</v>
      </c>
      <c r="L644" s="1">
        <v>95515.5</v>
      </c>
      <c r="M644" s="1">
        <v>68695.3</v>
      </c>
      <c r="N644" s="1">
        <v>86390.8</v>
      </c>
      <c r="O644" s="1">
        <v>88563.4</v>
      </c>
      <c r="P644" s="1">
        <v>52808</v>
      </c>
      <c r="Q644" s="1">
        <v>82217</v>
      </c>
      <c r="R644" s="1">
        <v>0</v>
      </c>
    </row>
    <row r="645" spans="1:18">
      <c r="A645" s="2">
        <v>0.625</v>
      </c>
      <c r="B645" s="1">
        <v>506049</v>
      </c>
      <c r="C645" s="1">
        <v>100064</v>
      </c>
      <c r="D645" s="1">
        <v>41635.9</v>
      </c>
      <c r="E645" s="1">
        <v>0</v>
      </c>
      <c r="F645" s="1">
        <v>405951</v>
      </c>
      <c r="G645" s="1">
        <v>60771.5</v>
      </c>
      <c r="H645" s="1">
        <v>371219</v>
      </c>
      <c r="I645" s="1">
        <v>613629</v>
      </c>
      <c r="J645" s="1">
        <v>50234.1</v>
      </c>
      <c r="K645" s="1">
        <v>88482.2</v>
      </c>
      <c r="L645" s="1">
        <v>95559</v>
      </c>
      <c r="M645" s="1">
        <v>68745.899999999994</v>
      </c>
      <c r="N645" s="1">
        <v>86441.600000000006</v>
      </c>
      <c r="O645" s="1">
        <v>88623.3</v>
      </c>
      <c r="P645" s="1">
        <v>52821</v>
      </c>
      <c r="Q645" s="1">
        <v>82238</v>
      </c>
      <c r="R645" s="1">
        <v>0</v>
      </c>
    </row>
    <row r="646" spans="1:18">
      <c r="A646" s="2">
        <v>0.66666666666666663</v>
      </c>
      <c r="B646" s="1">
        <v>507409</v>
      </c>
      <c r="C646" s="1">
        <v>100448</v>
      </c>
      <c r="D646" s="1">
        <v>41675.9</v>
      </c>
      <c r="E646" s="1">
        <v>0</v>
      </c>
      <c r="F646" s="1">
        <v>406003</v>
      </c>
      <c r="G646" s="1">
        <v>60880.3</v>
      </c>
      <c r="H646" s="1">
        <v>371244</v>
      </c>
      <c r="I646" s="1">
        <v>614098</v>
      </c>
      <c r="J646" s="1">
        <v>50245.599999999999</v>
      </c>
      <c r="K646" s="1">
        <v>88482.8</v>
      </c>
      <c r="L646" s="1">
        <v>95603.8</v>
      </c>
      <c r="M646" s="1">
        <v>68798.3</v>
      </c>
      <c r="N646" s="1">
        <v>86492.800000000003</v>
      </c>
      <c r="O646" s="1">
        <v>88657.9</v>
      </c>
      <c r="P646" s="1">
        <v>52832</v>
      </c>
      <c r="Q646" s="1">
        <v>82254</v>
      </c>
      <c r="R646" s="1">
        <v>0</v>
      </c>
    </row>
    <row r="647" spans="1:18">
      <c r="A647" s="2">
        <v>0.70833333333333337</v>
      </c>
      <c r="B647" s="1">
        <v>508721</v>
      </c>
      <c r="C647" s="1">
        <v>100823</v>
      </c>
      <c r="D647" s="1">
        <v>41712.300000000003</v>
      </c>
      <c r="E647" s="1">
        <v>0</v>
      </c>
      <c r="F647" s="1">
        <v>406053</v>
      </c>
      <c r="G647" s="1">
        <v>60982.400000000001</v>
      </c>
      <c r="H647" s="1">
        <v>371269</v>
      </c>
      <c r="I647" s="1">
        <v>614545</v>
      </c>
      <c r="J647" s="1">
        <v>50256</v>
      </c>
      <c r="K647" s="1">
        <v>88486.6</v>
      </c>
      <c r="L647" s="1">
        <v>95644.800000000003</v>
      </c>
      <c r="M647" s="1">
        <v>68849.100000000006</v>
      </c>
      <c r="N647" s="1">
        <v>86545.3</v>
      </c>
      <c r="O647" s="1">
        <v>88693.6</v>
      </c>
      <c r="P647" s="1">
        <v>52840</v>
      </c>
      <c r="Q647" s="1">
        <v>82267</v>
      </c>
      <c r="R647" s="1">
        <v>0</v>
      </c>
    </row>
    <row r="648" spans="1:18">
      <c r="A648" s="2">
        <v>0.75</v>
      </c>
      <c r="B648" s="1">
        <v>509905</v>
      </c>
      <c r="C648" s="1">
        <v>101169</v>
      </c>
      <c r="D648" s="1">
        <v>41739.199999999997</v>
      </c>
      <c r="E648" s="1">
        <v>0</v>
      </c>
      <c r="F648" s="1">
        <v>406096</v>
      </c>
      <c r="G648" s="1">
        <v>61071.8</v>
      </c>
      <c r="H648" s="1">
        <v>371282</v>
      </c>
      <c r="I648" s="1">
        <v>614955</v>
      </c>
      <c r="J648" s="1">
        <v>50265.3</v>
      </c>
      <c r="K648" s="1">
        <v>88490</v>
      </c>
      <c r="L648" s="1">
        <v>95677.7</v>
      </c>
      <c r="M648" s="1">
        <v>68895.199999999997</v>
      </c>
      <c r="N648" s="1">
        <v>86600.7</v>
      </c>
      <c r="O648" s="1">
        <v>88725.2</v>
      </c>
      <c r="P648" s="1">
        <v>52844</v>
      </c>
      <c r="Q648" s="1">
        <v>82273</v>
      </c>
      <c r="R648" s="1">
        <v>0</v>
      </c>
    </row>
    <row r="649" spans="1:18">
      <c r="A649" s="2">
        <v>0.79166666666666663</v>
      </c>
      <c r="B649" s="1">
        <v>510942</v>
      </c>
      <c r="C649" s="1">
        <v>101461</v>
      </c>
      <c r="D649" s="1">
        <v>41758.9</v>
      </c>
      <c r="E649" s="1">
        <v>0</v>
      </c>
      <c r="F649" s="1">
        <v>406129</v>
      </c>
      <c r="G649" s="1">
        <v>61155.7</v>
      </c>
      <c r="H649" s="1">
        <v>371295</v>
      </c>
      <c r="I649" s="1">
        <v>615315</v>
      </c>
      <c r="J649" s="1">
        <v>50273.8</v>
      </c>
      <c r="K649" s="1">
        <v>88493.4</v>
      </c>
      <c r="L649" s="1">
        <v>95702</v>
      </c>
      <c r="M649" s="1">
        <v>68941</v>
      </c>
      <c r="N649" s="1">
        <v>86657.7</v>
      </c>
      <c r="O649" s="1">
        <v>88751.8</v>
      </c>
      <c r="P649" s="1">
        <v>52844</v>
      </c>
      <c r="Q649" s="1">
        <v>82273</v>
      </c>
      <c r="R649" s="1">
        <v>0</v>
      </c>
    </row>
    <row r="650" spans="1:18">
      <c r="A650" s="2">
        <v>0.83333333333333337</v>
      </c>
      <c r="B650" s="1">
        <v>511863</v>
      </c>
      <c r="C650" s="1">
        <v>101708</v>
      </c>
      <c r="D650" s="1">
        <v>41777.199999999997</v>
      </c>
      <c r="E650" s="1">
        <v>0</v>
      </c>
      <c r="F650" s="1">
        <v>406157</v>
      </c>
      <c r="G650" s="1">
        <v>61234.5</v>
      </c>
      <c r="H650" s="1">
        <v>371307</v>
      </c>
      <c r="I650" s="1">
        <v>615626</v>
      </c>
      <c r="J650" s="1">
        <v>50282.1</v>
      </c>
      <c r="K650" s="1">
        <v>88497.1</v>
      </c>
      <c r="L650" s="1">
        <v>95725.5</v>
      </c>
      <c r="M650" s="1">
        <v>68983.399999999994</v>
      </c>
      <c r="N650" s="1">
        <v>86715.199999999997</v>
      </c>
      <c r="O650" s="1">
        <v>88778.7</v>
      </c>
      <c r="P650" s="1">
        <v>52844</v>
      </c>
      <c r="Q650" s="1">
        <v>82273</v>
      </c>
      <c r="R650" s="1">
        <v>0</v>
      </c>
    </row>
    <row r="651" spans="1:18">
      <c r="A651" s="2">
        <v>0.875</v>
      </c>
      <c r="B651" s="1">
        <v>512704</v>
      </c>
      <c r="C651" s="1">
        <v>101926</v>
      </c>
      <c r="D651" s="1">
        <v>41794.1</v>
      </c>
      <c r="E651" s="1">
        <v>0</v>
      </c>
      <c r="F651" s="1">
        <v>406184</v>
      </c>
      <c r="G651" s="1">
        <v>61304.4</v>
      </c>
      <c r="H651" s="1">
        <v>371321</v>
      </c>
      <c r="I651" s="1">
        <v>615902</v>
      </c>
      <c r="J651" s="1">
        <v>50290.3</v>
      </c>
      <c r="K651" s="1">
        <v>88500.800000000003</v>
      </c>
      <c r="L651" s="1">
        <v>95746.9</v>
      </c>
      <c r="M651" s="1">
        <v>69025.899999999994</v>
      </c>
      <c r="N651" s="1">
        <v>86772.800000000003</v>
      </c>
      <c r="O651" s="1">
        <v>88806.3</v>
      </c>
      <c r="P651" s="1">
        <v>52844</v>
      </c>
      <c r="Q651" s="1">
        <v>82273</v>
      </c>
      <c r="R651" s="1">
        <v>0</v>
      </c>
    </row>
    <row r="652" spans="1:18">
      <c r="A652" s="2">
        <v>0.91666666666666663</v>
      </c>
      <c r="B652" s="1">
        <v>513488</v>
      </c>
      <c r="C652" s="1">
        <v>102130</v>
      </c>
      <c r="D652" s="1">
        <v>41810.5</v>
      </c>
      <c r="E652" s="1">
        <v>0</v>
      </c>
      <c r="F652" s="1">
        <v>406210</v>
      </c>
      <c r="G652" s="1">
        <v>61365.9</v>
      </c>
      <c r="H652" s="1">
        <v>371334</v>
      </c>
      <c r="I652" s="1">
        <v>616153</v>
      </c>
      <c r="J652" s="1">
        <v>50297.599999999999</v>
      </c>
      <c r="K652" s="1">
        <v>88504.4</v>
      </c>
      <c r="L652" s="1">
        <v>95768.2</v>
      </c>
      <c r="M652" s="1">
        <v>69066.8</v>
      </c>
      <c r="N652" s="1">
        <v>86829.3</v>
      </c>
      <c r="O652" s="1">
        <v>88831.7</v>
      </c>
      <c r="P652" s="1">
        <v>52844</v>
      </c>
      <c r="Q652" s="1">
        <v>82273</v>
      </c>
      <c r="R652" s="1">
        <v>0</v>
      </c>
    </row>
    <row r="653" spans="1:18">
      <c r="A653" s="2">
        <v>0.95833333333333337</v>
      </c>
      <c r="B653" s="1">
        <v>514244</v>
      </c>
      <c r="C653" s="1">
        <v>102331</v>
      </c>
      <c r="D653" s="1">
        <v>41825.4</v>
      </c>
      <c r="E653" s="1">
        <v>0</v>
      </c>
      <c r="F653" s="1">
        <v>406236</v>
      </c>
      <c r="G653" s="1">
        <v>61423</v>
      </c>
      <c r="H653" s="1">
        <v>371346</v>
      </c>
      <c r="I653" s="1">
        <v>616391</v>
      </c>
      <c r="J653" s="1">
        <v>50304.4</v>
      </c>
      <c r="K653" s="1">
        <v>88508</v>
      </c>
      <c r="L653" s="1">
        <v>95789</v>
      </c>
      <c r="M653" s="1">
        <v>69108.5</v>
      </c>
      <c r="N653" s="1">
        <v>86885.3</v>
      </c>
      <c r="O653" s="1">
        <v>88852.800000000003</v>
      </c>
      <c r="P653" s="1">
        <v>52844</v>
      </c>
      <c r="Q653" s="1">
        <v>82273</v>
      </c>
      <c r="R653" s="1">
        <v>0</v>
      </c>
    </row>
    <row r="654" spans="1:18">
      <c r="A654" s="2">
        <v>0</v>
      </c>
      <c r="B654" s="1">
        <v>514984</v>
      </c>
      <c r="C654" s="1">
        <v>102527</v>
      </c>
      <c r="D654" s="1">
        <v>41838.699999999997</v>
      </c>
      <c r="E654" s="1">
        <v>0</v>
      </c>
      <c r="F654" s="1">
        <v>406260</v>
      </c>
      <c r="G654" s="1">
        <v>61479.4</v>
      </c>
      <c r="H654" s="1">
        <v>371359</v>
      </c>
      <c r="I654" s="1">
        <v>616627</v>
      </c>
      <c r="J654" s="1">
        <v>50311.1</v>
      </c>
      <c r="K654" s="1">
        <v>88511.4</v>
      </c>
      <c r="L654" s="1">
        <v>95811.1</v>
      </c>
      <c r="M654" s="1">
        <v>69148.800000000003</v>
      </c>
      <c r="N654" s="1">
        <v>86940.800000000003</v>
      </c>
      <c r="O654" s="1">
        <v>88874.1</v>
      </c>
      <c r="P654" s="1">
        <v>52844</v>
      </c>
      <c r="Q654" s="1">
        <v>82273</v>
      </c>
      <c r="R654" s="1">
        <v>0</v>
      </c>
    </row>
    <row r="655" spans="1:18">
      <c r="A655" s="2">
        <v>4.1666666666666664E-2</v>
      </c>
      <c r="B655" s="1">
        <v>515698</v>
      </c>
      <c r="C655" s="1">
        <v>102715</v>
      </c>
      <c r="D655" s="1">
        <v>41852.800000000003</v>
      </c>
      <c r="E655" s="1">
        <v>0</v>
      </c>
      <c r="F655" s="1">
        <v>406281</v>
      </c>
      <c r="G655" s="1">
        <v>61534.400000000001</v>
      </c>
      <c r="H655" s="1">
        <v>371371</v>
      </c>
      <c r="I655" s="1">
        <v>616851</v>
      </c>
      <c r="J655" s="1">
        <v>50317.8</v>
      </c>
      <c r="K655" s="1">
        <v>88514.9</v>
      </c>
      <c r="L655" s="1">
        <v>95834.4</v>
      </c>
      <c r="M655" s="1">
        <v>69187</v>
      </c>
      <c r="N655" s="1">
        <v>86997.2</v>
      </c>
      <c r="O655" s="1">
        <v>88893</v>
      </c>
      <c r="P655" s="1">
        <v>52844</v>
      </c>
      <c r="Q655" s="1">
        <v>82273</v>
      </c>
      <c r="R655" s="1">
        <v>0</v>
      </c>
    </row>
    <row r="656" spans="1:18">
      <c r="A656" s="2">
        <v>8.3333333333333329E-2</v>
      </c>
      <c r="B656" s="1">
        <v>516400</v>
      </c>
      <c r="C656" s="1">
        <v>102899</v>
      </c>
      <c r="D656" s="1">
        <v>41866.6</v>
      </c>
      <c r="E656" s="1">
        <v>0</v>
      </c>
      <c r="F656" s="1">
        <v>406301</v>
      </c>
      <c r="G656" s="1">
        <v>61589.1</v>
      </c>
      <c r="H656" s="1">
        <v>371383</v>
      </c>
      <c r="I656" s="1">
        <v>617071</v>
      </c>
      <c r="J656" s="1">
        <v>50324.3</v>
      </c>
      <c r="K656" s="1">
        <v>88518.6</v>
      </c>
      <c r="L656" s="1">
        <v>95857.2</v>
      </c>
      <c r="M656" s="1">
        <v>69223.8</v>
      </c>
      <c r="N656" s="1">
        <v>87052.6</v>
      </c>
      <c r="O656" s="1">
        <v>88913.9</v>
      </c>
      <c r="P656" s="1">
        <v>52844</v>
      </c>
      <c r="Q656" s="1">
        <v>82273</v>
      </c>
      <c r="R656" s="1">
        <v>0</v>
      </c>
    </row>
    <row r="657" spans="1:18">
      <c r="A657" s="2">
        <v>0.125</v>
      </c>
      <c r="B657" s="1">
        <v>517090</v>
      </c>
      <c r="C657" s="1">
        <v>103082</v>
      </c>
      <c r="D657" s="1">
        <v>41880.6</v>
      </c>
      <c r="E657" s="1">
        <v>0</v>
      </c>
      <c r="F657" s="1">
        <v>406320</v>
      </c>
      <c r="G657" s="1">
        <v>61643</v>
      </c>
      <c r="H657" s="1">
        <v>371396</v>
      </c>
      <c r="I657" s="1">
        <v>617281</v>
      </c>
      <c r="J657" s="1">
        <v>50331</v>
      </c>
      <c r="K657" s="1">
        <v>88522.5</v>
      </c>
      <c r="L657" s="1">
        <v>95880.6</v>
      </c>
      <c r="M657" s="1">
        <v>69261.100000000006</v>
      </c>
      <c r="N657" s="1">
        <v>87107.5</v>
      </c>
      <c r="O657" s="1">
        <v>88935.4</v>
      </c>
      <c r="P657" s="1">
        <v>52844</v>
      </c>
      <c r="Q657" s="1">
        <v>82273</v>
      </c>
      <c r="R657" s="1">
        <v>0</v>
      </c>
    </row>
    <row r="658" spans="1:18">
      <c r="A658" s="2">
        <v>0.16666666666666666</v>
      </c>
      <c r="B658" s="1">
        <v>517773</v>
      </c>
      <c r="C658" s="1">
        <v>103263</v>
      </c>
      <c r="D658" s="1">
        <v>41894.300000000003</v>
      </c>
      <c r="E658" s="1">
        <v>0</v>
      </c>
      <c r="F658" s="1">
        <v>406338</v>
      </c>
      <c r="G658" s="1">
        <v>61695.3</v>
      </c>
      <c r="H658" s="1">
        <v>371408</v>
      </c>
      <c r="I658" s="1">
        <v>617492</v>
      </c>
      <c r="J658" s="1">
        <v>50337.2</v>
      </c>
      <c r="K658" s="1">
        <v>88526.399999999994</v>
      </c>
      <c r="L658" s="1">
        <v>95903</v>
      </c>
      <c r="M658" s="1">
        <v>69297.899999999994</v>
      </c>
      <c r="N658" s="1">
        <v>87162.3</v>
      </c>
      <c r="O658" s="1">
        <v>88956.1</v>
      </c>
      <c r="P658" s="1">
        <v>52844</v>
      </c>
      <c r="Q658" s="1">
        <v>82273</v>
      </c>
      <c r="R658" s="1">
        <v>0</v>
      </c>
    </row>
    <row r="659" spans="1:18">
      <c r="A659" s="2">
        <v>0.20833333333333334</v>
      </c>
      <c r="B659" s="1">
        <v>518446</v>
      </c>
      <c r="C659" s="1">
        <v>103443</v>
      </c>
      <c r="D659" s="1">
        <v>41907.599999999999</v>
      </c>
      <c r="E659" s="1">
        <v>0</v>
      </c>
      <c r="F659" s="1">
        <v>406356</v>
      </c>
      <c r="G659" s="1">
        <v>61747.4</v>
      </c>
      <c r="H659" s="1">
        <v>371420</v>
      </c>
      <c r="I659" s="1">
        <v>617697</v>
      </c>
      <c r="J659" s="1">
        <v>50343.5</v>
      </c>
      <c r="K659" s="1">
        <v>88529.8</v>
      </c>
      <c r="L659" s="1">
        <v>95924.6</v>
      </c>
      <c r="M659" s="1">
        <v>69334.5</v>
      </c>
      <c r="N659" s="1">
        <v>87217.8</v>
      </c>
      <c r="O659" s="1">
        <v>88976.9</v>
      </c>
      <c r="P659" s="1">
        <v>52844</v>
      </c>
      <c r="Q659" s="1">
        <v>82273</v>
      </c>
      <c r="R659" s="1">
        <v>0</v>
      </c>
    </row>
    <row r="660" spans="1:18">
      <c r="A660" s="2">
        <v>0.25</v>
      </c>
      <c r="B660" s="1">
        <v>519115</v>
      </c>
      <c r="C660" s="1">
        <v>103625</v>
      </c>
      <c r="D660" s="1">
        <v>41921.699999999997</v>
      </c>
      <c r="E660" s="1">
        <v>0</v>
      </c>
      <c r="F660" s="1">
        <v>406374</v>
      </c>
      <c r="G660" s="1">
        <v>61799.4</v>
      </c>
      <c r="H660" s="1">
        <v>371432</v>
      </c>
      <c r="I660" s="1">
        <v>617899</v>
      </c>
      <c r="J660" s="1">
        <v>50349.3</v>
      </c>
      <c r="K660" s="1">
        <v>88533.1</v>
      </c>
      <c r="L660" s="1">
        <v>95944.3</v>
      </c>
      <c r="M660" s="1">
        <v>69371.8</v>
      </c>
      <c r="N660" s="1">
        <v>87272.8</v>
      </c>
      <c r="O660" s="1">
        <v>88996.7</v>
      </c>
      <c r="P660" s="1">
        <v>52844</v>
      </c>
      <c r="Q660" s="1">
        <v>82273</v>
      </c>
      <c r="R660" s="1">
        <v>0</v>
      </c>
    </row>
    <row r="661" spans="1:18">
      <c r="A661" s="2">
        <v>0.29166666666666669</v>
      </c>
      <c r="B661" s="1">
        <v>519789</v>
      </c>
      <c r="C661" s="1">
        <v>103807</v>
      </c>
      <c r="D661" s="1">
        <v>41935.5</v>
      </c>
      <c r="E661" s="1">
        <v>0</v>
      </c>
      <c r="F661" s="1">
        <v>406393</v>
      </c>
      <c r="G661" s="1">
        <v>61850</v>
      </c>
      <c r="H661" s="1">
        <v>371444</v>
      </c>
      <c r="I661" s="1">
        <v>618109</v>
      </c>
      <c r="J661" s="1">
        <v>50355.6</v>
      </c>
      <c r="K661" s="1">
        <v>88535.3</v>
      </c>
      <c r="L661" s="1">
        <v>95963.5</v>
      </c>
      <c r="M661" s="1">
        <v>69411</v>
      </c>
      <c r="N661" s="1">
        <v>87326.9</v>
      </c>
      <c r="O661" s="1">
        <v>89014.7</v>
      </c>
      <c r="P661" s="1">
        <v>52845</v>
      </c>
      <c r="Q661" s="1">
        <v>82274</v>
      </c>
      <c r="R661" s="1">
        <v>0</v>
      </c>
    </row>
    <row r="662" spans="1:18">
      <c r="A662" s="2">
        <v>0.33333333333333331</v>
      </c>
      <c r="B662" s="1">
        <v>520464</v>
      </c>
      <c r="C662" s="1">
        <v>103990</v>
      </c>
      <c r="D662" s="1">
        <v>41949.599999999999</v>
      </c>
      <c r="E662" s="1">
        <v>0</v>
      </c>
      <c r="F662" s="1">
        <v>406413</v>
      </c>
      <c r="G662" s="1">
        <v>61898</v>
      </c>
      <c r="H662" s="1">
        <v>371456</v>
      </c>
      <c r="I662" s="1">
        <v>618323</v>
      </c>
      <c r="J662" s="1">
        <v>50362.1</v>
      </c>
      <c r="K662" s="1">
        <v>88535.8</v>
      </c>
      <c r="L662" s="1">
        <v>95982.6</v>
      </c>
      <c r="M662" s="1">
        <v>69448.2</v>
      </c>
      <c r="N662" s="1">
        <v>87378.5</v>
      </c>
      <c r="O662" s="1">
        <v>89034.6</v>
      </c>
      <c r="P662" s="1">
        <v>52847</v>
      </c>
      <c r="Q662" s="1">
        <v>82278</v>
      </c>
      <c r="R662" s="1">
        <v>0</v>
      </c>
    </row>
    <row r="663" spans="1:18">
      <c r="A663" s="2">
        <v>0.375</v>
      </c>
      <c r="B663" s="1">
        <v>521158</v>
      </c>
      <c r="C663" s="1">
        <v>104176</v>
      </c>
      <c r="D663" s="1">
        <v>41963.4</v>
      </c>
      <c r="E663" s="1">
        <v>0</v>
      </c>
      <c r="F663" s="1">
        <v>406435</v>
      </c>
      <c r="G663" s="1">
        <v>61939.4</v>
      </c>
      <c r="H663" s="1">
        <v>371468</v>
      </c>
      <c r="I663" s="1">
        <v>618550</v>
      </c>
      <c r="J663" s="1">
        <v>50368.800000000003</v>
      </c>
      <c r="K663" s="1">
        <v>88535.8</v>
      </c>
      <c r="L663" s="1">
        <v>96003.8</v>
      </c>
      <c r="M663" s="1">
        <v>69488.600000000006</v>
      </c>
      <c r="N663" s="1">
        <v>87427.7</v>
      </c>
      <c r="O663" s="1">
        <v>89056.3</v>
      </c>
      <c r="P663" s="1">
        <v>52852</v>
      </c>
      <c r="Q663" s="1">
        <v>82286</v>
      </c>
      <c r="R663" s="1">
        <v>0</v>
      </c>
    </row>
    <row r="664" spans="1:18">
      <c r="A664" s="2">
        <v>0.41666666666666669</v>
      </c>
      <c r="B664" s="1">
        <v>521857</v>
      </c>
      <c r="C664" s="1">
        <v>104367</v>
      </c>
      <c r="D664" s="1">
        <v>41978.6</v>
      </c>
      <c r="E664" s="1">
        <v>0</v>
      </c>
      <c r="F664" s="1">
        <v>406458</v>
      </c>
      <c r="G664" s="1">
        <v>61973</v>
      </c>
      <c r="H664" s="1">
        <v>371481</v>
      </c>
      <c r="I664" s="1">
        <v>618789</v>
      </c>
      <c r="J664" s="1">
        <v>50375.7</v>
      </c>
      <c r="K664" s="1">
        <v>88535.8</v>
      </c>
      <c r="L664" s="1">
        <v>96024.7</v>
      </c>
      <c r="M664" s="1">
        <v>69532.3</v>
      </c>
      <c r="N664" s="1">
        <v>87473.9</v>
      </c>
      <c r="O664" s="1">
        <v>89077.5</v>
      </c>
      <c r="P664" s="1">
        <v>52861</v>
      </c>
      <c r="Q664" s="1">
        <v>82300</v>
      </c>
      <c r="R664" s="1">
        <v>0</v>
      </c>
    </row>
    <row r="665" spans="1:18">
      <c r="A665" s="2">
        <v>0.45833333333333331</v>
      </c>
      <c r="B665" s="1">
        <v>522568</v>
      </c>
      <c r="C665" s="1">
        <v>104567</v>
      </c>
      <c r="D665" s="1">
        <v>41995.3</v>
      </c>
      <c r="E665" s="1">
        <v>0</v>
      </c>
      <c r="F665" s="1">
        <v>406481</v>
      </c>
      <c r="G665" s="1">
        <v>62002.7</v>
      </c>
      <c r="H665" s="1">
        <v>371493</v>
      </c>
      <c r="I665" s="1">
        <v>619041</v>
      </c>
      <c r="J665" s="1">
        <v>50382.5</v>
      </c>
      <c r="K665" s="1">
        <v>88535.8</v>
      </c>
      <c r="L665" s="1">
        <v>96045.5</v>
      </c>
      <c r="M665" s="1">
        <v>69575.8</v>
      </c>
      <c r="N665" s="1">
        <v>87517.4</v>
      </c>
      <c r="O665" s="1">
        <v>89098.8</v>
      </c>
      <c r="P665" s="1">
        <v>52873</v>
      </c>
      <c r="Q665" s="1">
        <v>82320</v>
      </c>
      <c r="R665" s="1">
        <v>0</v>
      </c>
    </row>
    <row r="666" spans="1:18">
      <c r="A666" s="2">
        <v>0.5</v>
      </c>
      <c r="B666" s="1">
        <v>523295</v>
      </c>
      <c r="C666" s="1">
        <v>104771</v>
      </c>
      <c r="D666" s="1">
        <v>42011.5</v>
      </c>
      <c r="E666" s="1">
        <v>0</v>
      </c>
      <c r="F666" s="1">
        <v>406510</v>
      </c>
      <c r="G666" s="1">
        <v>62033.599999999999</v>
      </c>
      <c r="H666" s="1">
        <v>371510</v>
      </c>
      <c r="I666" s="1">
        <v>619294</v>
      </c>
      <c r="J666" s="1">
        <v>50389.9</v>
      </c>
      <c r="K666" s="1">
        <v>88535.8</v>
      </c>
      <c r="L666" s="1">
        <v>96066.5</v>
      </c>
      <c r="M666" s="1">
        <v>69620</v>
      </c>
      <c r="N666" s="1">
        <v>87559.2</v>
      </c>
      <c r="O666" s="1">
        <v>89119.9</v>
      </c>
      <c r="P666" s="1">
        <v>52888</v>
      </c>
      <c r="Q666" s="1">
        <v>82342</v>
      </c>
      <c r="R666" s="1">
        <v>0</v>
      </c>
    </row>
    <row r="667" spans="1:18">
      <c r="A667" s="2">
        <v>0.54166666666666663</v>
      </c>
      <c r="B667" s="1">
        <v>524065</v>
      </c>
      <c r="C667" s="1">
        <v>104990</v>
      </c>
      <c r="D667" s="1">
        <v>42032.5</v>
      </c>
      <c r="E667" s="1">
        <v>0</v>
      </c>
      <c r="F667" s="1">
        <v>406541</v>
      </c>
      <c r="G667" s="1">
        <v>62063.9</v>
      </c>
      <c r="H667" s="1">
        <v>371546</v>
      </c>
      <c r="I667" s="1">
        <v>619553</v>
      </c>
      <c r="J667" s="1">
        <v>50397.9</v>
      </c>
      <c r="K667" s="1">
        <v>88535.8</v>
      </c>
      <c r="L667" s="1">
        <v>96087.9</v>
      </c>
      <c r="M667" s="1">
        <v>69663.7</v>
      </c>
      <c r="N667" s="1">
        <v>87599.8</v>
      </c>
      <c r="O667" s="1">
        <v>89138.8</v>
      </c>
      <c r="P667" s="1">
        <v>52904</v>
      </c>
      <c r="Q667" s="1">
        <v>82366</v>
      </c>
      <c r="R667" s="1">
        <v>0</v>
      </c>
    </row>
    <row r="668" spans="1:18">
      <c r="A668" s="2">
        <v>0.58333333333333337</v>
      </c>
      <c r="B668" s="1">
        <v>524881</v>
      </c>
      <c r="C668" s="1">
        <v>105216</v>
      </c>
      <c r="D668" s="1">
        <v>42054.6</v>
      </c>
      <c r="E668" s="1">
        <v>0</v>
      </c>
      <c r="F668" s="1">
        <v>406575</v>
      </c>
      <c r="G668" s="1">
        <v>62099.1</v>
      </c>
      <c r="H668" s="1">
        <v>371581</v>
      </c>
      <c r="I668" s="1">
        <v>619831</v>
      </c>
      <c r="J668" s="1">
        <v>50406.3</v>
      </c>
      <c r="K668" s="1">
        <v>88535.8</v>
      </c>
      <c r="L668" s="1">
        <v>96113.3</v>
      </c>
      <c r="M668" s="1">
        <v>69707.3</v>
      </c>
      <c r="N668" s="1">
        <v>87641.3</v>
      </c>
      <c r="O668" s="1">
        <v>89160.1</v>
      </c>
      <c r="P668" s="1">
        <v>52918</v>
      </c>
      <c r="Q668" s="1">
        <v>82388</v>
      </c>
      <c r="R668" s="1">
        <v>0</v>
      </c>
    </row>
    <row r="669" spans="1:18">
      <c r="A669" s="2">
        <v>0.625</v>
      </c>
      <c r="B669" s="1">
        <v>525725</v>
      </c>
      <c r="C669" s="1">
        <v>105450</v>
      </c>
      <c r="D669" s="1">
        <v>42077</v>
      </c>
      <c r="E669" s="1">
        <v>0</v>
      </c>
      <c r="F669" s="1">
        <v>406611</v>
      </c>
      <c r="G669" s="1">
        <v>62134.2</v>
      </c>
      <c r="H669" s="1">
        <v>371615</v>
      </c>
      <c r="I669" s="1">
        <v>620115</v>
      </c>
      <c r="J669" s="1">
        <v>50415.199999999997</v>
      </c>
      <c r="K669" s="1">
        <v>88535.8</v>
      </c>
      <c r="L669" s="1">
        <v>96144.5</v>
      </c>
      <c r="M669" s="1">
        <v>69751.7</v>
      </c>
      <c r="N669" s="1">
        <v>87683.6</v>
      </c>
      <c r="O669" s="1">
        <v>89182</v>
      </c>
      <c r="P669" s="1">
        <v>52933</v>
      </c>
      <c r="Q669" s="1">
        <v>82410</v>
      </c>
      <c r="R669" s="1">
        <v>0</v>
      </c>
    </row>
    <row r="670" spans="1:18">
      <c r="A670" s="2">
        <v>0.66666666666666663</v>
      </c>
      <c r="B670" s="1">
        <v>526603</v>
      </c>
      <c r="C670" s="1">
        <v>105684</v>
      </c>
      <c r="D670" s="1">
        <v>42100.4</v>
      </c>
      <c r="E670" s="1">
        <v>0</v>
      </c>
      <c r="F670" s="1">
        <v>406644</v>
      </c>
      <c r="G670" s="1">
        <v>62183.9</v>
      </c>
      <c r="H670" s="1">
        <v>371649</v>
      </c>
      <c r="I670" s="1">
        <v>620407</v>
      </c>
      <c r="J670" s="1">
        <v>50424.6</v>
      </c>
      <c r="K670" s="1">
        <v>88536.1</v>
      </c>
      <c r="L670" s="1">
        <v>96173.5</v>
      </c>
      <c r="M670" s="1">
        <v>69796.7</v>
      </c>
      <c r="N670" s="1">
        <v>87730.8</v>
      </c>
      <c r="O670" s="1">
        <v>89202.4</v>
      </c>
      <c r="P670" s="1">
        <v>52943</v>
      </c>
      <c r="Q670" s="1">
        <v>82425</v>
      </c>
      <c r="R670" s="1">
        <v>0</v>
      </c>
    </row>
    <row r="671" spans="1:18">
      <c r="A671" s="2">
        <v>0.70833333333333337</v>
      </c>
      <c r="B671" s="1">
        <v>527464</v>
      </c>
      <c r="C671" s="1">
        <v>105905</v>
      </c>
      <c r="D671" s="1">
        <v>42123.7</v>
      </c>
      <c r="E671" s="1">
        <v>0</v>
      </c>
      <c r="F671" s="1">
        <v>406673</v>
      </c>
      <c r="G671" s="1">
        <v>62247.199999999997</v>
      </c>
      <c r="H671" s="1">
        <v>371672</v>
      </c>
      <c r="I671" s="1">
        <v>620697</v>
      </c>
      <c r="J671" s="1">
        <v>50433</v>
      </c>
      <c r="K671" s="1">
        <v>88537.7</v>
      </c>
      <c r="L671" s="1">
        <v>96196</v>
      </c>
      <c r="M671" s="1">
        <v>69839.5</v>
      </c>
      <c r="N671" s="1">
        <v>87784</v>
      </c>
      <c r="O671" s="1">
        <v>89223.5</v>
      </c>
      <c r="P671" s="1">
        <v>52946</v>
      </c>
      <c r="Q671" s="1">
        <v>82430</v>
      </c>
      <c r="R671" s="1">
        <v>0</v>
      </c>
    </row>
    <row r="672" spans="1:18">
      <c r="A672" s="2">
        <v>0.75</v>
      </c>
      <c r="B672" s="1">
        <v>528276</v>
      </c>
      <c r="C672" s="1">
        <v>106109</v>
      </c>
      <c r="D672" s="1">
        <v>42141.9</v>
      </c>
      <c r="E672" s="1">
        <v>0</v>
      </c>
      <c r="F672" s="1">
        <v>406700</v>
      </c>
      <c r="G672" s="1">
        <v>62310.1</v>
      </c>
      <c r="H672" s="1">
        <v>371684</v>
      </c>
      <c r="I672" s="1">
        <v>620975</v>
      </c>
      <c r="J672" s="1">
        <v>50440.6</v>
      </c>
      <c r="K672" s="1">
        <v>88541.7</v>
      </c>
      <c r="L672" s="1">
        <v>96218.3</v>
      </c>
      <c r="M672" s="1">
        <v>69881.3</v>
      </c>
      <c r="N672" s="1">
        <v>87840.1</v>
      </c>
      <c r="O672" s="1">
        <v>89244.4</v>
      </c>
      <c r="P672" s="1">
        <v>52946</v>
      </c>
      <c r="Q672" s="1">
        <v>82430</v>
      </c>
      <c r="R672" s="1">
        <v>0</v>
      </c>
    </row>
    <row r="673" spans="1:18">
      <c r="A673" s="2">
        <v>0.79166666666666663</v>
      </c>
      <c r="B673" s="1">
        <v>529048</v>
      </c>
      <c r="C673" s="1">
        <v>106312</v>
      </c>
      <c r="D673" s="1">
        <v>42157.4</v>
      </c>
      <c r="E673" s="1">
        <v>0</v>
      </c>
      <c r="F673" s="1">
        <v>406724</v>
      </c>
      <c r="G673" s="1">
        <v>62369.2</v>
      </c>
      <c r="H673" s="1">
        <v>371697</v>
      </c>
      <c r="I673" s="1">
        <v>621230</v>
      </c>
      <c r="J673" s="1">
        <v>50448</v>
      </c>
      <c r="K673" s="1">
        <v>88545.8</v>
      </c>
      <c r="L673" s="1">
        <v>96239.3</v>
      </c>
      <c r="M673" s="1">
        <v>69920.5</v>
      </c>
      <c r="N673" s="1">
        <v>87896.1</v>
      </c>
      <c r="O673" s="1">
        <v>89263.7</v>
      </c>
      <c r="P673" s="1">
        <v>52946</v>
      </c>
      <c r="Q673" s="1">
        <v>82430</v>
      </c>
      <c r="R673" s="1">
        <v>0</v>
      </c>
    </row>
    <row r="674" spans="1:18">
      <c r="A674" s="2">
        <v>0.83333333333333337</v>
      </c>
      <c r="B674" s="1">
        <v>529809</v>
      </c>
      <c r="C674" s="1">
        <v>106515</v>
      </c>
      <c r="D674" s="1">
        <v>42175.5</v>
      </c>
      <c r="E674" s="1">
        <v>0</v>
      </c>
      <c r="F674" s="1">
        <v>406746</v>
      </c>
      <c r="G674" s="1">
        <v>62426.7</v>
      </c>
      <c r="H674" s="1">
        <v>371709</v>
      </c>
      <c r="I674" s="1">
        <v>621473</v>
      </c>
      <c r="J674" s="1">
        <v>50456</v>
      </c>
      <c r="K674" s="1">
        <v>88550</v>
      </c>
      <c r="L674" s="1">
        <v>96261.3</v>
      </c>
      <c r="M674" s="1">
        <v>69959.399999999994</v>
      </c>
      <c r="N674" s="1">
        <v>87952.6</v>
      </c>
      <c r="O674" s="1">
        <v>89283.9</v>
      </c>
      <c r="P674" s="1">
        <v>52946</v>
      </c>
      <c r="Q674" s="1">
        <v>82430</v>
      </c>
      <c r="R674" s="1">
        <v>0</v>
      </c>
    </row>
    <row r="675" spans="1:18">
      <c r="A675" s="2">
        <v>0.875</v>
      </c>
      <c r="B675" s="1">
        <v>530556</v>
      </c>
      <c r="C675" s="1">
        <v>106712</v>
      </c>
      <c r="D675" s="1">
        <v>42192.800000000003</v>
      </c>
      <c r="E675" s="1">
        <v>0</v>
      </c>
      <c r="F675" s="1">
        <v>406769</v>
      </c>
      <c r="G675" s="1">
        <v>62480</v>
      </c>
      <c r="H675" s="1">
        <v>371722</v>
      </c>
      <c r="I675" s="1">
        <v>621714</v>
      </c>
      <c r="J675" s="1">
        <v>50463.3</v>
      </c>
      <c r="K675" s="1">
        <v>88553.8</v>
      </c>
      <c r="L675" s="1">
        <v>96283.3</v>
      </c>
      <c r="M675" s="1">
        <v>69999.100000000006</v>
      </c>
      <c r="N675" s="1">
        <v>88008.5</v>
      </c>
      <c r="O675" s="1">
        <v>89304.6</v>
      </c>
      <c r="P675" s="1">
        <v>52946</v>
      </c>
      <c r="Q675" s="1">
        <v>82430</v>
      </c>
      <c r="R675" s="1">
        <v>0</v>
      </c>
    </row>
    <row r="676" spans="1:18">
      <c r="A676" s="2">
        <v>0.91666666666666663</v>
      </c>
      <c r="B676" s="1">
        <v>531303</v>
      </c>
      <c r="C676" s="1">
        <v>106907</v>
      </c>
      <c r="D676" s="1">
        <v>42209.2</v>
      </c>
      <c r="E676" s="1">
        <v>0</v>
      </c>
      <c r="F676" s="1">
        <v>406791</v>
      </c>
      <c r="G676" s="1">
        <v>62533.5</v>
      </c>
      <c r="H676" s="1">
        <v>371735</v>
      </c>
      <c r="I676" s="1">
        <v>621955</v>
      </c>
      <c r="J676" s="1">
        <v>50470.3</v>
      </c>
      <c r="K676" s="1">
        <v>88557.5</v>
      </c>
      <c r="L676" s="1">
        <v>96305.5</v>
      </c>
      <c r="M676" s="1">
        <v>70044.100000000006</v>
      </c>
      <c r="N676" s="1">
        <v>88064.6</v>
      </c>
      <c r="O676" s="1">
        <v>89325.7</v>
      </c>
      <c r="P676" s="1">
        <v>52946</v>
      </c>
      <c r="Q676" s="1">
        <v>82430</v>
      </c>
      <c r="R676" s="1">
        <v>0</v>
      </c>
    </row>
    <row r="677" spans="1:18">
      <c r="A677" s="2">
        <v>0.95833333333333337</v>
      </c>
      <c r="B677" s="1">
        <v>532038</v>
      </c>
      <c r="C677" s="1">
        <v>107097</v>
      </c>
      <c r="D677" s="1">
        <v>42225.4</v>
      </c>
      <c r="E677" s="1">
        <v>0</v>
      </c>
      <c r="F677" s="1">
        <v>406812</v>
      </c>
      <c r="G677" s="1">
        <v>62587</v>
      </c>
      <c r="H677" s="1">
        <v>371748</v>
      </c>
      <c r="I677" s="1">
        <v>622192</v>
      </c>
      <c r="J677" s="1">
        <v>50477.3</v>
      </c>
      <c r="K677" s="1">
        <v>88561.2</v>
      </c>
      <c r="L677" s="1">
        <v>96327.5</v>
      </c>
      <c r="M677" s="1">
        <v>70086.600000000006</v>
      </c>
      <c r="N677" s="1">
        <v>88119.9</v>
      </c>
      <c r="O677" s="1">
        <v>89345.5</v>
      </c>
      <c r="P677" s="1">
        <v>52946</v>
      </c>
      <c r="Q677" s="1">
        <v>82430</v>
      </c>
      <c r="R677" s="1">
        <v>0</v>
      </c>
    </row>
    <row r="678" spans="1:18">
      <c r="A678" s="2">
        <v>0</v>
      </c>
      <c r="B678" s="1">
        <v>532760</v>
      </c>
      <c r="C678" s="1">
        <v>107287</v>
      </c>
      <c r="D678" s="1">
        <v>42241</v>
      </c>
      <c r="E678" s="1">
        <v>0</v>
      </c>
      <c r="F678" s="1">
        <v>406834</v>
      </c>
      <c r="G678" s="1">
        <v>62643.5</v>
      </c>
      <c r="H678" s="1">
        <v>371761</v>
      </c>
      <c r="I678" s="1">
        <v>622420</v>
      </c>
      <c r="J678" s="1">
        <v>50484</v>
      </c>
      <c r="K678" s="1">
        <v>88565</v>
      </c>
      <c r="L678" s="1">
        <v>96349.8</v>
      </c>
      <c r="M678" s="1">
        <v>70125.399999999994</v>
      </c>
      <c r="N678" s="1">
        <v>88175.5</v>
      </c>
      <c r="O678" s="1">
        <v>89364.9</v>
      </c>
      <c r="P678" s="1">
        <v>52946</v>
      </c>
      <c r="Q678" s="1">
        <v>82430</v>
      </c>
      <c r="R678" s="1">
        <v>0</v>
      </c>
    </row>
    <row r="679" spans="1:18">
      <c r="A679" s="2">
        <v>4.1666666666666664E-2</v>
      </c>
      <c r="B679" s="1">
        <v>533479</v>
      </c>
      <c r="C679" s="1">
        <v>107477</v>
      </c>
      <c r="D679" s="1">
        <v>42256.1</v>
      </c>
      <c r="E679" s="1">
        <v>0</v>
      </c>
      <c r="F679" s="1">
        <v>406856</v>
      </c>
      <c r="G679" s="1">
        <v>62698.5</v>
      </c>
      <c r="H679" s="1">
        <v>371773</v>
      </c>
      <c r="I679" s="1">
        <v>622648</v>
      </c>
      <c r="J679" s="1">
        <v>50490.8</v>
      </c>
      <c r="K679" s="1">
        <v>88568.6</v>
      </c>
      <c r="L679" s="1">
        <v>96371.8</v>
      </c>
      <c r="M679" s="1">
        <v>70164.100000000006</v>
      </c>
      <c r="N679" s="1">
        <v>88231.2</v>
      </c>
      <c r="O679" s="1">
        <v>89383.2</v>
      </c>
      <c r="P679" s="1">
        <v>52946</v>
      </c>
      <c r="Q679" s="1">
        <v>82430</v>
      </c>
      <c r="R679" s="1">
        <v>0</v>
      </c>
    </row>
    <row r="680" spans="1:18">
      <c r="A680" s="2">
        <v>8.3333333333333329E-2</v>
      </c>
      <c r="B680" s="1">
        <v>534179</v>
      </c>
      <c r="C680" s="1">
        <v>107663</v>
      </c>
      <c r="D680" s="1">
        <v>42270.7</v>
      </c>
      <c r="E680" s="1">
        <v>0</v>
      </c>
      <c r="F680" s="1">
        <v>406877</v>
      </c>
      <c r="G680" s="1">
        <v>62751.6</v>
      </c>
      <c r="H680" s="1">
        <v>371785</v>
      </c>
      <c r="I680" s="1">
        <v>622866</v>
      </c>
      <c r="J680" s="1">
        <v>50497.3</v>
      </c>
      <c r="K680" s="1">
        <v>88572.2</v>
      </c>
      <c r="L680" s="1">
        <v>96393.600000000006</v>
      </c>
      <c r="M680" s="1">
        <v>70202.7</v>
      </c>
      <c r="N680" s="1">
        <v>88286.5</v>
      </c>
      <c r="O680" s="1">
        <v>89402.2</v>
      </c>
      <c r="P680" s="1">
        <v>52946</v>
      </c>
      <c r="Q680" s="1">
        <v>82430</v>
      </c>
      <c r="R680" s="1">
        <v>0</v>
      </c>
    </row>
    <row r="681" spans="1:18">
      <c r="A681" s="2">
        <v>0.125</v>
      </c>
      <c r="B681" s="1">
        <v>534877</v>
      </c>
      <c r="C681" s="1">
        <v>107844</v>
      </c>
      <c r="D681" s="1">
        <v>42287.199999999997</v>
      </c>
      <c r="E681" s="1">
        <v>0</v>
      </c>
      <c r="F681" s="1">
        <v>406898</v>
      </c>
      <c r="G681" s="1">
        <v>62803.5</v>
      </c>
      <c r="H681" s="1">
        <v>371797</v>
      </c>
      <c r="I681" s="1">
        <v>623081</v>
      </c>
      <c r="J681" s="1">
        <v>50503.6</v>
      </c>
      <c r="K681" s="1">
        <v>88575.7</v>
      </c>
      <c r="L681" s="1">
        <v>96418</v>
      </c>
      <c r="M681" s="1">
        <v>70242.7</v>
      </c>
      <c r="N681" s="1">
        <v>88341.5</v>
      </c>
      <c r="O681" s="1">
        <v>89422</v>
      </c>
      <c r="P681" s="1">
        <v>52946</v>
      </c>
      <c r="Q681" s="1">
        <v>82430</v>
      </c>
      <c r="R681" s="1">
        <v>0</v>
      </c>
    </row>
    <row r="682" spans="1:18">
      <c r="A682" s="2">
        <v>0.16666666666666666</v>
      </c>
      <c r="B682" s="1">
        <v>535561</v>
      </c>
      <c r="C682" s="1">
        <v>108018</v>
      </c>
      <c r="D682" s="1">
        <v>42301.7</v>
      </c>
      <c r="E682" s="1">
        <v>0</v>
      </c>
      <c r="F682" s="1">
        <v>406919</v>
      </c>
      <c r="G682" s="1">
        <v>62854.9</v>
      </c>
      <c r="H682" s="1">
        <v>371810</v>
      </c>
      <c r="I682" s="1">
        <v>623294</v>
      </c>
      <c r="J682" s="1">
        <v>50510.2</v>
      </c>
      <c r="K682" s="1">
        <v>88579.199999999997</v>
      </c>
      <c r="L682" s="1">
        <v>96443.7</v>
      </c>
      <c r="M682" s="1">
        <v>70282.5</v>
      </c>
      <c r="N682" s="1">
        <v>88396.7</v>
      </c>
      <c r="O682" s="1">
        <v>89441</v>
      </c>
      <c r="P682" s="1">
        <v>52946</v>
      </c>
      <c r="Q682" s="1">
        <v>82430</v>
      </c>
      <c r="R682" s="1">
        <v>0</v>
      </c>
    </row>
    <row r="683" spans="1:18">
      <c r="A683" s="2">
        <v>0.20833333333333334</v>
      </c>
      <c r="B683" s="1">
        <v>536233</v>
      </c>
      <c r="C683" s="1">
        <v>108186</v>
      </c>
      <c r="D683" s="1">
        <v>42315.9</v>
      </c>
      <c r="E683" s="1">
        <v>0</v>
      </c>
      <c r="F683" s="1">
        <v>406939</v>
      </c>
      <c r="G683" s="1">
        <v>62906</v>
      </c>
      <c r="H683" s="1">
        <v>371821</v>
      </c>
      <c r="I683" s="1">
        <v>623509</v>
      </c>
      <c r="J683" s="1">
        <v>50516.2</v>
      </c>
      <c r="K683" s="1">
        <v>88582.6</v>
      </c>
      <c r="L683" s="1">
        <v>96464.9</v>
      </c>
      <c r="M683" s="1">
        <v>70319.7</v>
      </c>
      <c r="N683" s="1">
        <v>88451.8</v>
      </c>
      <c r="O683" s="1">
        <v>89460.5</v>
      </c>
      <c r="P683" s="1">
        <v>52946</v>
      </c>
      <c r="Q683" s="1">
        <v>82430</v>
      </c>
      <c r="R683" s="1">
        <v>0</v>
      </c>
    </row>
    <row r="684" spans="1:18">
      <c r="A684" s="2">
        <v>0.25</v>
      </c>
      <c r="B684" s="1">
        <v>536898</v>
      </c>
      <c r="C684" s="1">
        <v>108354</v>
      </c>
      <c r="D684" s="1">
        <v>42330.1</v>
      </c>
      <c r="E684" s="1">
        <v>0</v>
      </c>
      <c r="F684" s="1">
        <v>406959</v>
      </c>
      <c r="G684" s="1">
        <v>62956.2</v>
      </c>
      <c r="H684" s="1">
        <v>371834</v>
      </c>
      <c r="I684" s="1">
        <v>623722</v>
      </c>
      <c r="J684" s="1">
        <v>50522.400000000001</v>
      </c>
      <c r="K684" s="1">
        <v>88585.9</v>
      </c>
      <c r="L684" s="1">
        <v>96485.8</v>
      </c>
      <c r="M684" s="1">
        <v>70356.3</v>
      </c>
      <c r="N684" s="1">
        <v>88506.8</v>
      </c>
      <c r="O684" s="1">
        <v>89479.5</v>
      </c>
      <c r="P684" s="1">
        <v>52946</v>
      </c>
      <c r="Q684" s="1">
        <v>82430</v>
      </c>
      <c r="R684" s="1">
        <v>0</v>
      </c>
    </row>
    <row r="685" spans="1:18">
      <c r="A685" s="2">
        <v>0.29166666666666669</v>
      </c>
      <c r="B685" s="1">
        <v>537552</v>
      </c>
      <c r="C685" s="1">
        <v>108521</v>
      </c>
      <c r="D685" s="1">
        <v>42344.9</v>
      </c>
      <c r="E685" s="1">
        <v>0</v>
      </c>
      <c r="F685" s="1">
        <v>406980</v>
      </c>
      <c r="G685" s="1">
        <v>63005.2</v>
      </c>
      <c r="H685" s="1">
        <v>371846</v>
      </c>
      <c r="I685" s="1">
        <v>623928</v>
      </c>
      <c r="J685" s="1">
        <v>50528.4</v>
      </c>
      <c r="K685" s="1">
        <v>88588.800000000003</v>
      </c>
      <c r="L685" s="1">
        <v>96506.9</v>
      </c>
      <c r="M685" s="1">
        <v>70392.399999999994</v>
      </c>
      <c r="N685" s="1">
        <v>88560.9</v>
      </c>
      <c r="O685" s="1">
        <v>89495.7</v>
      </c>
      <c r="P685" s="1">
        <v>52946</v>
      </c>
      <c r="Q685" s="1">
        <v>82431</v>
      </c>
      <c r="R685" s="1">
        <v>0</v>
      </c>
    </row>
    <row r="686" spans="1:18">
      <c r="A686" s="2">
        <v>0.33333333333333331</v>
      </c>
      <c r="B686" s="1">
        <v>538229</v>
      </c>
      <c r="C686" s="1">
        <v>108696</v>
      </c>
      <c r="D686" s="1">
        <v>42358.5</v>
      </c>
      <c r="E686" s="1">
        <v>0</v>
      </c>
      <c r="F686" s="1">
        <v>407001</v>
      </c>
      <c r="G686" s="1">
        <v>63052.4</v>
      </c>
      <c r="H686" s="1">
        <v>371858</v>
      </c>
      <c r="I686" s="1">
        <v>624150</v>
      </c>
      <c r="J686" s="1">
        <v>50535</v>
      </c>
      <c r="K686" s="1">
        <v>88589.5</v>
      </c>
      <c r="L686" s="1">
        <v>96528</v>
      </c>
      <c r="M686" s="1">
        <v>70429.100000000006</v>
      </c>
      <c r="N686" s="1">
        <v>88612.5</v>
      </c>
      <c r="O686" s="1">
        <v>89514.6</v>
      </c>
      <c r="P686" s="1">
        <v>52947</v>
      </c>
      <c r="Q686" s="1">
        <v>82434</v>
      </c>
      <c r="R686" s="1">
        <v>0</v>
      </c>
    </row>
    <row r="687" spans="1:18">
      <c r="A687" s="2">
        <v>0.375</v>
      </c>
      <c r="B687" s="1">
        <v>538909</v>
      </c>
      <c r="C687" s="1">
        <v>108872</v>
      </c>
      <c r="D687" s="1">
        <v>42372.1</v>
      </c>
      <c r="E687" s="1">
        <v>0</v>
      </c>
      <c r="F687" s="1">
        <v>407023</v>
      </c>
      <c r="G687" s="1">
        <v>63091.6</v>
      </c>
      <c r="H687" s="1">
        <v>371870</v>
      </c>
      <c r="I687" s="1">
        <v>624378</v>
      </c>
      <c r="J687" s="1">
        <v>50541.599999999999</v>
      </c>
      <c r="K687" s="1">
        <v>88589.5</v>
      </c>
      <c r="L687" s="1">
        <v>96549</v>
      </c>
      <c r="M687" s="1">
        <v>70468.100000000006</v>
      </c>
      <c r="N687" s="1">
        <v>88661.7</v>
      </c>
      <c r="O687" s="1">
        <v>89533.5</v>
      </c>
      <c r="P687" s="1">
        <v>52952</v>
      </c>
      <c r="Q687" s="1">
        <v>82442</v>
      </c>
      <c r="R687" s="1">
        <v>0</v>
      </c>
    </row>
    <row r="688" spans="1:18">
      <c r="A688" s="2">
        <v>0.41666666666666669</v>
      </c>
      <c r="B688" s="1">
        <v>539590</v>
      </c>
      <c r="C688" s="1">
        <v>109053</v>
      </c>
      <c r="D688" s="1">
        <v>42386.1</v>
      </c>
      <c r="E688" s="1">
        <v>0</v>
      </c>
      <c r="F688" s="1">
        <v>407046</v>
      </c>
      <c r="G688" s="1">
        <v>63121.8</v>
      </c>
      <c r="H688" s="1">
        <v>371882</v>
      </c>
      <c r="I688" s="1">
        <v>624622</v>
      </c>
      <c r="J688" s="1">
        <v>50548.6</v>
      </c>
      <c r="K688" s="1">
        <v>88589.5</v>
      </c>
      <c r="L688" s="1">
        <v>96570.1</v>
      </c>
      <c r="M688" s="1">
        <v>70508.899999999994</v>
      </c>
      <c r="N688" s="1">
        <v>88707.4</v>
      </c>
      <c r="O688" s="1">
        <v>89551.5</v>
      </c>
      <c r="P688" s="1">
        <v>52962</v>
      </c>
      <c r="Q688" s="1">
        <v>82457</v>
      </c>
      <c r="R688" s="1">
        <v>0</v>
      </c>
    </row>
    <row r="689" spans="1:18">
      <c r="A689" s="2">
        <v>0.45833333333333331</v>
      </c>
      <c r="B689" s="1">
        <v>540280</v>
      </c>
      <c r="C689" s="1">
        <v>109235</v>
      </c>
      <c r="D689" s="1">
        <v>42403.4</v>
      </c>
      <c r="E689" s="1">
        <v>0</v>
      </c>
      <c r="F689" s="1">
        <v>407070</v>
      </c>
      <c r="G689" s="1">
        <v>63146.9</v>
      </c>
      <c r="H689" s="1">
        <v>371894</v>
      </c>
      <c r="I689" s="1">
        <v>624872</v>
      </c>
      <c r="J689" s="1">
        <v>50555.7</v>
      </c>
      <c r="K689" s="1">
        <v>88589.5</v>
      </c>
      <c r="L689" s="1">
        <v>96597</v>
      </c>
      <c r="M689" s="1">
        <v>70549.600000000006</v>
      </c>
      <c r="N689" s="1">
        <v>88750.1</v>
      </c>
      <c r="O689" s="1">
        <v>89571.199999999997</v>
      </c>
      <c r="P689" s="1">
        <v>52975</v>
      </c>
      <c r="Q689" s="1">
        <v>82476</v>
      </c>
      <c r="R689" s="1">
        <v>0</v>
      </c>
    </row>
    <row r="690" spans="1:18">
      <c r="A690" s="2">
        <v>0.5</v>
      </c>
      <c r="B690" s="1">
        <v>540973</v>
      </c>
      <c r="C690" s="1">
        <v>109420</v>
      </c>
      <c r="D690" s="1">
        <v>42422.6</v>
      </c>
      <c r="E690" s="1">
        <v>0</v>
      </c>
      <c r="F690" s="1">
        <v>407097</v>
      </c>
      <c r="G690" s="1">
        <v>63168.3</v>
      </c>
      <c r="H690" s="1">
        <v>371907</v>
      </c>
      <c r="I690" s="1">
        <v>625127</v>
      </c>
      <c r="J690" s="1">
        <v>50562.9</v>
      </c>
      <c r="K690" s="1">
        <v>88589.5</v>
      </c>
      <c r="L690" s="1">
        <v>96622.1</v>
      </c>
      <c r="M690" s="1">
        <v>70590.899999999994</v>
      </c>
      <c r="N690" s="1">
        <v>88791.5</v>
      </c>
      <c r="O690" s="1">
        <v>89590.7</v>
      </c>
      <c r="P690" s="1">
        <v>52990</v>
      </c>
      <c r="Q690" s="1">
        <v>82500</v>
      </c>
      <c r="R690" s="1">
        <v>0</v>
      </c>
    </row>
    <row r="691" spans="1:18">
      <c r="A691" s="2">
        <v>0.54166666666666663</v>
      </c>
      <c r="B691" s="1">
        <v>541700</v>
      </c>
      <c r="C691" s="1">
        <v>109614</v>
      </c>
      <c r="D691" s="1">
        <v>42443.7</v>
      </c>
      <c r="E691" s="1">
        <v>0</v>
      </c>
      <c r="F691" s="1">
        <v>407124</v>
      </c>
      <c r="G691" s="1">
        <v>63188.9</v>
      </c>
      <c r="H691" s="1">
        <v>371919</v>
      </c>
      <c r="I691" s="1">
        <v>625402</v>
      </c>
      <c r="J691" s="1">
        <v>50570.6</v>
      </c>
      <c r="K691" s="1">
        <v>88589.5</v>
      </c>
      <c r="L691" s="1">
        <v>96651</v>
      </c>
      <c r="M691" s="1">
        <v>70633.7</v>
      </c>
      <c r="N691" s="1">
        <v>88831.5</v>
      </c>
      <c r="O691" s="1">
        <v>89608.4</v>
      </c>
      <c r="P691" s="1">
        <v>53006</v>
      </c>
      <c r="Q691" s="1">
        <v>82524</v>
      </c>
      <c r="R691" s="1">
        <v>0</v>
      </c>
    </row>
    <row r="692" spans="1:18">
      <c r="A692" s="2">
        <v>0.58333333333333337</v>
      </c>
      <c r="B692" s="1">
        <v>542478</v>
      </c>
      <c r="C692" s="1">
        <v>109819</v>
      </c>
      <c r="D692" s="1">
        <v>42466.8</v>
      </c>
      <c r="E692" s="1">
        <v>0</v>
      </c>
      <c r="F692" s="1">
        <v>407155</v>
      </c>
      <c r="G692" s="1">
        <v>63215.6</v>
      </c>
      <c r="H692" s="1">
        <v>371932</v>
      </c>
      <c r="I692" s="1">
        <v>625695</v>
      </c>
      <c r="J692" s="1">
        <v>50578.7</v>
      </c>
      <c r="K692" s="1">
        <v>88589.5</v>
      </c>
      <c r="L692" s="1">
        <v>96683.6</v>
      </c>
      <c r="M692" s="1">
        <v>70675.600000000006</v>
      </c>
      <c r="N692" s="1">
        <v>88872.1</v>
      </c>
      <c r="O692" s="1">
        <v>89627.199999999997</v>
      </c>
      <c r="P692" s="1">
        <v>53021</v>
      </c>
      <c r="Q692" s="1">
        <v>82547</v>
      </c>
      <c r="R692" s="1">
        <v>0</v>
      </c>
    </row>
    <row r="693" spans="1:18">
      <c r="A693" s="2">
        <v>0.625</v>
      </c>
      <c r="B693" s="1">
        <v>543301</v>
      </c>
      <c r="C693" s="1">
        <v>110044</v>
      </c>
      <c r="D693" s="1">
        <v>42489</v>
      </c>
      <c r="E693" s="1">
        <v>0</v>
      </c>
      <c r="F693" s="1">
        <v>407187</v>
      </c>
      <c r="G693" s="1">
        <v>63259.1</v>
      </c>
      <c r="H693" s="1">
        <v>371949</v>
      </c>
      <c r="I693" s="1">
        <v>625980</v>
      </c>
      <c r="J693" s="1">
        <v>50586.9</v>
      </c>
      <c r="K693" s="1">
        <v>88589.5</v>
      </c>
      <c r="L693" s="1">
        <v>96710.8</v>
      </c>
      <c r="M693" s="1">
        <v>70718.8</v>
      </c>
      <c r="N693" s="1">
        <v>88919</v>
      </c>
      <c r="O693" s="1">
        <v>89646.9</v>
      </c>
      <c r="P693" s="1">
        <v>53029</v>
      </c>
      <c r="Q693" s="1">
        <v>82559</v>
      </c>
      <c r="R693" s="1">
        <v>0</v>
      </c>
    </row>
    <row r="694" spans="1:18">
      <c r="A694" s="2">
        <v>0.66666666666666663</v>
      </c>
      <c r="B694" s="1">
        <v>544152</v>
      </c>
      <c r="C694" s="1">
        <v>110270</v>
      </c>
      <c r="D694" s="1">
        <v>42516.1</v>
      </c>
      <c r="E694" s="1">
        <v>0</v>
      </c>
      <c r="F694" s="1">
        <v>407217</v>
      </c>
      <c r="G694" s="1">
        <v>63309.2</v>
      </c>
      <c r="H694" s="1">
        <v>371966</v>
      </c>
      <c r="I694" s="1">
        <v>626270</v>
      </c>
      <c r="J694" s="1">
        <v>50594.7</v>
      </c>
      <c r="K694" s="1">
        <v>88589.5</v>
      </c>
      <c r="L694" s="1">
        <v>96739.5</v>
      </c>
      <c r="M694" s="1">
        <v>70764.600000000006</v>
      </c>
      <c r="N694" s="1">
        <v>88967.4</v>
      </c>
      <c r="O694" s="1">
        <v>89667.7</v>
      </c>
      <c r="P694" s="1">
        <v>53035</v>
      </c>
      <c r="Q694" s="1">
        <v>82569</v>
      </c>
      <c r="R694" s="1">
        <v>0</v>
      </c>
    </row>
    <row r="695" spans="1:18">
      <c r="A695" s="2">
        <v>0.70833333333333337</v>
      </c>
      <c r="B695" s="1">
        <v>544974</v>
      </c>
      <c r="C695" s="1">
        <v>110486</v>
      </c>
      <c r="D695" s="1">
        <v>42538.1</v>
      </c>
      <c r="E695" s="1">
        <v>0</v>
      </c>
      <c r="F695" s="1">
        <v>407245</v>
      </c>
      <c r="G695" s="1">
        <v>63356.5</v>
      </c>
      <c r="H695" s="1">
        <v>371981</v>
      </c>
      <c r="I695" s="1">
        <v>626553</v>
      </c>
      <c r="J695" s="1">
        <v>50602.3</v>
      </c>
      <c r="K695" s="1">
        <v>88589.9</v>
      </c>
      <c r="L695" s="1">
        <v>96768.7</v>
      </c>
      <c r="M695" s="1">
        <v>70810.2</v>
      </c>
      <c r="N695" s="1">
        <v>89016.7</v>
      </c>
      <c r="O695" s="1">
        <v>89687</v>
      </c>
      <c r="P695" s="1">
        <v>53041</v>
      </c>
      <c r="Q695" s="1">
        <v>82579</v>
      </c>
      <c r="R695" s="1">
        <v>0</v>
      </c>
    </row>
    <row r="696" spans="1:18">
      <c r="A696" s="2">
        <v>0.75</v>
      </c>
      <c r="B696" s="1">
        <v>545759</v>
      </c>
      <c r="C696" s="1">
        <v>110683</v>
      </c>
      <c r="D696" s="1">
        <v>42555.1</v>
      </c>
      <c r="E696" s="1">
        <v>0</v>
      </c>
      <c r="F696" s="1">
        <v>407268</v>
      </c>
      <c r="G696" s="1">
        <v>63414.3</v>
      </c>
      <c r="H696" s="1">
        <v>371998</v>
      </c>
      <c r="I696" s="1">
        <v>626819</v>
      </c>
      <c r="J696" s="1">
        <v>50609.3</v>
      </c>
      <c r="K696" s="1">
        <v>88593.1</v>
      </c>
      <c r="L696" s="1">
        <v>96792.7</v>
      </c>
      <c r="M696" s="1">
        <v>70853.2</v>
      </c>
      <c r="N696" s="1">
        <v>89070.7</v>
      </c>
      <c r="O696" s="1">
        <v>89705.3</v>
      </c>
      <c r="P696" s="1">
        <v>53042</v>
      </c>
      <c r="Q696" s="1">
        <v>82579</v>
      </c>
      <c r="R696" s="1">
        <v>0</v>
      </c>
    </row>
    <row r="697" spans="1:18">
      <c r="A697" s="2">
        <v>0.79166666666666663</v>
      </c>
      <c r="B697" s="1">
        <v>546511</v>
      </c>
      <c r="C697" s="1">
        <v>110873</v>
      </c>
      <c r="D697" s="1">
        <v>42571.199999999997</v>
      </c>
      <c r="E697" s="1">
        <v>0</v>
      </c>
      <c r="F697" s="1">
        <v>407291</v>
      </c>
      <c r="G697" s="1">
        <v>63468.5</v>
      </c>
      <c r="H697" s="1">
        <v>372011</v>
      </c>
      <c r="I697" s="1">
        <v>627075</v>
      </c>
      <c r="J697" s="1">
        <v>50616</v>
      </c>
      <c r="K697" s="1">
        <v>88596.800000000003</v>
      </c>
      <c r="L697" s="1">
        <v>96814.399999999994</v>
      </c>
      <c r="M697" s="1">
        <v>70894</v>
      </c>
      <c r="N697" s="1">
        <v>89125.2</v>
      </c>
      <c r="O697" s="1">
        <v>89721.600000000006</v>
      </c>
      <c r="P697" s="1">
        <v>53042</v>
      </c>
      <c r="Q697" s="1">
        <v>82579</v>
      </c>
      <c r="R697" s="1">
        <v>0</v>
      </c>
    </row>
    <row r="698" spans="1:18">
      <c r="A698" s="2">
        <v>0.83333333333333337</v>
      </c>
      <c r="B698" s="1">
        <v>547248</v>
      </c>
      <c r="C698" s="1">
        <v>111059</v>
      </c>
      <c r="D698" s="1">
        <v>42587</v>
      </c>
      <c r="E698" s="1">
        <v>0</v>
      </c>
      <c r="F698" s="1">
        <v>407314</v>
      </c>
      <c r="G698" s="1">
        <v>63524.4</v>
      </c>
      <c r="H698" s="1">
        <v>372024</v>
      </c>
      <c r="I698" s="1">
        <v>627321</v>
      </c>
      <c r="J698" s="1">
        <v>50622.7</v>
      </c>
      <c r="K698" s="1">
        <v>88600.3</v>
      </c>
      <c r="L698" s="1">
        <v>96836.5</v>
      </c>
      <c r="M698" s="1">
        <v>70932.7</v>
      </c>
      <c r="N698" s="1">
        <v>89180</v>
      </c>
      <c r="O698" s="1">
        <v>89741.3</v>
      </c>
      <c r="P698" s="1">
        <v>53042</v>
      </c>
      <c r="Q698" s="1">
        <v>82579</v>
      </c>
      <c r="R698" s="1">
        <v>0</v>
      </c>
    </row>
    <row r="699" spans="1:18">
      <c r="A699" s="2">
        <v>0.875</v>
      </c>
      <c r="B699" s="1">
        <v>547976</v>
      </c>
      <c r="C699" s="1">
        <v>111242</v>
      </c>
      <c r="D699" s="1">
        <v>42604.4</v>
      </c>
      <c r="E699" s="1">
        <v>0</v>
      </c>
      <c r="F699" s="1">
        <v>407339</v>
      </c>
      <c r="G699" s="1">
        <v>63579.9</v>
      </c>
      <c r="H699" s="1">
        <v>372036</v>
      </c>
      <c r="I699" s="1">
        <v>627560</v>
      </c>
      <c r="J699" s="1">
        <v>50629.2</v>
      </c>
      <c r="K699" s="1">
        <v>88603.8</v>
      </c>
      <c r="L699" s="1">
        <v>96858.8</v>
      </c>
      <c r="M699" s="1">
        <v>70969.3</v>
      </c>
      <c r="N699" s="1">
        <v>89234.7</v>
      </c>
      <c r="O699" s="1">
        <v>89760.4</v>
      </c>
      <c r="P699" s="1">
        <v>53042</v>
      </c>
      <c r="Q699" s="1">
        <v>82579</v>
      </c>
      <c r="R699" s="1">
        <v>0</v>
      </c>
    </row>
    <row r="700" spans="1:18">
      <c r="A700" s="2">
        <v>0.91666666666666663</v>
      </c>
      <c r="B700" s="1">
        <v>548705</v>
      </c>
      <c r="C700" s="1">
        <v>111429</v>
      </c>
      <c r="D700" s="1">
        <v>42623.5</v>
      </c>
      <c r="E700" s="1">
        <v>0</v>
      </c>
      <c r="F700" s="1">
        <v>407366</v>
      </c>
      <c r="G700" s="1">
        <v>63635.1</v>
      </c>
      <c r="H700" s="1">
        <v>372049</v>
      </c>
      <c r="I700" s="1">
        <v>627791</v>
      </c>
      <c r="J700" s="1">
        <v>50635.6</v>
      </c>
      <c r="K700" s="1">
        <v>88607.5</v>
      </c>
      <c r="L700" s="1">
        <v>96881.600000000006</v>
      </c>
      <c r="M700" s="1">
        <v>71007</v>
      </c>
      <c r="N700" s="1">
        <v>89290</v>
      </c>
      <c r="O700" s="1">
        <v>89779.3</v>
      </c>
      <c r="P700" s="1">
        <v>53042</v>
      </c>
      <c r="Q700" s="1">
        <v>82579</v>
      </c>
      <c r="R700" s="1">
        <v>0</v>
      </c>
    </row>
    <row r="701" spans="1:18">
      <c r="A701" s="2">
        <v>0.95833333333333337</v>
      </c>
      <c r="B701" s="1">
        <v>549427</v>
      </c>
      <c r="C701" s="1">
        <v>111610</v>
      </c>
      <c r="D701" s="1">
        <v>42640.5</v>
      </c>
      <c r="E701" s="1">
        <v>0</v>
      </c>
      <c r="F701" s="1">
        <v>407390</v>
      </c>
      <c r="G701" s="1">
        <v>63690.8</v>
      </c>
      <c r="H701" s="1">
        <v>372061</v>
      </c>
      <c r="I701" s="1">
        <v>628021</v>
      </c>
      <c r="J701" s="1">
        <v>50642.400000000001</v>
      </c>
      <c r="K701" s="1">
        <v>88611.1</v>
      </c>
      <c r="L701" s="1">
        <v>96905.1</v>
      </c>
      <c r="M701" s="1">
        <v>71045.399999999994</v>
      </c>
      <c r="N701" s="1">
        <v>89345</v>
      </c>
      <c r="O701" s="1">
        <v>89799.1</v>
      </c>
      <c r="P701" s="1">
        <v>53042</v>
      </c>
      <c r="Q701" s="1">
        <v>82579</v>
      </c>
      <c r="R701" s="1">
        <v>0</v>
      </c>
    </row>
    <row r="702" spans="1:18">
      <c r="A702" s="2">
        <v>0</v>
      </c>
      <c r="B702" s="1">
        <v>550147</v>
      </c>
      <c r="C702" s="1">
        <v>111792</v>
      </c>
      <c r="D702" s="1">
        <v>42657</v>
      </c>
      <c r="E702" s="1">
        <v>0</v>
      </c>
      <c r="F702" s="1">
        <v>407414</v>
      </c>
      <c r="G702" s="1">
        <v>63747.1</v>
      </c>
      <c r="H702" s="1">
        <v>372074</v>
      </c>
      <c r="I702" s="1">
        <v>628249</v>
      </c>
      <c r="J702" s="1">
        <v>50648.800000000003</v>
      </c>
      <c r="K702" s="1">
        <v>88615.2</v>
      </c>
      <c r="L702" s="1">
        <v>96928.9</v>
      </c>
      <c r="M702" s="1">
        <v>71086</v>
      </c>
      <c r="N702" s="1">
        <v>89399.3</v>
      </c>
      <c r="O702" s="1">
        <v>89818.4</v>
      </c>
      <c r="P702" s="1">
        <v>53042</v>
      </c>
      <c r="Q702" s="1">
        <v>82579</v>
      </c>
      <c r="R702" s="1">
        <v>0</v>
      </c>
    </row>
    <row r="703" spans="1:18">
      <c r="A703" s="2">
        <v>4.1666666666666664E-2</v>
      </c>
      <c r="B703" s="1">
        <v>550856</v>
      </c>
      <c r="C703" s="1">
        <v>111969</v>
      </c>
      <c r="D703" s="1">
        <v>42675.9</v>
      </c>
      <c r="E703" s="1">
        <v>0</v>
      </c>
      <c r="F703" s="1">
        <v>407438</v>
      </c>
      <c r="G703" s="1">
        <v>63801.8</v>
      </c>
      <c r="H703" s="1">
        <v>372087</v>
      </c>
      <c r="I703" s="1">
        <v>628474</v>
      </c>
      <c r="J703" s="1">
        <v>50655.5</v>
      </c>
      <c r="K703" s="1">
        <v>88618.7</v>
      </c>
      <c r="L703" s="1">
        <v>96952.6</v>
      </c>
      <c r="M703" s="1">
        <v>71124.600000000006</v>
      </c>
      <c r="N703" s="1">
        <v>89454.399999999994</v>
      </c>
      <c r="O703" s="1">
        <v>89835.9</v>
      </c>
      <c r="P703" s="1">
        <v>53042</v>
      </c>
      <c r="Q703" s="1">
        <v>82579</v>
      </c>
      <c r="R703" s="1">
        <v>0</v>
      </c>
    </row>
    <row r="704" spans="1:18">
      <c r="A704" s="2">
        <v>8.3333333333333329E-2</v>
      </c>
      <c r="B704" s="1">
        <v>551532</v>
      </c>
      <c r="C704" s="1">
        <v>112129</v>
      </c>
      <c r="D704" s="1">
        <v>42691.4</v>
      </c>
      <c r="E704" s="1">
        <v>0</v>
      </c>
      <c r="F704" s="1">
        <v>407460</v>
      </c>
      <c r="G704" s="1">
        <v>63855.8</v>
      </c>
      <c r="H704" s="1">
        <v>372099</v>
      </c>
      <c r="I704" s="1">
        <v>628690</v>
      </c>
      <c r="J704" s="1">
        <v>50661.9</v>
      </c>
      <c r="K704" s="1">
        <v>88622.3</v>
      </c>
      <c r="L704" s="1">
        <v>96976.1</v>
      </c>
      <c r="M704" s="1">
        <v>71161.8</v>
      </c>
      <c r="N704" s="1">
        <v>89508.9</v>
      </c>
      <c r="O704" s="1">
        <v>89856.3</v>
      </c>
      <c r="P704" s="1">
        <v>53042</v>
      </c>
      <c r="Q704" s="1">
        <v>82579</v>
      </c>
      <c r="R704" s="1">
        <v>0</v>
      </c>
    </row>
    <row r="705" spans="1:18">
      <c r="A705" s="2">
        <v>0.125</v>
      </c>
      <c r="B705" s="1">
        <v>552210</v>
      </c>
      <c r="C705" s="1">
        <v>112303</v>
      </c>
      <c r="D705" s="1">
        <v>42705.2</v>
      </c>
      <c r="E705" s="1">
        <v>0</v>
      </c>
      <c r="F705" s="1">
        <v>407482</v>
      </c>
      <c r="G705" s="1">
        <v>63906.400000000001</v>
      </c>
      <c r="H705" s="1">
        <v>372111</v>
      </c>
      <c r="I705" s="1">
        <v>628903</v>
      </c>
      <c r="J705" s="1">
        <v>50668</v>
      </c>
      <c r="K705" s="1">
        <v>88625.7</v>
      </c>
      <c r="L705" s="1">
        <v>96999</v>
      </c>
      <c r="M705" s="1">
        <v>71199.399999999994</v>
      </c>
      <c r="N705" s="1">
        <v>89563.5</v>
      </c>
      <c r="O705" s="1">
        <v>89874.9</v>
      </c>
      <c r="P705" s="1">
        <v>53042</v>
      </c>
      <c r="Q705" s="1">
        <v>82579</v>
      </c>
      <c r="R705" s="1">
        <v>0</v>
      </c>
    </row>
    <row r="706" spans="1:18">
      <c r="A706" s="2">
        <v>0.16666666666666666</v>
      </c>
      <c r="B706" s="1">
        <v>552891</v>
      </c>
      <c r="C706" s="1">
        <v>112480</v>
      </c>
      <c r="D706" s="1">
        <v>42719.8</v>
      </c>
      <c r="E706" s="1">
        <v>0</v>
      </c>
      <c r="F706" s="1">
        <v>407503</v>
      </c>
      <c r="G706" s="1">
        <v>63957.9</v>
      </c>
      <c r="H706" s="1">
        <v>372124</v>
      </c>
      <c r="I706" s="1">
        <v>629116</v>
      </c>
      <c r="J706" s="1">
        <v>50674.400000000001</v>
      </c>
      <c r="K706" s="1">
        <v>88629.2</v>
      </c>
      <c r="L706" s="1">
        <v>97020.7</v>
      </c>
      <c r="M706" s="1">
        <v>71236.399999999994</v>
      </c>
      <c r="N706" s="1">
        <v>89618.4</v>
      </c>
      <c r="O706" s="1">
        <v>89894.399999999994</v>
      </c>
      <c r="P706" s="1">
        <v>53042</v>
      </c>
      <c r="Q706" s="1">
        <v>82579</v>
      </c>
      <c r="R706" s="1">
        <v>0</v>
      </c>
    </row>
    <row r="707" spans="1:18">
      <c r="A707" s="2">
        <v>0.20833333333333334</v>
      </c>
      <c r="B707" s="1">
        <v>553566</v>
      </c>
      <c r="C707" s="1">
        <v>112657</v>
      </c>
      <c r="D707" s="1">
        <v>42734.2</v>
      </c>
      <c r="E707" s="1">
        <v>0</v>
      </c>
      <c r="F707" s="1">
        <v>407523</v>
      </c>
      <c r="G707" s="1">
        <v>64008.7</v>
      </c>
      <c r="H707" s="1">
        <v>372136</v>
      </c>
      <c r="I707" s="1">
        <v>629324</v>
      </c>
      <c r="J707" s="1">
        <v>50680.3</v>
      </c>
      <c r="K707" s="1">
        <v>88632.6</v>
      </c>
      <c r="L707" s="1">
        <v>97040.4</v>
      </c>
      <c r="M707" s="1">
        <v>71274.3</v>
      </c>
      <c r="N707" s="1">
        <v>89673.2</v>
      </c>
      <c r="O707" s="1">
        <v>89913.9</v>
      </c>
      <c r="P707" s="1">
        <v>53042</v>
      </c>
      <c r="Q707" s="1">
        <v>82579</v>
      </c>
      <c r="R707" s="1">
        <v>0</v>
      </c>
    </row>
    <row r="708" spans="1:18">
      <c r="A708" s="2">
        <v>0.25</v>
      </c>
      <c r="B708" s="1">
        <v>554244</v>
      </c>
      <c r="C708" s="1">
        <v>112834</v>
      </c>
      <c r="D708" s="1">
        <v>42750.7</v>
      </c>
      <c r="E708" s="1">
        <v>0</v>
      </c>
      <c r="F708" s="1">
        <v>407544</v>
      </c>
      <c r="G708" s="1">
        <v>64059.4</v>
      </c>
      <c r="H708" s="1">
        <v>372148</v>
      </c>
      <c r="I708" s="1">
        <v>629535</v>
      </c>
      <c r="J708" s="1">
        <v>50686.400000000001</v>
      </c>
      <c r="K708" s="1">
        <v>88636.1</v>
      </c>
      <c r="L708" s="1">
        <v>97059.5</v>
      </c>
      <c r="M708" s="1">
        <v>71312.800000000003</v>
      </c>
      <c r="N708" s="1">
        <v>89727.7</v>
      </c>
      <c r="O708" s="1">
        <v>89934.2</v>
      </c>
      <c r="P708" s="1">
        <v>53042</v>
      </c>
      <c r="Q708" s="1">
        <v>82579</v>
      </c>
      <c r="R708" s="1">
        <v>0</v>
      </c>
    </row>
    <row r="709" spans="1:18">
      <c r="A709" s="2">
        <v>0.29166666666666669</v>
      </c>
      <c r="B709" s="1">
        <v>554934</v>
      </c>
      <c r="C709" s="1">
        <v>113015</v>
      </c>
      <c r="D709" s="1">
        <v>42767</v>
      </c>
      <c r="E709" s="1">
        <v>0</v>
      </c>
      <c r="F709" s="1">
        <v>407564</v>
      </c>
      <c r="G709" s="1">
        <v>64109.2</v>
      </c>
      <c r="H709" s="1">
        <v>372161</v>
      </c>
      <c r="I709" s="1">
        <v>629749</v>
      </c>
      <c r="J709" s="1">
        <v>50692.4</v>
      </c>
      <c r="K709" s="1">
        <v>88639.1</v>
      </c>
      <c r="L709" s="1">
        <v>97081.3</v>
      </c>
      <c r="M709" s="1">
        <v>71349.2</v>
      </c>
      <c r="N709" s="1">
        <v>89782.2</v>
      </c>
      <c r="O709" s="1">
        <v>89956.1</v>
      </c>
      <c r="P709" s="1">
        <v>53042</v>
      </c>
      <c r="Q709" s="1">
        <v>82580</v>
      </c>
      <c r="R709" s="1">
        <v>0</v>
      </c>
    </row>
    <row r="710" spans="1:18">
      <c r="A710" s="2">
        <v>0.33333333333333331</v>
      </c>
      <c r="B710" s="1">
        <v>555664</v>
      </c>
      <c r="C710" s="1">
        <v>113208</v>
      </c>
      <c r="D710" s="1">
        <v>42784.7</v>
      </c>
      <c r="E710" s="1">
        <v>0</v>
      </c>
      <c r="F710" s="1">
        <v>407585</v>
      </c>
      <c r="G710" s="1">
        <v>64158.7</v>
      </c>
      <c r="H710" s="1">
        <v>372173</v>
      </c>
      <c r="I710" s="1">
        <v>629979</v>
      </c>
      <c r="J710" s="1">
        <v>50698.7</v>
      </c>
      <c r="K710" s="1">
        <v>88640.3</v>
      </c>
      <c r="L710" s="1">
        <v>97105.4</v>
      </c>
      <c r="M710" s="1">
        <v>71386.3</v>
      </c>
      <c r="N710" s="1">
        <v>89833.600000000006</v>
      </c>
      <c r="O710" s="1">
        <v>89981.1</v>
      </c>
      <c r="P710" s="1">
        <v>53043</v>
      </c>
      <c r="Q710" s="1">
        <v>82583</v>
      </c>
      <c r="R710" s="1">
        <v>0</v>
      </c>
    </row>
    <row r="711" spans="1:18">
      <c r="A711" s="2">
        <v>0.375</v>
      </c>
      <c r="B711" s="1">
        <v>556539</v>
      </c>
      <c r="C711" s="1">
        <v>113451</v>
      </c>
      <c r="D711" s="1">
        <v>42804.4</v>
      </c>
      <c r="E711" s="1">
        <v>0</v>
      </c>
      <c r="F711" s="1">
        <v>407613</v>
      </c>
      <c r="G711" s="1">
        <v>64208.2</v>
      </c>
      <c r="H711" s="1">
        <v>372185</v>
      </c>
      <c r="I711" s="1">
        <v>630257</v>
      </c>
      <c r="J711" s="1">
        <v>50705.5</v>
      </c>
      <c r="K711" s="1">
        <v>88640.6</v>
      </c>
      <c r="L711" s="1">
        <v>97136.5</v>
      </c>
      <c r="M711" s="1">
        <v>71435.8</v>
      </c>
      <c r="N711" s="1">
        <v>89883.8</v>
      </c>
      <c r="O711" s="1">
        <v>90016.5</v>
      </c>
      <c r="P711" s="1">
        <v>53049</v>
      </c>
      <c r="Q711" s="1">
        <v>82593</v>
      </c>
      <c r="R711" s="1">
        <v>0</v>
      </c>
    </row>
    <row r="712" spans="1:18">
      <c r="A712" s="2">
        <v>0.41666666666666669</v>
      </c>
      <c r="B712" s="1">
        <v>557664</v>
      </c>
      <c r="C712" s="1">
        <v>113790</v>
      </c>
      <c r="D712" s="1">
        <v>42831.6</v>
      </c>
      <c r="E712" s="1">
        <v>0</v>
      </c>
      <c r="F712" s="1">
        <v>407647</v>
      </c>
      <c r="G712" s="1">
        <v>64268</v>
      </c>
      <c r="H712" s="1">
        <v>372200</v>
      </c>
      <c r="I712" s="1">
        <v>630611</v>
      </c>
      <c r="J712" s="1">
        <v>50712.6</v>
      </c>
      <c r="K712" s="1">
        <v>88641.1</v>
      </c>
      <c r="L712" s="1">
        <v>97178.2</v>
      </c>
      <c r="M712" s="1">
        <v>71492</v>
      </c>
      <c r="N712" s="1">
        <v>89935.4</v>
      </c>
      <c r="O712" s="1">
        <v>90068.5</v>
      </c>
      <c r="P712" s="1">
        <v>53059</v>
      </c>
      <c r="Q712" s="1">
        <v>82608</v>
      </c>
      <c r="R712" s="1">
        <v>0</v>
      </c>
    </row>
    <row r="713" spans="1:18">
      <c r="A713" s="2">
        <v>0.45833333333333331</v>
      </c>
      <c r="B713" s="1">
        <v>558982</v>
      </c>
      <c r="C713" s="1">
        <v>114163</v>
      </c>
      <c r="D713" s="1">
        <v>42863.3</v>
      </c>
      <c r="E713" s="1">
        <v>0</v>
      </c>
      <c r="F713" s="1">
        <v>407702</v>
      </c>
      <c r="G713" s="1">
        <v>64344.7</v>
      </c>
      <c r="H713" s="1">
        <v>372217</v>
      </c>
      <c r="I713" s="1">
        <v>631041</v>
      </c>
      <c r="J713" s="1">
        <v>50724.6</v>
      </c>
      <c r="K713" s="1">
        <v>88641.1</v>
      </c>
      <c r="L713" s="1">
        <v>97227.7</v>
      </c>
      <c r="M713" s="1">
        <v>71555.3</v>
      </c>
      <c r="N713" s="1">
        <v>89985.600000000006</v>
      </c>
      <c r="O713" s="1">
        <v>90138</v>
      </c>
      <c r="P713" s="1">
        <v>53072</v>
      </c>
      <c r="Q713" s="1">
        <v>82628</v>
      </c>
      <c r="R713" s="1">
        <v>0</v>
      </c>
    </row>
    <row r="714" spans="1:18">
      <c r="A714" s="2">
        <v>0.5</v>
      </c>
      <c r="B714" s="1">
        <v>560331</v>
      </c>
      <c r="C714" s="1">
        <v>114540</v>
      </c>
      <c r="D714" s="1">
        <v>42901.9</v>
      </c>
      <c r="E714" s="1">
        <v>0</v>
      </c>
      <c r="F714" s="1">
        <v>407755</v>
      </c>
      <c r="G714" s="1">
        <v>64426.3</v>
      </c>
      <c r="H714" s="1">
        <v>372234</v>
      </c>
      <c r="I714" s="1">
        <v>631501</v>
      </c>
      <c r="J714" s="1">
        <v>50737.9</v>
      </c>
      <c r="K714" s="1">
        <v>88641.1</v>
      </c>
      <c r="L714" s="1">
        <v>97272.1</v>
      </c>
      <c r="M714" s="1">
        <v>71618.100000000006</v>
      </c>
      <c r="N714" s="1">
        <v>90036.2</v>
      </c>
      <c r="O714" s="1">
        <v>90205.4</v>
      </c>
      <c r="P714" s="1">
        <v>53087</v>
      </c>
      <c r="Q714" s="1">
        <v>82651</v>
      </c>
      <c r="R714" s="1">
        <v>0</v>
      </c>
    </row>
    <row r="715" spans="1:18">
      <c r="A715" s="2">
        <v>0.54166666666666663</v>
      </c>
      <c r="B715" s="1">
        <v>561717</v>
      </c>
      <c r="C715" s="1">
        <v>114921</v>
      </c>
      <c r="D715" s="1">
        <v>42946.8</v>
      </c>
      <c r="E715" s="1">
        <v>0</v>
      </c>
      <c r="F715" s="1">
        <v>407811</v>
      </c>
      <c r="G715" s="1">
        <v>64507</v>
      </c>
      <c r="H715" s="1">
        <v>372248</v>
      </c>
      <c r="I715" s="1">
        <v>631984</v>
      </c>
      <c r="J715" s="1">
        <v>50749.599999999999</v>
      </c>
      <c r="K715" s="1">
        <v>88641.3</v>
      </c>
      <c r="L715" s="1">
        <v>97318.5</v>
      </c>
      <c r="M715" s="1">
        <v>71682.100000000006</v>
      </c>
      <c r="N715" s="1">
        <v>90085.9</v>
      </c>
      <c r="O715" s="1">
        <v>90274.9</v>
      </c>
      <c r="P715" s="1">
        <v>53103</v>
      </c>
      <c r="Q715" s="1">
        <v>82676</v>
      </c>
      <c r="R715" s="1">
        <v>0</v>
      </c>
    </row>
    <row r="716" spans="1:18">
      <c r="A716" s="2">
        <v>0.58333333333333337</v>
      </c>
      <c r="B716" s="1">
        <v>563175</v>
      </c>
      <c r="C716" s="1">
        <v>115312</v>
      </c>
      <c r="D716" s="1">
        <v>42991.9</v>
      </c>
      <c r="E716" s="1">
        <v>0</v>
      </c>
      <c r="F716" s="1">
        <v>407864</v>
      </c>
      <c r="G716" s="1">
        <v>64601</v>
      </c>
      <c r="H716" s="1">
        <v>372294</v>
      </c>
      <c r="I716" s="1">
        <v>632465</v>
      </c>
      <c r="J716" s="1">
        <v>50760.800000000003</v>
      </c>
      <c r="K716" s="1">
        <v>88641.3</v>
      </c>
      <c r="L716" s="1">
        <v>97371.1</v>
      </c>
      <c r="M716" s="1">
        <v>71755.399999999994</v>
      </c>
      <c r="N716" s="1">
        <v>90130.6</v>
      </c>
      <c r="O716" s="1">
        <v>90348.2</v>
      </c>
      <c r="P716" s="1">
        <v>53120</v>
      </c>
      <c r="Q716" s="1">
        <v>82700</v>
      </c>
      <c r="R716" s="1">
        <v>0</v>
      </c>
    </row>
    <row r="717" spans="1:18">
      <c r="A717" s="2">
        <v>0.625</v>
      </c>
      <c r="B717" s="1">
        <v>564639</v>
      </c>
      <c r="C717" s="1">
        <v>115729</v>
      </c>
      <c r="D717" s="1">
        <v>43029.3</v>
      </c>
      <c r="E717" s="1">
        <v>0</v>
      </c>
      <c r="F717" s="1">
        <v>407917</v>
      </c>
      <c r="G717" s="1">
        <v>64706.8</v>
      </c>
      <c r="H717" s="1">
        <v>372317</v>
      </c>
      <c r="I717" s="1">
        <v>632947</v>
      </c>
      <c r="J717" s="1">
        <v>50775.6</v>
      </c>
      <c r="K717" s="1">
        <v>88642.4</v>
      </c>
      <c r="L717" s="1">
        <v>97423.1</v>
      </c>
      <c r="M717" s="1">
        <v>71835.199999999997</v>
      </c>
      <c r="N717" s="1">
        <v>90179.5</v>
      </c>
      <c r="O717" s="1">
        <v>90405.1</v>
      </c>
      <c r="P717" s="1">
        <v>53133</v>
      </c>
      <c r="Q717" s="1">
        <v>82721</v>
      </c>
      <c r="R717" s="1">
        <v>0</v>
      </c>
    </row>
    <row r="718" spans="1:18">
      <c r="A718" s="2">
        <v>0.66666666666666663</v>
      </c>
      <c r="B718" s="1">
        <v>566055</v>
      </c>
      <c r="C718" s="1">
        <v>116141</v>
      </c>
      <c r="D718" s="1">
        <v>43064.800000000003</v>
      </c>
      <c r="E718" s="1">
        <v>0</v>
      </c>
      <c r="F718" s="1">
        <v>407968</v>
      </c>
      <c r="G718" s="1">
        <v>64807.1</v>
      </c>
      <c r="H718" s="1">
        <v>372332</v>
      </c>
      <c r="I718" s="1">
        <v>633438</v>
      </c>
      <c r="J718" s="1">
        <v>50792</v>
      </c>
      <c r="K718" s="1">
        <v>88642.4</v>
      </c>
      <c r="L718" s="1">
        <v>97472.9</v>
      </c>
      <c r="M718" s="1">
        <v>71904.899999999994</v>
      </c>
      <c r="N718" s="1">
        <v>90229.8</v>
      </c>
      <c r="O718" s="1">
        <v>90435.4</v>
      </c>
      <c r="P718" s="1">
        <v>53145</v>
      </c>
      <c r="Q718" s="1">
        <v>82739</v>
      </c>
      <c r="R718" s="1">
        <v>0</v>
      </c>
    </row>
    <row r="719" spans="1:18">
      <c r="A719" s="2">
        <v>0.70833333333333337</v>
      </c>
      <c r="B719" s="1">
        <v>567393</v>
      </c>
      <c r="C719" s="1">
        <v>116525</v>
      </c>
      <c r="D719" s="1">
        <v>43097.3</v>
      </c>
      <c r="E719" s="1">
        <v>0</v>
      </c>
      <c r="F719" s="1">
        <v>408015</v>
      </c>
      <c r="G719" s="1">
        <v>64909.3</v>
      </c>
      <c r="H719" s="1">
        <v>372345</v>
      </c>
      <c r="I719" s="1">
        <v>633910</v>
      </c>
      <c r="J719" s="1">
        <v>50803.199999999997</v>
      </c>
      <c r="K719" s="1">
        <v>88646.2</v>
      </c>
      <c r="L719" s="1">
        <v>97523.9</v>
      </c>
      <c r="M719" s="1">
        <v>71961.2</v>
      </c>
      <c r="N719" s="1">
        <v>90281.9</v>
      </c>
      <c r="O719" s="1">
        <v>90463.6</v>
      </c>
      <c r="P719" s="1">
        <v>53154</v>
      </c>
      <c r="Q719" s="1">
        <v>82752</v>
      </c>
      <c r="R719" s="1">
        <v>0</v>
      </c>
    </row>
    <row r="720" spans="1:18">
      <c r="A720" s="2">
        <v>0.75</v>
      </c>
      <c r="B720" s="1">
        <v>568588</v>
      </c>
      <c r="C720" s="1">
        <v>116867</v>
      </c>
      <c r="D720" s="1">
        <v>43123.4</v>
      </c>
      <c r="E720" s="1">
        <v>0</v>
      </c>
      <c r="F720" s="1">
        <v>408057</v>
      </c>
      <c r="G720" s="1">
        <v>64999</v>
      </c>
      <c r="H720" s="1">
        <v>372359</v>
      </c>
      <c r="I720" s="1">
        <v>634323</v>
      </c>
      <c r="J720" s="1">
        <v>50811.1</v>
      </c>
      <c r="K720" s="1">
        <v>88651.3</v>
      </c>
      <c r="L720" s="1">
        <v>97567.1</v>
      </c>
      <c r="M720" s="1">
        <v>72011.3</v>
      </c>
      <c r="N720" s="1">
        <v>90337.5</v>
      </c>
      <c r="O720" s="1">
        <v>90490.2</v>
      </c>
      <c r="P720" s="1">
        <v>53158</v>
      </c>
      <c r="Q720" s="1">
        <v>82759</v>
      </c>
      <c r="R720" s="1">
        <v>0</v>
      </c>
    </row>
    <row r="721" spans="1:18">
      <c r="A721" s="2">
        <v>0.79166666666666663</v>
      </c>
      <c r="B721" s="1">
        <v>569623</v>
      </c>
      <c r="C721" s="1">
        <v>117160</v>
      </c>
      <c r="D721" s="1">
        <v>43144.5</v>
      </c>
      <c r="E721" s="1">
        <v>0</v>
      </c>
      <c r="F721" s="1">
        <v>408091</v>
      </c>
      <c r="G721" s="1">
        <v>65079.5</v>
      </c>
      <c r="H721" s="1">
        <v>372378</v>
      </c>
      <c r="I721" s="1">
        <v>634676</v>
      </c>
      <c r="J721" s="1">
        <v>50818.8</v>
      </c>
      <c r="K721" s="1">
        <v>88656.5</v>
      </c>
      <c r="L721" s="1">
        <v>97598.5</v>
      </c>
      <c r="M721" s="1">
        <v>72057.5</v>
      </c>
      <c r="N721" s="1">
        <v>90394.1</v>
      </c>
      <c r="O721" s="1">
        <v>90512</v>
      </c>
      <c r="P721" s="1">
        <v>53158</v>
      </c>
      <c r="Q721" s="1">
        <v>82759</v>
      </c>
      <c r="R721" s="1">
        <v>0</v>
      </c>
    </row>
    <row r="722" spans="1:18">
      <c r="A722" s="2">
        <v>0.83333333333333337</v>
      </c>
      <c r="B722" s="1">
        <v>570571</v>
      </c>
      <c r="C722" s="1">
        <v>117414</v>
      </c>
      <c r="D722" s="1">
        <v>43165.7</v>
      </c>
      <c r="E722" s="1">
        <v>0</v>
      </c>
      <c r="F722" s="1">
        <v>408121</v>
      </c>
      <c r="G722" s="1">
        <v>65160.7</v>
      </c>
      <c r="H722" s="1">
        <v>372395</v>
      </c>
      <c r="I722" s="1">
        <v>634993</v>
      </c>
      <c r="J722" s="1">
        <v>50825.7</v>
      </c>
      <c r="K722" s="1">
        <v>88661.7</v>
      </c>
      <c r="L722" s="1">
        <v>97627.8</v>
      </c>
      <c r="M722" s="1">
        <v>72100.2</v>
      </c>
      <c r="N722" s="1">
        <v>90451.1</v>
      </c>
      <c r="O722" s="1">
        <v>90535.3</v>
      </c>
      <c r="P722" s="1">
        <v>53158</v>
      </c>
      <c r="Q722" s="1">
        <v>82759</v>
      </c>
      <c r="R722" s="1">
        <v>0</v>
      </c>
    </row>
    <row r="723" spans="1:18">
      <c r="A723" s="2">
        <v>0.875</v>
      </c>
      <c r="B723" s="1">
        <v>571459</v>
      </c>
      <c r="C723" s="1">
        <v>117644</v>
      </c>
      <c r="D723" s="1">
        <v>43187.1</v>
      </c>
      <c r="E723" s="1">
        <v>0</v>
      </c>
      <c r="F723" s="1">
        <v>408147</v>
      </c>
      <c r="G723" s="1">
        <v>65235.1</v>
      </c>
      <c r="H723" s="1">
        <v>372412</v>
      </c>
      <c r="I723" s="1">
        <v>635282</v>
      </c>
      <c r="J723" s="1">
        <v>50833.2</v>
      </c>
      <c r="K723" s="1">
        <v>88667</v>
      </c>
      <c r="L723" s="1">
        <v>97661.3</v>
      </c>
      <c r="M723" s="1">
        <v>72141.7</v>
      </c>
      <c r="N723" s="1">
        <v>90507.5</v>
      </c>
      <c r="O723" s="1">
        <v>90559.1</v>
      </c>
      <c r="P723" s="1">
        <v>53158</v>
      </c>
      <c r="Q723" s="1">
        <v>82759</v>
      </c>
      <c r="R723" s="1">
        <v>0</v>
      </c>
    </row>
    <row r="724" spans="1:18">
      <c r="A724" s="2">
        <v>0.91666666666666663</v>
      </c>
      <c r="B724" s="1">
        <v>572307</v>
      </c>
      <c r="C724" s="1">
        <v>117872</v>
      </c>
      <c r="D724" s="1">
        <v>43208.5</v>
      </c>
      <c r="E724" s="1">
        <v>0</v>
      </c>
      <c r="F724" s="1">
        <v>408172</v>
      </c>
      <c r="G724" s="1">
        <v>65304.6</v>
      </c>
      <c r="H724" s="1">
        <v>372429</v>
      </c>
      <c r="I724" s="1">
        <v>635550</v>
      </c>
      <c r="J724" s="1">
        <v>50840.6</v>
      </c>
      <c r="K724" s="1">
        <v>88671.9</v>
      </c>
      <c r="L724" s="1">
        <v>97690.4</v>
      </c>
      <c r="M724" s="1">
        <v>72181.2</v>
      </c>
      <c r="N724" s="1">
        <v>90563.9</v>
      </c>
      <c r="O724" s="1">
        <v>90582.3</v>
      </c>
      <c r="P724" s="1">
        <v>53158</v>
      </c>
      <c r="Q724" s="1">
        <v>82759</v>
      </c>
      <c r="R724" s="1">
        <v>0</v>
      </c>
    </row>
    <row r="725" spans="1:18">
      <c r="A725" s="2">
        <v>0.95833333333333337</v>
      </c>
      <c r="B725" s="1">
        <v>573127</v>
      </c>
      <c r="C725" s="1">
        <v>118093</v>
      </c>
      <c r="D725" s="1">
        <v>43227.9</v>
      </c>
      <c r="E725" s="1">
        <v>0</v>
      </c>
      <c r="F725" s="1">
        <v>408196</v>
      </c>
      <c r="G725" s="1">
        <v>65369.7</v>
      </c>
      <c r="H725" s="1">
        <v>372445</v>
      </c>
      <c r="I725" s="1">
        <v>635813</v>
      </c>
      <c r="J725" s="1">
        <v>50847.4</v>
      </c>
      <c r="K725" s="1">
        <v>88676.5</v>
      </c>
      <c r="L725" s="1">
        <v>97717.4</v>
      </c>
      <c r="M725" s="1">
        <v>72223.399999999994</v>
      </c>
      <c r="N725" s="1">
        <v>90619.9</v>
      </c>
      <c r="O725" s="1">
        <v>90602</v>
      </c>
      <c r="P725" s="1">
        <v>53158</v>
      </c>
      <c r="Q725" s="1">
        <v>82759</v>
      </c>
      <c r="R725" s="1">
        <v>0</v>
      </c>
    </row>
    <row r="726" spans="1:18">
      <c r="A726" s="2">
        <v>0</v>
      </c>
      <c r="B726" s="1">
        <v>573911</v>
      </c>
      <c r="C726" s="1">
        <v>118299</v>
      </c>
      <c r="D726" s="1">
        <v>43246.400000000001</v>
      </c>
      <c r="E726" s="1">
        <v>0</v>
      </c>
      <c r="F726" s="1">
        <v>408219</v>
      </c>
      <c r="G726" s="1">
        <v>65429.7</v>
      </c>
      <c r="H726" s="1">
        <v>372458</v>
      </c>
      <c r="I726" s="1">
        <v>636070</v>
      </c>
      <c r="J726" s="1">
        <v>50854.400000000001</v>
      </c>
      <c r="K726" s="1">
        <v>88681</v>
      </c>
      <c r="L726" s="1">
        <v>97744.2</v>
      </c>
      <c r="M726" s="1">
        <v>72263.3</v>
      </c>
      <c r="N726" s="1">
        <v>90675.1</v>
      </c>
      <c r="O726" s="1">
        <v>90621.1</v>
      </c>
      <c r="P726" s="1">
        <v>53158</v>
      </c>
      <c r="Q726" s="1">
        <v>82759</v>
      </c>
      <c r="R726" s="1">
        <v>0</v>
      </c>
    </row>
    <row r="727" spans="1:18">
      <c r="A727" s="2">
        <v>4.1666666666666664E-2</v>
      </c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</row>
    <row r="728" spans="1:18">
      <c r="A728" s="2">
        <v>8.3333333333333329E-2</v>
      </c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</row>
    <row r="729" spans="1:18">
      <c r="A729" s="2">
        <v>0.125</v>
      </c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</row>
    <row r="730" spans="1:18">
      <c r="A730" s="2">
        <v>0.16666666666666666</v>
      </c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</row>
    <row r="731" spans="1:18">
      <c r="A731" s="2">
        <v>0.20833333333333334</v>
      </c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</row>
    <row r="732" spans="1:18">
      <c r="A732" s="2">
        <v>0.25</v>
      </c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</row>
    <row r="733" spans="1:18">
      <c r="A733" s="2">
        <v>0.29166666666666669</v>
      </c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</row>
    <row r="734" spans="1:18">
      <c r="A734" s="2">
        <v>0.33333333333333331</v>
      </c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</row>
    <row r="735" spans="1:18">
      <c r="A735" s="2">
        <v>0.375</v>
      </c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</row>
    <row r="736" spans="1:18">
      <c r="A736" s="2">
        <v>0.41666666666666669</v>
      </c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</row>
    <row r="737" spans="1:18">
      <c r="A737" s="2">
        <v>0.45833333333333331</v>
      </c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</row>
    <row r="738" spans="1:18">
      <c r="A738" s="2">
        <v>0.5</v>
      </c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</row>
    <row r="739" spans="1:18">
      <c r="A739" s="2">
        <v>0.54166666666666663</v>
      </c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</row>
    <row r="740" spans="1:18">
      <c r="A740" s="2">
        <v>0.58333333333333337</v>
      </c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</row>
    <row r="741" spans="1:18">
      <c r="A741" s="2">
        <v>0.625</v>
      </c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</row>
    <row r="742" spans="1:18">
      <c r="A742" s="2">
        <v>0.66666666666666663</v>
      </c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</row>
    <row r="743" spans="1:18">
      <c r="A743" s="2">
        <v>0.70833333333333337</v>
      </c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</row>
    <row r="744" spans="1:18">
      <c r="A744" s="2">
        <v>0.75</v>
      </c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</row>
    <row r="745" spans="1:18">
      <c r="A745" s="2">
        <v>0.79166666666666663</v>
      </c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</row>
    <row r="746" spans="1:18">
      <c r="A746" s="2">
        <v>0.83333333333333337</v>
      </c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</row>
    <row r="747" spans="1:18">
      <c r="A747" s="2">
        <v>0.875</v>
      </c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</row>
    <row r="748" spans="1:18">
      <c r="A748" s="2">
        <v>0.91666666666666663</v>
      </c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</row>
    <row r="749" spans="1:18">
      <c r="A749" s="2">
        <v>0.95833333333333337</v>
      </c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</row>
    <row r="750" spans="1:18">
      <c r="A750" s="2">
        <v>0</v>
      </c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</row>
    <row r="751" spans="1:18">
      <c r="A751" s="2">
        <v>4.1666666666666664E-2</v>
      </c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</row>
    <row r="752" spans="1:18">
      <c r="A752" s="2">
        <v>8.3333333333333329E-2</v>
      </c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</row>
    <row r="753" spans="1:18">
      <c r="A753" s="2">
        <v>0.125</v>
      </c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</row>
    <row r="754" spans="1:18">
      <c r="A754" s="2">
        <v>0.16666666666666666</v>
      </c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</row>
    <row r="755" spans="1:18">
      <c r="A755" s="2">
        <v>0.20833333333333334</v>
      </c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</row>
    <row r="756" spans="1:18">
      <c r="A756" s="2">
        <v>0.25</v>
      </c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</row>
    <row r="757" spans="1:18">
      <c r="A757" s="2">
        <v>0.29166666666666669</v>
      </c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</row>
    <row r="758" spans="1:18">
      <c r="A758" s="2">
        <v>0.33333333333333331</v>
      </c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</row>
    <row r="759" spans="1:18">
      <c r="A759" s="2">
        <v>0.375</v>
      </c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</row>
    <row r="760" spans="1:18">
      <c r="A760" s="2">
        <v>0.41666666666666669</v>
      </c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</row>
    <row r="761" spans="1:18">
      <c r="A761" s="2">
        <v>0.45833333333333331</v>
      </c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</row>
    <row r="762" spans="1:18">
      <c r="A762" s="2">
        <v>0.5</v>
      </c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</row>
    <row r="763" spans="1:18">
      <c r="A763" s="2">
        <v>0.54166666666666663</v>
      </c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</row>
    <row r="764" spans="1:18">
      <c r="A764" s="2">
        <v>0.58333333333333337</v>
      </c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</row>
    <row r="765" spans="1:18">
      <c r="A765" s="2">
        <v>0.625</v>
      </c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</row>
    <row r="766" spans="1:18">
      <c r="A766" s="2">
        <v>0.66666666666666663</v>
      </c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</row>
    <row r="767" spans="1:18">
      <c r="A767" s="2">
        <v>0.70833333333333337</v>
      </c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</row>
    <row r="768" spans="1:18">
      <c r="A768" s="2">
        <v>0.75</v>
      </c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</row>
    <row r="769" spans="1:18">
      <c r="A769" s="2">
        <v>0.79166666666666663</v>
      </c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</row>
    <row r="770" spans="1:18">
      <c r="A770" s="2">
        <v>0.83333333333333337</v>
      </c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</row>
    <row r="771" spans="1:18">
      <c r="A771" s="2">
        <v>0.875</v>
      </c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</row>
    <row r="772" spans="1:18">
      <c r="A772" s="2">
        <v>0.91666666666666663</v>
      </c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</row>
    <row r="773" spans="1:18">
      <c r="A773" s="2">
        <v>0.95833333333333337</v>
      </c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</row>
    <row r="774" spans="1:18">
      <c r="A774" s="2">
        <v>0</v>
      </c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</row>
    <row r="775" spans="1:18">
      <c r="A775" s="7"/>
      <c r="B775" s="8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2571-1868-4E20-A680-55870104507F}">
  <dimension ref="A1:V764"/>
  <sheetViews>
    <sheetView workbookViewId="0">
      <pane xSplit="1" ySplit="1" topLeftCell="B698" activePane="bottomRight" state="frozen"/>
      <selection pane="topRight" activeCell="B1" sqref="B1"/>
      <selection pane="bottomLeft" activeCell="A2" sqref="A2"/>
      <selection pane="bottomRight" activeCell="C183" sqref="C183:C184"/>
    </sheetView>
  </sheetViews>
  <sheetFormatPr defaultRowHeight="18.75"/>
  <cols>
    <col min="1" max="1" width="15.625" customWidth="1"/>
  </cols>
  <sheetData>
    <row r="1" spans="1:18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37</v>
      </c>
      <c r="P1" s="1" t="s">
        <v>38</v>
      </c>
      <c r="Q1" s="1" t="s">
        <v>39</v>
      </c>
      <c r="R1" s="1" t="s">
        <v>40</v>
      </c>
    </row>
    <row r="2" spans="1:18">
      <c r="A2" s="3">
        <v>45872</v>
      </c>
      <c r="B2" s="1">
        <v>952866</v>
      </c>
      <c r="C2" s="1">
        <v>956504</v>
      </c>
      <c r="D2" s="1">
        <v>28648.6</v>
      </c>
      <c r="E2" s="1">
        <v>0</v>
      </c>
      <c r="F2" s="1">
        <v>388788</v>
      </c>
      <c r="G2" s="1">
        <v>18424.099999999999</v>
      </c>
      <c r="H2" s="1">
        <v>357636</v>
      </c>
      <c r="I2" s="1">
        <v>435642</v>
      </c>
      <c r="J2" s="1">
        <v>43294</v>
      </c>
      <c r="K2" s="1">
        <v>86616.8</v>
      </c>
      <c r="L2" s="1">
        <v>77646.5</v>
      </c>
      <c r="M2" s="1">
        <v>39693.9</v>
      </c>
      <c r="N2" s="1">
        <v>52836.5</v>
      </c>
      <c r="O2" s="1">
        <v>71093.100000000006</v>
      </c>
      <c r="P2" s="1">
        <v>50480</v>
      </c>
      <c r="Q2" s="1">
        <v>78605</v>
      </c>
      <c r="R2" s="1">
        <v>0</v>
      </c>
    </row>
    <row r="3" spans="1:18">
      <c r="A3" s="3">
        <v>45872.041666666664</v>
      </c>
      <c r="B3" s="1">
        <v>953589</v>
      </c>
      <c r="C3" s="1">
        <v>956691</v>
      </c>
      <c r="D3" s="1">
        <v>28666.3</v>
      </c>
      <c r="E3" s="1">
        <v>0</v>
      </c>
      <c r="F3" s="1">
        <v>388803</v>
      </c>
      <c r="G3" s="1">
        <v>18475.599999999999</v>
      </c>
      <c r="H3" s="1">
        <v>357647</v>
      </c>
      <c r="I3" s="1">
        <v>435873</v>
      </c>
      <c r="J3" s="1">
        <v>43303.5</v>
      </c>
      <c r="K3" s="1">
        <v>86621.1</v>
      </c>
      <c r="L3" s="1">
        <v>77671.600000000006</v>
      </c>
      <c r="M3" s="1">
        <v>39738.400000000001</v>
      </c>
      <c r="N3" s="1">
        <v>52891.1</v>
      </c>
      <c r="O3" s="1">
        <v>71112.7</v>
      </c>
      <c r="P3" s="1">
        <v>50480</v>
      </c>
      <c r="Q3" s="1">
        <v>78605</v>
      </c>
      <c r="R3" s="1">
        <v>0</v>
      </c>
    </row>
    <row r="4" spans="1:18">
      <c r="A4" s="3">
        <v>45872.083333333336</v>
      </c>
      <c r="B4" s="1">
        <v>954281</v>
      </c>
      <c r="C4" s="1">
        <v>956865</v>
      </c>
      <c r="D4" s="1">
        <v>28682.3</v>
      </c>
      <c r="E4" s="1">
        <v>0</v>
      </c>
      <c r="F4" s="1">
        <v>388817</v>
      </c>
      <c r="G4" s="1">
        <v>18526.900000000001</v>
      </c>
      <c r="H4" s="1">
        <v>357659</v>
      </c>
      <c r="I4" s="1">
        <v>436090</v>
      </c>
      <c r="J4" s="1">
        <v>43312.7</v>
      </c>
      <c r="K4" s="1">
        <v>86625.5</v>
      </c>
      <c r="L4" s="1">
        <v>77695.3</v>
      </c>
      <c r="M4" s="1">
        <v>39782</v>
      </c>
      <c r="N4" s="1">
        <v>52945.7</v>
      </c>
      <c r="O4" s="1">
        <v>71133.8</v>
      </c>
      <c r="P4" s="1">
        <v>50480</v>
      </c>
      <c r="Q4" s="1">
        <v>78605</v>
      </c>
      <c r="R4" s="1">
        <v>0</v>
      </c>
    </row>
    <row r="5" spans="1:18">
      <c r="A5" s="3">
        <v>45872.124999826388</v>
      </c>
      <c r="B5" s="1">
        <v>954953</v>
      </c>
      <c r="C5" s="1">
        <v>957035</v>
      </c>
      <c r="D5" s="1">
        <v>28695.3</v>
      </c>
      <c r="E5" s="1">
        <v>0</v>
      </c>
      <c r="F5" s="1">
        <v>388832</v>
      </c>
      <c r="G5" s="1">
        <v>18577.3</v>
      </c>
      <c r="H5" s="1">
        <v>357670</v>
      </c>
      <c r="I5" s="1">
        <v>436300</v>
      </c>
      <c r="J5" s="1">
        <v>43322</v>
      </c>
      <c r="K5" s="1">
        <v>86629.9</v>
      </c>
      <c r="L5" s="1">
        <v>77718.2</v>
      </c>
      <c r="M5" s="1">
        <v>39824.9</v>
      </c>
      <c r="N5" s="1">
        <v>53000.2</v>
      </c>
      <c r="O5" s="1">
        <v>71154.600000000006</v>
      </c>
      <c r="P5" s="1">
        <v>50480</v>
      </c>
      <c r="Q5" s="1">
        <v>78605</v>
      </c>
      <c r="R5" s="1">
        <v>0</v>
      </c>
    </row>
    <row r="6" spans="1:18">
      <c r="A6" s="3">
        <v>45872.166666435187</v>
      </c>
      <c r="B6" s="1">
        <v>955615</v>
      </c>
      <c r="C6" s="1">
        <v>957197</v>
      </c>
      <c r="D6" s="1">
        <v>28708.5</v>
      </c>
      <c r="E6" s="1">
        <v>0</v>
      </c>
      <c r="F6" s="1">
        <v>388847</v>
      </c>
      <c r="G6" s="1">
        <v>18627</v>
      </c>
      <c r="H6" s="1">
        <v>357682</v>
      </c>
      <c r="I6" s="1">
        <v>436509</v>
      </c>
      <c r="J6" s="1">
        <v>43330.8</v>
      </c>
      <c r="K6" s="1">
        <v>86634.8</v>
      </c>
      <c r="L6" s="1">
        <v>77739.100000000006</v>
      </c>
      <c r="M6" s="1">
        <v>39868.199999999997</v>
      </c>
      <c r="N6" s="1">
        <v>53054.8</v>
      </c>
      <c r="O6" s="1">
        <v>71175.600000000006</v>
      </c>
      <c r="P6" s="1">
        <v>50480</v>
      </c>
      <c r="Q6" s="1">
        <v>78605</v>
      </c>
      <c r="R6" s="1">
        <v>0</v>
      </c>
    </row>
    <row r="7" spans="1:18">
      <c r="A7" s="3">
        <v>45872.208333043978</v>
      </c>
      <c r="B7" s="1">
        <v>956267</v>
      </c>
      <c r="C7" s="1">
        <v>957356</v>
      </c>
      <c r="D7" s="1">
        <v>28721.599999999999</v>
      </c>
      <c r="E7" s="1">
        <v>0</v>
      </c>
      <c r="F7" s="1">
        <v>388862</v>
      </c>
      <c r="G7" s="1">
        <v>18676.900000000001</v>
      </c>
      <c r="H7" s="1">
        <v>357693</v>
      </c>
      <c r="I7" s="1">
        <v>436714</v>
      </c>
      <c r="J7" s="1">
        <v>43338.9</v>
      </c>
      <c r="K7" s="1">
        <v>86639.3</v>
      </c>
      <c r="L7" s="1">
        <v>77758.899999999994</v>
      </c>
      <c r="M7" s="1">
        <v>39910.300000000003</v>
      </c>
      <c r="N7" s="1">
        <v>53109.4</v>
      </c>
      <c r="O7" s="1">
        <v>71197.8</v>
      </c>
      <c r="P7" s="1">
        <v>50480</v>
      </c>
      <c r="Q7" s="1">
        <v>78605</v>
      </c>
      <c r="R7" s="1">
        <v>0</v>
      </c>
    </row>
    <row r="8" spans="1:18">
      <c r="A8" s="3">
        <v>45872.249999652777</v>
      </c>
      <c r="B8" s="1">
        <v>956894</v>
      </c>
      <c r="C8" s="1">
        <v>957511</v>
      </c>
      <c r="D8" s="1">
        <v>28734.2</v>
      </c>
      <c r="E8" s="1">
        <v>0</v>
      </c>
      <c r="F8" s="1">
        <v>388875</v>
      </c>
      <c r="G8" s="1">
        <v>18724.8</v>
      </c>
      <c r="H8" s="1">
        <v>357706</v>
      </c>
      <c r="I8" s="1">
        <v>436909</v>
      </c>
      <c r="J8" s="1">
        <v>43346.9</v>
      </c>
      <c r="K8" s="1">
        <v>86643.199999999997</v>
      </c>
      <c r="L8" s="1">
        <v>77776.800000000003</v>
      </c>
      <c r="M8" s="1">
        <v>39951.599999999999</v>
      </c>
      <c r="N8" s="1">
        <v>53163.9</v>
      </c>
      <c r="O8" s="1">
        <v>71217.399999999994</v>
      </c>
      <c r="P8" s="1">
        <v>50480</v>
      </c>
      <c r="Q8" s="1">
        <v>78605</v>
      </c>
      <c r="R8" s="1">
        <v>0</v>
      </c>
    </row>
    <row r="9" spans="1:18">
      <c r="A9" s="3">
        <v>45872.291666261575</v>
      </c>
      <c r="B9" s="1">
        <v>957532</v>
      </c>
      <c r="C9" s="1">
        <v>957670</v>
      </c>
      <c r="D9" s="1">
        <v>28747.3</v>
      </c>
      <c r="E9" s="1">
        <v>0</v>
      </c>
      <c r="F9" s="1">
        <v>388889</v>
      </c>
      <c r="G9" s="1">
        <v>18772.599999999999</v>
      </c>
      <c r="H9" s="1">
        <v>357717</v>
      </c>
      <c r="I9" s="1">
        <v>437111</v>
      </c>
      <c r="J9" s="1">
        <v>43356.2</v>
      </c>
      <c r="K9" s="1">
        <v>86645.8</v>
      </c>
      <c r="L9" s="1">
        <v>77795.8</v>
      </c>
      <c r="M9" s="1">
        <v>39993.9</v>
      </c>
      <c r="N9" s="1">
        <v>53216.5</v>
      </c>
      <c r="O9" s="1">
        <v>71235.399999999994</v>
      </c>
      <c r="P9" s="1">
        <v>50481</v>
      </c>
      <c r="Q9" s="1">
        <v>78606</v>
      </c>
      <c r="R9" s="1">
        <v>0</v>
      </c>
    </row>
    <row r="10" spans="1:18">
      <c r="A10" s="3">
        <v>45872.333332870374</v>
      </c>
      <c r="B10" s="1">
        <v>958193</v>
      </c>
      <c r="C10" s="1">
        <v>957835</v>
      </c>
      <c r="D10" s="1">
        <v>28760.2</v>
      </c>
      <c r="E10" s="1">
        <v>0</v>
      </c>
      <c r="F10" s="1">
        <v>388903</v>
      </c>
      <c r="G10" s="1">
        <v>18819.5</v>
      </c>
      <c r="H10" s="1">
        <v>357727</v>
      </c>
      <c r="I10" s="1">
        <v>437329</v>
      </c>
      <c r="J10" s="1">
        <v>43366.1</v>
      </c>
      <c r="K10" s="1">
        <v>86646.1</v>
      </c>
      <c r="L10" s="1">
        <v>77814.7</v>
      </c>
      <c r="M10" s="1">
        <v>40038.199999999997</v>
      </c>
      <c r="N10" s="1">
        <v>53266.6</v>
      </c>
      <c r="O10" s="1">
        <v>71255.399999999994</v>
      </c>
      <c r="P10" s="1">
        <v>50482</v>
      </c>
      <c r="Q10" s="1">
        <v>78610</v>
      </c>
      <c r="R10" s="1">
        <v>0</v>
      </c>
    </row>
    <row r="11" spans="1:18">
      <c r="A11" s="3">
        <v>45872.374999479165</v>
      </c>
      <c r="B11" s="1">
        <v>958875</v>
      </c>
      <c r="C11" s="1">
        <v>958017</v>
      </c>
      <c r="D11" s="1">
        <v>28772.9</v>
      </c>
      <c r="E11" s="1">
        <v>0</v>
      </c>
      <c r="F11" s="1">
        <v>388918</v>
      </c>
      <c r="G11" s="1">
        <v>18861.400000000001</v>
      </c>
      <c r="H11" s="1">
        <v>357738</v>
      </c>
      <c r="I11" s="1">
        <v>437558</v>
      </c>
      <c r="J11" s="1">
        <v>43375.9</v>
      </c>
      <c r="K11" s="1">
        <v>86646.1</v>
      </c>
      <c r="L11" s="1">
        <v>77833.8</v>
      </c>
      <c r="M11" s="1">
        <v>40081.5</v>
      </c>
      <c r="N11" s="1">
        <v>53316.6</v>
      </c>
      <c r="O11" s="1">
        <v>71276.600000000006</v>
      </c>
      <c r="P11" s="1">
        <v>50486</v>
      </c>
      <c r="Q11" s="1">
        <v>78617</v>
      </c>
      <c r="R11" s="1">
        <v>0</v>
      </c>
    </row>
    <row r="12" spans="1:18">
      <c r="A12" s="3">
        <v>45872.416666087964</v>
      </c>
      <c r="B12" s="1">
        <v>959565</v>
      </c>
      <c r="C12" s="1">
        <v>958205</v>
      </c>
      <c r="D12" s="1">
        <v>28786.1</v>
      </c>
      <c r="E12" s="1">
        <v>0</v>
      </c>
      <c r="F12" s="1">
        <v>388933</v>
      </c>
      <c r="G12" s="1">
        <v>18896.400000000001</v>
      </c>
      <c r="H12" s="1">
        <v>357749</v>
      </c>
      <c r="I12" s="1">
        <v>437797</v>
      </c>
      <c r="J12" s="1">
        <v>43386.1</v>
      </c>
      <c r="K12" s="1">
        <v>86646.1</v>
      </c>
      <c r="L12" s="1">
        <v>77852.399999999994</v>
      </c>
      <c r="M12" s="1">
        <v>40124.9</v>
      </c>
      <c r="N12" s="1">
        <v>53363</v>
      </c>
      <c r="O12" s="1">
        <v>71298</v>
      </c>
      <c r="P12" s="1">
        <v>50493</v>
      </c>
      <c r="Q12" s="1">
        <v>78629</v>
      </c>
      <c r="R12" s="1">
        <v>0</v>
      </c>
    </row>
    <row r="13" spans="1:18">
      <c r="A13" s="3">
        <v>45872.458332696762</v>
      </c>
      <c r="B13" s="1">
        <v>960302</v>
      </c>
      <c r="C13" s="1">
        <v>958402</v>
      </c>
      <c r="D13" s="1">
        <v>28806.7</v>
      </c>
      <c r="E13" s="1">
        <v>0</v>
      </c>
      <c r="F13" s="1">
        <v>388950</v>
      </c>
      <c r="G13" s="1">
        <v>18927.900000000001</v>
      </c>
      <c r="H13" s="1">
        <v>357760</v>
      </c>
      <c r="I13" s="1">
        <v>438054</v>
      </c>
      <c r="J13" s="1">
        <v>43396.7</v>
      </c>
      <c r="K13" s="1">
        <v>86648.5</v>
      </c>
      <c r="L13" s="1">
        <v>77876</v>
      </c>
      <c r="M13" s="1">
        <v>40172</v>
      </c>
      <c r="N13" s="1">
        <v>53407.3</v>
      </c>
      <c r="O13" s="1">
        <v>71319.600000000006</v>
      </c>
      <c r="P13" s="1">
        <v>50503</v>
      </c>
      <c r="Q13" s="1">
        <v>78644</v>
      </c>
      <c r="R13" s="1">
        <v>0</v>
      </c>
    </row>
    <row r="14" spans="1:18">
      <c r="A14" s="3">
        <v>45872.499999305554</v>
      </c>
      <c r="B14" s="1">
        <v>961074</v>
      </c>
      <c r="C14" s="1">
        <v>958615</v>
      </c>
      <c r="D14" s="1">
        <v>28827.4</v>
      </c>
      <c r="E14" s="1">
        <v>0</v>
      </c>
      <c r="F14" s="1">
        <v>388968</v>
      </c>
      <c r="G14" s="1">
        <v>18955</v>
      </c>
      <c r="H14" s="1">
        <v>357772</v>
      </c>
      <c r="I14" s="1">
        <v>438331</v>
      </c>
      <c r="J14" s="1">
        <v>43407.9</v>
      </c>
      <c r="K14" s="1">
        <v>86649.5</v>
      </c>
      <c r="L14" s="1">
        <v>77898.8</v>
      </c>
      <c r="M14" s="1">
        <v>40218.800000000003</v>
      </c>
      <c r="N14" s="1">
        <v>53448.5</v>
      </c>
      <c r="O14" s="1">
        <v>71341</v>
      </c>
      <c r="P14" s="1">
        <v>50517</v>
      </c>
      <c r="Q14" s="1">
        <v>78664</v>
      </c>
      <c r="R14" s="1">
        <v>0</v>
      </c>
    </row>
    <row r="15" spans="1:18">
      <c r="A15" s="3">
        <v>45872.541665914352</v>
      </c>
      <c r="B15" s="1">
        <v>961883</v>
      </c>
      <c r="C15" s="1">
        <v>958839</v>
      </c>
      <c r="D15" s="1">
        <v>28852.9</v>
      </c>
      <c r="E15" s="1">
        <v>0</v>
      </c>
      <c r="F15" s="1">
        <v>388989</v>
      </c>
      <c r="G15" s="1">
        <v>18990.099999999999</v>
      </c>
      <c r="H15" s="1">
        <v>357784</v>
      </c>
      <c r="I15" s="1">
        <v>438611</v>
      </c>
      <c r="J15" s="1">
        <v>43419.5</v>
      </c>
      <c r="K15" s="1">
        <v>86651.9</v>
      </c>
      <c r="L15" s="1">
        <v>77921.899999999994</v>
      </c>
      <c r="M15" s="1">
        <v>40265.699999999997</v>
      </c>
      <c r="N15" s="1">
        <v>53491</v>
      </c>
      <c r="O15" s="1">
        <v>71361.100000000006</v>
      </c>
      <c r="P15" s="1">
        <v>50528</v>
      </c>
      <c r="Q15" s="1">
        <v>78682</v>
      </c>
      <c r="R15" s="1">
        <v>0</v>
      </c>
    </row>
    <row r="16" spans="1:18">
      <c r="A16" s="3">
        <v>45872.583332523151</v>
      </c>
      <c r="B16" s="1">
        <v>962710</v>
      </c>
      <c r="C16" s="1">
        <v>959070</v>
      </c>
      <c r="D16" s="1">
        <v>28876.7</v>
      </c>
      <c r="E16" s="1">
        <v>0</v>
      </c>
      <c r="F16" s="1">
        <v>389011</v>
      </c>
      <c r="G16" s="1">
        <v>19021.7</v>
      </c>
      <c r="H16" s="1">
        <v>357796</v>
      </c>
      <c r="I16" s="1">
        <v>438905</v>
      </c>
      <c r="J16" s="1">
        <v>43430.9</v>
      </c>
      <c r="K16" s="1">
        <v>86653.6</v>
      </c>
      <c r="L16" s="1">
        <v>77945.2</v>
      </c>
      <c r="M16" s="1">
        <v>40317.699999999997</v>
      </c>
      <c r="N16" s="1">
        <v>53533.4</v>
      </c>
      <c r="O16" s="1">
        <v>71384.399999999994</v>
      </c>
      <c r="P16" s="1">
        <v>50544</v>
      </c>
      <c r="Q16" s="1">
        <v>78705</v>
      </c>
      <c r="R16" s="1">
        <v>0</v>
      </c>
    </row>
    <row r="17" spans="1:18">
      <c r="A17" s="3">
        <v>45872.624999131942</v>
      </c>
      <c r="B17" s="1">
        <v>963571</v>
      </c>
      <c r="C17" s="1">
        <v>959309</v>
      </c>
      <c r="D17" s="1">
        <v>28906.799999999999</v>
      </c>
      <c r="E17" s="1">
        <v>0</v>
      </c>
      <c r="F17" s="1">
        <v>389034</v>
      </c>
      <c r="G17" s="1">
        <v>19061.8</v>
      </c>
      <c r="H17" s="1">
        <v>357807</v>
      </c>
      <c r="I17" s="1">
        <v>439205</v>
      </c>
      <c r="J17" s="1">
        <v>43442.5</v>
      </c>
      <c r="K17" s="1">
        <v>86658.7</v>
      </c>
      <c r="L17" s="1">
        <v>77969.2</v>
      </c>
      <c r="M17" s="1">
        <v>40368.300000000003</v>
      </c>
      <c r="N17" s="1">
        <v>53576.2</v>
      </c>
      <c r="O17" s="1">
        <v>71406.600000000006</v>
      </c>
      <c r="P17" s="1">
        <v>50556</v>
      </c>
      <c r="Q17" s="1">
        <v>78724</v>
      </c>
      <c r="R17" s="1">
        <v>0</v>
      </c>
    </row>
    <row r="18" spans="1:18">
      <c r="A18" s="3">
        <v>45872.66666574074</v>
      </c>
      <c r="B18" s="1">
        <v>964468</v>
      </c>
      <c r="C18" s="1">
        <v>959548</v>
      </c>
      <c r="D18" s="1">
        <v>28940.3</v>
      </c>
      <c r="E18" s="1">
        <v>0</v>
      </c>
      <c r="F18" s="1">
        <v>389059</v>
      </c>
      <c r="G18" s="1">
        <v>19107.3</v>
      </c>
      <c r="H18" s="1">
        <v>357819</v>
      </c>
      <c r="I18" s="1">
        <v>439518</v>
      </c>
      <c r="J18" s="1">
        <v>43454.1</v>
      </c>
      <c r="K18" s="1">
        <v>86664.6</v>
      </c>
      <c r="L18" s="1">
        <v>78002.2</v>
      </c>
      <c r="M18" s="1">
        <v>40420.699999999997</v>
      </c>
      <c r="N18" s="1">
        <v>53620.2</v>
      </c>
      <c r="O18" s="1">
        <v>71428.399999999994</v>
      </c>
      <c r="P18" s="1">
        <v>50569</v>
      </c>
      <c r="Q18" s="1">
        <v>78744</v>
      </c>
      <c r="R18" s="1">
        <v>0</v>
      </c>
    </row>
    <row r="19" spans="1:18">
      <c r="A19" s="3">
        <v>45872.708332349539</v>
      </c>
      <c r="B19" s="1">
        <v>965404</v>
      </c>
      <c r="C19" s="1">
        <v>959785</v>
      </c>
      <c r="D19" s="1">
        <v>28971</v>
      </c>
      <c r="E19" s="1">
        <v>0</v>
      </c>
      <c r="F19" s="1">
        <v>389085</v>
      </c>
      <c r="G19" s="1">
        <v>19161.400000000001</v>
      </c>
      <c r="H19" s="1">
        <v>357831</v>
      </c>
      <c r="I19" s="1">
        <v>439838</v>
      </c>
      <c r="J19" s="1">
        <v>43466.3</v>
      </c>
      <c r="K19" s="1">
        <v>86677.5</v>
      </c>
      <c r="L19" s="1">
        <v>78039.5</v>
      </c>
      <c r="M19" s="1">
        <v>40472.400000000001</v>
      </c>
      <c r="N19" s="1">
        <v>53670.3</v>
      </c>
      <c r="O19" s="1">
        <v>71451.600000000006</v>
      </c>
      <c r="P19" s="1">
        <v>50578</v>
      </c>
      <c r="Q19" s="1">
        <v>78758</v>
      </c>
      <c r="R19" s="1">
        <v>0</v>
      </c>
    </row>
    <row r="20" spans="1:18">
      <c r="A20" s="3">
        <v>45872.74999895833</v>
      </c>
      <c r="B20" s="1">
        <v>966337</v>
      </c>
      <c r="C20" s="1">
        <v>960026</v>
      </c>
      <c r="D20" s="1">
        <v>29000.799999999999</v>
      </c>
      <c r="E20" s="1">
        <v>0</v>
      </c>
      <c r="F20" s="1">
        <v>389109</v>
      </c>
      <c r="G20" s="1">
        <v>19224.8</v>
      </c>
      <c r="H20" s="1">
        <v>357842</v>
      </c>
      <c r="I20" s="1">
        <v>440152</v>
      </c>
      <c r="J20" s="1">
        <v>43477.8</v>
      </c>
      <c r="K20" s="1">
        <v>86697.1</v>
      </c>
      <c r="L20" s="1">
        <v>78067.8</v>
      </c>
      <c r="M20" s="1">
        <v>40522</v>
      </c>
      <c r="N20" s="1">
        <v>53722.7</v>
      </c>
      <c r="O20" s="1">
        <v>71474.2</v>
      </c>
      <c r="P20" s="1">
        <v>50583</v>
      </c>
      <c r="Q20" s="1">
        <v>78765</v>
      </c>
      <c r="R20" s="1">
        <v>0</v>
      </c>
    </row>
    <row r="21" spans="1:18">
      <c r="A21" s="3">
        <v>45872.791665567129</v>
      </c>
      <c r="B21" s="1">
        <v>967240</v>
      </c>
      <c r="C21" s="1">
        <v>960256</v>
      </c>
      <c r="D21" s="1">
        <v>29021.7</v>
      </c>
      <c r="E21" s="1">
        <v>0</v>
      </c>
      <c r="F21" s="1">
        <v>389130</v>
      </c>
      <c r="G21" s="1">
        <v>19297.599999999999</v>
      </c>
      <c r="H21" s="1">
        <v>357854</v>
      </c>
      <c r="I21" s="1">
        <v>440459</v>
      </c>
      <c r="J21" s="1">
        <v>43489.2</v>
      </c>
      <c r="K21" s="1">
        <v>86717.6</v>
      </c>
      <c r="L21" s="1">
        <v>78093.7</v>
      </c>
      <c r="M21" s="1">
        <v>40570.800000000003</v>
      </c>
      <c r="N21" s="1">
        <v>53778.2</v>
      </c>
      <c r="O21" s="1">
        <v>71493.100000000006</v>
      </c>
      <c r="P21" s="1">
        <v>50584</v>
      </c>
      <c r="Q21" s="1">
        <v>78766</v>
      </c>
      <c r="R21" s="1">
        <v>0</v>
      </c>
    </row>
    <row r="22" spans="1:18">
      <c r="A22" s="3">
        <v>45872.833332175927</v>
      </c>
      <c r="B22" s="1">
        <v>968097</v>
      </c>
      <c r="C22" s="1">
        <v>960468</v>
      </c>
      <c r="D22" s="1">
        <v>29038.2</v>
      </c>
      <c r="E22" s="1">
        <v>0</v>
      </c>
      <c r="F22" s="1">
        <v>389150</v>
      </c>
      <c r="G22" s="1">
        <v>19369.8</v>
      </c>
      <c r="H22" s="1">
        <v>357867</v>
      </c>
      <c r="I22" s="1">
        <v>440740</v>
      </c>
      <c r="J22" s="1">
        <v>43522.8</v>
      </c>
      <c r="K22" s="1">
        <v>86722.4</v>
      </c>
      <c r="L22" s="1">
        <v>78115.100000000006</v>
      </c>
      <c r="M22" s="1">
        <v>40617.300000000003</v>
      </c>
      <c r="N22" s="1">
        <v>53834.5</v>
      </c>
      <c r="O22" s="1">
        <v>71514.399999999994</v>
      </c>
      <c r="P22" s="1">
        <v>50584</v>
      </c>
      <c r="Q22" s="1">
        <v>78766</v>
      </c>
      <c r="R22" s="1">
        <v>0</v>
      </c>
    </row>
    <row r="23" spans="1:18">
      <c r="A23" s="3">
        <v>45872.874998784719</v>
      </c>
      <c r="B23" s="1">
        <v>968883</v>
      </c>
      <c r="C23" s="1">
        <v>960663</v>
      </c>
      <c r="D23" s="1">
        <v>29058.7</v>
      </c>
      <c r="E23" s="1">
        <v>0</v>
      </c>
      <c r="F23" s="1">
        <v>389170</v>
      </c>
      <c r="G23" s="1">
        <v>19438.7</v>
      </c>
      <c r="H23" s="1">
        <v>357878</v>
      </c>
      <c r="I23" s="1">
        <v>440987</v>
      </c>
      <c r="J23" s="1">
        <v>43538.400000000001</v>
      </c>
      <c r="K23" s="1">
        <v>86726.7</v>
      </c>
      <c r="L23" s="1">
        <v>78136.7</v>
      </c>
      <c r="M23" s="1">
        <v>40662.800000000003</v>
      </c>
      <c r="N23" s="1">
        <v>53890.6</v>
      </c>
      <c r="O23" s="1">
        <v>71537.3</v>
      </c>
      <c r="P23" s="1">
        <v>50584</v>
      </c>
      <c r="Q23" s="1">
        <v>78766</v>
      </c>
      <c r="R23" s="1">
        <v>0</v>
      </c>
    </row>
    <row r="24" spans="1:18">
      <c r="A24" s="3">
        <v>45872.916665393517</v>
      </c>
      <c r="B24" s="1">
        <v>969650</v>
      </c>
      <c r="C24" s="1">
        <v>960857</v>
      </c>
      <c r="D24" s="1">
        <v>29076.3</v>
      </c>
      <c r="E24" s="1">
        <v>0</v>
      </c>
      <c r="F24" s="1">
        <v>389190</v>
      </c>
      <c r="G24" s="1">
        <v>19503.400000000001</v>
      </c>
      <c r="H24" s="1">
        <v>357889</v>
      </c>
      <c r="I24" s="1">
        <v>441230</v>
      </c>
      <c r="J24" s="1">
        <v>43548.4</v>
      </c>
      <c r="K24" s="1">
        <v>86730.8</v>
      </c>
      <c r="L24" s="1">
        <v>78159.199999999997</v>
      </c>
      <c r="M24" s="1">
        <v>40710.400000000001</v>
      </c>
      <c r="N24" s="1">
        <v>53946.3</v>
      </c>
      <c r="O24" s="1">
        <v>71559.199999999997</v>
      </c>
      <c r="P24" s="1">
        <v>50584</v>
      </c>
      <c r="Q24" s="1">
        <v>78766</v>
      </c>
      <c r="R24" s="1">
        <v>0</v>
      </c>
    </row>
    <row r="25" spans="1:18">
      <c r="A25" s="3">
        <v>45872.958332002316</v>
      </c>
      <c r="B25" s="1">
        <v>970408</v>
      </c>
      <c r="C25" s="1">
        <v>961054</v>
      </c>
      <c r="D25" s="1">
        <v>29092.400000000001</v>
      </c>
      <c r="E25" s="1">
        <v>0</v>
      </c>
      <c r="F25" s="1">
        <v>389207</v>
      </c>
      <c r="G25" s="1">
        <v>19566.5</v>
      </c>
      <c r="H25" s="1">
        <v>357901</v>
      </c>
      <c r="I25" s="1">
        <v>441468</v>
      </c>
      <c r="J25" s="1">
        <v>43558.6</v>
      </c>
      <c r="K25" s="1">
        <v>86735.1</v>
      </c>
      <c r="L25" s="1">
        <v>78182.100000000006</v>
      </c>
      <c r="M25" s="1">
        <v>40756.300000000003</v>
      </c>
      <c r="N25" s="1">
        <v>54001.7</v>
      </c>
      <c r="O25" s="1">
        <v>71581.8</v>
      </c>
      <c r="P25" s="1">
        <v>50584</v>
      </c>
      <c r="Q25" s="1">
        <v>78766</v>
      </c>
      <c r="R25" s="1">
        <v>0</v>
      </c>
    </row>
    <row r="26" spans="1:18">
      <c r="A26" s="3">
        <v>45872.999998611114</v>
      </c>
      <c r="B26" s="1">
        <v>971169</v>
      </c>
      <c r="C26" s="1">
        <v>961254</v>
      </c>
      <c r="D26" s="1">
        <v>29108.2</v>
      </c>
      <c r="E26" s="1">
        <v>0</v>
      </c>
      <c r="F26" s="1">
        <v>389223</v>
      </c>
      <c r="G26" s="1">
        <v>19627.900000000001</v>
      </c>
      <c r="H26" s="1">
        <v>357912</v>
      </c>
      <c r="I26" s="1">
        <v>441709</v>
      </c>
      <c r="J26" s="1">
        <v>43568.6</v>
      </c>
      <c r="K26" s="1">
        <v>86739.4</v>
      </c>
      <c r="L26" s="1">
        <v>78206.100000000006</v>
      </c>
      <c r="M26" s="1">
        <v>40801.4</v>
      </c>
      <c r="N26" s="1">
        <v>54057.3</v>
      </c>
      <c r="O26" s="1">
        <v>71604.100000000006</v>
      </c>
      <c r="P26" s="1">
        <v>50584</v>
      </c>
      <c r="Q26" s="1">
        <v>78766</v>
      </c>
      <c r="R26" s="1">
        <v>0</v>
      </c>
    </row>
    <row r="27" spans="1:18">
      <c r="A27" s="3">
        <v>45873.041665219906</v>
      </c>
      <c r="B27" s="1">
        <v>971919</v>
      </c>
      <c r="C27" s="1">
        <v>961453</v>
      </c>
      <c r="D27" s="1">
        <v>29127.200000000001</v>
      </c>
      <c r="E27" s="1">
        <v>0</v>
      </c>
      <c r="F27" s="1">
        <v>389240</v>
      </c>
      <c r="G27" s="1">
        <v>19686.099999999999</v>
      </c>
      <c r="H27" s="1">
        <v>357923</v>
      </c>
      <c r="I27" s="1">
        <v>441945</v>
      </c>
      <c r="J27" s="1">
        <v>43578.8</v>
      </c>
      <c r="K27" s="1">
        <v>86743.6</v>
      </c>
      <c r="L27" s="1">
        <v>78229.600000000006</v>
      </c>
      <c r="M27" s="1">
        <v>40847.199999999997</v>
      </c>
      <c r="N27" s="1">
        <v>54112.7</v>
      </c>
      <c r="O27" s="1">
        <v>71624.800000000003</v>
      </c>
      <c r="P27" s="1">
        <v>50584</v>
      </c>
      <c r="Q27" s="1">
        <v>78766</v>
      </c>
      <c r="R27" s="1">
        <v>0</v>
      </c>
    </row>
    <row r="28" spans="1:18">
      <c r="A28" s="3">
        <v>45873.083331828704</v>
      </c>
      <c r="B28" s="1">
        <v>972661</v>
      </c>
      <c r="C28" s="1">
        <v>961647</v>
      </c>
      <c r="D28" s="1">
        <v>29144.3</v>
      </c>
      <c r="E28" s="1">
        <v>0</v>
      </c>
      <c r="F28" s="1">
        <v>389256</v>
      </c>
      <c r="G28" s="1">
        <v>19743.7</v>
      </c>
      <c r="H28" s="1">
        <v>357934</v>
      </c>
      <c r="I28" s="1">
        <v>442175</v>
      </c>
      <c r="J28" s="1">
        <v>43588.5</v>
      </c>
      <c r="K28" s="1">
        <v>86747.8</v>
      </c>
      <c r="L28" s="1">
        <v>78253.399999999994</v>
      </c>
      <c r="M28" s="1">
        <v>40893.9</v>
      </c>
      <c r="N28" s="1">
        <v>54168.1</v>
      </c>
      <c r="O28" s="1">
        <v>71648.7</v>
      </c>
      <c r="P28" s="1">
        <v>50584</v>
      </c>
      <c r="Q28" s="1">
        <v>78766</v>
      </c>
      <c r="R28" s="1">
        <v>0</v>
      </c>
    </row>
    <row r="29" spans="1:18">
      <c r="A29" s="3">
        <v>45873.124998437503</v>
      </c>
      <c r="B29" s="1">
        <v>973382</v>
      </c>
      <c r="C29" s="1">
        <v>961836</v>
      </c>
      <c r="D29" s="1">
        <v>29159.4</v>
      </c>
      <c r="E29" s="1">
        <v>0</v>
      </c>
      <c r="F29" s="1">
        <v>389271</v>
      </c>
      <c r="G29" s="1">
        <v>19800.2</v>
      </c>
      <c r="H29" s="1">
        <v>357945</v>
      </c>
      <c r="I29" s="1">
        <v>442396</v>
      </c>
      <c r="J29" s="1">
        <v>43598.3</v>
      </c>
      <c r="K29" s="1">
        <v>86752</v>
      </c>
      <c r="L29" s="1">
        <v>78278</v>
      </c>
      <c r="M29" s="1">
        <v>40939</v>
      </c>
      <c r="N29" s="1">
        <v>54223.199999999997</v>
      </c>
      <c r="O29" s="1">
        <v>71671.199999999997</v>
      </c>
      <c r="P29" s="1">
        <v>50584</v>
      </c>
      <c r="Q29" s="1">
        <v>78766</v>
      </c>
      <c r="R29" s="1">
        <v>0</v>
      </c>
    </row>
    <row r="30" spans="1:18">
      <c r="A30" s="3">
        <v>45873.166665046294</v>
      </c>
      <c r="B30" s="1">
        <v>974103</v>
      </c>
      <c r="C30" s="1">
        <v>962027</v>
      </c>
      <c r="D30" s="1">
        <v>29173.5</v>
      </c>
      <c r="E30" s="1">
        <v>0</v>
      </c>
      <c r="F30" s="1">
        <v>389287</v>
      </c>
      <c r="G30" s="1">
        <v>19856.599999999999</v>
      </c>
      <c r="H30" s="1">
        <v>357957</v>
      </c>
      <c r="I30" s="1">
        <v>442615</v>
      </c>
      <c r="J30" s="1">
        <v>43608.3</v>
      </c>
      <c r="K30" s="1">
        <v>86756.2</v>
      </c>
      <c r="L30" s="1">
        <v>78301.100000000006</v>
      </c>
      <c r="M30" s="1">
        <v>40984.300000000003</v>
      </c>
      <c r="N30" s="1">
        <v>54278.7</v>
      </c>
      <c r="O30" s="1">
        <v>71693</v>
      </c>
      <c r="P30" s="1">
        <v>50584</v>
      </c>
      <c r="Q30" s="1">
        <v>78766</v>
      </c>
      <c r="R30" s="1">
        <v>0</v>
      </c>
    </row>
    <row r="31" spans="1:18">
      <c r="A31" s="3">
        <v>45873.208331655092</v>
      </c>
      <c r="B31" s="1">
        <v>974828</v>
      </c>
      <c r="C31" s="1">
        <v>962218</v>
      </c>
      <c r="D31" s="1">
        <v>29187.7</v>
      </c>
      <c r="E31" s="1">
        <v>0</v>
      </c>
      <c r="F31" s="1">
        <v>389303</v>
      </c>
      <c r="G31" s="1">
        <v>19913.8</v>
      </c>
      <c r="H31" s="1">
        <v>357969</v>
      </c>
      <c r="I31" s="1">
        <v>442838</v>
      </c>
      <c r="J31" s="1">
        <v>43618</v>
      </c>
      <c r="K31" s="1">
        <v>86760.3</v>
      </c>
      <c r="L31" s="1">
        <v>78321.3</v>
      </c>
      <c r="M31" s="1">
        <v>41030.5</v>
      </c>
      <c r="N31" s="1">
        <v>54336</v>
      </c>
      <c r="O31" s="1">
        <v>71716.3</v>
      </c>
      <c r="P31" s="1">
        <v>50584</v>
      </c>
      <c r="Q31" s="1">
        <v>78766</v>
      </c>
      <c r="R31" s="1">
        <v>0</v>
      </c>
    </row>
    <row r="32" spans="1:18">
      <c r="A32" s="3">
        <v>45873.249998263891</v>
      </c>
      <c r="B32" s="1">
        <v>975536</v>
      </c>
      <c r="C32" s="1">
        <v>962406</v>
      </c>
      <c r="D32" s="1">
        <v>29201.7</v>
      </c>
      <c r="E32" s="1">
        <v>0</v>
      </c>
      <c r="F32" s="1">
        <v>389318</v>
      </c>
      <c r="G32" s="1">
        <v>19969.2</v>
      </c>
      <c r="H32" s="1">
        <v>357980</v>
      </c>
      <c r="I32" s="1">
        <v>443052</v>
      </c>
      <c r="J32" s="1">
        <v>43627.7</v>
      </c>
      <c r="K32" s="1">
        <v>86764.3</v>
      </c>
      <c r="L32" s="1">
        <v>78340.600000000006</v>
      </c>
      <c r="M32" s="1">
        <v>41077</v>
      </c>
      <c r="N32" s="1">
        <v>54390.5</v>
      </c>
      <c r="O32" s="1">
        <v>71740.800000000003</v>
      </c>
      <c r="P32" s="1">
        <v>50584</v>
      </c>
      <c r="Q32" s="1">
        <v>78766</v>
      </c>
      <c r="R32" s="1">
        <v>0</v>
      </c>
    </row>
    <row r="33" spans="1:18">
      <c r="A33" s="3">
        <v>45873.291664872682</v>
      </c>
      <c r="B33" s="1">
        <v>976269</v>
      </c>
      <c r="C33" s="1">
        <v>962593</v>
      </c>
      <c r="D33" s="1">
        <v>29215.599999999999</v>
      </c>
      <c r="E33" s="1">
        <v>0</v>
      </c>
      <c r="F33" s="1">
        <v>389334</v>
      </c>
      <c r="G33" s="1">
        <v>20024</v>
      </c>
      <c r="H33" s="1">
        <v>357992</v>
      </c>
      <c r="I33" s="1">
        <v>443273</v>
      </c>
      <c r="J33" s="1">
        <v>43637.7</v>
      </c>
      <c r="K33" s="1">
        <v>86767.2</v>
      </c>
      <c r="L33" s="1">
        <v>78359.399999999994</v>
      </c>
      <c r="M33" s="1">
        <v>41121.199999999997</v>
      </c>
      <c r="N33" s="1">
        <v>54444</v>
      </c>
      <c r="O33" s="1">
        <v>71784.7</v>
      </c>
      <c r="P33" s="1">
        <v>50584</v>
      </c>
      <c r="Q33" s="1">
        <v>78767</v>
      </c>
      <c r="R33" s="1">
        <v>0</v>
      </c>
    </row>
    <row r="34" spans="1:18">
      <c r="A34" s="3">
        <v>45873.333331481481</v>
      </c>
      <c r="B34" s="1">
        <v>977058</v>
      </c>
      <c r="C34" s="1">
        <v>962790</v>
      </c>
      <c r="D34" s="1">
        <v>29231.7</v>
      </c>
      <c r="E34" s="1">
        <v>0</v>
      </c>
      <c r="F34" s="1">
        <v>389351</v>
      </c>
      <c r="G34" s="1">
        <v>20076.2</v>
      </c>
      <c r="H34" s="1">
        <v>358003</v>
      </c>
      <c r="I34" s="1">
        <v>443523</v>
      </c>
      <c r="J34" s="1">
        <v>43647.6</v>
      </c>
      <c r="K34" s="1">
        <v>86768.9</v>
      </c>
      <c r="L34" s="1">
        <v>78379.600000000006</v>
      </c>
      <c r="M34" s="1">
        <v>41165.800000000003</v>
      </c>
      <c r="N34" s="1">
        <v>54495.5</v>
      </c>
      <c r="O34" s="1">
        <v>71840.7</v>
      </c>
      <c r="P34" s="1">
        <v>50586</v>
      </c>
      <c r="Q34" s="1">
        <v>78770</v>
      </c>
      <c r="R34" s="1">
        <v>0</v>
      </c>
    </row>
    <row r="35" spans="1:18">
      <c r="A35" s="3">
        <v>45873.374998090279</v>
      </c>
      <c r="B35" s="1">
        <v>978033</v>
      </c>
      <c r="C35" s="1">
        <v>963036</v>
      </c>
      <c r="D35" s="1">
        <v>29253.9</v>
      </c>
      <c r="E35" s="1">
        <v>0</v>
      </c>
      <c r="F35" s="1">
        <v>389374</v>
      </c>
      <c r="G35" s="1">
        <v>20139</v>
      </c>
      <c r="H35" s="1">
        <v>358026</v>
      </c>
      <c r="I35" s="1">
        <v>443820</v>
      </c>
      <c r="J35" s="1">
        <v>43658.6</v>
      </c>
      <c r="K35" s="1">
        <v>86776.9</v>
      </c>
      <c r="L35" s="1">
        <v>78417.5</v>
      </c>
      <c r="M35" s="1">
        <v>41220.400000000001</v>
      </c>
      <c r="N35" s="1">
        <v>54549.8</v>
      </c>
      <c r="O35" s="1">
        <v>71907.899999999994</v>
      </c>
      <c r="P35" s="1">
        <v>50588</v>
      </c>
      <c r="Q35" s="1">
        <v>78773</v>
      </c>
      <c r="R35" s="1">
        <v>0</v>
      </c>
    </row>
    <row r="36" spans="1:18">
      <c r="A36" s="3">
        <v>45873.416664699071</v>
      </c>
      <c r="B36" s="1">
        <v>979301</v>
      </c>
      <c r="C36" s="1">
        <v>963377</v>
      </c>
      <c r="D36" s="1">
        <v>29282.799999999999</v>
      </c>
      <c r="E36" s="1">
        <v>0</v>
      </c>
      <c r="F36" s="1">
        <v>389406</v>
      </c>
      <c r="G36" s="1">
        <v>20217.8</v>
      </c>
      <c r="H36" s="1">
        <v>358091</v>
      </c>
      <c r="I36" s="1">
        <v>444196</v>
      </c>
      <c r="J36" s="1">
        <v>43671.8</v>
      </c>
      <c r="K36" s="1">
        <v>86790.2</v>
      </c>
      <c r="L36" s="1">
        <v>78460.7</v>
      </c>
      <c r="M36" s="1">
        <v>41273.699999999997</v>
      </c>
      <c r="N36" s="1">
        <v>54606.3</v>
      </c>
      <c r="O36" s="1">
        <v>71989.399999999994</v>
      </c>
      <c r="P36" s="1">
        <v>50590</v>
      </c>
      <c r="Q36" s="1">
        <v>78776</v>
      </c>
      <c r="R36" s="1">
        <v>0</v>
      </c>
    </row>
    <row r="37" spans="1:18">
      <c r="A37" s="3">
        <v>45873.458331307869</v>
      </c>
      <c r="B37" s="1">
        <v>980745</v>
      </c>
      <c r="C37" s="1">
        <v>963761</v>
      </c>
      <c r="D37" s="1">
        <v>29325.3</v>
      </c>
      <c r="E37" s="1">
        <v>0</v>
      </c>
      <c r="F37" s="1">
        <v>389466</v>
      </c>
      <c r="G37" s="1">
        <v>20306</v>
      </c>
      <c r="H37" s="1">
        <v>358154</v>
      </c>
      <c r="I37" s="1">
        <v>444613</v>
      </c>
      <c r="J37" s="1">
        <v>43682.3</v>
      </c>
      <c r="K37" s="1">
        <v>86806.1</v>
      </c>
      <c r="L37" s="1">
        <v>78529.5</v>
      </c>
      <c r="M37" s="1">
        <v>41337.300000000003</v>
      </c>
      <c r="N37" s="1">
        <v>54663.1</v>
      </c>
      <c r="O37" s="1">
        <v>72068.600000000006</v>
      </c>
      <c r="P37" s="1">
        <v>50592</v>
      </c>
      <c r="Q37" s="1">
        <v>78779</v>
      </c>
      <c r="R37" s="1">
        <v>0</v>
      </c>
    </row>
    <row r="38" spans="1:18">
      <c r="A38" s="3">
        <v>45873.499997916668</v>
      </c>
      <c r="B38" s="1">
        <v>982227</v>
      </c>
      <c r="C38" s="1">
        <v>964147</v>
      </c>
      <c r="D38" s="1">
        <v>29373.9</v>
      </c>
      <c r="E38" s="1">
        <v>0</v>
      </c>
      <c r="F38" s="1">
        <v>389522</v>
      </c>
      <c r="G38" s="1">
        <v>20393.900000000001</v>
      </c>
      <c r="H38" s="1">
        <v>358229</v>
      </c>
      <c r="I38" s="1">
        <v>445058</v>
      </c>
      <c r="J38" s="1">
        <v>43695.3</v>
      </c>
      <c r="K38" s="1">
        <v>86822.9</v>
      </c>
      <c r="L38" s="1">
        <v>78590.3</v>
      </c>
      <c r="M38" s="1">
        <v>41399.9</v>
      </c>
      <c r="N38" s="1">
        <v>54719</v>
      </c>
      <c r="O38" s="1">
        <v>72151.199999999997</v>
      </c>
      <c r="P38" s="1">
        <v>50595</v>
      </c>
      <c r="Q38" s="1">
        <v>78785</v>
      </c>
      <c r="R38" s="1">
        <v>0</v>
      </c>
    </row>
    <row r="39" spans="1:18">
      <c r="A39" s="3">
        <v>45873.541664525466</v>
      </c>
      <c r="B39" s="1">
        <v>983715</v>
      </c>
      <c r="C39" s="1">
        <v>964512</v>
      </c>
      <c r="D39" s="1">
        <v>29416.2</v>
      </c>
      <c r="E39" s="1">
        <v>0</v>
      </c>
      <c r="F39" s="1">
        <v>389574</v>
      </c>
      <c r="G39" s="1">
        <v>20487.5</v>
      </c>
      <c r="H39" s="1">
        <v>358306</v>
      </c>
      <c r="I39" s="1">
        <v>445526</v>
      </c>
      <c r="J39" s="1">
        <v>43706.3</v>
      </c>
      <c r="K39" s="1">
        <v>86841.4</v>
      </c>
      <c r="L39" s="1">
        <v>78662.3</v>
      </c>
      <c r="M39" s="1">
        <v>41458.5</v>
      </c>
      <c r="N39" s="1">
        <v>54774.7</v>
      </c>
      <c r="O39" s="1">
        <v>72236.800000000003</v>
      </c>
      <c r="P39" s="1">
        <v>50598</v>
      </c>
      <c r="Q39" s="1">
        <v>78789</v>
      </c>
      <c r="R39" s="1">
        <v>0</v>
      </c>
    </row>
    <row r="40" spans="1:18">
      <c r="A40" s="3">
        <v>45873.583331134258</v>
      </c>
      <c r="B40" s="1">
        <v>985215</v>
      </c>
      <c r="C40" s="1">
        <v>964895</v>
      </c>
      <c r="D40" s="1">
        <v>29454.7</v>
      </c>
      <c r="E40" s="1">
        <v>0</v>
      </c>
      <c r="F40" s="1">
        <v>389622</v>
      </c>
      <c r="G40" s="1">
        <v>20579.099999999999</v>
      </c>
      <c r="H40" s="1">
        <v>358397</v>
      </c>
      <c r="I40" s="1">
        <v>445991</v>
      </c>
      <c r="J40" s="1">
        <v>43716.5</v>
      </c>
      <c r="K40" s="1">
        <v>86857</v>
      </c>
      <c r="L40" s="1">
        <v>78725.899999999994</v>
      </c>
      <c r="M40" s="1">
        <v>41519.1</v>
      </c>
      <c r="N40" s="1">
        <v>54829.599999999999</v>
      </c>
      <c r="O40" s="1">
        <v>72321.600000000006</v>
      </c>
      <c r="P40" s="1">
        <v>50602</v>
      </c>
      <c r="Q40" s="1">
        <v>78796</v>
      </c>
      <c r="R40" s="1">
        <v>0</v>
      </c>
    </row>
    <row r="41" spans="1:18">
      <c r="A41" s="3">
        <v>45873.624997743056</v>
      </c>
      <c r="B41" s="1">
        <v>986744</v>
      </c>
      <c r="C41" s="1">
        <v>965303</v>
      </c>
      <c r="D41" s="1">
        <v>29491.7</v>
      </c>
      <c r="E41" s="1">
        <v>0</v>
      </c>
      <c r="F41" s="1">
        <v>389668</v>
      </c>
      <c r="G41" s="1">
        <v>20677.099999999999</v>
      </c>
      <c r="H41" s="1">
        <v>358471</v>
      </c>
      <c r="I41" s="1">
        <v>446467</v>
      </c>
      <c r="J41" s="1">
        <v>43726.8</v>
      </c>
      <c r="K41" s="1">
        <v>86872.3</v>
      </c>
      <c r="L41" s="1">
        <v>78789.5</v>
      </c>
      <c r="M41" s="1">
        <v>41591.1</v>
      </c>
      <c r="N41" s="1">
        <v>54883</v>
      </c>
      <c r="O41" s="1">
        <v>72400.3</v>
      </c>
      <c r="P41" s="1">
        <v>50608</v>
      </c>
      <c r="Q41" s="1">
        <v>78805</v>
      </c>
      <c r="R41" s="1">
        <v>0</v>
      </c>
    </row>
    <row r="42" spans="1:18">
      <c r="A42" s="3">
        <v>45873.666664351855</v>
      </c>
      <c r="B42" s="1">
        <v>988289</v>
      </c>
      <c r="C42" s="1">
        <v>965723</v>
      </c>
      <c r="D42" s="1">
        <v>29529.200000000001</v>
      </c>
      <c r="E42" s="1">
        <v>0</v>
      </c>
      <c r="F42" s="1">
        <v>389720</v>
      </c>
      <c r="G42" s="1">
        <v>20789.599999999999</v>
      </c>
      <c r="H42" s="1">
        <v>358558</v>
      </c>
      <c r="I42" s="1">
        <v>446928</v>
      </c>
      <c r="J42" s="1">
        <v>43739.6</v>
      </c>
      <c r="K42" s="1">
        <v>86892</v>
      </c>
      <c r="L42" s="1">
        <v>78854.100000000006</v>
      </c>
      <c r="M42" s="1">
        <v>41654.5</v>
      </c>
      <c r="N42" s="1">
        <v>54938.9</v>
      </c>
      <c r="O42" s="1">
        <v>72469.7</v>
      </c>
      <c r="P42" s="1">
        <v>50610</v>
      </c>
      <c r="Q42" s="1">
        <v>78808</v>
      </c>
      <c r="R42" s="1">
        <v>0</v>
      </c>
    </row>
    <row r="43" spans="1:18">
      <c r="A43" s="3">
        <v>45873.708330960646</v>
      </c>
      <c r="B43" s="1">
        <v>989709</v>
      </c>
      <c r="C43" s="1">
        <v>966113</v>
      </c>
      <c r="D43" s="1">
        <v>29568</v>
      </c>
      <c r="E43" s="1">
        <v>0</v>
      </c>
      <c r="F43" s="1">
        <v>389768</v>
      </c>
      <c r="G43" s="1">
        <v>20892.400000000001</v>
      </c>
      <c r="H43" s="1">
        <v>358595</v>
      </c>
      <c r="I43" s="1">
        <v>447375</v>
      </c>
      <c r="J43" s="1">
        <v>43752.800000000003</v>
      </c>
      <c r="K43" s="1">
        <v>86915.3</v>
      </c>
      <c r="L43" s="1">
        <v>78906.8</v>
      </c>
      <c r="M43" s="1">
        <v>41711.599999999999</v>
      </c>
      <c r="N43" s="1">
        <v>54994.8</v>
      </c>
      <c r="O43" s="1">
        <v>72539.199999999997</v>
      </c>
      <c r="P43" s="1">
        <v>50611</v>
      </c>
      <c r="Q43" s="1">
        <v>78810</v>
      </c>
      <c r="R43" s="1">
        <v>0</v>
      </c>
    </row>
    <row r="44" spans="1:18">
      <c r="A44" s="3">
        <v>45873.749997569445</v>
      </c>
      <c r="B44" s="1">
        <v>991011</v>
      </c>
      <c r="C44" s="1">
        <v>966470</v>
      </c>
      <c r="D44" s="1">
        <v>29605.3</v>
      </c>
      <c r="E44" s="1">
        <v>0</v>
      </c>
      <c r="F44" s="1">
        <v>389813</v>
      </c>
      <c r="G44" s="1">
        <v>20980.9</v>
      </c>
      <c r="H44" s="1">
        <v>358608</v>
      </c>
      <c r="I44" s="1">
        <v>447795</v>
      </c>
      <c r="J44" s="1">
        <v>43765.5</v>
      </c>
      <c r="K44" s="1">
        <v>86934.8</v>
      </c>
      <c r="L44" s="1">
        <v>78955.199999999997</v>
      </c>
      <c r="M44" s="1">
        <v>41766.699999999997</v>
      </c>
      <c r="N44" s="1">
        <v>55049.599999999999</v>
      </c>
      <c r="O44" s="1">
        <v>72610.100000000006</v>
      </c>
      <c r="P44" s="1">
        <v>50613</v>
      </c>
      <c r="Q44" s="1">
        <v>78813</v>
      </c>
      <c r="R44" s="1">
        <v>0</v>
      </c>
    </row>
    <row r="45" spans="1:18">
      <c r="A45" s="3">
        <v>45873.791664178243</v>
      </c>
      <c r="B45" s="1">
        <v>992171</v>
      </c>
      <c r="C45" s="1">
        <v>966758</v>
      </c>
      <c r="D45" s="1">
        <v>29638.5</v>
      </c>
      <c r="E45" s="1">
        <v>0</v>
      </c>
      <c r="F45" s="1">
        <v>389849</v>
      </c>
      <c r="G45" s="1">
        <v>21059.3</v>
      </c>
      <c r="H45" s="1">
        <v>358621</v>
      </c>
      <c r="I45" s="1">
        <v>448189</v>
      </c>
      <c r="J45" s="1">
        <v>43778.3</v>
      </c>
      <c r="K45" s="1">
        <v>86952.7</v>
      </c>
      <c r="L45" s="1">
        <v>78997</v>
      </c>
      <c r="M45" s="1">
        <v>41813.9</v>
      </c>
      <c r="N45" s="1">
        <v>55104.800000000003</v>
      </c>
      <c r="O45" s="1">
        <v>72682.399999999994</v>
      </c>
      <c r="P45" s="1">
        <v>50613</v>
      </c>
      <c r="Q45" s="1">
        <v>78814</v>
      </c>
      <c r="R45" s="1">
        <v>0</v>
      </c>
    </row>
    <row r="46" spans="1:18">
      <c r="A46" s="3">
        <v>45873.833330787034</v>
      </c>
      <c r="B46" s="1">
        <v>993242</v>
      </c>
      <c r="C46" s="1">
        <v>967028</v>
      </c>
      <c r="D46" s="1">
        <v>29664</v>
      </c>
      <c r="E46" s="1">
        <v>0</v>
      </c>
      <c r="F46" s="1">
        <v>389880</v>
      </c>
      <c r="G46" s="1">
        <v>21135.4</v>
      </c>
      <c r="H46" s="1">
        <v>358633</v>
      </c>
      <c r="I46" s="1">
        <v>448550</v>
      </c>
      <c r="J46" s="1">
        <v>43790.8</v>
      </c>
      <c r="K46" s="1">
        <v>86970</v>
      </c>
      <c r="L46" s="1">
        <v>79035.7</v>
      </c>
      <c r="M46" s="1">
        <v>41859.9</v>
      </c>
      <c r="N46" s="1">
        <v>55159.3</v>
      </c>
      <c r="O46" s="1">
        <v>72747.8</v>
      </c>
      <c r="P46" s="1">
        <v>50613</v>
      </c>
      <c r="Q46" s="1">
        <v>78814</v>
      </c>
      <c r="R46" s="1">
        <v>0</v>
      </c>
    </row>
    <row r="47" spans="1:18">
      <c r="A47" s="3">
        <v>45873.874997395833</v>
      </c>
      <c r="B47" s="1">
        <v>994238</v>
      </c>
      <c r="C47" s="1">
        <v>967279</v>
      </c>
      <c r="D47" s="1">
        <v>29684.5</v>
      </c>
      <c r="E47" s="1">
        <v>0</v>
      </c>
      <c r="F47" s="1">
        <v>389911</v>
      </c>
      <c r="G47" s="1">
        <v>21209.3</v>
      </c>
      <c r="H47" s="1">
        <v>358646</v>
      </c>
      <c r="I47" s="1">
        <v>448871</v>
      </c>
      <c r="J47" s="1">
        <v>43802.8</v>
      </c>
      <c r="K47" s="1">
        <v>86987.5</v>
      </c>
      <c r="L47" s="1">
        <v>79072.600000000006</v>
      </c>
      <c r="M47" s="1">
        <v>41905.4</v>
      </c>
      <c r="N47" s="1">
        <v>55214.6</v>
      </c>
      <c r="O47" s="1">
        <v>72806.5</v>
      </c>
      <c r="P47" s="1">
        <v>50613</v>
      </c>
      <c r="Q47" s="1">
        <v>78814</v>
      </c>
      <c r="R47" s="1">
        <v>0</v>
      </c>
    </row>
    <row r="48" spans="1:18">
      <c r="A48" s="3">
        <v>45873.916664004631</v>
      </c>
      <c r="B48" s="1">
        <v>995136</v>
      </c>
      <c r="C48" s="1">
        <v>967508</v>
      </c>
      <c r="D48" s="1">
        <v>29704.1</v>
      </c>
      <c r="E48" s="1">
        <v>0</v>
      </c>
      <c r="F48" s="1">
        <v>389940</v>
      </c>
      <c r="G48" s="1">
        <v>21284</v>
      </c>
      <c r="H48" s="1">
        <v>358661</v>
      </c>
      <c r="I48" s="1">
        <v>449160</v>
      </c>
      <c r="J48" s="1">
        <v>43814.1</v>
      </c>
      <c r="K48" s="1">
        <v>86997.1</v>
      </c>
      <c r="L48" s="1">
        <v>79104.7</v>
      </c>
      <c r="M48" s="1">
        <v>41953</v>
      </c>
      <c r="N48" s="1">
        <v>55270.3</v>
      </c>
      <c r="O48" s="1">
        <v>72834.600000000006</v>
      </c>
      <c r="P48" s="1">
        <v>50613</v>
      </c>
      <c r="Q48" s="1">
        <v>78814</v>
      </c>
      <c r="R48" s="1">
        <v>0</v>
      </c>
    </row>
    <row r="49" spans="1:18">
      <c r="A49" s="3">
        <v>45873.958330613423</v>
      </c>
      <c r="B49" s="1">
        <v>995989</v>
      </c>
      <c r="C49" s="1">
        <v>967737</v>
      </c>
      <c r="D49" s="1">
        <v>29723.3</v>
      </c>
      <c r="E49" s="1">
        <v>0</v>
      </c>
      <c r="F49" s="1">
        <v>389965</v>
      </c>
      <c r="G49" s="1">
        <v>21357.200000000001</v>
      </c>
      <c r="H49" s="1">
        <v>358677</v>
      </c>
      <c r="I49" s="1">
        <v>449426</v>
      </c>
      <c r="J49" s="1">
        <v>43824.9</v>
      </c>
      <c r="K49" s="1">
        <v>87000.9</v>
      </c>
      <c r="L49" s="1">
        <v>79134</v>
      </c>
      <c r="M49" s="1">
        <v>42001.3</v>
      </c>
      <c r="N49" s="1">
        <v>55325.4</v>
      </c>
      <c r="O49" s="1">
        <v>72855.899999999994</v>
      </c>
      <c r="P49" s="1">
        <v>50613</v>
      </c>
      <c r="Q49" s="1">
        <v>78814</v>
      </c>
      <c r="R49" s="1">
        <v>0</v>
      </c>
    </row>
    <row r="50" spans="1:18">
      <c r="A50" s="3">
        <v>45873.999997222221</v>
      </c>
      <c r="B50" s="1">
        <v>996807</v>
      </c>
      <c r="C50" s="1">
        <v>967949</v>
      </c>
      <c r="D50" s="1">
        <v>29740.3</v>
      </c>
      <c r="E50" s="1">
        <v>0</v>
      </c>
      <c r="F50" s="1">
        <v>389991</v>
      </c>
      <c r="G50" s="1">
        <v>21425.200000000001</v>
      </c>
      <c r="H50" s="1">
        <v>358688</v>
      </c>
      <c r="I50" s="1">
        <v>449692</v>
      </c>
      <c r="J50" s="1">
        <v>43835.4</v>
      </c>
      <c r="K50" s="1">
        <v>87004.2</v>
      </c>
      <c r="L50" s="1">
        <v>79163.100000000006</v>
      </c>
      <c r="M50" s="1">
        <v>42046.9</v>
      </c>
      <c r="N50" s="1">
        <v>55379.9</v>
      </c>
      <c r="O50" s="1">
        <v>72876.2</v>
      </c>
      <c r="P50" s="1">
        <v>50613</v>
      </c>
      <c r="Q50" s="1">
        <v>78814</v>
      </c>
      <c r="R50" s="1">
        <v>0</v>
      </c>
    </row>
    <row r="51" spans="1:18">
      <c r="A51" s="3">
        <v>45874.04166383102</v>
      </c>
      <c r="B51" s="1">
        <v>997601</v>
      </c>
      <c r="C51" s="1">
        <v>968155</v>
      </c>
      <c r="D51" s="1">
        <v>29755.8</v>
      </c>
      <c r="E51" s="1">
        <v>0</v>
      </c>
      <c r="F51" s="1">
        <v>390015</v>
      </c>
      <c r="G51" s="1">
        <v>21489.7</v>
      </c>
      <c r="H51" s="1">
        <v>358701</v>
      </c>
      <c r="I51" s="1">
        <v>449950</v>
      </c>
      <c r="J51" s="1">
        <v>43845.9</v>
      </c>
      <c r="K51" s="1">
        <v>87007.6</v>
      </c>
      <c r="L51" s="1">
        <v>79191.7</v>
      </c>
      <c r="M51" s="1">
        <v>42091.8</v>
      </c>
      <c r="N51" s="1">
        <v>55434.3</v>
      </c>
      <c r="O51" s="1">
        <v>72895</v>
      </c>
      <c r="P51" s="1">
        <v>50613</v>
      </c>
      <c r="Q51" s="1">
        <v>78814</v>
      </c>
      <c r="R51" s="1">
        <v>0</v>
      </c>
    </row>
    <row r="52" spans="1:18">
      <c r="A52" s="3">
        <v>45874.083330439818</v>
      </c>
      <c r="B52" s="1">
        <v>998373</v>
      </c>
      <c r="C52" s="1">
        <v>968355</v>
      </c>
      <c r="D52" s="1">
        <v>29770</v>
      </c>
      <c r="E52" s="1">
        <v>0</v>
      </c>
      <c r="F52" s="1">
        <v>390038</v>
      </c>
      <c r="G52" s="1">
        <v>21551.9</v>
      </c>
      <c r="H52" s="1">
        <v>358712</v>
      </c>
      <c r="I52" s="1">
        <v>450193</v>
      </c>
      <c r="J52" s="1">
        <v>43856.5</v>
      </c>
      <c r="K52" s="1">
        <v>87011</v>
      </c>
      <c r="L52" s="1">
        <v>79220.800000000003</v>
      </c>
      <c r="M52" s="1">
        <v>42139.3</v>
      </c>
      <c r="N52" s="1">
        <v>55488.1</v>
      </c>
      <c r="O52" s="1">
        <v>72915.7</v>
      </c>
      <c r="P52" s="1">
        <v>50613</v>
      </c>
      <c r="Q52" s="1">
        <v>78814</v>
      </c>
      <c r="R52" s="1">
        <v>0</v>
      </c>
    </row>
    <row r="53" spans="1:18">
      <c r="A53" s="3">
        <v>45874.12499704861</v>
      </c>
      <c r="B53" s="1">
        <v>999126</v>
      </c>
      <c r="C53" s="1">
        <v>968550</v>
      </c>
      <c r="D53" s="1">
        <v>29783.599999999999</v>
      </c>
      <c r="E53" s="1">
        <v>0</v>
      </c>
      <c r="F53" s="1">
        <v>390059</v>
      </c>
      <c r="G53" s="1">
        <v>21609.8</v>
      </c>
      <c r="H53" s="1">
        <v>358723</v>
      </c>
      <c r="I53" s="1">
        <v>450434</v>
      </c>
      <c r="J53" s="1">
        <v>43866.9</v>
      </c>
      <c r="K53" s="1">
        <v>87014.399999999994</v>
      </c>
      <c r="L53" s="1">
        <v>79247.899999999994</v>
      </c>
      <c r="M53" s="1">
        <v>42186.8</v>
      </c>
      <c r="N53" s="1">
        <v>55542.7</v>
      </c>
      <c r="O53" s="1">
        <v>72935</v>
      </c>
      <c r="P53" s="1">
        <v>50613</v>
      </c>
      <c r="Q53" s="1">
        <v>78814</v>
      </c>
      <c r="R53" s="1">
        <v>0</v>
      </c>
    </row>
    <row r="54" spans="1:18">
      <c r="A54" s="3">
        <v>45874.166663657408</v>
      </c>
      <c r="B54" s="5">
        <v>999860</v>
      </c>
      <c r="C54" s="1">
        <v>968740</v>
      </c>
      <c r="D54" s="1">
        <v>29796.5</v>
      </c>
      <c r="E54" s="1">
        <v>0</v>
      </c>
      <c r="F54" s="1">
        <v>390081</v>
      </c>
      <c r="G54" s="1">
        <v>21667.9</v>
      </c>
      <c r="H54" s="1">
        <v>358734</v>
      </c>
      <c r="I54" s="1">
        <v>450663</v>
      </c>
      <c r="J54" s="1">
        <v>43876.9</v>
      </c>
      <c r="K54" s="1">
        <v>87018.2</v>
      </c>
      <c r="L54" s="1">
        <v>79273</v>
      </c>
      <c r="M54" s="1">
        <v>42233.9</v>
      </c>
      <c r="N54" s="1">
        <v>55597.3</v>
      </c>
      <c r="O54" s="1">
        <v>72954.100000000006</v>
      </c>
      <c r="P54" s="1">
        <v>50613</v>
      </c>
      <c r="Q54" s="1">
        <v>78814</v>
      </c>
      <c r="R54" s="1">
        <v>0</v>
      </c>
    </row>
    <row r="55" spans="1:18">
      <c r="A55" s="3">
        <v>45874.208330266207</v>
      </c>
      <c r="B55" s="5">
        <v>584</v>
      </c>
      <c r="C55" s="1">
        <v>968926</v>
      </c>
      <c r="D55" s="1">
        <v>29810.2</v>
      </c>
      <c r="E55" s="1">
        <v>0</v>
      </c>
      <c r="F55" s="1">
        <v>390101</v>
      </c>
      <c r="G55" s="1">
        <v>21724.400000000001</v>
      </c>
      <c r="H55" s="1">
        <v>358746</v>
      </c>
      <c r="I55" s="1">
        <v>450892</v>
      </c>
      <c r="J55" s="1">
        <v>43887.199999999997</v>
      </c>
      <c r="K55" s="1">
        <v>87021.6</v>
      </c>
      <c r="L55" s="1">
        <v>79295.899999999994</v>
      </c>
      <c r="M55" s="1">
        <v>42279.5</v>
      </c>
      <c r="N55" s="1">
        <v>55654.1</v>
      </c>
      <c r="O55" s="1">
        <v>72973.899999999994</v>
      </c>
      <c r="P55" s="1">
        <v>50613</v>
      </c>
      <c r="Q55" s="1">
        <v>78814</v>
      </c>
      <c r="R55" s="1">
        <v>0</v>
      </c>
    </row>
    <row r="56" spans="1:18">
      <c r="A56" s="3">
        <v>45874.249996874998</v>
      </c>
      <c r="B56" s="1">
        <v>1293</v>
      </c>
      <c r="C56" s="1">
        <v>969109</v>
      </c>
      <c r="D56" s="1">
        <v>29823.4</v>
      </c>
      <c r="E56" s="1">
        <v>0</v>
      </c>
      <c r="F56" s="1">
        <v>390120</v>
      </c>
      <c r="G56" s="1">
        <v>21781.599999999999</v>
      </c>
      <c r="H56" s="1">
        <v>358757</v>
      </c>
      <c r="I56" s="1">
        <v>451116</v>
      </c>
      <c r="J56" s="1">
        <v>43897.2</v>
      </c>
      <c r="K56" s="1">
        <v>87024.7</v>
      </c>
      <c r="L56" s="1">
        <v>79315.100000000006</v>
      </c>
      <c r="M56" s="1">
        <v>42323.5</v>
      </c>
      <c r="N56" s="1">
        <v>55708.3</v>
      </c>
      <c r="O56" s="1">
        <v>72995.100000000006</v>
      </c>
      <c r="P56" s="1">
        <v>50613</v>
      </c>
      <c r="Q56" s="1">
        <v>78814</v>
      </c>
      <c r="R56" s="1">
        <v>0</v>
      </c>
    </row>
    <row r="57" spans="1:18">
      <c r="A57" s="3">
        <v>45874.291663483797</v>
      </c>
      <c r="B57" s="1">
        <v>2023</v>
      </c>
      <c r="C57" s="1">
        <v>969298</v>
      </c>
      <c r="D57" s="1">
        <v>29837.1</v>
      </c>
      <c r="E57" s="1">
        <v>0</v>
      </c>
      <c r="F57" s="1">
        <v>390142</v>
      </c>
      <c r="G57" s="1">
        <v>21839.1</v>
      </c>
      <c r="H57" s="1">
        <v>358768</v>
      </c>
      <c r="I57" s="1">
        <v>451351</v>
      </c>
      <c r="J57" s="1">
        <v>43908</v>
      </c>
      <c r="K57" s="1">
        <v>87027.3</v>
      </c>
      <c r="L57" s="1">
        <v>79336</v>
      </c>
      <c r="M57" s="1">
        <v>42368.3</v>
      </c>
      <c r="N57" s="1">
        <v>55761.7</v>
      </c>
      <c r="O57" s="1">
        <v>73017.100000000006</v>
      </c>
      <c r="P57" s="1">
        <v>50614</v>
      </c>
      <c r="Q57" s="1">
        <v>78814</v>
      </c>
      <c r="R57" s="1">
        <v>0</v>
      </c>
    </row>
    <row r="58" spans="1:18">
      <c r="A58" s="3">
        <v>45874.333330092595</v>
      </c>
      <c r="B58" s="1">
        <v>2822</v>
      </c>
      <c r="C58" s="1">
        <v>969511</v>
      </c>
      <c r="D58" s="1">
        <v>29850.5</v>
      </c>
      <c r="E58" s="1">
        <v>0</v>
      </c>
      <c r="F58" s="1">
        <v>390166</v>
      </c>
      <c r="G58" s="1">
        <v>21897.599999999999</v>
      </c>
      <c r="H58" s="1">
        <v>358780</v>
      </c>
      <c r="I58" s="1">
        <v>451615</v>
      </c>
      <c r="J58" s="1">
        <v>43919.1</v>
      </c>
      <c r="K58" s="1">
        <v>87028.3</v>
      </c>
      <c r="L58" s="1">
        <v>79358.2</v>
      </c>
      <c r="M58" s="1">
        <v>42415.1</v>
      </c>
      <c r="N58" s="1">
        <v>55812.7</v>
      </c>
      <c r="O58" s="1">
        <v>73044.100000000006</v>
      </c>
      <c r="P58" s="1">
        <v>50615</v>
      </c>
      <c r="Q58" s="1">
        <v>78817</v>
      </c>
      <c r="R58" s="1">
        <v>0</v>
      </c>
    </row>
    <row r="59" spans="1:18">
      <c r="A59" s="3">
        <v>45874.374996701386</v>
      </c>
      <c r="B59" s="1">
        <v>3767</v>
      </c>
      <c r="C59" s="1">
        <v>969768</v>
      </c>
      <c r="D59" s="1">
        <v>29867.3</v>
      </c>
      <c r="E59" s="1">
        <v>0</v>
      </c>
      <c r="F59" s="1">
        <v>390193</v>
      </c>
      <c r="G59" s="1">
        <v>21958.6</v>
      </c>
      <c r="H59" s="1">
        <v>358792</v>
      </c>
      <c r="I59" s="1">
        <v>451924</v>
      </c>
      <c r="J59" s="1">
        <v>43930.6</v>
      </c>
      <c r="K59" s="1">
        <v>87029.7</v>
      </c>
      <c r="L59" s="1">
        <v>79388</v>
      </c>
      <c r="M59" s="1">
        <v>42467.6</v>
      </c>
      <c r="N59" s="1">
        <v>55864.9</v>
      </c>
      <c r="O59" s="1">
        <v>73085.100000000006</v>
      </c>
      <c r="P59" s="1">
        <v>50619</v>
      </c>
      <c r="Q59" s="1">
        <v>78826</v>
      </c>
      <c r="R59" s="1">
        <v>0</v>
      </c>
    </row>
    <row r="60" spans="1:18">
      <c r="A60" s="3">
        <v>45874.416663310185</v>
      </c>
      <c r="B60" s="1">
        <v>5072</v>
      </c>
      <c r="C60" s="1">
        <v>970111</v>
      </c>
      <c r="D60" s="1">
        <v>29903.599999999999</v>
      </c>
      <c r="E60" s="1">
        <v>0</v>
      </c>
      <c r="F60" s="1">
        <v>390231</v>
      </c>
      <c r="G60" s="1">
        <v>22044</v>
      </c>
      <c r="H60" s="1">
        <v>358877</v>
      </c>
      <c r="I60" s="1">
        <v>452320</v>
      </c>
      <c r="J60" s="1">
        <v>43942.3</v>
      </c>
      <c r="K60" s="1">
        <v>87029.9</v>
      </c>
      <c r="L60" s="1">
        <v>79424.2</v>
      </c>
      <c r="M60" s="1">
        <v>42527.199999999997</v>
      </c>
      <c r="N60" s="1">
        <v>55919.199999999997</v>
      </c>
      <c r="O60" s="1">
        <v>73141.100000000006</v>
      </c>
      <c r="P60" s="1">
        <v>50628</v>
      </c>
      <c r="Q60" s="1">
        <v>78840</v>
      </c>
      <c r="R60" s="1">
        <v>0</v>
      </c>
    </row>
    <row r="61" spans="1:18">
      <c r="A61" s="3">
        <v>45874.458329918984</v>
      </c>
      <c r="B61" s="1">
        <v>6586</v>
      </c>
      <c r="C61" s="1">
        <v>970509</v>
      </c>
      <c r="D61" s="1">
        <v>29945.1</v>
      </c>
      <c r="E61" s="1">
        <v>0</v>
      </c>
      <c r="F61" s="1">
        <v>390297</v>
      </c>
      <c r="G61" s="1">
        <v>22154.2</v>
      </c>
      <c r="H61" s="1">
        <v>358961</v>
      </c>
      <c r="I61" s="1">
        <v>452774</v>
      </c>
      <c r="J61" s="1">
        <v>43954.6</v>
      </c>
      <c r="K61" s="1">
        <v>87031.1</v>
      </c>
      <c r="L61" s="1">
        <v>79469</v>
      </c>
      <c r="M61" s="1">
        <v>42587.5</v>
      </c>
      <c r="N61" s="1">
        <v>55977.8</v>
      </c>
      <c r="O61" s="1">
        <v>73212.600000000006</v>
      </c>
      <c r="P61" s="1">
        <v>50639</v>
      </c>
      <c r="Q61" s="1">
        <v>78857</v>
      </c>
      <c r="R61" s="1">
        <v>0</v>
      </c>
    </row>
    <row r="62" spans="1:18">
      <c r="A62" s="3">
        <v>45874.499996527775</v>
      </c>
      <c r="B62" s="1">
        <v>8062</v>
      </c>
      <c r="C62" s="1">
        <v>970901</v>
      </c>
      <c r="D62" s="1">
        <v>29986.2</v>
      </c>
      <c r="E62" s="1">
        <v>0</v>
      </c>
      <c r="F62" s="1">
        <v>390361</v>
      </c>
      <c r="G62" s="1">
        <v>22271.5</v>
      </c>
      <c r="H62" s="1">
        <v>358996</v>
      </c>
      <c r="I62" s="1">
        <v>453230</v>
      </c>
      <c r="J62" s="1">
        <v>43967.3</v>
      </c>
      <c r="K62" s="1">
        <v>87033.600000000006</v>
      </c>
      <c r="L62" s="1">
        <v>79523.7</v>
      </c>
      <c r="M62" s="1">
        <v>42651.4</v>
      </c>
      <c r="N62" s="1">
        <v>56035.1</v>
      </c>
      <c r="O62" s="1">
        <v>73278.600000000006</v>
      </c>
      <c r="P62" s="1">
        <v>50647</v>
      </c>
      <c r="Q62" s="1">
        <v>78869</v>
      </c>
      <c r="R62" s="1">
        <v>0</v>
      </c>
    </row>
    <row r="63" spans="1:18">
      <c r="A63" s="3">
        <v>45874.541663136573</v>
      </c>
      <c r="B63" s="1">
        <v>9539</v>
      </c>
      <c r="C63" s="1">
        <v>971290</v>
      </c>
      <c r="D63" s="1">
        <v>30034.6</v>
      </c>
      <c r="E63" s="1">
        <v>0</v>
      </c>
      <c r="F63" s="1">
        <v>390426</v>
      </c>
      <c r="G63" s="1">
        <v>22379.5</v>
      </c>
      <c r="H63" s="1">
        <v>359008</v>
      </c>
      <c r="I63" s="1">
        <v>453707</v>
      </c>
      <c r="J63" s="1">
        <v>43980.7</v>
      </c>
      <c r="K63" s="1">
        <v>87035.3</v>
      </c>
      <c r="L63" s="1">
        <v>79575.199999999997</v>
      </c>
      <c r="M63" s="1">
        <v>42720.3</v>
      </c>
      <c r="N63" s="1">
        <v>56091</v>
      </c>
      <c r="O63" s="1">
        <v>73347.8</v>
      </c>
      <c r="P63" s="1">
        <v>50658</v>
      </c>
      <c r="Q63" s="1">
        <v>78887</v>
      </c>
      <c r="R63" s="1">
        <v>0</v>
      </c>
    </row>
    <row r="64" spans="1:18">
      <c r="A64" s="3">
        <v>45874.583329745372</v>
      </c>
      <c r="B64" s="1">
        <v>11037</v>
      </c>
      <c r="C64" s="1">
        <v>971668</v>
      </c>
      <c r="D64" s="1">
        <v>30082.7</v>
      </c>
      <c r="E64" s="1">
        <v>0</v>
      </c>
      <c r="F64" s="1">
        <v>390488</v>
      </c>
      <c r="G64" s="1">
        <v>22497.9</v>
      </c>
      <c r="H64" s="1">
        <v>359019</v>
      </c>
      <c r="I64" s="1">
        <v>454184</v>
      </c>
      <c r="J64" s="1">
        <v>43993.1</v>
      </c>
      <c r="K64" s="1">
        <v>87040.6</v>
      </c>
      <c r="L64" s="1">
        <v>79635</v>
      </c>
      <c r="M64" s="1">
        <v>42788.6</v>
      </c>
      <c r="N64" s="1">
        <v>56147.1</v>
      </c>
      <c r="O64" s="1">
        <v>73427.899999999994</v>
      </c>
      <c r="P64" s="1">
        <v>50665</v>
      </c>
      <c r="Q64" s="1">
        <v>78898</v>
      </c>
      <c r="R64" s="1">
        <v>0</v>
      </c>
    </row>
    <row r="65" spans="1:18">
      <c r="A65" s="3">
        <v>45874.624996354163</v>
      </c>
      <c r="B65" s="1">
        <v>12546</v>
      </c>
      <c r="C65" s="1">
        <v>972058</v>
      </c>
      <c r="D65" s="1">
        <v>30129.200000000001</v>
      </c>
      <c r="E65" s="1">
        <v>0</v>
      </c>
      <c r="F65" s="1">
        <v>390548</v>
      </c>
      <c r="G65" s="1">
        <v>22626.3</v>
      </c>
      <c r="H65" s="1">
        <v>359034</v>
      </c>
      <c r="I65" s="1">
        <v>454668</v>
      </c>
      <c r="J65" s="1">
        <v>44007.5</v>
      </c>
      <c r="K65" s="1">
        <v>87050.8</v>
      </c>
      <c r="L65" s="1">
        <v>79694.2</v>
      </c>
      <c r="M65" s="1">
        <v>42855</v>
      </c>
      <c r="N65" s="1">
        <v>56206.2</v>
      </c>
      <c r="O65" s="1">
        <v>73488</v>
      </c>
      <c r="P65" s="1">
        <v>50669</v>
      </c>
      <c r="Q65" s="1">
        <v>78903</v>
      </c>
      <c r="R65" s="1">
        <v>0</v>
      </c>
    </row>
    <row r="66" spans="1:18">
      <c r="A66" s="3">
        <v>45874.666662962962</v>
      </c>
      <c r="B66" s="1">
        <v>14040</v>
      </c>
      <c r="C66" s="1">
        <v>972439</v>
      </c>
      <c r="D66" s="1">
        <v>30180.9</v>
      </c>
      <c r="E66" s="1">
        <v>0</v>
      </c>
      <c r="F66" s="1">
        <v>390608</v>
      </c>
      <c r="G66" s="1">
        <v>22754</v>
      </c>
      <c r="H66" s="1">
        <v>359084</v>
      </c>
      <c r="I66" s="1">
        <v>455137</v>
      </c>
      <c r="J66" s="1">
        <v>44020.4</v>
      </c>
      <c r="K66" s="1">
        <v>87057.5</v>
      </c>
      <c r="L66" s="1">
        <v>79752.800000000003</v>
      </c>
      <c r="M66" s="1">
        <v>42925.9</v>
      </c>
      <c r="N66" s="1">
        <v>56264.800000000003</v>
      </c>
      <c r="O66" s="1">
        <v>73521.8</v>
      </c>
      <c r="P66" s="1">
        <v>50673</v>
      </c>
      <c r="Q66" s="1">
        <v>78910</v>
      </c>
      <c r="R66" s="1">
        <v>0</v>
      </c>
    </row>
    <row r="67" spans="1:18">
      <c r="A67" s="3">
        <v>45874.70832957176</v>
      </c>
      <c r="B67" s="1">
        <v>15498</v>
      </c>
      <c r="C67" s="1">
        <v>972812</v>
      </c>
      <c r="D67" s="1">
        <v>30232.1</v>
      </c>
      <c r="E67" s="1">
        <v>0</v>
      </c>
      <c r="F67" s="1">
        <v>390667</v>
      </c>
      <c r="G67" s="1">
        <v>22871.8</v>
      </c>
      <c r="H67" s="1">
        <v>359120</v>
      </c>
      <c r="I67" s="1">
        <v>455597</v>
      </c>
      <c r="J67" s="1">
        <v>44032.7</v>
      </c>
      <c r="K67" s="1">
        <v>87062</v>
      </c>
      <c r="L67" s="1">
        <v>79826.8</v>
      </c>
      <c r="M67" s="1">
        <v>42993.9</v>
      </c>
      <c r="N67" s="1">
        <v>56322.8</v>
      </c>
      <c r="O67" s="1">
        <v>73555.7</v>
      </c>
      <c r="P67" s="1">
        <v>50679</v>
      </c>
      <c r="Q67" s="1">
        <v>78919</v>
      </c>
      <c r="R67" s="1">
        <v>0</v>
      </c>
    </row>
    <row r="68" spans="1:18">
      <c r="A68" s="3">
        <v>45874.749996180559</v>
      </c>
      <c r="B68" s="1">
        <v>16713</v>
      </c>
      <c r="C68" s="1">
        <v>973128</v>
      </c>
      <c r="D68" s="1">
        <v>30268.3</v>
      </c>
      <c r="E68" s="1">
        <v>0</v>
      </c>
      <c r="F68" s="1">
        <v>390711</v>
      </c>
      <c r="G68" s="1">
        <v>22972.2</v>
      </c>
      <c r="H68" s="1">
        <v>359133</v>
      </c>
      <c r="I68" s="1">
        <v>456002</v>
      </c>
      <c r="J68" s="1">
        <v>44043.8</v>
      </c>
      <c r="K68" s="1">
        <v>87066.1</v>
      </c>
      <c r="L68" s="1">
        <v>79873.5</v>
      </c>
      <c r="M68" s="1">
        <v>43051.199999999997</v>
      </c>
      <c r="N68" s="1">
        <v>56382.400000000001</v>
      </c>
      <c r="O68" s="1">
        <v>73587.100000000006</v>
      </c>
      <c r="P68" s="1">
        <v>50680</v>
      </c>
      <c r="Q68" s="1">
        <v>78920</v>
      </c>
      <c r="R68" s="1">
        <v>0</v>
      </c>
    </row>
    <row r="69" spans="1:18">
      <c r="A69" s="3">
        <v>45874.79166278935</v>
      </c>
      <c r="B69" s="1">
        <v>17777</v>
      </c>
      <c r="C69" s="1">
        <v>973402</v>
      </c>
      <c r="D69" s="1">
        <v>30296</v>
      </c>
      <c r="E69" s="1">
        <v>0</v>
      </c>
      <c r="F69" s="1">
        <v>390746</v>
      </c>
      <c r="G69" s="1">
        <v>23055.5</v>
      </c>
      <c r="H69" s="1">
        <v>359145</v>
      </c>
      <c r="I69" s="1">
        <v>456375</v>
      </c>
      <c r="J69" s="1">
        <v>44055.8</v>
      </c>
      <c r="K69" s="1">
        <v>87069.2</v>
      </c>
      <c r="L69" s="1">
        <v>79907.5</v>
      </c>
      <c r="M69" s="1">
        <v>43098.400000000001</v>
      </c>
      <c r="N69" s="1">
        <v>56437.9</v>
      </c>
      <c r="O69" s="1">
        <v>73612.3</v>
      </c>
      <c r="P69" s="1">
        <v>50680</v>
      </c>
      <c r="Q69" s="1">
        <v>78921</v>
      </c>
      <c r="R69" s="1">
        <v>0</v>
      </c>
    </row>
    <row r="70" spans="1:18">
      <c r="A70" s="3">
        <v>45874.833329398149</v>
      </c>
      <c r="B70" s="1">
        <v>18757</v>
      </c>
      <c r="C70" s="1">
        <v>973660</v>
      </c>
      <c r="D70" s="1">
        <v>30320.1</v>
      </c>
      <c r="E70" s="1">
        <v>0</v>
      </c>
      <c r="F70" s="1">
        <v>390776</v>
      </c>
      <c r="G70" s="1">
        <v>23137</v>
      </c>
      <c r="H70" s="1">
        <v>359156</v>
      </c>
      <c r="I70" s="1">
        <v>456703</v>
      </c>
      <c r="J70" s="1">
        <v>44067.1</v>
      </c>
      <c r="K70" s="1">
        <v>87072.9</v>
      </c>
      <c r="L70" s="1">
        <v>79940.2</v>
      </c>
      <c r="M70" s="1">
        <v>43147.1</v>
      </c>
      <c r="N70" s="1">
        <v>56494.7</v>
      </c>
      <c r="O70" s="1">
        <v>73635.3</v>
      </c>
      <c r="P70" s="1">
        <v>50680</v>
      </c>
      <c r="Q70" s="1">
        <v>78921</v>
      </c>
      <c r="R70" s="1">
        <v>0</v>
      </c>
    </row>
    <row r="71" spans="1:18">
      <c r="A71" s="3">
        <v>45874.874996006947</v>
      </c>
      <c r="B71" s="1">
        <v>19646</v>
      </c>
      <c r="C71" s="1">
        <v>973891</v>
      </c>
      <c r="D71" s="1">
        <v>30341.8</v>
      </c>
      <c r="E71" s="1">
        <v>0</v>
      </c>
      <c r="F71" s="1">
        <v>390804</v>
      </c>
      <c r="G71" s="1">
        <v>23213.4</v>
      </c>
      <c r="H71" s="1">
        <v>359167</v>
      </c>
      <c r="I71" s="1">
        <v>456989</v>
      </c>
      <c r="J71" s="1">
        <v>44078.8</v>
      </c>
      <c r="K71" s="1">
        <v>87076.4</v>
      </c>
      <c r="L71" s="1">
        <v>79972.399999999994</v>
      </c>
      <c r="M71" s="1">
        <v>43193.7</v>
      </c>
      <c r="N71" s="1">
        <v>56551.6</v>
      </c>
      <c r="O71" s="1">
        <v>73658.899999999994</v>
      </c>
      <c r="P71" s="1">
        <v>50680</v>
      </c>
      <c r="Q71" s="1">
        <v>78921</v>
      </c>
      <c r="R71" s="1">
        <v>0</v>
      </c>
    </row>
    <row r="72" spans="1:18">
      <c r="A72" s="3">
        <v>45874.916662615738</v>
      </c>
      <c r="B72" s="1">
        <v>20478</v>
      </c>
      <c r="C72" s="1">
        <v>974101</v>
      </c>
      <c r="D72" s="1">
        <v>30361.8</v>
      </c>
      <c r="E72" s="1">
        <v>0</v>
      </c>
      <c r="F72" s="1">
        <v>390830</v>
      </c>
      <c r="G72" s="1">
        <v>23284.9</v>
      </c>
      <c r="H72" s="1">
        <v>359178</v>
      </c>
      <c r="I72" s="1">
        <v>457258</v>
      </c>
      <c r="J72" s="1">
        <v>44089.7</v>
      </c>
      <c r="K72" s="1">
        <v>87079.8</v>
      </c>
      <c r="L72" s="1">
        <v>80000</v>
      </c>
      <c r="M72" s="1">
        <v>43239.1</v>
      </c>
      <c r="N72" s="1">
        <v>56607.4</v>
      </c>
      <c r="O72" s="1">
        <v>73683.199999999997</v>
      </c>
      <c r="P72" s="1">
        <v>50680</v>
      </c>
      <c r="Q72" s="1">
        <v>78921</v>
      </c>
      <c r="R72" s="1">
        <v>0</v>
      </c>
    </row>
    <row r="73" spans="1:18">
      <c r="A73" s="3">
        <v>45874.958329224537</v>
      </c>
      <c r="B73" s="1">
        <v>21279</v>
      </c>
      <c r="C73" s="1">
        <v>974303</v>
      </c>
      <c r="D73" s="1">
        <v>30383.599999999999</v>
      </c>
      <c r="E73" s="1">
        <v>0</v>
      </c>
      <c r="F73" s="1">
        <v>390856</v>
      </c>
      <c r="G73" s="1">
        <v>23353.4</v>
      </c>
      <c r="H73" s="1">
        <v>359191</v>
      </c>
      <c r="I73" s="1">
        <v>457513</v>
      </c>
      <c r="J73" s="1">
        <v>44100.2</v>
      </c>
      <c r="K73" s="1">
        <v>87083.199999999997</v>
      </c>
      <c r="L73" s="1">
        <v>80024.7</v>
      </c>
      <c r="M73" s="1">
        <v>43284.1</v>
      </c>
      <c r="N73" s="1">
        <v>56663.5</v>
      </c>
      <c r="O73" s="1">
        <v>73703.899999999994</v>
      </c>
      <c r="P73" s="1">
        <v>50680</v>
      </c>
      <c r="Q73" s="1">
        <v>78921</v>
      </c>
      <c r="R73" s="1">
        <v>0</v>
      </c>
    </row>
    <row r="74" spans="1:18">
      <c r="A74" s="3">
        <v>45874.999995659724</v>
      </c>
      <c r="B74" s="1">
        <v>22065</v>
      </c>
      <c r="C74" s="1">
        <v>974499</v>
      </c>
      <c r="D74" s="1">
        <v>30404.400000000001</v>
      </c>
      <c r="E74" s="1">
        <v>0</v>
      </c>
      <c r="F74" s="1">
        <v>390880</v>
      </c>
      <c r="G74" s="1">
        <v>23421.8</v>
      </c>
      <c r="H74" s="1">
        <v>359202</v>
      </c>
      <c r="I74" s="1">
        <v>457763</v>
      </c>
      <c r="J74" s="1">
        <v>44110.5</v>
      </c>
      <c r="K74" s="1">
        <v>87086.9</v>
      </c>
      <c r="L74" s="1">
        <v>80049.600000000006</v>
      </c>
      <c r="M74" s="1">
        <v>43329.1</v>
      </c>
      <c r="N74" s="1">
        <v>56719</v>
      </c>
      <c r="O74" s="1">
        <v>73723.399999999994</v>
      </c>
      <c r="P74" s="1">
        <v>50680</v>
      </c>
      <c r="Q74" s="1">
        <v>78921</v>
      </c>
      <c r="R74" s="1">
        <v>0</v>
      </c>
    </row>
    <row r="75" spans="1:18">
      <c r="A75" s="3">
        <v>45875.04166221065</v>
      </c>
      <c r="B75" s="1">
        <v>22820</v>
      </c>
      <c r="C75" s="1">
        <v>974694</v>
      </c>
      <c r="D75" s="1">
        <v>30421.1</v>
      </c>
      <c r="E75" s="1">
        <v>0</v>
      </c>
      <c r="F75" s="1">
        <v>390903</v>
      </c>
      <c r="G75" s="1">
        <v>23487.8</v>
      </c>
      <c r="H75" s="1">
        <v>359214</v>
      </c>
      <c r="I75" s="1">
        <v>457997</v>
      </c>
      <c r="J75" s="1">
        <v>44121</v>
      </c>
      <c r="K75" s="1">
        <v>87090.3</v>
      </c>
      <c r="L75" s="1">
        <v>80072.7</v>
      </c>
      <c r="M75" s="1">
        <v>43376.1</v>
      </c>
      <c r="N75" s="1">
        <v>56774.400000000001</v>
      </c>
      <c r="O75" s="1">
        <v>73742.600000000006</v>
      </c>
      <c r="P75" s="1">
        <v>50680</v>
      </c>
      <c r="Q75" s="1">
        <v>78921</v>
      </c>
      <c r="R75" s="1">
        <v>0</v>
      </c>
    </row>
    <row r="76" spans="1:18">
      <c r="A76" s="3">
        <v>45875.083328761575</v>
      </c>
      <c r="B76" s="1">
        <v>23554</v>
      </c>
      <c r="C76" s="1">
        <v>974880</v>
      </c>
      <c r="D76" s="1">
        <v>30436</v>
      </c>
      <c r="E76" s="1">
        <v>0</v>
      </c>
      <c r="F76" s="1">
        <v>390925</v>
      </c>
      <c r="G76" s="1">
        <v>23552.799999999999</v>
      </c>
      <c r="H76" s="1">
        <v>359225</v>
      </c>
      <c r="I76" s="1">
        <v>458224</v>
      </c>
      <c r="J76" s="1">
        <v>44131.1</v>
      </c>
      <c r="K76" s="1">
        <v>87093.7</v>
      </c>
      <c r="L76" s="1">
        <v>80094.899999999994</v>
      </c>
      <c r="M76" s="1">
        <v>43422.2</v>
      </c>
      <c r="N76" s="1">
        <v>56829.5</v>
      </c>
      <c r="O76" s="1">
        <v>73762.5</v>
      </c>
      <c r="P76" s="1">
        <v>50680</v>
      </c>
      <c r="Q76" s="1">
        <v>78921</v>
      </c>
      <c r="R76" s="1">
        <v>0</v>
      </c>
    </row>
    <row r="77" spans="1:18">
      <c r="A77" s="3">
        <v>45875.124995312501</v>
      </c>
      <c r="B77" s="1">
        <v>24282</v>
      </c>
      <c r="C77" s="1">
        <v>975059</v>
      </c>
      <c r="D77" s="1">
        <v>30452.2</v>
      </c>
      <c r="E77" s="1">
        <v>0</v>
      </c>
      <c r="F77" s="1">
        <v>390947</v>
      </c>
      <c r="G77" s="1">
        <v>23616.1</v>
      </c>
      <c r="H77" s="1">
        <v>359236</v>
      </c>
      <c r="I77" s="1">
        <v>458453</v>
      </c>
      <c r="J77" s="1">
        <v>44141.3</v>
      </c>
      <c r="K77" s="1">
        <v>87097</v>
      </c>
      <c r="L77" s="1">
        <v>80119.100000000006</v>
      </c>
      <c r="M77" s="1">
        <v>43467.3</v>
      </c>
      <c r="N77" s="1">
        <v>56884.6</v>
      </c>
      <c r="O77" s="1">
        <v>73781.5</v>
      </c>
      <c r="P77" s="1">
        <v>50680</v>
      </c>
      <c r="Q77" s="1">
        <v>78921</v>
      </c>
      <c r="R77" s="1">
        <v>0</v>
      </c>
    </row>
    <row r="78" spans="1:18">
      <c r="A78" s="3">
        <v>45875.166661863426</v>
      </c>
      <c r="B78" s="1">
        <v>24996</v>
      </c>
      <c r="C78" s="1">
        <v>975233</v>
      </c>
      <c r="D78" s="1">
        <v>30466.5</v>
      </c>
      <c r="E78" s="1">
        <v>0</v>
      </c>
      <c r="F78" s="1">
        <v>390969</v>
      </c>
      <c r="G78" s="1">
        <v>23679.5</v>
      </c>
      <c r="H78" s="1">
        <v>359247</v>
      </c>
      <c r="I78" s="1">
        <v>458677</v>
      </c>
      <c r="J78" s="1">
        <v>44151.6</v>
      </c>
      <c r="K78" s="1">
        <v>87100.3</v>
      </c>
      <c r="L78" s="1">
        <v>80141.899999999994</v>
      </c>
      <c r="M78" s="1">
        <v>43510</v>
      </c>
      <c r="N78" s="1">
        <v>56940.2</v>
      </c>
      <c r="O78" s="1">
        <v>73800.7</v>
      </c>
      <c r="P78" s="1">
        <v>50680</v>
      </c>
      <c r="Q78" s="1">
        <v>78921</v>
      </c>
      <c r="R78" s="1">
        <v>0</v>
      </c>
    </row>
    <row r="79" spans="1:18">
      <c r="A79" s="3">
        <v>45875.208328414352</v>
      </c>
      <c r="B79" s="1">
        <v>25700</v>
      </c>
      <c r="C79" s="1">
        <v>975406</v>
      </c>
      <c r="D79" s="1">
        <v>30480.6</v>
      </c>
      <c r="E79" s="1">
        <v>0</v>
      </c>
      <c r="F79" s="1">
        <v>390988</v>
      </c>
      <c r="G79" s="1">
        <v>23740.799999999999</v>
      </c>
      <c r="H79" s="1">
        <v>359258</v>
      </c>
      <c r="I79" s="1">
        <v>458898</v>
      </c>
      <c r="J79" s="1">
        <v>44161.5</v>
      </c>
      <c r="K79" s="1">
        <v>87103.7</v>
      </c>
      <c r="L79" s="1">
        <v>80164.399999999994</v>
      </c>
      <c r="M79" s="1">
        <v>43553</v>
      </c>
      <c r="N79" s="1">
        <v>56995.7</v>
      </c>
      <c r="O79" s="1">
        <v>73820.399999999994</v>
      </c>
      <c r="P79" s="1">
        <v>50680</v>
      </c>
      <c r="Q79" s="1">
        <v>78921</v>
      </c>
      <c r="R79" s="1">
        <v>0</v>
      </c>
    </row>
    <row r="80" spans="1:18">
      <c r="A80" s="3">
        <v>45875.249994965277</v>
      </c>
      <c r="B80" s="1">
        <v>26407</v>
      </c>
      <c r="C80" s="1">
        <v>975580</v>
      </c>
      <c r="D80" s="1">
        <v>30494.799999999999</v>
      </c>
      <c r="E80" s="1">
        <v>0</v>
      </c>
      <c r="F80" s="1">
        <v>391007</v>
      </c>
      <c r="G80" s="1">
        <v>23802.3</v>
      </c>
      <c r="H80" s="1">
        <v>359270</v>
      </c>
      <c r="I80" s="1">
        <v>459120</v>
      </c>
      <c r="J80" s="1">
        <v>44171.6</v>
      </c>
      <c r="K80" s="1">
        <v>87106.8</v>
      </c>
      <c r="L80" s="1">
        <v>80186.2</v>
      </c>
      <c r="M80" s="1">
        <v>43596.2</v>
      </c>
      <c r="N80" s="1">
        <v>57050.7</v>
      </c>
      <c r="O80" s="1">
        <v>73842</v>
      </c>
      <c r="P80" s="1">
        <v>50680</v>
      </c>
      <c r="Q80" s="1">
        <v>78921</v>
      </c>
      <c r="R80" s="1">
        <v>0</v>
      </c>
    </row>
    <row r="81" spans="1:18">
      <c r="A81" s="3">
        <v>45875.291661516203</v>
      </c>
      <c r="B81" s="1">
        <v>27138</v>
      </c>
      <c r="C81" s="1">
        <v>975762</v>
      </c>
      <c r="D81" s="1">
        <v>30509.4</v>
      </c>
      <c r="E81" s="1">
        <v>0</v>
      </c>
      <c r="F81" s="1">
        <v>391028</v>
      </c>
      <c r="G81" s="1">
        <v>23863.4</v>
      </c>
      <c r="H81" s="1">
        <v>359281</v>
      </c>
      <c r="I81" s="1">
        <v>459352</v>
      </c>
      <c r="J81" s="1">
        <v>44182</v>
      </c>
      <c r="K81" s="1">
        <v>87109.3</v>
      </c>
      <c r="L81" s="1">
        <v>80208.600000000006</v>
      </c>
      <c r="M81" s="1">
        <v>43639.5</v>
      </c>
      <c r="N81" s="1">
        <v>57105.1</v>
      </c>
      <c r="O81" s="1">
        <v>73864</v>
      </c>
      <c r="P81" s="1">
        <v>50681</v>
      </c>
      <c r="Q81" s="1">
        <v>78921</v>
      </c>
      <c r="R81" s="1">
        <v>0</v>
      </c>
    </row>
    <row r="82" spans="1:18">
      <c r="A82" s="3">
        <v>45875.333328067129</v>
      </c>
      <c r="B82" s="1">
        <v>27920</v>
      </c>
      <c r="C82" s="1">
        <v>975960</v>
      </c>
      <c r="D82" s="1">
        <v>30525.200000000001</v>
      </c>
      <c r="E82" s="1">
        <v>0</v>
      </c>
      <c r="F82" s="1">
        <v>391051</v>
      </c>
      <c r="G82" s="1">
        <v>23926.6</v>
      </c>
      <c r="H82" s="1">
        <v>359293</v>
      </c>
      <c r="I82" s="1">
        <v>459604</v>
      </c>
      <c r="J82" s="1">
        <v>44192.9</v>
      </c>
      <c r="K82" s="1">
        <v>87110.1</v>
      </c>
      <c r="L82" s="1">
        <v>80232.399999999994</v>
      </c>
      <c r="M82" s="1">
        <v>43685.7</v>
      </c>
      <c r="N82" s="1">
        <v>57156.9</v>
      </c>
      <c r="O82" s="1">
        <v>73887.899999999994</v>
      </c>
      <c r="P82" s="1">
        <v>50682</v>
      </c>
      <c r="Q82" s="1">
        <v>78924</v>
      </c>
      <c r="R82" s="1">
        <v>0</v>
      </c>
    </row>
    <row r="83" spans="1:18">
      <c r="A83" s="3">
        <v>45875.374994618054</v>
      </c>
      <c r="B83" s="1">
        <v>29023</v>
      </c>
      <c r="C83" s="1">
        <v>976233</v>
      </c>
      <c r="D83" s="1">
        <v>30546.9</v>
      </c>
      <c r="E83" s="1">
        <v>0</v>
      </c>
      <c r="F83" s="1">
        <v>391081</v>
      </c>
      <c r="G83" s="1">
        <v>24001.1</v>
      </c>
      <c r="H83" s="1">
        <v>359358</v>
      </c>
      <c r="I83" s="1">
        <v>459961</v>
      </c>
      <c r="J83" s="1">
        <v>44205.4</v>
      </c>
      <c r="K83" s="1">
        <v>87113.1</v>
      </c>
      <c r="L83" s="1">
        <v>80281</v>
      </c>
      <c r="M83" s="1">
        <v>43736.3</v>
      </c>
      <c r="N83" s="1">
        <v>57208.2</v>
      </c>
      <c r="O83" s="1">
        <v>73929.600000000006</v>
      </c>
      <c r="P83" s="1">
        <v>50685</v>
      </c>
      <c r="Q83" s="1">
        <v>78932</v>
      </c>
      <c r="R83" s="1">
        <v>0</v>
      </c>
    </row>
    <row r="84" spans="1:18">
      <c r="A84" s="3">
        <v>45875.41666116898</v>
      </c>
      <c r="B84" s="1">
        <v>30360</v>
      </c>
      <c r="C84" s="1">
        <v>976555</v>
      </c>
      <c r="D84" s="1">
        <v>30571.1</v>
      </c>
      <c r="E84" s="1">
        <v>0</v>
      </c>
      <c r="F84" s="1">
        <v>391113</v>
      </c>
      <c r="G84" s="1">
        <v>24085.200000000001</v>
      </c>
      <c r="H84" s="1">
        <v>359494</v>
      </c>
      <c r="I84" s="1">
        <v>460383</v>
      </c>
      <c r="J84" s="1">
        <v>44218.6</v>
      </c>
      <c r="K84" s="1">
        <v>87114.3</v>
      </c>
      <c r="L84" s="1">
        <v>80329.5</v>
      </c>
      <c r="M84" s="1">
        <v>43798</v>
      </c>
      <c r="N84" s="1">
        <v>57256.3</v>
      </c>
      <c r="O84" s="1">
        <v>73984.600000000006</v>
      </c>
      <c r="P84" s="1">
        <v>50693</v>
      </c>
      <c r="Q84" s="1">
        <v>78945</v>
      </c>
      <c r="R84" s="1">
        <v>0</v>
      </c>
    </row>
    <row r="85" spans="1:18">
      <c r="A85" s="3">
        <v>45875.458327719905</v>
      </c>
      <c r="B85" s="1">
        <v>31872</v>
      </c>
      <c r="C85" s="1">
        <v>976941</v>
      </c>
      <c r="D85" s="1">
        <v>30604.3</v>
      </c>
      <c r="E85" s="1">
        <v>0</v>
      </c>
      <c r="F85" s="1">
        <v>391166</v>
      </c>
      <c r="G85" s="1">
        <v>24186.9</v>
      </c>
      <c r="H85" s="1">
        <v>359630</v>
      </c>
      <c r="I85" s="1">
        <v>460832</v>
      </c>
      <c r="J85" s="1">
        <v>44231.199999999997</v>
      </c>
      <c r="K85" s="1">
        <v>87117.2</v>
      </c>
      <c r="L85" s="1">
        <v>80382.899999999994</v>
      </c>
      <c r="M85" s="1">
        <v>43864.9</v>
      </c>
      <c r="N85" s="1">
        <v>57303.199999999997</v>
      </c>
      <c r="O85" s="1">
        <v>74054.3</v>
      </c>
      <c r="P85" s="1">
        <v>50703</v>
      </c>
      <c r="Q85" s="1">
        <v>78960</v>
      </c>
      <c r="R85" s="1">
        <v>0</v>
      </c>
    </row>
    <row r="86" spans="1:18">
      <c r="A86" s="3">
        <v>45875.499994270831</v>
      </c>
      <c r="B86" s="1">
        <v>33440</v>
      </c>
      <c r="C86" s="1">
        <v>977359</v>
      </c>
      <c r="D86" s="1">
        <v>30636.799999999999</v>
      </c>
      <c r="E86" s="1">
        <v>0</v>
      </c>
      <c r="F86" s="1">
        <v>391223</v>
      </c>
      <c r="G86" s="1">
        <v>24282.1</v>
      </c>
      <c r="H86" s="1">
        <v>359770</v>
      </c>
      <c r="I86" s="1">
        <v>461288</v>
      </c>
      <c r="J86" s="1">
        <v>44244.2</v>
      </c>
      <c r="K86" s="1">
        <v>87117.7</v>
      </c>
      <c r="L86" s="1">
        <v>80441.399999999994</v>
      </c>
      <c r="M86" s="1">
        <v>43948.6</v>
      </c>
      <c r="N86" s="1">
        <v>57346.8</v>
      </c>
      <c r="O86" s="1">
        <v>74121.5</v>
      </c>
      <c r="P86" s="1">
        <v>50718</v>
      </c>
      <c r="Q86" s="1">
        <v>78982</v>
      </c>
      <c r="R86" s="1">
        <v>0</v>
      </c>
    </row>
    <row r="87" spans="1:18">
      <c r="A87" s="3">
        <v>45875.541666666664</v>
      </c>
      <c r="B87" s="1">
        <v>35007</v>
      </c>
      <c r="C87" s="1">
        <v>977741</v>
      </c>
      <c r="D87" s="1">
        <v>30674.6</v>
      </c>
      <c r="E87" s="1">
        <v>0</v>
      </c>
      <c r="F87" s="1">
        <v>391282</v>
      </c>
      <c r="G87" s="1">
        <v>24385.8</v>
      </c>
      <c r="H87" s="1">
        <v>359915</v>
      </c>
      <c r="I87" s="1">
        <v>461758</v>
      </c>
      <c r="J87" s="1">
        <v>44256.9</v>
      </c>
      <c r="K87" s="1">
        <v>87121.9</v>
      </c>
      <c r="L87" s="1">
        <v>80495.8</v>
      </c>
      <c r="M87" s="1">
        <v>44032.2</v>
      </c>
      <c r="N87" s="1">
        <v>57393.4</v>
      </c>
      <c r="O87" s="1">
        <v>74194.3</v>
      </c>
      <c r="P87" s="1">
        <v>50729</v>
      </c>
      <c r="Q87" s="1">
        <v>78999</v>
      </c>
      <c r="R87" s="1">
        <v>0</v>
      </c>
    </row>
    <row r="88" spans="1:18">
      <c r="A88" s="3">
        <v>45875.583333333336</v>
      </c>
      <c r="B88" s="1">
        <v>36662</v>
      </c>
      <c r="C88" s="1">
        <v>978145</v>
      </c>
      <c r="D88" s="1">
        <v>30718</v>
      </c>
      <c r="E88" s="1">
        <v>0</v>
      </c>
      <c r="F88" s="1">
        <v>391343</v>
      </c>
      <c r="G88" s="1">
        <v>24495.9</v>
      </c>
      <c r="H88" s="1">
        <v>360077</v>
      </c>
      <c r="I88" s="1">
        <v>462246</v>
      </c>
      <c r="J88" s="1">
        <v>44271.5</v>
      </c>
      <c r="K88" s="1">
        <v>87122.5</v>
      </c>
      <c r="L88" s="1">
        <v>80556.399999999994</v>
      </c>
      <c r="M88" s="1">
        <v>44117.7</v>
      </c>
      <c r="N88" s="1">
        <v>57439.199999999997</v>
      </c>
      <c r="O88" s="1">
        <v>74268.899999999994</v>
      </c>
      <c r="P88" s="1">
        <v>50743</v>
      </c>
      <c r="Q88" s="1">
        <v>79021</v>
      </c>
      <c r="R88" s="1">
        <v>0</v>
      </c>
    </row>
    <row r="89" spans="1:18">
      <c r="A89" s="3">
        <v>45875.625</v>
      </c>
      <c r="B89" s="1">
        <v>38294</v>
      </c>
      <c r="C89" s="1">
        <v>978543</v>
      </c>
      <c r="D89" s="1">
        <v>30755.1</v>
      </c>
      <c r="E89" s="1">
        <v>0</v>
      </c>
      <c r="F89" s="1">
        <v>391407</v>
      </c>
      <c r="G89" s="1">
        <v>24624.7</v>
      </c>
      <c r="H89" s="1">
        <v>360226</v>
      </c>
      <c r="I89" s="1">
        <v>462729</v>
      </c>
      <c r="J89" s="1">
        <v>44287</v>
      </c>
      <c r="K89" s="1">
        <v>87127.9</v>
      </c>
      <c r="L89" s="1">
        <v>80611.600000000006</v>
      </c>
      <c r="M89" s="1">
        <v>44189.7</v>
      </c>
      <c r="N89" s="1">
        <v>57491</v>
      </c>
      <c r="O89" s="1">
        <v>74330.8</v>
      </c>
      <c r="P89" s="1">
        <v>50751</v>
      </c>
      <c r="Q89" s="1">
        <v>79034</v>
      </c>
      <c r="R89" s="1">
        <v>0</v>
      </c>
    </row>
    <row r="90" spans="1:18">
      <c r="A90" s="3">
        <v>45875.66666678241</v>
      </c>
      <c r="B90" s="1">
        <v>39877</v>
      </c>
      <c r="C90" s="1">
        <v>978950</v>
      </c>
      <c r="D90" s="1">
        <v>30793</v>
      </c>
      <c r="E90" s="1">
        <v>0</v>
      </c>
      <c r="F90" s="1">
        <v>391471</v>
      </c>
      <c r="G90" s="1">
        <v>24749.4</v>
      </c>
      <c r="H90" s="1">
        <v>360353</v>
      </c>
      <c r="I90" s="1">
        <v>463210</v>
      </c>
      <c r="J90" s="1">
        <v>44301.2</v>
      </c>
      <c r="K90" s="1">
        <v>87129.4</v>
      </c>
      <c r="L90" s="1">
        <v>80668.3</v>
      </c>
      <c r="M90" s="1">
        <v>44268.2</v>
      </c>
      <c r="N90" s="1">
        <v>57540.1</v>
      </c>
      <c r="O90" s="1">
        <v>74366.7</v>
      </c>
      <c r="P90" s="1">
        <v>50763</v>
      </c>
      <c r="Q90" s="1">
        <v>79052</v>
      </c>
      <c r="R90" s="1">
        <v>0</v>
      </c>
    </row>
    <row r="91" spans="1:18">
      <c r="A91" s="3">
        <v>45875.708333506947</v>
      </c>
      <c r="B91" s="1">
        <v>41437</v>
      </c>
      <c r="C91" s="1">
        <v>979345</v>
      </c>
      <c r="D91" s="1">
        <v>30830.400000000001</v>
      </c>
      <c r="E91" s="1">
        <v>0</v>
      </c>
      <c r="F91" s="1">
        <v>391529</v>
      </c>
      <c r="G91" s="1">
        <v>24879.7</v>
      </c>
      <c r="H91" s="1">
        <v>360460</v>
      </c>
      <c r="I91" s="1">
        <v>463703</v>
      </c>
      <c r="J91" s="1">
        <v>44314.8</v>
      </c>
      <c r="K91" s="1">
        <v>87135.5</v>
      </c>
      <c r="L91" s="1">
        <v>80733.899999999994</v>
      </c>
      <c r="M91" s="1">
        <v>44335.1</v>
      </c>
      <c r="N91" s="1">
        <v>57595.5</v>
      </c>
      <c r="O91" s="1">
        <v>74400.7</v>
      </c>
      <c r="P91" s="1">
        <v>50769</v>
      </c>
      <c r="Q91" s="1">
        <v>79061</v>
      </c>
      <c r="R91" s="1">
        <v>0</v>
      </c>
    </row>
    <row r="92" spans="1:18">
      <c r="A92" s="3">
        <v>45875.750000231485</v>
      </c>
      <c r="B92" s="1">
        <v>42790</v>
      </c>
      <c r="C92" s="1">
        <v>979689</v>
      </c>
      <c r="D92" s="1">
        <v>30864.1</v>
      </c>
      <c r="E92" s="1">
        <v>0</v>
      </c>
      <c r="F92" s="1">
        <v>391578</v>
      </c>
      <c r="G92" s="1">
        <v>24988.5</v>
      </c>
      <c r="H92" s="1">
        <v>360553</v>
      </c>
      <c r="I92" s="1">
        <v>464143</v>
      </c>
      <c r="J92" s="1">
        <v>44327.3</v>
      </c>
      <c r="K92" s="1">
        <v>87139</v>
      </c>
      <c r="L92" s="1">
        <v>80780.2</v>
      </c>
      <c r="M92" s="1">
        <v>44391.6</v>
      </c>
      <c r="N92" s="1">
        <v>57651.1</v>
      </c>
      <c r="O92" s="1">
        <v>74427.899999999994</v>
      </c>
      <c r="P92" s="1">
        <v>50771</v>
      </c>
      <c r="Q92" s="1">
        <v>79064</v>
      </c>
      <c r="R92" s="1">
        <v>0</v>
      </c>
    </row>
    <row r="93" spans="1:18">
      <c r="A93" s="3">
        <v>45875.791666956022</v>
      </c>
      <c r="B93" s="1">
        <v>43922</v>
      </c>
      <c r="C93" s="1">
        <v>979990</v>
      </c>
      <c r="D93" s="1">
        <v>30888.6</v>
      </c>
      <c r="E93" s="1">
        <v>0</v>
      </c>
      <c r="F93" s="1">
        <v>391620</v>
      </c>
      <c r="G93" s="1">
        <v>25078.5</v>
      </c>
      <c r="H93" s="1">
        <v>360578</v>
      </c>
      <c r="I93" s="1">
        <v>464534</v>
      </c>
      <c r="J93" s="1">
        <v>44339.8</v>
      </c>
      <c r="K93" s="1">
        <v>87142.5</v>
      </c>
      <c r="L93" s="1">
        <v>80815.600000000006</v>
      </c>
      <c r="M93" s="1">
        <v>44442.5</v>
      </c>
      <c r="N93" s="1">
        <v>57709.1</v>
      </c>
      <c r="O93" s="1">
        <v>74452.3</v>
      </c>
      <c r="P93" s="1">
        <v>50771</v>
      </c>
      <c r="Q93" s="1">
        <v>79064</v>
      </c>
      <c r="R93" s="1">
        <v>0</v>
      </c>
    </row>
    <row r="94" spans="1:18">
      <c r="A94" s="3">
        <v>45875.833333680559</v>
      </c>
      <c r="B94" s="1">
        <v>44914</v>
      </c>
      <c r="C94" s="1">
        <v>980252</v>
      </c>
      <c r="D94" s="1">
        <v>30910.3</v>
      </c>
      <c r="E94" s="1">
        <v>0</v>
      </c>
      <c r="F94" s="1">
        <v>391654</v>
      </c>
      <c r="G94" s="1">
        <v>25160.9</v>
      </c>
      <c r="H94" s="1">
        <v>360595</v>
      </c>
      <c r="I94" s="1">
        <v>464872</v>
      </c>
      <c r="J94" s="1">
        <v>44352.1</v>
      </c>
      <c r="K94" s="1">
        <v>87146</v>
      </c>
      <c r="L94" s="1">
        <v>80845.5</v>
      </c>
      <c r="M94" s="1">
        <v>44490.2</v>
      </c>
      <c r="N94" s="1">
        <v>57765.7</v>
      </c>
      <c r="O94" s="1">
        <v>74476.2</v>
      </c>
      <c r="P94" s="1">
        <v>50771</v>
      </c>
      <c r="Q94" s="1">
        <v>79064</v>
      </c>
      <c r="R94" s="1">
        <v>0</v>
      </c>
    </row>
    <row r="95" spans="1:18">
      <c r="A95" s="3">
        <v>45875.875000405096</v>
      </c>
      <c r="B95" s="1">
        <v>45828</v>
      </c>
      <c r="C95" s="1">
        <v>980484</v>
      </c>
      <c r="D95" s="1">
        <v>30929.200000000001</v>
      </c>
      <c r="E95" s="1">
        <v>0</v>
      </c>
      <c r="F95" s="1">
        <v>391684</v>
      </c>
      <c r="G95" s="1">
        <v>25236.2</v>
      </c>
      <c r="H95" s="1">
        <v>360611</v>
      </c>
      <c r="I95" s="1">
        <v>465185</v>
      </c>
      <c r="J95" s="1">
        <v>44364.7</v>
      </c>
      <c r="K95" s="1">
        <v>87149.6</v>
      </c>
      <c r="L95" s="1">
        <v>80870.3</v>
      </c>
      <c r="M95" s="1">
        <v>44537.2</v>
      </c>
      <c r="N95" s="1">
        <v>57822.1</v>
      </c>
      <c r="O95" s="1">
        <v>74501</v>
      </c>
      <c r="P95" s="1">
        <v>50771</v>
      </c>
      <c r="Q95" s="1">
        <v>79064</v>
      </c>
      <c r="R95" s="1">
        <v>0</v>
      </c>
    </row>
    <row r="96" spans="1:18">
      <c r="A96" s="3">
        <v>45875.916667129626</v>
      </c>
      <c r="B96" s="1">
        <v>46688</v>
      </c>
      <c r="C96" s="1">
        <v>980703</v>
      </c>
      <c r="D96" s="1">
        <v>30947.8</v>
      </c>
      <c r="E96" s="1">
        <v>0</v>
      </c>
      <c r="F96" s="1">
        <v>391712</v>
      </c>
      <c r="G96" s="1">
        <v>25308.3</v>
      </c>
      <c r="H96" s="1">
        <v>360623</v>
      </c>
      <c r="I96" s="1">
        <v>465473</v>
      </c>
      <c r="J96" s="1">
        <v>44376.6</v>
      </c>
      <c r="K96" s="1">
        <v>87152.9</v>
      </c>
      <c r="L96" s="1">
        <v>80893.3</v>
      </c>
      <c r="M96" s="1">
        <v>44584.6</v>
      </c>
      <c r="N96" s="1">
        <v>57879</v>
      </c>
      <c r="O96" s="1">
        <v>74524.399999999994</v>
      </c>
      <c r="P96" s="1">
        <v>50771</v>
      </c>
      <c r="Q96" s="1">
        <v>79064</v>
      </c>
      <c r="R96" s="1">
        <v>0</v>
      </c>
    </row>
    <row r="97" spans="1:18">
      <c r="A97" s="3">
        <v>45875.958333854163</v>
      </c>
      <c r="B97" s="1">
        <v>47545</v>
      </c>
      <c r="C97" s="1">
        <v>980913</v>
      </c>
      <c r="D97" s="1">
        <v>30964.3</v>
      </c>
      <c r="E97" s="1">
        <v>0</v>
      </c>
      <c r="F97" s="1">
        <v>391741</v>
      </c>
      <c r="G97" s="1">
        <v>25379.4</v>
      </c>
      <c r="H97" s="1">
        <v>360635</v>
      </c>
      <c r="I97" s="1">
        <v>465760</v>
      </c>
      <c r="J97" s="1">
        <v>44388.6</v>
      </c>
      <c r="K97" s="1">
        <v>87156.2</v>
      </c>
      <c r="L97" s="1">
        <v>80922.8</v>
      </c>
      <c r="M97" s="1">
        <v>44634.7</v>
      </c>
      <c r="N97" s="1">
        <v>57936.800000000003</v>
      </c>
      <c r="O97" s="1">
        <v>74545</v>
      </c>
      <c r="P97" s="1">
        <v>50771</v>
      </c>
      <c r="Q97" s="1">
        <v>79064</v>
      </c>
      <c r="R97" s="1">
        <v>0</v>
      </c>
    </row>
    <row r="98" spans="1:18">
      <c r="A98" s="3">
        <v>45876.000000578701</v>
      </c>
      <c r="B98" s="1">
        <v>48384</v>
      </c>
      <c r="C98" s="1">
        <v>981123</v>
      </c>
      <c r="D98" s="1">
        <v>30977.8</v>
      </c>
      <c r="E98" s="1">
        <v>0</v>
      </c>
      <c r="F98" s="1">
        <v>391775</v>
      </c>
      <c r="G98" s="1">
        <v>25448.799999999999</v>
      </c>
      <c r="H98" s="1">
        <v>360646</v>
      </c>
      <c r="I98" s="1">
        <v>466035</v>
      </c>
      <c r="J98" s="1">
        <v>44400.9</v>
      </c>
      <c r="K98" s="1">
        <v>87159.8</v>
      </c>
      <c r="L98" s="1">
        <v>80952.600000000006</v>
      </c>
      <c r="M98" s="1">
        <v>44681.4</v>
      </c>
      <c r="N98" s="1">
        <v>57992.5</v>
      </c>
      <c r="O98" s="1">
        <v>74564.3</v>
      </c>
      <c r="P98" s="1">
        <v>50771</v>
      </c>
      <c r="Q98" s="1">
        <v>79064</v>
      </c>
      <c r="R98" s="1">
        <v>0</v>
      </c>
    </row>
    <row r="99" spans="1:18">
      <c r="A99" s="3">
        <v>45876.041667303238</v>
      </c>
      <c r="B99" s="1">
        <v>49196</v>
      </c>
      <c r="C99" s="1">
        <v>981329</v>
      </c>
      <c r="D99" s="1">
        <v>30990.3</v>
      </c>
      <c r="E99" s="1">
        <v>0</v>
      </c>
      <c r="F99" s="1">
        <v>391805</v>
      </c>
      <c r="G99" s="1">
        <v>25516.400000000001</v>
      </c>
      <c r="H99" s="1">
        <v>360658</v>
      </c>
      <c r="I99" s="1">
        <v>466297</v>
      </c>
      <c r="J99" s="1">
        <v>44411.9</v>
      </c>
      <c r="K99" s="1">
        <v>87163.199999999997</v>
      </c>
      <c r="L99" s="1">
        <v>80981.899999999994</v>
      </c>
      <c r="M99" s="1">
        <v>44728.6</v>
      </c>
      <c r="N99" s="1">
        <v>58049.2</v>
      </c>
      <c r="O99" s="1">
        <v>74583.199999999997</v>
      </c>
      <c r="P99" s="1">
        <v>50771</v>
      </c>
      <c r="Q99" s="1">
        <v>79064</v>
      </c>
      <c r="R99" s="1">
        <v>0</v>
      </c>
    </row>
    <row r="100" spans="1:18">
      <c r="A100" s="3">
        <v>45876.083334027775</v>
      </c>
      <c r="B100" s="1">
        <v>49993</v>
      </c>
      <c r="C100" s="1">
        <v>981531</v>
      </c>
      <c r="D100" s="1">
        <v>31003.599999999999</v>
      </c>
      <c r="E100" s="1">
        <v>0</v>
      </c>
      <c r="F100" s="1">
        <v>391834</v>
      </c>
      <c r="G100" s="1">
        <v>25583.5</v>
      </c>
      <c r="H100" s="1">
        <v>360669</v>
      </c>
      <c r="I100" s="1">
        <v>466553</v>
      </c>
      <c r="J100" s="1">
        <v>44422.6</v>
      </c>
      <c r="K100" s="1">
        <v>87166.399999999994</v>
      </c>
      <c r="L100" s="1">
        <v>81010</v>
      </c>
      <c r="M100" s="1">
        <v>44774.6</v>
      </c>
      <c r="N100" s="1">
        <v>58104.9</v>
      </c>
      <c r="O100" s="1">
        <v>74603</v>
      </c>
      <c r="P100" s="1">
        <v>50771</v>
      </c>
      <c r="Q100" s="1">
        <v>79064</v>
      </c>
      <c r="R100" s="1">
        <v>0</v>
      </c>
    </row>
    <row r="101" spans="1:18">
      <c r="A101" s="3">
        <v>45876.125000752312</v>
      </c>
      <c r="B101" s="1">
        <v>50768</v>
      </c>
      <c r="C101" s="1">
        <v>981731</v>
      </c>
      <c r="D101" s="1">
        <v>31016.3</v>
      </c>
      <c r="E101" s="1">
        <v>0</v>
      </c>
      <c r="F101" s="1">
        <v>391862</v>
      </c>
      <c r="G101" s="1">
        <v>25648.799999999999</v>
      </c>
      <c r="H101" s="1">
        <v>360680</v>
      </c>
      <c r="I101" s="1">
        <v>466792</v>
      </c>
      <c r="J101" s="1">
        <v>44432.9</v>
      </c>
      <c r="K101" s="1">
        <v>87169.7</v>
      </c>
      <c r="L101" s="1">
        <v>81035.100000000006</v>
      </c>
      <c r="M101" s="1">
        <v>44822.9</v>
      </c>
      <c r="N101" s="1">
        <v>58162.400000000001</v>
      </c>
      <c r="O101" s="1">
        <v>74623.199999999997</v>
      </c>
      <c r="P101" s="1">
        <v>50771</v>
      </c>
      <c r="Q101" s="1">
        <v>79064</v>
      </c>
      <c r="R101" s="1">
        <v>0</v>
      </c>
    </row>
    <row r="102" spans="1:18">
      <c r="A102" s="3">
        <v>45876.166667476849</v>
      </c>
      <c r="B102" s="1">
        <v>51540</v>
      </c>
      <c r="C102" s="1">
        <v>981928</v>
      </c>
      <c r="D102" s="1">
        <v>31029.7</v>
      </c>
      <c r="E102" s="1">
        <v>0</v>
      </c>
      <c r="F102" s="1">
        <v>391891</v>
      </c>
      <c r="G102" s="1">
        <v>25714.7</v>
      </c>
      <c r="H102" s="1">
        <v>360693</v>
      </c>
      <c r="I102" s="1">
        <v>467036</v>
      </c>
      <c r="J102" s="1">
        <v>44443.5</v>
      </c>
      <c r="K102" s="1">
        <v>87172.9</v>
      </c>
      <c r="L102" s="1">
        <v>81057.3</v>
      </c>
      <c r="M102" s="1">
        <v>44870.400000000001</v>
      </c>
      <c r="N102" s="1">
        <v>58218.3</v>
      </c>
      <c r="O102" s="1">
        <v>74641.899999999994</v>
      </c>
      <c r="P102" s="1">
        <v>50771</v>
      </c>
      <c r="Q102" s="1">
        <v>79064</v>
      </c>
      <c r="R102" s="1">
        <v>0</v>
      </c>
    </row>
    <row r="103" spans="1:18">
      <c r="A103" s="3">
        <v>45876.208334201387</v>
      </c>
      <c r="B103" s="1">
        <v>52294</v>
      </c>
      <c r="C103" s="1">
        <v>982122</v>
      </c>
      <c r="D103" s="1">
        <v>31042.5</v>
      </c>
      <c r="E103" s="1">
        <v>0</v>
      </c>
      <c r="F103" s="1">
        <v>391918</v>
      </c>
      <c r="G103" s="1">
        <v>25780.3</v>
      </c>
      <c r="H103" s="1">
        <v>360704</v>
      </c>
      <c r="I103" s="1">
        <v>467265</v>
      </c>
      <c r="J103" s="1">
        <v>44453.599999999999</v>
      </c>
      <c r="K103" s="1">
        <v>87176.2</v>
      </c>
      <c r="L103" s="1">
        <v>81078.899999999994</v>
      </c>
      <c r="M103" s="1">
        <v>44916.800000000003</v>
      </c>
      <c r="N103" s="1">
        <v>58276.1</v>
      </c>
      <c r="O103" s="1">
        <v>74662.100000000006</v>
      </c>
      <c r="P103" s="1">
        <v>50771</v>
      </c>
      <c r="Q103" s="1">
        <v>79064</v>
      </c>
      <c r="R103" s="1">
        <v>0</v>
      </c>
    </row>
    <row r="104" spans="1:18">
      <c r="A104" s="3">
        <v>45876.250000925924</v>
      </c>
      <c r="B104" s="1">
        <v>53026</v>
      </c>
      <c r="C104" s="1">
        <v>982305</v>
      </c>
      <c r="D104" s="1">
        <v>31054.7</v>
      </c>
      <c r="E104" s="1">
        <v>0</v>
      </c>
      <c r="F104" s="1">
        <v>391945</v>
      </c>
      <c r="G104" s="1">
        <v>25842.799999999999</v>
      </c>
      <c r="H104" s="1">
        <v>360716</v>
      </c>
      <c r="I104" s="1">
        <v>467492</v>
      </c>
      <c r="J104" s="1">
        <v>44463.6</v>
      </c>
      <c r="K104" s="1">
        <v>87179.3</v>
      </c>
      <c r="L104" s="1">
        <v>81100.100000000006</v>
      </c>
      <c r="M104" s="1">
        <v>44961.3</v>
      </c>
      <c r="N104" s="1">
        <v>58331.8</v>
      </c>
      <c r="O104" s="1">
        <v>74682.8</v>
      </c>
      <c r="P104" s="1">
        <v>50771</v>
      </c>
      <c r="Q104" s="1">
        <v>79064</v>
      </c>
      <c r="R104" s="1">
        <v>0</v>
      </c>
    </row>
    <row r="105" spans="1:18">
      <c r="A105" s="3">
        <v>45876.291667650461</v>
      </c>
      <c r="B105" s="1">
        <v>53752</v>
      </c>
      <c r="C105" s="1">
        <v>982488</v>
      </c>
      <c r="D105" s="1">
        <v>31067.1</v>
      </c>
      <c r="E105" s="1">
        <v>0</v>
      </c>
      <c r="F105" s="1">
        <v>391971</v>
      </c>
      <c r="G105" s="1">
        <v>25905</v>
      </c>
      <c r="H105" s="1">
        <v>360727</v>
      </c>
      <c r="I105" s="1">
        <v>467714</v>
      </c>
      <c r="J105" s="1">
        <v>44473.599999999999</v>
      </c>
      <c r="K105" s="1">
        <v>87182.399999999994</v>
      </c>
      <c r="L105" s="1">
        <v>81120.800000000003</v>
      </c>
      <c r="M105" s="1">
        <v>45005.8</v>
      </c>
      <c r="N105" s="1">
        <v>58387.3</v>
      </c>
      <c r="O105" s="1">
        <v>74703.7</v>
      </c>
      <c r="P105" s="1">
        <v>50772</v>
      </c>
      <c r="Q105" s="1">
        <v>79065</v>
      </c>
      <c r="R105" s="1">
        <v>0</v>
      </c>
    </row>
    <row r="106" spans="1:18">
      <c r="A106" s="3">
        <v>45876.333334374998</v>
      </c>
      <c r="B106" s="1">
        <v>54513</v>
      </c>
      <c r="C106" s="1">
        <v>982684</v>
      </c>
      <c r="D106" s="1">
        <v>31080.400000000001</v>
      </c>
      <c r="E106" s="1">
        <v>0</v>
      </c>
      <c r="F106" s="1">
        <v>391999</v>
      </c>
      <c r="G106" s="1">
        <v>25964.5</v>
      </c>
      <c r="H106" s="1">
        <v>360739</v>
      </c>
      <c r="I106" s="1">
        <v>467954</v>
      </c>
      <c r="J106" s="1">
        <v>44483</v>
      </c>
      <c r="K106" s="1">
        <v>87185.5</v>
      </c>
      <c r="L106" s="1">
        <v>81142.399999999994</v>
      </c>
      <c r="M106" s="1">
        <v>45049.3</v>
      </c>
      <c r="N106" s="1">
        <v>58443.199999999997</v>
      </c>
      <c r="O106" s="1">
        <v>74726.2</v>
      </c>
      <c r="P106" s="1">
        <v>50772</v>
      </c>
      <c r="Q106" s="1">
        <v>79065</v>
      </c>
      <c r="R106" s="1">
        <v>0</v>
      </c>
    </row>
    <row r="107" spans="1:18">
      <c r="A107" s="3">
        <v>45876.375001099535</v>
      </c>
      <c r="B107" s="1">
        <v>55425</v>
      </c>
      <c r="C107" s="1">
        <v>982929</v>
      </c>
      <c r="D107" s="1">
        <v>31097.599999999999</v>
      </c>
      <c r="E107" s="1">
        <v>0</v>
      </c>
      <c r="F107" s="1">
        <v>392031</v>
      </c>
      <c r="G107" s="1">
        <v>26025.8</v>
      </c>
      <c r="H107" s="1">
        <v>360751</v>
      </c>
      <c r="I107" s="1">
        <v>468242</v>
      </c>
      <c r="J107" s="1">
        <v>44492.800000000003</v>
      </c>
      <c r="K107" s="1">
        <v>87191.6</v>
      </c>
      <c r="L107" s="1">
        <v>81175.399999999994</v>
      </c>
      <c r="M107" s="1">
        <v>45094.6</v>
      </c>
      <c r="N107" s="1">
        <v>58501</v>
      </c>
      <c r="O107" s="1">
        <v>74764.7</v>
      </c>
      <c r="P107" s="1">
        <v>50773</v>
      </c>
      <c r="Q107" s="1">
        <v>79066</v>
      </c>
      <c r="R107" s="1">
        <v>0</v>
      </c>
    </row>
    <row r="108" spans="1:18">
      <c r="A108" s="3">
        <v>45876.416667824073</v>
      </c>
      <c r="B108" s="1">
        <v>56593</v>
      </c>
      <c r="C108" s="1">
        <v>983245</v>
      </c>
      <c r="D108" s="1">
        <v>31129.5</v>
      </c>
      <c r="E108" s="1">
        <v>0</v>
      </c>
      <c r="F108" s="1">
        <v>392065</v>
      </c>
      <c r="G108" s="1">
        <v>26101.599999999999</v>
      </c>
      <c r="H108" s="1">
        <v>360763</v>
      </c>
      <c r="I108" s="1">
        <v>468611</v>
      </c>
      <c r="J108" s="1">
        <v>44502.7</v>
      </c>
      <c r="K108" s="1">
        <v>87193.3</v>
      </c>
      <c r="L108" s="1">
        <v>81219.899999999994</v>
      </c>
      <c r="M108" s="1">
        <v>45153.3</v>
      </c>
      <c r="N108" s="1">
        <v>58557.4</v>
      </c>
      <c r="O108" s="1">
        <v>74823.100000000006</v>
      </c>
      <c r="P108" s="1">
        <v>50778</v>
      </c>
      <c r="Q108" s="1">
        <v>79075</v>
      </c>
      <c r="R108" s="1">
        <v>0</v>
      </c>
    </row>
    <row r="109" spans="1:18">
      <c r="A109" s="3">
        <v>45876.45833454861</v>
      </c>
      <c r="B109" s="1">
        <v>57971</v>
      </c>
      <c r="C109" s="1">
        <v>983617</v>
      </c>
      <c r="D109" s="1">
        <v>31176.5</v>
      </c>
      <c r="E109" s="1">
        <v>0</v>
      </c>
      <c r="F109" s="1">
        <v>392109</v>
      </c>
      <c r="G109" s="1">
        <v>26200.3</v>
      </c>
      <c r="H109" s="1">
        <v>360780</v>
      </c>
      <c r="I109" s="1">
        <v>469058</v>
      </c>
      <c r="J109" s="1">
        <v>44513.4</v>
      </c>
      <c r="K109" s="1">
        <v>87199.8</v>
      </c>
      <c r="L109" s="1">
        <v>81270</v>
      </c>
      <c r="M109" s="1">
        <v>45213.8</v>
      </c>
      <c r="N109" s="1">
        <v>58613.4</v>
      </c>
      <c r="O109" s="1">
        <v>74886.7</v>
      </c>
      <c r="P109" s="1">
        <v>50785</v>
      </c>
      <c r="Q109" s="1">
        <v>79086</v>
      </c>
      <c r="R109" s="1">
        <v>0</v>
      </c>
    </row>
    <row r="110" spans="1:18">
      <c r="A110" s="3">
        <v>45876.500001273147</v>
      </c>
      <c r="B110" s="1">
        <v>59352</v>
      </c>
      <c r="C110" s="1">
        <v>983983</v>
      </c>
      <c r="D110" s="1">
        <v>31215</v>
      </c>
      <c r="E110" s="1">
        <v>0</v>
      </c>
      <c r="F110" s="1">
        <v>392153</v>
      </c>
      <c r="G110" s="1">
        <v>26298.5</v>
      </c>
      <c r="H110" s="1">
        <v>360836</v>
      </c>
      <c r="I110" s="1">
        <v>469483</v>
      </c>
      <c r="J110" s="1">
        <v>44524.1</v>
      </c>
      <c r="K110" s="1">
        <v>87207</v>
      </c>
      <c r="L110" s="1">
        <v>81316.3</v>
      </c>
      <c r="M110" s="1">
        <v>45271.5</v>
      </c>
      <c r="N110" s="1">
        <v>58671.5</v>
      </c>
      <c r="O110" s="1">
        <v>74959.3</v>
      </c>
      <c r="P110" s="1">
        <v>50790</v>
      </c>
      <c r="Q110" s="1">
        <v>79093</v>
      </c>
      <c r="R110" s="1">
        <v>0</v>
      </c>
    </row>
    <row r="111" spans="1:18">
      <c r="A111" s="3">
        <v>45876.541667997684</v>
      </c>
      <c r="B111" s="1">
        <v>60774</v>
      </c>
      <c r="C111" s="1">
        <v>984344</v>
      </c>
      <c r="D111" s="1">
        <v>31252.6</v>
      </c>
      <c r="E111" s="1">
        <v>0</v>
      </c>
      <c r="F111" s="1">
        <v>392196</v>
      </c>
      <c r="G111" s="1">
        <v>26400.400000000001</v>
      </c>
      <c r="H111" s="1">
        <v>360897</v>
      </c>
      <c r="I111" s="1">
        <v>469950</v>
      </c>
      <c r="J111" s="1">
        <v>44535.4</v>
      </c>
      <c r="K111" s="1">
        <v>87212.6</v>
      </c>
      <c r="L111" s="1">
        <v>81362.100000000006</v>
      </c>
      <c r="M111" s="1">
        <v>45332.9</v>
      </c>
      <c r="N111" s="1">
        <v>58724.6</v>
      </c>
      <c r="O111" s="1">
        <v>75030.8</v>
      </c>
      <c r="P111" s="1">
        <v>50795</v>
      </c>
      <c r="Q111" s="1">
        <v>79101</v>
      </c>
      <c r="R111" s="1">
        <v>0</v>
      </c>
    </row>
    <row r="112" spans="1:18">
      <c r="A112" s="3">
        <v>45876.583334722221</v>
      </c>
      <c r="B112" s="1">
        <v>62224</v>
      </c>
      <c r="C112" s="1">
        <v>984704</v>
      </c>
      <c r="D112" s="1">
        <v>31290.9</v>
      </c>
      <c r="E112" s="1">
        <v>0</v>
      </c>
      <c r="F112" s="1">
        <v>392242</v>
      </c>
      <c r="G112" s="1">
        <v>26511.8</v>
      </c>
      <c r="H112" s="1">
        <v>360953</v>
      </c>
      <c r="I112" s="1">
        <v>470429</v>
      </c>
      <c r="J112" s="1">
        <v>44552.1</v>
      </c>
      <c r="K112" s="1">
        <v>87216.7</v>
      </c>
      <c r="L112" s="1">
        <v>81407.100000000006</v>
      </c>
      <c r="M112" s="1">
        <v>45397.599999999999</v>
      </c>
      <c r="N112" s="1">
        <v>58775.8</v>
      </c>
      <c r="O112" s="1">
        <v>75102.8</v>
      </c>
      <c r="P112" s="1">
        <v>50801</v>
      </c>
      <c r="Q112" s="1">
        <v>79111</v>
      </c>
      <c r="R112" s="1">
        <v>0</v>
      </c>
    </row>
    <row r="113" spans="1:18">
      <c r="A113" s="3">
        <v>45876.625001446759</v>
      </c>
      <c r="B113" s="1">
        <v>63738</v>
      </c>
      <c r="C113" s="1">
        <v>985074</v>
      </c>
      <c r="D113" s="1">
        <v>31334.3</v>
      </c>
      <c r="E113" s="1">
        <v>0</v>
      </c>
      <c r="F113" s="1">
        <v>392291</v>
      </c>
      <c r="G113" s="1">
        <v>26623.599999999999</v>
      </c>
      <c r="H113" s="1">
        <v>361036</v>
      </c>
      <c r="I113" s="1">
        <v>470916</v>
      </c>
      <c r="J113" s="1">
        <v>44571.9</v>
      </c>
      <c r="K113" s="1">
        <v>87219.3</v>
      </c>
      <c r="L113" s="1">
        <v>81457.600000000006</v>
      </c>
      <c r="M113" s="1">
        <v>45470.9</v>
      </c>
      <c r="N113" s="1">
        <v>58827.7</v>
      </c>
      <c r="O113" s="1">
        <v>75161.7</v>
      </c>
      <c r="P113" s="1">
        <v>50810</v>
      </c>
      <c r="Q113" s="1">
        <v>79124</v>
      </c>
      <c r="R113" s="1">
        <v>0</v>
      </c>
    </row>
    <row r="114" spans="1:18">
      <c r="A114" s="3">
        <v>45876.666668171296</v>
      </c>
      <c r="B114" s="1">
        <v>65217</v>
      </c>
      <c r="C114" s="1">
        <v>985453</v>
      </c>
      <c r="D114" s="1">
        <v>31377.5</v>
      </c>
      <c r="E114" s="1">
        <v>0</v>
      </c>
      <c r="F114" s="1">
        <v>392335</v>
      </c>
      <c r="G114" s="1">
        <v>26739.1</v>
      </c>
      <c r="H114" s="1">
        <v>361101</v>
      </c>
      <c r="I114" s="1">
        <v>471401</v>
      </c>
      <c r="J114" s="1">
        <v>44588.5</v>
      </c>
      <c r="K114" s="1">
        <v>87222.3</v>
      </c>
      <c r="L114" s="1">
        <v>81509.100000000006</v>
      </c>
      <c r="M114" s="1">
        <v>45548.4</v>
      </c>
      <c r="N114" s="1">
        <v>58878.5</v>
      </c>
      <c r="O114" s="1">
        <v>75196.3</v>
      </c>
      <c r="P114" s="1">
        <v>50816</v>
      </c>
      <c r="Q114" s="1">
        <v>79135</v>
      </c>
      <c r="R114" s="1">
        <v>0</v>
      </c>
    </row>
    <row r="115" spans="1:18">
      <c r="A115" s="3">
        <v>45876.708334895833</v>
      </c>
      <c r="B115" s="1">
        <v>66574</v>
      </c>
      <c r="C115" s="1">
        <v>985803</v>
      </c>
      <c r="D115" s="1">
        <v>31414.799999999999</v>
      </c>
      <c r="E115" s="1">
        <v>0</v>
      </c>
      <c r="F115" s="1">
        <v>392373</v>
      </c>
      <c r="G115" s="1">
        <v>26848.6</v>
      </c>
      <c r="H115" s="1">
        <v>361131</v>
      </c>
      <c r="I115" s="1">
        <v>471870</v>
      </c>
      <c r="J115" s="1">
        <v>44602.400000000001</v>
      </c>
      <c r="K115" s="1">
        <v>87228.7</v>
      </c>
      <c r="L115" s="1">
        <v>81557.5</v>
      </c>
      <c r="M115" s="1">
        <v>45613.3</v>
      </c>
      <c r="N115" s="1">
        <v>58935.8</v>
      </c>
      <c r="O115" s="1">
        <v>75229.2</v>
      </c>
      <c r="P115" s="1">
        <v>50819</v>
      </c>
      <c r="Q115" s="1">
        <v>79139</v>
      </c>
      <c r="R115" s="1">
        <v>0</v>
      </c>
    </row>
    <row r="116" spans="1:18">
      <c r="A116" s="3">
        <v>45876.75000162037</v>
      </c>
      <c r="B116" s="1">
        <v>67782</v>
      </c>
      <c r="C116" s="1">
        <v>986123</v>
      </c>
      <c r="D116" s="1">
        <v>31445.200000000001</v>
      </c>
      <c r="E116" s="1">
        <v>0</v>
      </c>
      <c r="F116" s="1">
        <v>392403</v>
      </c>
      <c r="G116" s="1">
        <v>26942.5</v>
      </c>
      <c r="H116" s="1">
        <v>361169</v>
      </c>
      <c r="I116" s="1">
        <v>472279</v>
      </c>
      <c r="J116" s="1">
        <v>44612.7</v>
      </c>
      <c r="K116" s="1">
        <v>87231.8</v>
      </c>
      <c r="L116" s="1">
        <v>81606.399999999994</v>
      </c>
      <c r="M116" s="1">
        <v>45663.8</v>
      </c>
      <c r="N116" s="1">
        <v>58994.8</v>
      </c>
      <c r="O116" s="1">
        <v>75258.2</v>
      </c>
      <c r="P116" s="1">
        <v>50820</v>
      </c>
      <c r="Q116" s="1">
        <v>79140</v>
      </c>
      <c r="R116" s="1">
        <v>0</v>
      </c>
    </row>
    <row r="117" spans="1:18">
      <c r="A117" s="3">
        <v>45876.791668344908</v>
      </c>
      <c r="B117" s="1">
        <v>68819</v>
      </c>
      <c r="C117" s="1">
        <v>986398</v>
      </c>
      <c r="D117" s="1">
        <v>31470.5</v>
      </c>
      <c r="E117" s="1">
        <v>0</v>
      </c>
      <c r="F117" s="1">
        <v>392427</v>
      </c>
      <c r="G117" s="1">
        <v>27023.8</v>
      </c>
      <c r="H117" s="1">
        <v>361186</v>
      </c>
      <c r="I117" s="1">
        <v>472638</v>
      </c>
      <c r="J117" s="1">
        <v>44623.1</v>
      </c>
      <c r="K117" s="1">
        <v>87234.3</v>
      </c>
      <c r="L117" s="1">
        <v>81644.5</v>
      </c>
      <c r="M117" s="1">
        <v>45709</v>
      </c>
      <c r="N117" s="1">
        <v>59052.5</v>
      </c>
      <c r="O117" s="1">
        <v>75282.2</v>
      </c>
      <c r="P117" s="1">
        <v>50820</v>
      </c>
      <c r="Q117" s="1">
        <v>79141</v>
      </c>
      <c r="R117" s="1">
        <v>0</v>
      </c>
    </row>
    <row r="118" spans="1:18">
      <c r="A118" s="3">
        <v>45876.833335069445</v>
      </c>
      <c r="B118" s="1">
        <v>69774</v>
      </c>
      <c r="C118" s="1">
        <v>986649</v>
      </c>
      <c r="D118" s="1">
        <v>31494.3</v>
      </c>
      <c r="E118" s="1">
        <v>0</v>
      </c>
      <c r="F118" s="1">
        <v>392450</v>
      </c>
      <c r="G118" s="1">
        <v>27096.9</v>
      </c>
      <c r="H118" s="1">
        <v>361198</v>
      </c>
      <c r="I118" s="1">
        <v>472966</v>
      </c>
      <c r="J118" s="1">
        <v>44633.3</v>
      </c>
      <c r="K118" s="1">
        <v>87237.7</v>
      </c>
      <c r="L118" s="1">
        <v>81675.7</v>
      </c>
      <c r="M118" s="1">
        <v>45752.6</v>
      </c>
      <c r="N118" s="1">
        <v>59111.1</v>
      </c>
      <c r="O118" s="1">
        <v>75305.5</v>
      </c>
      <c r="P118" s="1">
        <v>50820</v>
      </c>
      <c r="Q118" s="1">
        <v>79141</v>
      </c>
      <c r="R118" s="1">
        <v>0</v>
      </c>
    </row>
    <row r="119" spans="1:18">
      <c r="A119" s="3">
        <v>45876.875001793982</v>
      </c>
      <c r="B119" s="1">
        <v>70655</v>
      </c>
      <c r="C119" s="1">
        <v>986871</v>
      </c>
      <c r="D119" s="1">
        <v>31516.3</v>
      </c>
      <c r="E119" s="1">
        <v>0</v>
      </c>
      <c r="F119" s="1">
        <v>392473</v>
      </c>
      <c r="G119" s="1">
        <v>27170.2</v>
      </c>
      <c r="H119" s="1">
        <v>361213</v>
      </c>
      <c r="I119" s="1">
        <v>473264</v>
      </c>
      <c r="J119" s="1">
        <v>44643</v>
      </c>
      <c r="K119" s="1">
        <v>87240.9</v>
      </c>
      <c r="L119" s="1">
        <v>81704.800000000003</v>
      </c>
      <c r="M119" s="1">
        <v>45797.599999999999</v>
      </c>
      <c r="N119" s="1">
        <v>59165.599999999999</v>
      </c>
      <c r="O119" s="1">
        <v>75328.3</v>
      </c>
      <c r="P119" s="1">
        <v>50820</v>
      </c>
      <c r="Q119" s="1">
        <v>79141</v>
      </c>
      <c r="R119" s="1">
        <v>0</v>
      </c>
    </row>
    <row r="120" spans="1:18">
      <c r="A120" s="3">
        <v>45876.916668518519</v>
      </c>
      <c r="B120" s="1">
        <v>71525</v>
      </c>
      <c r="C120" s="1">
        <v>987087</v>
      </c>
      <c r="D120" s="1">
        <v>31537.8</v>
      </c>
      <c r="E120" s="1">
        <v>0</v>
      </c>
      <c r="F120" s="1">
        <v>392504</v>
      </c>
      <c r="G120" s="1">
        <v>27242.7</v>
      </c>
      <c r="H120" s="1">
        <v>361229</v>
      </c>
      <c r="I120" s="1">
        <v>473550</v>
      </c>
      <c r="J120" s="1">
        <v>44653</v>
      </c>
      <c r="K120" s="1">
        <v>87244.3</v>
      </c>
      <c r="L120" s="1">
        <v>81730.899999999994</v>
      </c>
      <c r="M120" s="1">
        <v>45843</v>
      </c>
      <c r="N120" s="1">
        <v>59221.5</v>
      </c>
      <c r="O120" s="1">
        <v>75350.399999999994</v>
      </c>
      <c r="P120" s="1">
        <v>50820</v>
      </c>
      <c r="Q120" s="1">
        <v>79141</v>
      </c>
      <c r="R120" s="1">
        <v>0</v>
      </c>
    </row>
    <row r="121" spans="1:18">
      <c r="A121" s="3">
        <v>45876.958335243056</v>
      </c>
      <c r="B121" s="1">
        <v>72381</v>
      </c>
      <c r="C121" s="1">
        <v>987302</v>
      </c>
      <c r="D121" s="1">
        <v>31558.799999999999</v>
      </c>
      <c r="E121" s="1">
        <v>0</v>
      </c>
      <c r="F121" s="1">
        <v>392531</v>
      </c>
      <c r="G121" s="1">
        <v>27315.3</v>
      </c>
      <c r="H121" s="1">
        <v>361246</v>
      </c>
      <c r="I121" s="1">
        <v>473831</v>
      </c>
      <c r="J121" s="1">
        <v>44663</v>
      </c>
      <c r="K121" s="1">
        <v>87247.8</v>
      </c>
      <c r="L121" s="1">
        <v>81756</v>
      </c>
      <c r="M121" s="1">
        <v>45890.8</v>
      </c>
      <c r="N121" s="1">
        <v>59277</v>
      </c>
      <c r="O121" s="1">
        <v>75371</v>
      </c>
      <c r="P121" s="1">
        <v>50820</v>
      </c>
      <c r="Q121" s="1">
        <v>79141</v>
      </c>
      <c r="R121" s="1">
        <v>0</v>
      </c>
    </row>
    <row r="122" spans="1:18">
      <c r="A122" s="3">
        <v>45877.000001967594</v>
      </c>
      <c r="B122" s="1">
        <v>73216</v>
      </c>
      <c r="C122" s="1">
        <v>987505</v>
      </c>
      <c r="D122" s="1">
        <v>31583.1</v>
      </c>
      <c r="E122" s="1">
        <v>0</v>
      </c>
      <c r="F122" s="1">
        <v>392556</v>
      </c>
      <c r="G122" s="1">
        <v>27387.9</v>
      </c>
      <c r="H122" s="1">
        <v>361264</v>
      </c>
      <c r="I122" s="1">
        <v>474103</v>
      </c>
      <c r="J122" s="1">
        <v>44673</v>
      </c>
      <c r="K122" s="1">
        <v>87251</v>
      </c>
      <c r="L122" s="1">
        <v>81783</v>
      </c>
      <c r="M122" s="1">
        <v>45938.3</v>
      </c>
      <c r="N122" s="1">
        <v>59331.7</v>
      </c>
      <c r="O122" s="1">
        <v>75391.100000000006</v>
      </c>
      <c r="P122" s="1">
        <v>50820</v>
      </c>
      <c r="Q122" s="1">
        <v>79141</v>
      </c>
      <c r="R122" s="1">
        <v>0</v>
      </c>
    </row>
    <row r="123" spans="1:18">
      <c r="A123" s="3">
        <v>45877.041668692131</v>
      </c>
      <c r="B123" s="1">
        <v>74012</v>
      </c>
      <c r="C123" s="1">
        <v>987706</v>
      </c>
      <c r="D123" s="1">
        <v>31603</v>
      </c>
      <c r="E123" s="1">
        <v>0</v>
      </c>
      <c r="F123" s="1">
        <v>392577</v>
      </c>
      <c r="G123" s="1">
        <v>27459.5</v>
      </c>
      <c r="H123" s="1">
        <v>361278</v>
      </c>
      <c r="I123" s="1">
        <v>474359</v>
      </c>
      <c r="J123" s="1">
        <v>44682.8</v>
      </c>
      <c r="K123" s="1">
        <v>87254</v>
      </c>
      <c r="L123" s="1">
        <v>81810.2</v>
      </c>
      <c r="M123" s="1">
        <v>45983.8</v>
      </c>
      <c r="N123" s="1">
        <v>59386.2</v>
      </c>
      <c r="O123" s="1">
        <v>75410.100000000006</v>
      </c>
      <c r="P123" s="1">
        <v>50820</v>
      </c>
      <c r="Q123" s="1">
        <v>79141</v>
      </c>
      <c r="R123" s="1">
        <v>0</v>
      </c>
    </row>
    <row r="124" spans="1:18">
      <c r="A124" s="3">
        <v>45877.083335416668</v>
      </c>
      <c r="B124" s="1">
        <v>74791</v>
      </c>
      <c r="C124" s="1">
        <v>987909</v>
      </c>
      <c r="D124" s="1">
        <v>31621</v>
      </c>
      <c r="E124" s="1">
        <v>0</v>
      </c>
      <c r="F124" s="1">
        <v>392596</v>
      </c>
      <c r="G124" s="1">
        <v>27528.6</v>
      </c>
      <c r="H124" s="1">
        <v>361289</v>
      </c>
      <c r="I124" s="1">
        <v>474605</v>
      </c>
      <c r="J124" s="1">
        <v>44692.2</v>
      </c>
      <c r="K124" s="1">
        <v>87257.2</v>
      </c>
      <c r="L124" s="1">
        <v>81836.600000000006</v>
      </c>
      <c r="M124" s="1">
        <v>46028.3</v>
      </c>
      <c r="N124" s="1">
        <v>59440.3</v>
      </c>
      <c r="O124" s="1">
        <v>75431.3</v>
      </c>
      <c r="P124" s="1">
        <v>50820</v>
      </c>
      <c r="Q124" s="1">
        <v>79141</v>
      </c>
      <c r="R124" s="1">
        <v>0</v>
      </c>
    </row>
    <row r="125" spans="1:18">
      <c r="A125" s="3">
        <v>45877.125002141205</v>
      </c>
      <c r="B125" s="1">
        <v>75539</v>
      </c>
      <c r="C125" s="1">
        <v>988107</v>
      </c>
      <c r="D125" s="1">
        <v>31636.9</v>
      </c>
      <c r="E125" s="1">
        <v>0</v>
      </c>
      <c r="F125" s="1">
        <v>392614</v>
      </c>
      <c r="G125" s="1">
        <v>27593.1</v>
      </c>
      <c r="H125" s="1">
        <v>361300</v>
      </c>
      <c r="I125" s="1">
        <v>474836</v>
      </c>
      <c r="J125" s="1">
        <v>44701.8</v>
      </c>
      <c r="K125" s="1">
        <v>87260.2</v>
      </c>
      <c r="L125" s="1">
        <v>81865.100000000006</v>
      </c>
      <c r="M125" s="1">
        <v>46072.3</v>
      </c>
      <c r="N125" s="1">
        <v>59494.7</v>
      </c>
      <c r="O125" s="1">
        <v>75450.2</v>
      </c>
      <c r="P125" s="1">
        <v>50820</v>
      </c>
      <c r="Q125" s="1">
        <v>79141</v>
      </c>
      <c r="R125" s="1">
        <v>0</v>
      </c>
    </row>
    <row r="126" spans="1:18">
      <c r="A126" s="3">
        <v>45877.166668865742</v>
      </c>
      <c r="B126" s="1">
        <v>76265</v>
      </c>
      <c r="C126" s="1">
        <v>988296</v>
      </c>
      <c r="D126" s="1">
        <v>31652.1</v>
      </c>
      <c r="E126" s="1">
        <v>0</v>
      </c>
      <c r="F126" s="1">
        <v>392630</v>
      </c>
      <c r="G126" s="1">
        <v>27652.9</v>
      </c>
      <c r="H126" s="1">
        <v>361311</v>
      </c>
      <c r="I126" s="1">
        <v>475065</v>
      </c>
      <c r="J126" s="1">
        <v>44711.199999999997</v>
      </c>
      <c r="K126" s="1">
        <v>87263.3</v>
      </c>
      <c r="L126" s="1">
        <v>81890.399999999994</v>
      </c>
      <c r="M126" s="1">
        <v>46115.199999999997</v>
      </c>
      <c r="N126" s="1">
        <v>59550.1</v>
      </c>
      <c r="O126" s="1">
        <v>75469.100000000006</v>
      </c>
      <c r="P126" s="1">
        <v>50820</v>
      </c>
      <c r="Q126" s="1">
        <v>79141</v>
      </c>
      <c r="R126" s="1">
        <v>0</v>
      </c>
    </row>
    <row r="127" spans="1:18">
      <c r="A127" s="3">
        <v>45877.20833559028</v>
      </c>
      <c r="B127" s="1">
        <v>76993</v>
      </c>
      <c r="C127" s="1">
        <v>988483</v>
      </c>
      <c r="D127" s="1">
        <v>31668.6</v>
      </c>
      <c r="E127" s="1">
        <v>0</v>
      </c>
      <c r="F127" s="1">
        <v>392647</v>
      </c>
      <c r="G127" s="1">
        <v>27713.4</v>
      </c>
      <c r="H127" s="1">
        <v>361322</v>
      </c>
      <c r="I127" s="1">
        <v>475294</v>
      </c>
      <c r="J127" s="1">
        <v>44720.5</v>
      </c>
      <c r="K127" s="1">
        <v>87266.4</v>
      </c>
      <c r="L127" s="1">
        <v>81915.199999999997</v>
      </c>
      <c r="M127" s="1">
        <v>46158.5</v>
      </c>
      <c r="N127" s="1">
        <v>59605.2</v>
      </c>
      <c r="O127" s="1">
        <v>75488.800000000003</v>
      </c>
      <c r="P127" s="1">
        <v>50820</v>
      </c>
      <c r="Q127" s="1">
        <v>79141</v>
      </c>
      <c r="R127" s="1">
        <v>0</v>
      </c>
    </row>
    <row r="128" spans="1:18">
      <c r="A128" s="3">
        <v>45877.250002314817</v>
      </c>
      <c r="B128" s="1">
        <v>77703</v>
      </c>
      <c r="C128" s="1">
        <v>988665</v>
      </c>
      <c r="D128" s="1">
        <v>31684.3</v>
      </c>
      <c r="E128" s="1">
        <v>0</v>
      </c>
      <c r="F128" s="1">
        <v>392663</v>
      </c>
      <c r="G128" s="1">
        <v>27772.3</v>
      </c>
      <c r="H128" s="1">
        <v>361333</v>
      </c>
      <c r="I128" s="1">
        <v>475514</v>
      </c>
      <c r="J128" s="1">
        <v>44730.1</v>
      </c>
      <c r="K128" s="1">
        <v>87269.3</v>
      </c>
      <c r="L128" s="1">
        <v>81939.8</v>
      </c>
      <c r="M128" s="1">
        <v>46201.5</v>
      </c>
      <c r="N128" s="1">
        <v>59659.3</v>
      </c>
      <c r="O128" s="1">
        <v>75510.7</v>
      </c>
      <c r="P128" s="1">
        <v>50820</v>
      </c>
      <c r="Q128" s="1">
        <v>79141</v>
      </c>
      <c r="R128" s="1">
        <v>0</v>
      </c>
    </row>
    <row r="129" spans="1:18">
      <c r="A129" s="3">
        <v>45877.291669039354</v>
      </c>
      <c r="B129" s="1">
        <v>78418</v>
      </c>
      <c r="C129" s="1">
        <v>988849</v>
      </c>
      <c r="D129" s="1">
        <v>31700.400000000001</v>
      </c>
      <c r="E129" s="1">
        <v>0</v>
      </c>
      <c r="F129" s="1">
        <v>392679</v>
      </c>
      <c r="G129" s="1">
        <v>27829.200000000001</v>
      </c>
      <c r="H129" s="1">
        <v>361345</v>
      </c>
      <c r="I129" s="1">
        <v>475741</v>
      </c>
      <c r="J129" s="1">
        <v>44739.3</v>
      </c>
      <c r="K129" s="1">
        <v>87271.4</v>
      </c>
      <c r="L129" s="1">
        <v>81963.3</v>
      </c>
      <c r="M129" s="1">
        <v>46243.9</v>
      </c>
      <c r="N129" s="1">
        <v>59712.6</v>
      </c>
      <c r="O129" s="1">
        <v>75531.899999999994</v>
      </c>
      <c r="P129" s="1">
        <v>50821</v>
      </c>
      <c r="Q129" s="1">
        <v>79142</v>
      </c>
      <c r="R129" s="1">
        <v>0</v>
      </c>
    </row>
    <row r="130" spans="1:18">
      <c r="A130" s="3">
        <v>45877.333335763891</v>
      </c>
      <c r="B130" s="1">
        <v>79176</v>
      </c>
      <c r="C130" s="1">
        <v>989056</v>
      </c>
      <c r="D130" s="1">
        <v>31716.6</v>
      </c>
      <c r="E130" s="1">
        <v>0</v>
      </c>
      <c r="F130" s="1">
        <v>392697</v>
      </c>
      <c r="G130" s="1">
        <v>27885.1</v>
      </c>
      <c r="H130" s="1">
        <v>361357</v>
      </c>
      <c r="I130" s="1">
        <v>475980</v>
      </c>
      <c r="J130" s="1">
        <v>44748.9</v>
      </c>
      <c r="K130" s="1">
        <v>87271.8</v>
      </c>
      <c r="L130" s="1">
        <v>81987.8</v>
      </c>
      <c r="M130" s="1">
        <v>46289.1</v>
      </c>
      <c r="N130" s="1">
        <v>59765</v>
      </c>
      <c r="O130" s="1">
        <v>75556.2</v>
      </c>
      <c r="P130" s="1">
        <v>50823</v>
      </c>
      <c r="Q130" s="1">
        <v>79145</v>
      </c>
      <c r="R130" s="1">
        <v>0</v>
      </c>
    </row>
    <row r="131" spans="1:18">
      <c r="A131" s="3">
        <v>45877.375002488428</v>
      </c>
      <c r="B131" s="1">
        <v>80041</v>
      </c>
      <c r="C131" s="1">
        <v>989287</v>
      </c>
      <c r="D131" s="1">
        <v>31736.6</v>
      </c>
      <c r="E131" s="1">
        <v>0</v>
      </c>
      <c r="F131" s="1">
        <v>392718</v>
      </c>
      <c r="G131" s="1">
        <v>27944.1</v>
      </c>
      <c r="H131" s="1">
        <v>361368</v>
      </c>
      <c r="I131" s="1">
        <v>476250</v>
      </c>
      <c r="J131" s="1">
        <v>44758.7</v>
      </c>
      <c r="K131" s="1">
        <v>87273.3</v>
      </c>
      <c r="L131" s="1">
        <v>82021.100000000006</v>
      </c>
      <c r="M131" s="1">
        <v>46337</v>
      </c>
      <c r="N131" s="1">
        <v>59817.599999999999</v>
      </c>
      <c r="O131" s="1">
        <v>75595.3</v>
      </c>
      <c r="P131" s="1">
        <v>50826</v>
      </c>
      <c r="Q131" s="1">
        <v>79151</v>
      </c>
      <c r="R131" s="1">
        <v>0</v>
      </c>
    </row>
    <row r="132" spans="1:18">
      <c r="A132" s="3">
        <v>45877.416669212966</v>
      </c>
      <c r="B132" s="1">
        <v>81149</v>
      </c>
      <c r="C132" s="1">
        <v>989592</v>
      </c>
      <c r="D132" s="1">
        <v>31769.8</v>
      </c>
      <c r="E132" s="1">
        <v>0</v>
      </c>
      <c r="F132" s="1">
        <v>392744</v>
      </c>
      <c r="G132" s="1">
        <v>28017.8</v>
      </c>
      <c r="H132" s="1">
        <v>361385</v>
      </c>
      <c r="I132" s="1">
        <v>476587</v>
      </c>
      <c r="J132" s="1">
        <v>44770.7</v>
      </c>
      <c r="K132" s="1">
        <v>87274.2</v>
      </c>
      <c r="L132" s="1">
        <v>82060.600000000006</v>
      </c>
      <c r="M132" s="1">
        <v>46394.6</v>
      </c>
      <c r="N132" s="1">
        <v>59870.8</v>
      </c>
      <c r="O132" s="1">
        <v>75658.2</v>
      </c>
      <c r="P132" s="1">
        <v>50834</v>
      </c>
      <c r="Q132" s="1">
        <v>79164</v>
      </c>
      <c r="R132" s="1">
        <v>0</v>
      </c>
    </row>
    <row r="133" spans="1:18">
      <c r="A133" s="3">
        <v>45877.458335937503</v>
      </c>
      <c r="B133" s="1">
        <v>82430</v>
      </c>
      <c r="C133" s="1">
        <v>989963</v>
      </c>
      <c r="D133" s="1">
        <v>31803.4</v>
      </c>
      <c r="E133" s="1">
        <v>0</v>
      </c>
      <c r="F133" s="1">
        <v>392784</v>
      </c>
      <c r="G133" s="1">
        <v>28104.7</v>
      </c>
      <c r="H133" s="1">
        <v>361407</v>
      </c>
      <c r="I133" s="1">
        <v>476966</v>
      </c>
      <c r="J133" s="1">
        <v>44784.1</v>
      </c>
      <c r="K133" s="1">
        <v>87276.800000000003</v>
      </c>
      <c r="L133" s="1">
        <v>82102.7</v>
      </c>
      <c r="M133" s="1">
        <v>46463.7</v>
      </c>
      <c r="N133" s="1">
        <v>59922.9</v>
      </c>
      <c r="O133" s="1">
        <v>75726.2</v>
      </c>
      <c r="P133" s="1">
        <v>50843</v>
      </c>
      <c r="Q133" s="1">
        <v>79177</v>
      </c>
      <c r="R133" s="1">
        <v>0</v>
      </c>
    </row>
    <row r="134" spans="1:18">
      <c r="A134" s="3">
        <v>45877.50000266204</v>
      </c>
      <c r="B134" s="1">
        <v>83747</v>
      </c>
      <c r="C134" s="1">
        <v>990314</v>
      </c>
      <c r="D134" s="1">
        <v>31836.1</v>
      </c>
      <c r="E134" s="1">
        <v>0</v>
      </c>
      <c r="F134" s="1">
        <v>392830</v>
      </c>
      <c r="G134" s="1">
        <v>28202.5</v>
      </c>
      <c r="H134" s="1">
        <v>361427</v>
      </c>
      <c r="I134" s="1">
        <v>477380</v>
      </c>
      <c r="J134" s="1">
        <v>44795.3</v>
      </c>
      <c r="K134" s="1">
        <v>87279.3</v>
      </c>
      <c r="L134" s="1">
        <v>82151</v>
      </c>
      <c r="M134" s="1">
        <v>46530.1</v>
      </c>
      <c r="N134" s="1">
        <v>59972.9</v>
      </c>
      <c r="O134" s="1">
        <v>75794.399999999994</v>
      </c>
      <c r="P134" s="1">
        <v>50852</v>
      </c>
      <c r="Q134" s="1">
        <v>79192</v>
      </c>
      <c r="R134" s="1">
        <v>0</v>
      </c>
    </row>
    <row r="135" spans="1:18">
      <c r="A135" s="3">
        <v>45877.541669386577</v>
      </c>
      <c r="B135" s="1">
        <v>85061</v>
      </c>
      <c r="C135" s="1">
        <v>990665</v>
      </c>
      <c r="D135" s="1">
        <v>31870.2</v>
      </c>
      <c r="E135" s="1">
        <v>0</v>
      </c>
      <c r="F135" s="1">
        <v>392873</v>
      </c>
      <c r="G135" s="1">
        <v>28292.400000000001</v>
      </c>
      <c r="H135" s="1">
        <v>361447</v>
      </c>
      <c r="I135" s="1">
        <v>477802</v>
      </c>
      <c r="J135" s="1">
        <v>44806.8</v>
      </c>
      <c r="K135" s="1">
        <v>87279.3</v>
      </c>
      <c r="L135" s="1">
        <v>82204</v>
      </c>
      <c r="M135" s="1">
        <v>46594</v>
      </c>
      <c r="N135" s="1">
        <v>60019.7</v>
      </c>
      <c r="O135" s="1">
        <v>75871</v>
      </c>
      <c r="P135" s="1">
        <v>50866</v>
      </c>
      <c r="Q135" s="1">
        <v>79213</v>
      </c>
      <c r="R135" s="1">
        <v>0</v>
      </c>
    </row>
    <row r="136" spans="1:18">
      <c r="A136" s="3">
        <v>45877.583336111114</v>
      </c>
      <c r="B136" s="1">
        <v>86523</v>
      </c>
      <c r="C136" s="1">
        <v>991052</v>
      </c>
      <c r="D136" s="1">
        <v>31909.599999999999</v>
      </c>
      <c r="E136" s="1">
        <v>0</v>
      </c>
      <c r="F136" s="1">
        <v>392924</v>
      </c>
      <c r="G136" s="1">
        <v>28396.7</v>
      </c>
      <c r="H136" s="1">
        <v>361509</v>
      </c>
      <c r="I136" s="1">
        <v>478254</v>
      </c>
      <c r="J136" s="1">
        <v>44818</v>
      </c>
      <c r="K136" s="1">
        <v>87280.1</v>
      </c>
      <c r="L136" s="1">
        <v>82254.2</v>
      </c>
      <c r="M136" s="1">
        <v>46658.3</v>
      </c>
      <c r="N136" s="1">
        <v>60069.2</v>
      </c>
      <c r="O136" s="1">
        <v>75952.800000000003</v>
      </c>
      <c r="P136" s="1">
        <v>50879</v>
      </c>
      <c r="Q136" s="1">
        <v>79232</v>
      </c>
      <c r="R136" s="1">
        <v>0</v>
      </c>
    </row>
    <row r="137" spans="1:18">
      <c r="A137" s="3">
        <v>45877.625002835652</v>
      </c>
      <c r="B137" s="1">
        <v>87969</v>
      </c>
      <c r="C137" s="1">
        <v>991432</v>
      </c>
      <c r="D137" s="1">
        <v>31946.2</v>
      </c>
      <c r="E137" s="1">
        <v>0</v>
      </c>
      <c r="F137" s="1">
        <v>392970</v>
      </c>
      <c r="G137" s="1">
        <v>28504.7</v>
      </c>
      <c r="H137" s="1">
        <v>361603</v>
      </c>
      <c r="I137" s="1">
        <v>478692</v>
      </c>
      <c r="J137" s="1">
        <v>44830.8</v>
      </c>
      <c r="K137" s="1">
        <v>87282.9</v>
      </c>
      <c r="L137" s="1">
        <v>82298.8</v>
      </c>
      <c r="M137" s="1">
        <v>46719.8</v>
      </c>
      <c r="N137" s="1">
        <v>60124.3</v>
      </c>
      <c r="O137" s="1">
        <v>76012.5</v>
      </c>
      <c r="P137" s="1">
        <v>50887</v>
      </c>
      <c r="Q137" s="1">
        <v>79245</v>
      </c>
      <c r="R137" s="1">
        <v>0</v>
      </c>
    </row>
    <row r="138" spans="1:18">
      <c r="A138" s="3">
        <v>45877.666669560182</v>
      </c>
      <c r="B138" s="1">
        <v>89347</v>
      </c>
      <c r="C138" s="1">
        <v>991791</v>
      </c>
      <c r="D138" s="1">
        <v>31983.9</v>
      </c>
      <c r="E138" s="1">
        <v>0</v>
      </c>
      <c r="F138" s="1">
        <v>393010</v>
      </c>
      <c r="G138" s="1">
        <v>28613</v>
      </c>
      <c r="H138" s="1">
        <v>361693</v>
      </c>
      <c r="I138" s="1">
        <v>479118</v>
      </c>
      <c r="J138" s="1">
        <v>44843.9</v>
      </c>
      <c r="K138" s="1">
        <v>87288.4</v>
      </c>
      <c r="L138" s="1">
        <v>82344.899999999994</v>
      </c>
      <c r="M138" s="1">
        <v>46774.2</v>
      </c>
      <c r="N138" s="1">
        <v>60183.3</v>
      </c>
      <c r="O138" s="1">
        <v>76051.7</v>
      </c>
      <c r="P138" s="1">
        <v>50893</v>
      </c>
      <c r="Q138" s="1">
        <v>79254</v>
      </c>
      <c r="R138" s="1">
        <v>0</v>
      </c>
    </row>
    <row r="139" spans="1:18">
      <c r="A139" s="3">
        <v>45877.708336284719</v>
      </c>
      <c r="B139" s="1">
        <v>90702</v>
      </c>
      <c r="C139" s="1">
        <v>992127</v>
      </c>
      <c r="D139" s="1">
        <v>32015.1</v>
      </c>
      <c r="E139" s="1">
        <v>0</v>
      </c>
      <c r="F139" s="1">
        <v>393048</v>
      </c>
      <c r="G139" s="1">
        <v>28719</v>
      </c>
      <c r="H139" s="1">
        <v>361822</v>
      </c>
      <c r="I139" s="1">
        <v>479528</v>
      </c>
      <c r="J139" s="1">
        <v>44857.2</v>
      </c>
      <c r="K139" s="1">
        <v>87295.1</v>
      </c>
      <c r="L139" s="1">
        <v>82390.100000000006</v>
      </c>
      <c r="M139" s="1">
        <v>46821.7</v>
      </c>
      <c r="N139" s="1">
        <v>60243.7</v>
      </c>
      <c r="O139" s="1">
        <v>76090.399999999994</v>
      </c>
      <c r="P139" s="1">
        <v>50897</v>
      </c>
      <c r="Q139" s="1">
        <v>79260</v>
      </c>
      <c r="R139" s="1">
        <v>0</v>
      </c>
    </row>
    <row r="140" spans="1:18">
      <c r="A140" s="3">
        <v>45877.750003009256</v>
      </c>
      <c r="B140" s="1">
        <v>91846</v>
      </c>
      <c r="C140" s="1">
        <v>992415</v>
      </c>
      <c r="D140" s="1">
        <v>32043.1</v>
      </c>
      <c r="E140" s="1">
        <v>0</v>
      </c>
      <c r="F140" s="1">
        <v>393080</v>
      </c>
      <c r="G140" s="1">
        <v>28807.3</v>
      </c>
      <c r="H140" s="1">
        <v>361895</v>
      </c>
      <c r="I140" s="1">
        <v>479907</v>
      </c>
      <c r="J140" s="1">
        <v>44869.5</v>
      </c>
      <c r="K140" s="1">
        <v>87297.4</v>
      </c>
      <c r="L140" s="1">
        <v>82432.100000000006</v>
      </c>
      <c r="M140" s="1">
        <v>46867.199999999997</v>
      </c>
      <c r="N140" s="1">
        <v>60302.2</v>
      </c>
      <c r="O140" s="1">
        <v>76121.3</v>
      </c>
      <c r="P140" s="1">
        <v>50899</v>
      </c>
      <c r="Q140" s="1">
        <v>79263</v>
      </c>
      <c r="R140" s="1">
        <v>0</v>
      </c>
    </row>
    <row r="141" spans="1:18">
      <c r="A141" s="3">
        <v>45877.791669733793</v>
      </c>
      <c r="B141" s="1">
        <v>92833</v>
      </c>
      <c r="C141" s="1">
        <v>992675</v>
      </c>
      <c r="D141" s="1">
        <v>32064.9</v>
      </c>
      <c r="E141" s="1">
        <v>0</v>
      </c>
      <c r="F141" s="1">
        <v>393103</v>
      </c>
      <c r="G141" s="1">
        <v>28880.2</v>
      </c>
      <c r="H141" s="1">
        <v>361934</v>
      </c>
      <c r="I141" s="1">
        <v>480249</v>
      </c>
      <c r="J141" s="1">
        <v>44879.199999999997</v>
      </c>
      <c r="K141" s="1">
        <v>87299.5</v>
      </c>
      <c r="L141" s="1">
        <v>82465.399999999994</v>
      </c>
      <c r="M141" s="1">
        <v>46909.9</v>
      </c>
      <c r="N141" s="1">
        <v>60358.1</v>
      </c>
      <c r="O141" s="1">
        <v>76145.899999999994</v>
      </c>
      <c r="P141" s="1">
        <v>50899</v>
      </c>
      <c r="Q141" s="1">
        <v>79264</v>
      </c>
      <c r="R141" s="1">
        <v>0</v>
      </c>
    </row>
    <row r="142" spans="1:18">
      <c r="A142" s="3">
        <v>45877.83333645833</v>
      </c>
      <c r="B142" s="1">
        <v>93725</v>
      </c>
      <c r="C142" s="1">
        <v>992917</v>
      </c>
      <c r="D142" s="1">
        <v>32084.5</v>
      </c>
      <c r="E142" s="1">
        <v>0</v>
      </c>
      <c r="F142" s="1">
        <v>393123</v>
      </c>
      <c r="G142" s="1">
        <v>28946.799999999999</v>
      </c>
      <c r="H142" s="1">
        <v>361951</v>
      </c>
      <c r="I142" s="1">
        <v>480555</v>
      </c>
      <c r="J142" s="1">
        <v>44888.800000000003</v>
      </c>
      <c r="K142" s="1">
        <v>87303.2</v>
      </c>
      <c r="L142" s="1">
        <v>82492.899999999994</v>
      </c>
      <c r="M142" s="1">
        <v>46952.2</v>
      </c>
      <c r="N142" s="1">
        <v>60414</v>
      </c>
      <c r="O142" s="1">
        <v>76171.7</v>
      </c>
      <c r="P142" s="1">
        <v>50899</v>
      </c>
      <c r="Q142" s="1">
        <v>79264</v>
      </c>
      <c r="R142" s="1">
        <v>0</v>
      </c>
    </row>
    <row r="143" spans="1:18">
      <c r="A143" s="3">
        <v>45877.875003182868</v>
      </c>
      <c r="B143" s="1">
        <v>94548</v>
      </c>
      <c r="C143" s="1">
        <v>993134</v>
      </c>
      <c r="D143" s="1">
        <v>32106.5</v>
      </c>
      <c r="E143" s="1">
        <v>0</v>
      </c>
      <c r="F143" s="1">
        <v>393142</v>
      </c>
      <c r="G143" s="1">
        <v>29010.2</v>
      </c>
      <c r="H143" s="1">
        <v>361964</v>
      </c>
      <c r="I143" s="1">
        <v>480826</v>
      </c>
      <c r="J143" s="1">
        <v>44898.6</v>
      </c>
      <c r="K143" s="1">
        <v>87306.9</v>
      </c>
      <c r="L143" s="1">
        <v>82518.2</v>
      </c>
      <c r="M143" s="1">
        <v>46994</v>
      </c>
      <c r="N143" s="1">
        <v>60470.9</v>
      </c>
      <c r="O143" s="1">
        <v>76196.800000000003</v>
      </c>
      <c r="P143" s="1">
        <v>50899</v>
      </c>
      <c r="Q143" s="1">
        <v>79264</v>
      </c>
      <c r="R143" s="1">
        <v>0</v>
      </c>
    </row>
    <row r="144" spans="1:18">
      <c r="A144" s="3">
        <v>45877.916669907405</v>
      </c>
      <c r="B144" s="1">
        <v>95321</v>
      </c>
      <c r="C144" s="1">
        <v>993330</v>
      </c>
      <c r="D144" s="1">
        <v>32126.3</v>
      </c>
      <c r="E144" s="1">
        <v>0</v>
      </c>
      <c r="F144" s="1">
        <v>393161</v>
      </c>
      <c r="G144" s="1">
        <v>29069.9</v>
      </c>
      <c r="H144" s="1">
        <v>361977</v>
      </c>
      <c r="I144" s="1">
        <v>481079</v>
      </c>
      <c r="J144" s="1">
        <v>44908</v>
      </c>
      <c r="K144" s="1">
        <v>87310.3</v>
      </c>
      <c r="L144" s="1">
        <v>82543.899999999994</v>
      </c>
      <c r="M144" s="1">
        <v>47034.9</v>
      </c>
      <c r="N144" s="1">
        <v>60526.1</v>
      </c>
      <c r="O144" s="1">
        <v>76224</v>
      </c>
      <c r="P144" s="1">
        <v>50899</v>
      </c>
      <c r="Q144" s="1">
        <v>79264</v>
      </c>
      <c r="R144" s="1">
        <v>0</v>
      </c>
    </row>
    <row r="145" spans="1:18">
      <c r="A145" s="3">
        <v>45877.958336631942</v>
      </c>
      <c r="B145" s="1">
        <v>96054</v>
      </c>
      <c r="C145" s="1">
        <v>993517</v>
      </c>
      <c r="D145" s="1">
        <v>32143.1</v>
      </c>
      <c r="E145" s="1">
        <v>0</v>
      </c>
      <c r="F145" s="1">
        <v>393178</v>
      </c>
      <c r="G145" s="1">
        <v>29129.1</v>
      </c>
      <c r="H145" s="1">
        <v>361990</v>
      </c>
      <c r="I145" s="1">
        <v>481313</v>
      </c>
      <c r="J145" s="1">
        <v>44917.4</v>
      </c>
      <c r="K145" s="1">
        <v>87313.5</v>
      </c>
      <c r="L145" s="1">
        <v>82569.7</v>
      </c>
      <c r="M145" s="1">
        <v>47076.1</v>
      </c>
      <c r="N145" s="1">
        <v>60581.5</v>
      </c>
      <c r="O145" s="1">
        <v>76244.5</v>
      </c>
      <c r="P145" s="1">
        <v>50899</v>
      </c>
      <c r="Q145" s="1">
        <v>79264</v>
      </c>
      <c r="R145" s="1">
        <v>0</v>
      </c>
    </row>
    <row r="146" spans="1:18">
      <c r="A146" s="3">
        <v>45878.000003356479</v>
      </c>
      <c r="B146" s="1">
        <v>96772</v>
      </c>
      <c r="C146" s="1">
        <v>993696</v>
      </c>
      <c r="D146" s="1">
        <v>32158.2</v>
      </c>
      <c r="E146" s="1">
        <v>0</v>
      </c>
      <c r="F146" s="1">
        <v>393193</v>
      </c>
      <c r="G146" s="1">
        <v>29190.799999999999</v>
      </c>
      <c r="H146" s="1">
        <v>362003</v>
      </c>
      <c r="I146" s="1">
        <v>481545</v>
      </c>
      <c r="J146" s="1">
        <v>44926.7</v>
      </c>
      <c r="K146" s="1">
        <v>87316.5</v>
      </c>
      <c r="L146" s="1">
        <v>82595.5</v>
      </c>
      <c r="M146" s="1">
        <v>47114.3</v>
      </c>
      <c r="N146" s="1">
        <v>60636.800000000003</v>
      </c>
      <c r="O146" s="1">
        <v>76264.399999999994</v>
      </c>
      <c r="P146" s="1">
        <v>50899</v>
      </c>
      <c r="Q146" s="1">
        <v>79264</v>
      </c>
      <c r="R146" s="1">
        <v>0</v>
      </c>
    </row>
    <row r="147" spans="1:18">
      <c r="A147" s="3">
        <v>45878.041670081016</v>
      </c>
      <c r="B147" s="1">
        <v>97461</v>
      </c>
      <c r="C147" s="1">
        <v>993865</v>
      </c>
      <c r="D147" s="1">
        <v>32172.400000000001</v>
      </c>
      <c r="E147" s="1">
        <v>0</v>
      </c>
      <c r="F147" s="1">
        <v>393209</v>
      </c>
      <c r="G147" s="1">
        <v>29244.1</v>
      </c>
      <c r="H147" s="1">
        <v>362016</v>
      </c>
      <c r="I147" s="1">
        <v>481771</v>
      </c>
      <c r="J147" s="1">
        <v>44935.8</v>
      </c>
      <c r="K147" s="1">
        <v>87319.6</v>
      </c>
      <c r="L147" s="1">
        <v>82619.600000000006</v>
      </c>
      <c r="M147" s="1">
        <v>47152.2</v>
      </c>
      <c r="N147" s="1">
        <v>60692.1</v>
      </c>
      <c r="O147" s="1">
        <v>76284.2</v>
      </c>
      <c r="P147" s="1">
        <v>50899</v>
      </c>
      <c r="Q147" s="1">
        <v>79264</v>
      </c>
      <c r="R147" s="1">
        <v>0</v>
      </c>
    </row>
    <row r="148" spans="1:18">
      <c r="A148" s="3">
        <v>45878.083336805554</v>
      </c>
      <c r="B148" s="1">
        <v>98121</v>
      </c>
      <c r="C148" s="1">
        <v>994029</v>
      </c>
      <c r="D148" s="1">
        <v>32186</v>
      </c>
      <c r="E148" s="1">
        <v>0</v>
      </c>
      <c r="F148" s="1">
        <v>393224</v>
      </c>
      <c r="G148" s="1">
        <v>29298.400000000001</v>
      </c>
      <c r="H148" s="1">
        <v>362028</v>
      </c>
      <c r="I148" s="1">
        <v>481976</v>
      </c>
      <c r="J148" s="1">
        <v>44945.1</v>
      </c>
      <c r="K148" s="1">
        <v>87322.8</v>
      </c>
      <c r="L148" s="1">
        <v>82642.600000000006</v>
      </c>
      <c r="M148" s="1">
        <v>47189.7</v>
      </c>
      <c r="N148" s="1">
        <v>60748</v>
      </c>
      <c r="O148" s="1">
        <v>76304.399999999994</v>
      </c>
      <c r="P148" s="1">
        <v>50899</v>
      </c>
      <c r="Q148" s="1">
        <v>79264</v>
      </c>
      <c r="R148" s="1">
        <v>0</v>
      </c>
    </row>
    <row r="149" spans="1:18">
      <c r="A149" s="3">
        <v>45878.125003530091</v>
      </c>
      <c r="B149" s="1">
        <v>98771</v>
      </c>
      <c r="C149" s="1">
        <v>994190</v>
      </c>
      <c r="D149" s="1">
        <v>32199.7</v>
      </c>
      <c r="E149" s="1">
        <v>0</v>
      </c>
      <c r="F149" s="1">
        <v>393240</v>
      </c>
      <c r="G149" s="1">
        <v>29350.400000000001</v>
      </c>
      <c r="H149" s="1">
        <v>362041</v>
      </c>
      <c r="I149" s="1">
        <v>482180</v>
      </c>
      <c r="J149" s="1">
        <v>44954.1</v>
      </c>
      <c r="K149" s="1">
        <v>87326</v>
      </c>
      <c r="L149" s="1">
        <v>82664.600000000006</v>
      </c>
      <c r="M149" s="1">
        <v>47227.199999999997</v>
      </c>
      <c r="N149" s="1">
        <v>60803.3</v>
      </c>
      <c r="O149" s="1">
        <v>76323</v>
      </c>
      <c r="P149" s="1">
        <v>50899</v>
      </c>
      <c r="Q149" s="1">
        <v>79264</v>
      </c>
      <c r="R149" s="1">
        <v>0</v>
      </c>
    </row>
    <row r="150" spans="1:18">
      <c r="A150" s="3">
        <v>45878.166670254628</v>
      </c>
      <c r="B150" s="1">
        <v>99409</v>
      </c>
      <c r="C150" s="1">
        <v>994346</v>
      </c>
      <c r="D150" s="1">
        <v>32212.5</v>
      </c>
      <c r="E150" s="1">
        <v>0</v>
      </c>
      <c r="F150" s="1">
        <v>393255</v>
      </c>
      <c r="G150" s="1">
        <v>29401.9</v>
      </c>
      <c r="H150" s="1">
        <v>362055</v>
      </c>
      <c r="I150" s="1">
        <v>482379</v>
      </c>
      <c r="J150" s="1">
        <v>44962.1</v>
      </c>
      <c r="K150" s="1">
        <v>87329.1</v>
      </c>
      <c r="L150" s="1">
        <v>82687.199999999997</v>
      </c>
      <c r="M150" s="1">
        <v>47264.7</v>
      </c>
      <c r="N150" s="1">
        <v>60858.2</v>
      </c>
      <c r="O150" s="1">
        <v>76341.5</v>
      </c>
      <c r="P150" s="1">
        <v>50899</v>
      </c>
      <c r="Q150" s="1">
        <v>79264</v>
      </c>
      <c r="R150" s="1">
        <v>0</v>
      </c>
    </row>
    <row r="151" spans="1:18">
      <c r="A151" s="3">
        <v>45878.208336979165</v>
      </c>
      <c r="B151" s="1">
        <v>100045</v>
      </c>
      <c r="C151" s="1">
        <v>994501</v>
      </c>
      <c r="D151" s="1">
        <v>32225.5</v>
      </c>
      <c r="E151" s="1">
        <v>0</v>
      </c>
      <c r="F151" s="1">
        <v>393270</v>
      </c>
      <c r="G151" s="1">
        <v>29454.1</v>
      </c>
      <c r="H151" s="1">
        <v>362068</v>
      </c>
      <c r="I151" s="1">
        <v>482577</v>
      </c>
      <c r="J151" s="1">
        <v>44971.199999999997</v>
      </c>
      <c r="K151" s="1">
        <v>87332</v>
      </c>
      <c r="L151" s="1">
        <v>82706.899999999994</v>
      </c>
      <c r="M151" s="1">
        <v>47301.5</v>
      </c>
      <c r="N151" s="1">
        <v>60913.4</v>
      </c>
      <c r="O151" s="1">
        <v>76362.100000000006</v>
      </c>
      <c r="P151" s="1">
        <v>50899</v>
      </c>
      <c r="Q151" s="1">
        <v>79264</v>
      </c>
      <c r="R151" s="1">
        <v>0</v>
      </c>
    </row>
    <row r="152" spans="1:18">
      <c r="A152" s="3">
        <v>45878.250003703703</v>
      </c>
      <c r="B152" s="1">
        <v>100681</v>
      </c>
      <c r="C152" s="1">
        <v>994651</v>
      </c>
      <c r="D152" s="1">
        <v>32238.799999999999</v>
      </c>
      <c r="E152" s="1">
        <v>0</v>
      </c>
      <c r="F152" s="1">
        <v>393285</v>
      </c>
      <c r="G152" s="1">
        <v>29504.7</v>
      </c>
      <c r="H152" s="1">
        <v>362081</v>
      </c>
      <c r="I152" s="1">
        <v>482779</v>
      </c>
      <c r="J152" s="1">
        <v>44980.1</v>
      </c>
      <c r="K152" s="1">
        <v>87335</v>
      </c>
      <c r="L152" s="1">
        <v>82726.8</v>
      </c>
      <c r="M152" s="1">
        <v>47338.8</v>
      </c>
      <c r="N152" s="1">
        <v>60968.7</v>
      </c>
      <c r="O152" s="1">
        <v>76382.899999999994</v>
      </c>
      <c r="P152" s="1">
        <v>50899</v>
      </c>
      <c r="Q152" s="1">
        <v>79264</v>
      </c>
      <c r="R152" s="1">
        <v>0</v>
      </c>
    </row>
    <row r="153" spans="1:18">
      <c r="A153" s="3">
        <v>45878.29167042824</v>
      </c>
      <c r="B153" s="1">
        <v>101312</v>
      </c>
      <c r="C153" s="1">
        <v>994806</v>
      </c>
      <c r="D153" s="1">
        <v>32252.1</v>
      </c>
      <c r="E153" s="1">
        <v>0</v>
      </c>
      <c r="F153" s="1">
        <v>393299</v>
      </c>
      <c r="G153" s="1">
        <v>29554.400000000001</v>
      </c>
      <c r="H153" s="1">
        <v>362094</v>
      </c>
      <c r="I153" s="1">
        <v>482977</v>
      </c>
      <c r="J153" s="1">
        <v>44988.3</v>
      </c>
      <c r="K153" s="1">
        <v>87337.600000000006</v>
      </c>
      <c r="L153" s="1">
        <v>82745.600000000006</v>
      </c>
      <c r="M153" s="1">
        <v>47375.8</v>
      </c>
      <c r="N153" s="1">
        <v>61023.8</v>
      </c>
      <c r="O153" s="1">
        <v>76403.100000000006</v>
      </c>
      <c r="P153" s="1">
        <v>50899</v>
      </c>
      <c r="Q153" s="1">
        <v>79264</v>
      </c>
      <c r="R153" s="1">
        <v>0</v>
      </c>
    </row>
    <row r="154" spans="1:18">
      <c r="A154" s="3">
        <v>45878.333337152777</v>
      </c>
      <c r="B154" s="1">
        <v>101956</v>
      </c>
      <c r="C154" s="1">
        <v>994967</v>
      </c>
      <c r="D154" s="1">
        <v>32265.3</v>
      </c>
      <c r="E154" s="1">
        <v>0</v>
      </c>
      <c r="F154" s="1">
        <v>393313</v>
      </c>
      <c r="G154" s="1">
        <v>29602.7</v>
      </c>
      <c r="H154" s="1">
        <v>362107</v>
      </c>
      <c r="I154" s="1">
        <v>483184</v>
      </c>
      <c r="J154" s="1">
        <v>44997.2</v>
      </c>
      <c r="K154" s="1">
        <v>87339.4</v>
      </c>
      <c r="L154" s="1">
        <v>82764.3</v>
      </c>
      <c r="M154" s="1">
        <v>47412.7</v>
      </c>
      <c r="N154" s="1">
        <v>61077.5</v>
      </c>
      <c r="O154" s="1">
        <v>76425.2</v>
      </c>
      <c r="P154" s="1">
        <v>50900</v>
      </c>
      <c r="Q154" s="1">
        <v>79265</v>
      </c>
      <c r="R154" s="1">
        <v>0</v>
      </c>
    </row>
    <row r="155" spans="1:18">
      <c r="A155" s="3">
        <v>45878.375003877314</v>
      </c>
      <c r="B155" s="1">
        <v>102793</v>
      </c>
      <c r="C155" s="1">
        <v>995147</v>
      </c>
      <c r="D155" s="1">
        <v>32279.7</v>
      </c>
      <c r="E155" s="1">
        <v>0</v>
      </c>
      <c r="F155" s="1">
        <v>393330</v>
      </c>
      <c r="G155" s="1">
        <v>29649.5</v>
      </c>
      <c r="H155" s="1">
        <v>362246</v>
      </c>
      <c r="I155" s="1">
        <v>483420</v>
      </c>
      <c r="J155" s="1">
        <v>45005.3</v>
      </c>
      <c r="K155" s="1">
        <v>87343.5</v>
      </c>
      <c r="L155" s="1">
        <v>82784</v>
      </c>
      <c r="M155" s="1">
        <v>47449.8</v>
      </c>
      <c r="N155" s="1">
        <v>61132</v>
      </c>
      <c r="O155" s="1">
        <v>76456.3</v>
      </c>
      <c r="P155" s="1">
        <v>50902</v>
      </c>
      <c r="Q155" s="1">
        <v>79268</v>
      </c>
      <c r="R155" s="1">
        <v>0</v>
      </c>
    </row>
    <row r="156" spans="1:18">
      <c r="A156" s="3">
        <v>45878.416670601851</v>
      </c>
      <c r="B156" s="1">
        <v>103856</v>
      </c>
      <c r="C156" s="1">
        <v>995370</v>
      </c>
      <c r="D156" s="1">
        <v>32296.5</v>
      </c>
      <c r="E156" s="1">
        <v>0</v>
      </c>
      <c r="F156" s="1">
        <v>393347</v>
      </c>
      <c r="G156" s="1">
        <v>29700.6</v>
      </c>
      <c r="H156" s="1">
        <v>362441</v>
      </c>
      <c r="I156" s="1">
        <v>483715</v>
      </c>
      <c r="J156" s="1">
        <v>45014.6</v>
      </c>
      <c r="K156" s="1">
        <v>87354.9</v>
      </c>
      <c r="L156" s="1">
        <v>82809.600000000006</v>
      </c>
      <c r="M156" s="1">
        <v>47486.7</v>
      </c>
      <c r="N156" s="1">
        <v>61189</v>
      </c>
      <c r="O156" s="1">
        <v>76522.600000000006</v>
      </c>
      <c r="P156" s="1">
        <v>50904</v>
      </c>
      <c r="Q156" s="1">
        <v>79272</v>
      </c>
      <c r="R156" s="1">
        <v>0</v>
      </c>
    </row>
    <row r="157" spans="1:18">
      <c r="A157" s="3">
        <v>45878.458337326389</v>
      </c>
      <c r="B157" s="1">
        <v>104982</v>
      </c>
      <c r="C157" s="1">
        <v>995598</v>
      </c>
      <c r="D157" s="1">
        <v>32317</v>
      </c>
      <c r="E157" s="1">
        <v>0</v>
      </c>
      <c r="F157" s="1">
        <v>393365</v>
      </c>
      <c r="G157" s="1">
        <v>29765.599999999999</v>
      </c>
      <c r="H157" s="1">
        <v>362652</v>
      </c>
      <c r="I157" s="1">
        <v>484018</v>
      </c>
      <c r="J157" s="1">
        <v>45023.7</v>
      </c>
      <c r="K157" s="1">
        <v>87368.7</v>
      </c>
      <c r="L157" s="1">
        <v>82839.5</v>
      </c>
      <c r="M157" s="1">
        <v>47523.5</v>
      </c>
      <c r="N157" s="1">
        <v>61248.1</v>
      </c>
      <c r="O157" s="1">
        <v>76592.7</v>
      </c>
      <c r="P157" s="1">
        <v>50907</v>
      </c>
      <c r="Q157" s="1">
        <v>79276</v>
      </c>
      <c r="R157" s="1">
        <v>0</v>
      </c>
    </row>
    <row r="158" spans="1:18">
      <c r="A158" s="3">
        <v>45878.500004050926</v>
      </c>
      <c r="B158" s="1">
        <v>106097</v>
      </c>
      <c r="C158" s="1">
        <v>995826</v>
      </c>
      <c r="D158" s="1">
        <v>32334.7</v>
      </c>
      <c r="E158" s="1">
        <v>0</v>
      </c>
      <c r="F158" s="1">
        <v>393382</v>
      </c>
      <c r="G158" s="1">
        <v>29835.200000000001</v>
      </c>
      <c r="H158" s="1">
        <v>362841</v>
      </c>
      <c r="I158" s="1">
        <v>484332</v>
      </c>
      <c r="J158" s="1">
        <v>45033</v>
      </c>
      <c r="K158" s="1">
        <v>87382.2</v>
      </c>
      <c r="L158" s="1">
        <v>82868.600000000006</v>
      </c>
      <c r="M158" s="1">
        <v>47560.2</v>
      </c>
      <c r="N158" s="1">
        <v>61308.2</v>
      </c>
      <c r="O158" s="1">
        <v>76664.600000000006</v>
      </c>
      <c r="P158" s="1">
        <v>50909</v>
      </c>
      <c r="Q158" s="1">
        <v>79280</v>
      </c>
      <c r="R158" s="1">
        <v>0</v>
      </c>
    </row>
    <row r="159" spans="1:18">
      <c r="A159" s="3">
        <v>45878.541670775463</v>
      </c>
      <c r="B159" s="1">
        <v>107202</v>
      </c>
      <c r="C159" s="1">
        <v>996044</v>
      </c>
      <c r="D159" s="1">
        <v>32353.599999999999</v>
      </c>
      <c r="E159" s="1">
        <v>0</v>
      </c>
      <c r="F159" s="1">
        <v>393399</v>
      </c>
      <c r="G159" s="1">
        <v>29904</v>
      </c>
      <c r="H159" s="1">
        <v>363022</v>
      </c>
      <c r="I159" s="1">
        <v>484653</v>
      </c>
      <c r="J159" s="1">
        <v>45042</v>
      </c>
      <c r="K159" s="1">
        <v>87395.4</v>
      </c>
      <c r="L159" s="1">
        <v>82893.100000000006</v>
      </c>
      <c r="M159" s="1">
        <v>47597.4</v>
      </c>
      <c r="N159" s="1">
        <v>61367.1</v>
      </c>
      <c r="O159" s="1">
        <v>76742.2</v>
      </c>
      <c r="P159" s="1">
        <v>50912</v>
      </c>
      <c r="Q159" s="1">
        <v>79284</v>
      </c>
      <c r="R159" s="1">
        <v>0</v>
      </c>
    </row>
    <row r="160" spans="1:18">
      <c r="A160" s="3">
        <v>45878.5833375</v>
      </c>
      <c r="B160" s="1">
        <v>108273</v>
      </c>
      <c r="C160" s="1">
        <v>996253</v>
      </c>
      <c r="D160" s="1">
        <v>32374.2</v>
      </c>
      <c r="E160" s="1">
        <v>0</v>
      </c>
      <c r="F160" s="1">
        <v>393419</v>
      </c>
      <c r="G160" s="1">
        <v>29968.9</v>
      </c>
      <c r="H160" s="1">
        <v>363198</v>
      </c>
      <c r="I160" s="1">
        <v>484963</v>
      </c>
      <c r="J160" s="1">
        <v>45049.9</v>
      </c>
      <c r="K160" s="1">
        <v>87409.4</v>
      </c>
      <c r="L160" s="1">
        <v>82916.7</v>
      </c>
      <c r="M160" s="1">
        <v>47633.5</v>
      </c>
      <c r="N160" s="1">
        <v>61425.4</v>
      </c>
      <c r="O160" s="1">
        <v>76820.5</v>
      </c>
      <c r="P160" s="1">
        <v>50914</v>
      </c>
      <c r="Q160" s="1">
        <v>79288</v>
      </c>
      <c r="R160" s="1">
        <v>0</v>
      </c>
    </row>
    <row r="161" spans="1:18">
      <c r="A161" s="3">
        <v>45878.625004224537</v>
      </c>
      <c r="B161" s="1">
        <v>109263</v>
      </c>
      <c r="C161" s="1">
        <v>996454</v>
      </c>
      <c r="D161" s="1">
        <v>32393.5</v>
      </c>
      <c r="E161" s="1">
        <v>0</v>
      </c>
      <c r="F161" s="1">
        <v>393439</v>
      </c>
      <c r="G161" s="1">
        <v>30035.4</v>
      </c>
      <c r="H161" s="1">
        <v>363343</v>
      </c>
      <c r="I161" s="1">
        <v>485250</v>
      </c>
      <c r="J161" s="1">
        <v>45058.5</v>
      </c>
      <c r="K161" s="1">
        <v>87425.2</v>
      </c>
      <c r="L161" s="1">
        <v>82938.600000000006</v>
      </c>
      <c r="M161" s="1">
        <v>47669.3</v>
      </c>
      <c r="N161" s="1">
        <v>61483.199999999997</v>
      </c>
      <c r="O161" s="1">
        <v>76878.8</v>
      </c>
      <c r="P161" s="1">
        <v>50916</v>
      </c>
      <c r="Q161" s="1">
        <v>79290</v>
      </c>
      <c r="R161" s="1">
        <v>0</v>
      </c>
    </row>
    <row r="162" spans="1:18">
      <c r="A162" s="3">
        <v>45878.666670949075</v>
      </c>
      <c r="B162" s="1">
        <v>110190</v>
      </c>
      <c r="C162" s="1">
        <v>996661</v>
      </c>
      <c r="D162" s="1">
        <v>32411.5</v>
      </c>
      <c r="E162" s="1">
        <v>0</v>
      </c>
      <c r="F162" s="1">
        <v>393460</v>
      </c>
      <c r="G162" s="1">
        <v>30090.400000000001</v>
      </c>
      <c r="H162" s="1">
        <v>363483</v>
      </c>
      <c r="I162" s="1">
        <v>485510</v>
      </c>
      <c r="J162" s="1">
        <v>45066.6</v>
      </c>
      <c r="K162" s="1">
        <v>87437.1</v>
      </c>
      <c r="L162" s="1">
        <v>82961.399999999994</v>
      </c>
      <c r="M162" s="1">
        <v>47705.2</v>
      </c>
      <c r="N162" s="1">
        <v>61540.3</v>
      </c>
      <c r="O162" s="1">
        <v>76918.2</v>
      </c>
      <c r="P162" s="1">
        <v>50918</v>
      </c>
      <c r="Q162" s="1">
        <v>79293</v>
      </c>
      <c r="R162" s="1">
        <v>0</v>
      </c>
    </row>
    <row r="163" spans="1:18">
      <c r="A163" s="3">
        <v>45878.708337673612</v>
      </c>
      <c r="B163" s="1">
        <v>111012</v>
      </c>
      <c r="C163" s="1">
        <v>996857</v>
      </c>
      <c r="D163" s="1">
        <v>32431</v>
      </c>
      <c r="E163" s="1">
        <v>0</v>
      </c>
      <c r="F163" s="1">
        <v>393479</v>
      </c>
      <c r="G163" s="1">
        <v>30144.6</v>
      </c>
      <c r="H163" s="1">
        <v>363559</v>
      </c>
      <c r="I163" s="1">
        <v>485753</v>
      </c>
      <c r="J163" s="1">
        <v>45074.5</v>
      </c>
      <c r="K163" s="1">
        <v>87448.9</v>
      </c>
      <c r="L163" s="1">
        <v>82984.2</v>
      </c>
      <c r="M163" s="1">
        <v>47744.2</v>
      </c>
      <c r="N163" s="1">
        <v>61594.400000000001</v>
      </c>
      <c r="O163" s="1">
        <v>76947.600000000006</v>
      </c>
      <c r="P163" s="1">
        <v>50918</v>
      </c>
      <c r="Q163" s="1">
        <v>79294</v>
      </c>
      <c r="R163" s="1">
        <v>0</v>
      </c>
    </row>
    <row r="164" spans="1:18">
      <c r="A164" s="3">
        <v>45878.750004398149</v>
      </c>
      <c r="B164" s="1">
        <v>111720</v>
      </c>
      <c r="C164" s="1">
        <v>997034</v>
      </c>
      <c r="D164" s="1">
        <v>32447.3</v>
      </c>
      <c r="E164" s="1">
        <v>0</v>
      </c>
      <c r="F164" s="1">
        <v>393498</v>
      </c>
      <c r="G164" s="1">
        <v>30197.1</v>
      </c>
      <c r="H164" s="1">
        <v>363578</v>
      </c>
      <c r="I164" s="1">
        <v>485976</v>
      </c>
      <c r="J164" s="1">
        <v>45082.400000000001</v>
      </c>
      <c r="K164" s="1">
        <v>87452.1</v>
      </c>
      <c r="L164" s="1">
        <v>83010.600000000006</v>
      </c>
      <c r="M164" s="1">
        <v>47783.8</v>
      </c>
      <c r="N164" s="1">
        <v>61647.8</v>
      </c>
      <c r="O164" s="1">
        <v>76967.7</v>
      </c>
      <c r="P164" s="1">
        <v>50918</v>
      </c>
      <c r="Q164" s="1">
        <v>79294</v>
      </c>
      <c r="R164" s="1">
        <v>0</v>
      </c>
    </row>
    <row r="165" spans="1:18">
      <c r="A165" s="3">
        <v>45878.791671122686</v>
      </c>
      <c r="B165" s="1">
        <v>112380</v>
      </c>
      <c r="C165" s="1">
        <v>997193</v>
      </c>
      <c r="D165" s="1">
        <v>32462.1</v>
      </c>
      <c r="E165" s="1">
        <v>0</v>
      </c>
      <c r="F165" s="1">
        <v>393515</v>
      </c>
      <c r="G165" s="1">
        <v>30250.5</v>
      </c>
      <c r="H165" s="1">
        <v>363598</v>
      </c>
      <c r="I165" s="1">
        <v>486178</v>
      </c>
      <c r="J165" s="1">
        <v>45091.1</v>
      </c>
      <c r="K165" s="1">
        <v>87454.8</v>
      </c>
      <c r="L165" s="1">
        <v>83036.7</v>
      </c>
      <c r="M165" s="1">
        <v>47823.5</v>
      </c>
      <c r="N165" s="1">
        <v>61701.9</v>
      </c>
      <c r="O165" s="1">
        <v>76982</v>
      </c>
      <c r="P165" s="1">
        <v>50918</v>
      </c>
      <c r="Q165" s="1">
        <v>79294</v>
      </c>
      <c r="R165" s="1">
        <v>0</v>
      </c>
    </row>
    <row r="166" spans="1:18">
      <c r="A166" s="3">
        <v>45878.833337847223</v>
      </c>
      <c r="B166" s="1">
        <v>113041</v>
      </c>
      <c r="C166" s="1">
        <v>997354</v>
      </c>
      <c r="D166" s="1">
        <v>32477.4</v>
      </c>
      <c r="E166" s="1">
        <v>0</v>
      </c>
      <c r="F166" s="1">
        <v>393532</v>
      </c>
      <c r="G166" s="1">
        <v>30303.7</v>
      </c>
      <c r="H166" s="1">
        <v>363617</v>
      </c>
      <c r="I166" s="1">
        <v>486377</v>
      </c>
      <c r="J166" s="1">
        <v>45099.3</v>
      </c>
      <c r="K166" s="1">
        <v>87457.5</v>
      </c>
      <c r="L166" s="1">
        <v>83063.5</v>
      </c>
      <c r="M166" s="1">
        <v>47863.3</v>
      </c>
      <c r="N166" s="1">
        <v>61756.5</v>
      </c>
      <c r="O166" s="1">
        <v>76998.600000000006</v>
      </c>
      <c r="P166" s="1">
        <v>50918</v>
      </c>
      <c r="Q166" s="1">
        <v>79294</v>
      </c>
      <c r="R166" s="1">
        <v>0</v>
      </c>
    </row>
    <row r="167" spans="1:18">
      <c r="A167" s="3">
        <v>45878.875004571761</v>
      </c>
      <c r="B167" s="1">
        <v>113703</v>
      </c>
      <c r="C167" s="1">
        <v>997517</v>
      </c>
      <c r="D167" s="1">
        <v>32492.9</v>
      </c>
      <c r="E167" s="1">
        <v>0</v>
      </c>
      <c r="F167" s="1">
        <v>393549</v>
      </c>
      <c r="G167" s="1">
        <v>30357.4</v>
      </c>
      <c r="H167" s="1">
        <v>363636</v>
      </c>
      <c r="I167" s="1">
        <v>486578</v>
      </c>
      <c r="J167" s="1">
        <v>45108.4</v>
      </c>
      <c r="K167" s="1">
        <v>87460.4</v>
      </c>
      <c r="L167" s="1">
        <v>83088.800000000003</v>
      </c>
      <c r="M167" s="1">
        <v>47901.9</v>
      </c>
      <c r="N167" s="1">
        <v>61810.7</v>
      </c>
      <c r="O167" s="1">
        <v>77015.100000000006</v>
      </c>
      <c r="P167" s="1">
        <v>50918</v>
      </c>
      <c r="Q167" s="1">
        <v>79294</v>
      </c>
      <c r="R167" s="1">
        <v>0</v>
      </c>
    </row>
    <row r="168" spans="1:18">
      <c r="A168" s="3">
        <v>45878.916671296298</v>
      </c>
      <c r="B168" s="1">
        <v>114351</v>
      </c>
      <c r="C168" s="1">
        <v>997676</v>
      </c>
      <c r="D168" s="1">
        <v>32507.1</v>
      </c>
      <c r="E168" s="1">
        <v>0</v>
      </c>
      <c r="F168" s="1">
        <v>393566</v>
      </c>
      <c r="G168" s="1">
        <v>30411.9</v>
      </c>
      <c r="H168" s="1">
        <v>363650</v>
      </c>
      <c r="I168" s="1">
        <v>486776</v>
      </c>
      <c r="J168" s="1">
        <v>45116.4</v>
      </c>
      <c r="K168" s="1">
        <v>87463.1</v>
      </c>
      <c r="L168" s="1">
        <v>83113.600000000006</v>
      </c>
      <c r="M168" s="1">
        <v>47939.5</v>
      </c>
      <c r="N168" s="1">
        <v>61865.2</v>
      </c>
      <c r="O168" s="1">
        <v>77030.7</v>
      </c>
      <c r="P168" s="1">
        <v>50918</v>
      </c>
      <c r="Q168" s="1">
        <v>79294</v>
      </c>
      <c r="R168" s="1">
        <v>0</v>
      </c>
    </row>
    <row r="169" spans="1:18">
      <c r="A169" s="3">
        <v>45878.958338020835</v>
      </c>
      <c r="B169" s="1">
        <v>114993</v>
      </c>
      <c r="C169" s="1">
        <v>997833</v>
      </c>
      <c r="D169" s="1">
        <v>32520.5</v>
      </c>
      <c r="E169" s="1">
        <v>0</v>
      </c>
      <c r="F169" s="1">
        <v>393581</v>
      </c>
      <c r="G169" s="1">
        <v>30467.3</v>
      </c>
      <c r="H169" s="1">
        <v>363664</v>
      </c>
      <c r="I169" s="1">
        <v>486972</v>
      </c>
      <c r="J169" s="1">
        <v>45125.4</v>
      </c>
      <c r="K169" s="1">
        <v>87465.9</v>
      </c>
      <c r="L169" s="1">
        <v>83138.7</v>
      </c>
      <c r="M169" s="1">
        <v>47976.9</v>
      </c>
      <c r="N169" s="1">
        <v>61919.199999999997</v>
      </c>
      <c r="O169" s="1">
        <v>77047.600000000006</v>
      </c>
      <c r="P169" s="1">
        <v>50918</v>
      </c>
      <c r="Q169" s="1">
        <v>79294</v>
      </c>
      <c r="R169" s="1">
        <v>0</v>
      </c>
    </row>
    <row r="170" spans="1:18">
      <c r="A170" s="3">
        <v>45879.000004745372</v>
      </c>
      <c r="B170" s="1">
        <v>115618</v>
      </c>
      <c r="C170" s="1">
        <v>997983</v>
      </c>
      <c r="D170" s="1">
        <v>32533.3</v>
      </c>
      <c r="E170" s="1">
        <v>0</v>
      </c>
      <c r="F170" s="1">
        <v>393595</v>
      </c>
      <c r="G170" s="1">
        <v>30522.2</v>
      </c>
      <c r="H170" s="1">
        <v>363677</v>
      </c>
      <c r="I170" s="1">
        <v>487165</v>
      </c>
      <c r="J170" s="1">
        <v>45133.3</v>
      </c>
      <c r="K170" s="1">
        <v>87468.7</v>
      </c>
      <c r="L170" s="1">
        <v>83162.600000000006</v>
      </c>
      <c r="M170" s="1">
        <v>48013.4</v>
      </c>
      <c r="N170" s="1">
        <v>61973.4</v>
      </c>
      <c r="O170" s="1">
        <v>77063</v>
      </c>
      <c r="P170" s="1">
        <v>50918</v>
      </c>
      <c r="Q170" s="1">
        <v>79294</v>
      </c>
      <c r="R170" s="1">
        <v>0</v>
      </c>
    </row>
    <row r="171" spans="1:18">
      <c r="A171" s="3">
        <v>45879.041671469909</v>
      </c>
      <c r="B171" s="1">
        <v>116245</v>
      </c>
      <c r="C171" s="1">
        <v>998134</v>
      </c>
      <c r="D171" s="1">
        <v>32546.6</v>
      </c>
      <c r="E171" s="1">
        <v>0</v>
      </c>
      <c r="F171" s="1">
        <v>393608</v>
      </c>
      <c r="G171" s="1">
        <v>30577.3</v>
      </c>
      <c r="H171" s="1">
        <v>363692</v>
      </c>
      <c r="I171" s="1">
        <v>487357</v>
      </c>
      <c r="J171" s="1">
        <v>45142.1</v>
      </c>
      <c r="K171" s="1">
        <v>87471.6</v>
      </c>
      <c r="L171" s="1">
        <v>83185.2</v>
      </c>
      <c r="M171" s="1">
        <v>48050.1</v>
      </c>
      <c r="N171" s="1">
        <v>62027.9</v>
      </c>
      <c r="O171" s="1">
        <v>77077.3</v>
      </c>
      <c r="P171" s="1">
        <v>50918</v>
      </c>
      <c r="Q171" s="1">
        <v>79294</v>
      </c>
      <c r="R171" s="1">
        <v>0</v>
      </c>
    </row>
    <row r="172" spans="1:18">
      <c r="A172" s="3">
        <v>45879.083338194447</v>
      </c>
      <c r="B172" s="1">
        <v>116865</v>
      </c>
      <c r="C172" s="1">
        <v>998285</v>
      </c>
      <c r="D172" s="1">
        <v>32559.9</v>
      </c>
      <c r="E172" s="1">
        <v>0</v>
      </c>
      <c r="F172" s="1">
        <v>393621</v>
      </c>
      <c r="G172" s="1">
        <v>30631.7</v>
      </c>
      <c r="H172" s="1">
        <v>363705</v>
      </c>
      <c r="I172" s="1">
        <v>487547</v>
      </c>
      <c r="J172" s="1">
        <v>45150</v>
      </c>
      <c r="K172" s="1">
        <v>87474.7</v>
      </c>
      <c r="L172" s="1">
        <v>83207.100000000006</v>
      </c>
      <c r="M172" s="1">
        <v>48086.8</v>
      </c>
      <c r="N172" s="1">
        <v>62081.8</v>
      </c>
      <c r="O172" s="1">
        <v>77093.8</v>
      </c>
      <c r="P172" s="1">
        <v>50918</v>
      </c>
      <c r="Q172" s="1">
        <v>79294</v>
      </c>
      <c r="R172" s="1">
        <v>0</v>
      </c>
    </row>
    <row r="173" spans="1:18">
      <c r="A173" s="3">
        <v>45879.125004918984</v>
      </c>
      <c r="B173" s="1">
        <v>117484</v>
      </c>
      <c r="C173" s="1">
        <v>998434</v>
      </c>
      <c r="D173" s="1">
        <v>32572.400000000001</v>
      </c>
      <c r="E173" s="1">
        <v>0</v>
      </c>
      <c r="F173" s="1">
        <v>393633</v>
      </c>
      <c r="G173" s="1">
        <v>30686.7</v>
      </c>
      <c r="H173" s="1">
        <v>363720</v>
      </c>
      <c r="I173" s="1">
        <v>487740</v>
      </c>
      <c r="J173" s="1">
        <v>45158.6</v>
      </c>
      <c r="K173" s="1">
        <v>87478.1</v>
      </c>
      <c r="L173" s="1">
        <v>83228.2</v>
      </c>
      <c r="M173" s="1">
        <v>48123.8</v>
      </c>
      <c r="N173" s="1">
        <v>62135.4</v>
      </c>
      <c r="O173" s="1">
        <v>77108.800000000003</v>
      </c>
      <c r="P173" s="1">
        <v>50918</v>
      </c>
      <c r="Q173" s="1">
        <v>79294</v>
      </c>
      <c r="R173" s="1">
        <v>0</v>
      </c>
    </row>
    <row r="174" spans="1:18">
      <c r="A174" s="3">
        <v>45879.166671643521</v>
      </c>
      <c r="B174" s="1">
        <v>118095</v>
      </c>
      <c r="C174" s="1">
        <v>998584</v>
      </c>
      <c r="D174" s="1">
        <v>32585.9</v>
      </c>
      <c r="E174" s="1">
        <v>0</v>
      </c>
      <c r="F174" s="1">
        <v>393645</v>
      </c>
      <c r="G174" s="1">
        <v>30740.7</v>
      </c>
      <c r="H174" s="1">
        <v>363733</v>
      </c>
      <c r="I174" s="1">
        <v>487928</v>
      </c>
      <c r="J174" s="1">
        <v>45166.8</v>
      </c>
      <c r="K174" s="1">
        <v>87481.2</v>
      </c>
      <c r="L174" s="1">
        <v>83247.7</v>
      </c>
      <c r="M174" s="1">
        <v>48160.7</v>
      </c>
      <c r="N174" s="1">
        <v>62189.7</v>
      </c>
      <c r="O174" s="1">
        <v>77123.899999999994</v>
      </c>
      <c r="P174" s="1">
        <v>50918</v>
      </c>
      <c r="Q174" s="1">
        <v>79294</v>
      </c>
      <c r="R174" s="1">
        <v>0</v>
      </c>
    </row>
    <row r="175" spans="1:18">
      <c r="A175" s="3">
        <v>45879.208338368058</v>
      </c>
      <c r="B175" s="1">
        <v>118705</v>
      </c>
      <c r="C175" s="1">
        <v>998732</v>
      </c>
      <c r="D175" s="1">
        <v>32598.799999999999</v>
      </c>
      <c r="E175" s="1">
        <v>0</v>
      </c>
      <c r="F175" s="1">
        <v>393658</v>
      </c>
      <c r="G175" s="1">
        <v>30794.1</v>
      </c>
      <c r="H175" s="1">
        <v>363747</v>
      </c>
      <c r="I175" s="1">
        <v>488116</v>
      </c>
      <c r="J175" s="1">
        <v>45175.3</v>
      </c>
      <c r="K175" s="1">
        <v>87484.3</v>
      </c>
      <c r="L175" s="1">
        <v>83266.600000000006</v>
      </c>
      <c r="M175" s="1">
        <v>48197.3</v>
      </c>
      <c r="N175" s="1">
        <v>62243.8</v>
      </c>
      <c r="O175" s="1">
        <v>77139.7</v>
      </c>
      <c r="P175" s="1">
        <v>50918</v>
      </c>
      <c r="Q175" s="1">
        <v>79294</v>
      </c>
      <c r="R175" s="1">
        <v>0</v>
      </c>
    </row>
    <row r="176" spans="1:18">
      <c r="A176" s="3">
        <v>45879.250005092596</v>
      </c>
      <c r="B176" s="1">
        <v>119312</v>
      </c>
      <c r="C176" s="1">
        <v>998881</v>
      </c>
      <c r="D176" s="1">
        <v>32612.1</v>
      </c>
      <c r="E176" s="1">
        <v>0</v>
      </c>
      <c r="F176" s="1">
        <v>393670</v>
      </c>
      <c r="G176" s="1">
        <v>30846.799999999999</v>
      </c>
      <c r="H176" s="1">
        <v>363760</v>
      </c>
      <c r="I176" s="1">
        <v>488302</v>
      </c>
      <c r="J176" s="1">
        <v>45184</v>
      </c>
      <c r="K176" s="1">
        <v>87487.5</v>
      </c>
      <c r="L176" s="1">
        <v>83285.100000000006</v>
      </c>
      <c r="M176" s="1">
        <v>48233.8</v>
      </c>
      <c r="N176" s="1">
        <v>62297.4</v>
      </c>
      <c r="O176" s="1">
        <v>77154.8</v>
      </c>
      <c r="P176" s="1">
        <v>50918</v>
      </c>
      <c r="Q176" s="1">
        <v>79294</v>
      </c>
      <c r="R176" s="1">
        <v>0</v>
      </c>
    </row>
    <row r="177" spans="1:18">
      <c r="A177" s="3">
        <v>45879.291671817133</v>
      </c>
      <c r="B177" s="1">
        <v>119920</v>
      </c>
      <c r="C177" s="1">
        <v>999028</v>
      </c>
      <c r="D177" s="1">
        <v>32625</v>
      </c>
      <c r="E177" s="1">
        <v>0</v>
      </c>
      <c r="F177" s="1">
        <v>393683</v>
      </c>
      <c r="G177" s="1">
        <v>30900.2</v>
      </c>
      <c r="H177" s="1">
        <v>363774</v>
      </c>
      <c r="I177" s="1">
        <v>488491</v>
      </c>
      <c r="J177" s="1">
        <v>45192.1</v>
      </c>
      <c r="K177" s="1">
        <v>87490.4</v>
      </c>
      <c r="L177" s="1">
        <v>83303</v>
      </c>
      <c r="M177" s="1">
        <v>48270.7</v>
      </c>
      <c r="N177" s="1">
        <v>62351.6</v>
      </c>
      <c r="O177" s="1">
        <v>77169.100000000006</v>
      </c>
      <c r="P177" s="1">
        <v>50918</v>
      </c>
      <c r="Q177" s="1">
        <v>79294</v>
      </c>
      <c r="R177" s="1">
        <v>0</v>
      </c>
    </row>
    <row r="178" spans="1:18">
      <c r="A178" s="3">
        <v>45879.33333854167</v>
      </c>
      <c r="B178" s="1">
        <v>120522</v>
      </c>
      <c r="C178" s="1">
        <v>999173</v>
      </c>
      <c r="D178" s="1">
        <v>32637.8</v>
      </c>
      <c r="E178" s="1">
        <v>0</v>
      </c>
      <c r="F178" s="1">
        <v>393695</v>
      </c>
      <c r="G178" s="1">
        <v>30952.400000000001</v>
      </c>
      <c r="H178" s="1">
        <v>363788</v>
      </c>
      <c r="I178" s="1">
        <v>488681</v>
      </c>
      <c r="J178" s="1">
        <v>45200.800000000003</v>
      </c>
      <c r="K178" s="1">
        <v>87493.9</v>
      </c>
      <c r="L178" s="1">
        <v>83320</v>
      </c>
      <c r="M178" s="1">
        <v>48307.6</v>
      </c>
      <c r="N178" s="1">
        <v>62405</v>
      </c>
      <c r="O178" s="1">
        <v>77183.5</v>
      </c>
      <c r="P178" s="1">
        <v>50918</v>
      </c>
      <c r="Q178" s="1">
        <v>79294</v>
      </c>
      <c r="R178" s="1">
        <v>0</v>
      </c>
    </row>
    <row r="179" spans="1:18">
      <c r="A179" s="3">
        <v>45879.375005266207</v>
      </c>
      <c r="B179" s="1">
        <v>121134</v>
      </c>
      <c r="C179" s="1">
        <v>999321</v>
      </c>
      <c r="D179" s="1">
        <v>32650.9</v>
      </c>
      <c r="E179" s="1">
        <v>0</v>
      </c>
      <c r="F179" s="1">
        <v>393707</v>
      </c>
      <c r="G179" s="1">
        <v>31003.4</v>
      </c>
      <c r="H179" s="1">
        <v>363803</v>
      </c>
      <c r="I179" s="1">
        <v>488875</v>
      </c>
      <c r="J179" s="1">
        <v>45208.6</v>
      </c>
      <c r="K179" s="1">
        <v>87496.4</v>
      </c>
      <c r="L179" s="1">
        <v>83337.5</v>
      </c>
      <c r="M179" s="1">
        <v>48344.4</v>
      </c>
      <c r="N179" s="1">
        <v>62458.8</v>
      </c>
      <c r="O179" s="1">
        <v>77199.3</v>
      </c>
      <c r="P179" s="1">
        <v>50919</v>
      </c>
      <c r="Q179" s="1">
        <v>79295</v>
      </c>
      <c r="R179" s="1">
        <v>0</v>
      </c>
    </row>
    <row r="180" spans="1:18">
      <c r="A180" s="3">
        <v>45879.416671990744</v>
      </c>
      <c r="B180" s="1">
        <v>121750</v>
      </c>
      <c r="C180" s="1">
        <v>999471</v>
      </c>
      <c r="D180" s="1">
        <v>32663.5</v>
      </c>
      <c r="E180" s="1">
        <v>0</v>
      </c>
      <c r="F180" s="1">
        <v>393720</v>
      </c>
      <c r="G180" s="1">
        <v>31054</v>
      </c>
      <c r="H180" s="1">
        <v>363817</v>
      </c>
      <c r="I180" s="1">
        <v>489073</v>
      </c>
      <c r="J180" s="1">
        <v>45217.3</v>
      </c>
      <c r="K180" s="1">
        <v>87498.7</v>
      </c>
      <c r="L180" s="1">
        <v>83355</v>
      </c>
      <c r="M180" s="1">
        <v>48380.9</v>
      </c>
      <c r="N180" s="1">
        <v>62511.8</v>
      </c>
      <c r="O180" s="1">
        <v>77214.8</v>
      </c>
      <c r="P180" s="1">
        <v>50919</v>
      </c>
      <c r="Q180" s="1">
        <v>79296</v>
      </c>
      <c r="R180" s="1">
        <v>0</v>
      </c>
    </row>
    <row r="181" spans="1:18">
      <c r="A181" s="3">
        <v>45879.458338715274</v>
      </c>
      <c r="B181" s="1">
        <v>122382</v>
      </c>
      <c r="C181" s="1">
        <v>999626</v>
      </c>
      <c r="D181" s="1">
        <v>32680</v>
      </c>
      <c r="E181" s="1">
        <v>0</v>
      </c>
      <c r="F181" s="1">
        <v>393733</v>
      </c>
      <c r="G181" s="1">
        <v>31106.1</v>
      </c>
      <c r="H181" s="1">
        <v>363831</v>
      </c>
      <c r="I181" s="1">
        <v>489274</v>
      </c>
      <c r="J181" s="1">
        <v>45226.2</v>
      </c>
      <c r="K181" s="1">
        <v>87501.5</v>
      </c>
      <c r="L181" s="1">
        <v>83373.2</v>
      </c>
      <c r="M181" s="1">
        <v>48417.599999999999</v>
      </c>
      <c r="N181" s="1">
        <v>62565.3</v>
      </c>
      <c r="O181" s="1">
        <v>77229.899999999994</v>
      </c>
      <c r="P181" s="1">
        <v>50920</v>
      </c>
      <c r="Q181" s="1">
        <v>79296</v>
      </c>
      <c r="R181" s="1">
        <v>0</v>
      </c>
    </row>
    <row r="182" spans="1:18">
      <c r="A182" s="3">
        <v>45879.500005439812</v>
      </c>
      <c r="B182" s="1">
        <v>123012</v>
      </c>
      <c r="C182" s="1">
        <v>999782</v>
      </c>
      <c r="D182" s="1">
        <v>32695</v>
      </c>
      <c r="E182" s="1">
        <v>0</v>
      </c>
      <c r="F182" s="1">
        <v>393746</v>
      </c>
      <c r="G182" s="1">
        <v>31158.7</v>
      </c>
      <c r="H182" s="1">
        <v>363845</v>
      </c>
      <c r="I182" s="1">
        <v>489475</v>
      </c>
      <c r="J182" s="1">
        <v>45235.1</v>
      </c>
      <c r="K182" s="1">
        <v>87504.6</v>
      </c>
      <c r="L182" s="1">
        <v>83390.8</v>
      </c>
      <c r="M182" s="1">
        <v>48454.6</v>
      </c>
      <c r="N182" s="1">
        <v>62619.5</v>
      </c>
      <c r="O182" s="1">
        <v>77244.600000000006</v>
      </c>
      <c r="P182" s="1">
        <v>50920</v>
      </c>
      <c r="Q182" s="1">
        <v>79296</v>
      </c>
      <c r="R182" s="1">
        <v>0</v>
      </c>
    </row>
    <row r="183" spans="1:18">
      <c r="A183" s="3">
        <v>45879.541672164349</v>
      </c>
      <c r="B183" s="1">
        <v>123630</v>
      </c>
      <c r="C183" s="5">
        <v>999934</v>
      </c>
      <c r="D183" s="1">
        <v>32708</v>
      </c>
      <c r="E183" s="1">
        <v>0</v>
      </c>
      <c r="F183" s="1">
        <v>393758</v>
      </c>
      <c r="G183" s="1">
        <v>31213</v>
      </c>
      <c r="H183" s="1">
        <v>363859</v>
      </c>
      <c r="I183" s="1">
        <v>489672</v>
      </c>
      <c r="J183" s="1">
        <v>45242.6</v>
      </c>
      <c r="K183" s="1">
        <v>87508</v>
      </c>
      <c r="L183" s="1">
        <v>83407.600000000006</v>
      </c>
      <c r="M183" s="1">
        <v>48490.5</v>
      </c>
      <c r="N183" s="1">
        <v>62673.2</v>
      </c>
      <c r="O183" s="1">
        <v>77258.8</v>
      </c>
      <c r="P183" s="1">
        <v>50920</v>
      </c>
      <c r="Q183" s="1">
        <v>79296</v>
      </c>
      <c r="R183" s="1">
        <v>0</v>
      </c>
    </row>
    <row r="184" spans="1:18">
      <c r="A184" s="3">
        <v>45879.583338888886</v>
      </c>
      <c r="B184" s="1">
        <v>124254</v>
      </c>
      <c r="C184" s="5">
        <v>84</v>
      </c>
      <c r="D184" s="1">
        <v>32721.7</v>
      </c>
      <c r="E184" s="1">
        <v>0</v>
      </c>
      <c r="F184" s="1">
        <v>393770</v>
      </c>
      <c r="G184" s="1">
        <v>31268.400000000001</v>
      </c>
      <c r="H184" s="1">
        <v>363872</v>
      </c>
      <c r="I184" s="1">
        <v>489870</v>
      </c>
      <c r="J184" s="1">
        <v>45251.1</v>
      </c>
      <c r="K184" s="1">
        <v>87511.2</v>
      </c>
      <c r="L184" s="1">
        <v>83426.7</v>
      </c>
      <c r="M184" s="1">
        <v>48527.199999999997</v>
      </c>
      <c r="N184" s="1">
        <v>62727.1</v>
      </c>
      <c r="O184" s="1">
        <v>77273.100000000006</v>
      </c>
      <c r="P184" s="1">
        <v>50920</v>
      </c>
      <c r="Q184" s="1">
        <v>79296</v>
      </c>
      <c r="R184" s="1">
        <v>0</v>
      </c>
    </row>
    <row r="185" spans="1:18">
      <c r="A185" s="3">
        <v>45879.625005613423</v>
      </c>
      <c r="B185" s="1">
        <v>124862</v>
      </c>
      <c r="C185" s="1">
        <v>233</v>
      </c>
      <c r="D185" s="1">
        <v>32736.1</v>
      </c>
      <c r="E185" s="1">
        <v>0</v>
      </c>
      <c r="F185" s="1">
        <v>393783</v>
      </c>
      <c r="G185" s="1">
        <v>31322.799999999999</v>
      </c>
      <c r="H185" s="1">
        <v>363886</v>
      </c>
      <c r="I185" s="1">
        <v>490056</v>
      </c>
      <c r="J185" s="1">
        <v>45258.8</v>
      </c>
      <c r="K185" s="1">
        <v>87514.6</v>
      </c>
      <c r="L185" s="1">
        <v>83446.3</v>
      </c>
      <c r="M185" s="1">
        <v>48563</v>
      </c>
      <c r="N185" s="1">
        <v>62780.9</v>
      </c>
      <c r="O185" s="1">
        <v>77287</v>
      </c>
      <c r="P185" s="1">
        <v>50920</v>
      </c>
      <c r="Q185" s="1">
        <v>79296</v>
      </c>
      <c r="R185" s="1">
        <v>0</v>
      </c>
    </row>
    <row r="186" spans="1:18">
      <c r="A186" s="3">
        <v>45879.66667233796</v>
      </c>
      <c r="B186" s="1">
        <v>125465</v>
      </c>
      <c r="C186" s="1">
        <v>379</v>
      </c>
      <c r="D186" s="1">
        <v>32750.400000000001</v>
      </c>
      <c r="E186" s="1">
        <v>0</v>
      </c>
      <c r="F186" s="1">
        <v>393795</v>
      </c>
      <c r="G186" s="1">
        <v>31376.400000000001</v>
      </c>
      <c r="H186" s="1">
        <v>363899</v>
      </c>
      <c r="I186" s="1">
        <v>490243</v>
      </c>
      <c r="J186" s="1">
        <v>45267.5</v>
      </c>
      <c r="K186" s="1">
        <v>87517.9</v>
      </c>
      <c r="L186" s="1">
        <v>83464.899999999994</v>
      </c>
      <c r="M186" s="1">
        <v>48598.6</v>
      </c>
      <c r="N186" s="1">
        <v>62834.6</v>
      </c>
      <c r="O186" s="1">
        <v>77300.800000000003</v>
      </c>
      <c r="P186" s="1">
        <v>50920</v>
      </c>
      <c r="Q186" s="1">
        <v>79296</v>
      </c>
      <c r="R186" s="1">
        <v>0</v>
      </c>
    </row>
    <row r="187" spans="1:18">
      <c r="A187" s="3">
        <v>45879.708339062498</v>
      </c>
      <c r="B187" s="1">
        <v>126090</v>
      </c>
      <c r="C187" s="1">
        <v>528</v>
      </c>
      <c r="D187" s="1">
        <v>32765.5</v>
      </c>
      <c r="E187" s="1">
        <v>0</v>
      </c>
      <c r="F187" s="1">
        <v>393808</v>
      </c>
      <c r="G187" s="1">
        <v>31430.2</v>
      </c>
      <c r="H187" s="1">
        <v>363914</v>
      </c>
      <c r="I187" s="1">
        <v>490439</v>
      </c>
      <c r="J187" s="1">
        <v>45275.4</v>
      </c>
      <c r="K187" s="1">
        <v>87521.7</v>
      </c>
      <c r="L187" s="1">
        <v>83484.399999999994</v>
      </c>
      <c r="M187" s="1">
        <v>48635.4</v>
      </c>
      <c r="N187" s="1">
        <v>62888.5</v>
      </c>
      <c r="O187" s="1">
        <v>77316.600000000006</v>
      </c>
      <c r="P187" s="1">
        <v>50920</v>
      </c>
      <c r="Q187" s="1">
        <v>79296</v>
      </c>
      <c r="R187" s="1">
        <v>0</v>
      </c>
    </row>
    <row r="188" spans="1:18">
      <c r="A188" s="3">
        <v>45879.750005787035</v>
      </c>
      <c r="B188" s="1">
        <v>126724</v>
      </c>
      <c r="C188" s="1">
        <v>679</v>
      </c>
      <c r="D188" s="1">
        <v>32780</v>
      </c>
      <c r="E188" s="1">
        <v>0</v>
      </c>
      <c r="F188" s="1">
        <v>393821</v>
      </c>
      <c r="G188" s="1">
        <v>31482.5</v>
      </c>
      <c r="H188" s="1">
        <v>363927</v>
      </c>
      <c r="I188" s="1">
        <v>490646</v>
      </c>
      <c r="J188" s="1">
        <v>45284</v>
      </c>
      <c r="K188" s="1">
        <v>87525.4</v>
      </c>
      <c r="L188" s="1">
        <v>83504.100000000006</v>
      </c>
      <c r="M188" s="1">
        <v>48672.6</v>
      </c>
      <c r="N188" s="1">
        <v>62942.1</v>
      </c>
      <c r="O188" s="1">
        <v>77331.5</v>
      </c>
      <c r="P188" s="1">
        <v>50920</v>
      </c>
      <c r="Q188" s="1">
        <v>79296</v>
      </c>
      <c r="R188" s="1">
        <v>0</v>
      </c>
    </row>
    <row r="189" spans="1:18">
      <c r="A189" s="3">
        <v>45879.791672511572</v>
      </c>
      <c r="B189" s="1">
        <v>127380</v>
      </c>
      <c r="C189" s="1">
        <v>843</v>
      </c>
      <c r="D189" s="1">
        <v>32793.800000000003</v>
      </c>
      <c r="E189" s="1">
        <v>0</v>
      </c>
      <c r="F189" s="1">
        <v>393835</v>
      </c>
      <c r="G189" s="1">
        <v>31535</v>
      </c>
      <c r="H189" s="1">
        <v>363941</v>
      </c>
      <c r="I189" s="1">
        <v>490856</v>
      </c>
      <c r="J189" s="1">
        <v>45291.9</v>
      </c>
      <c r="K189" s="1">
        <v>87529.2</v>
      </c>
      <c r="L189" s="1">
        <v>83523.7</v>
      </c>
      <c r="M189" s="1">
        <v>48710.2</v>
      </c>
      <c r="N189" s="1">
        <v>62996.4</v>
      </c>
      <c r="O189" s="1">
        <v>77345.100000000006</v>
      </c>
      <c r="P189" s="1">
        <v>50920</v>
      </c>
      <c r="Q189" s="1">
        <v>79296</v>
      </c>
      <c r="R189" s="1">
        <v>0</v>
      </c>
    </row>
    <row r="190" spans="1:18">
      <c r="A190" s="3">
        <v>45879.833339236109</v>
      </c>
      <c r="B190" s="1">
        <v>128031</v>
      </c>
      <c r="C190" s="1">
        <v>1009</v>
      </c>
      <c r="D190" s="1">
        <v>32807.4</v>
      </c>
      <c r="E190" s="1">
        <v>0</v>
      </c>
      <c r="F190" s="1">
        <v>393849</v>
      </c>
      <c r="G190" s="1">
        <v>31587.8</v>
      </c>
      <c r="H190" s="1">
        <v>363956</v>
      </c>
      <c r="I190" s="1">
        <v>491060</v>
      </c>
      <c r="J190" s="1">
        <v>45300.6</v>
      </c>
      <c r="K190" s="1">
        <v>87533.2</v>
      </c>
      <c r="L190" s="1">
        <v>83543.100000000006</v>
      </c>
      <c r="M190" s="1">
        <v>48748.2</v>
      </c>
      <c r="N190" s="1">
        <v>63050.400000000001</v>
      </c>
      <c r="O190" s="1">
        <v>77359.899999999994</v>
      </c>
      <c r="P190" s="1">
        <v>50920</v>
      </c>
      <c r="Q190" s="1">
        <v>79296</v>
      </c>
      <c r="R190" s="1">
        <v>0</v>
      </c>
    </row>
    <row r="191" spans="1:18">
      <c r="A191" s="3">
        <v>45879.875005960646</v>
      </c>
      <c r="B191" s="1">
        <v>128674</v>
      </c>
      <c r="C191" s="1">
        <v>1165</v>
      </c>
      <c r="D191" s="1">
        <v>32823.199999999997</v>
      </c>
      <c r="E191" s="1">
        <v>0</v>
      </c>
      <c r="F191" s="1">
        <v>393861</v>
      </c>
      <c r="G191" s="1">
        <v>31640.3</v>
      </c>
      <c r="H191" s="1">
        <v>363970</v>
      </c>
      <c r="I191" s="1">
        <v>491265</v>
      </c>
      <c r="J191" s="1">
        <v>45309.5</v>
      </c>
      <c r="K191" s="1">
        <v>87537.1</v>
      </c>
      <c r="L191" s="1">
        <v>83561.5</v>
      </c>
      <c r="M191" s="1">
        <v>48786.2</v>
      </c>
      <c r="N191" s="1">
        <v>63104.4</v>
      </c>
      <c r="O191" s="1">
        <v>77375.7</v>
      </c>
      <c r="P191" s="1">
        <v>50920</v>
      </c>
      <c r="Q191" s="1">
        <v>79296</v>
      </c>
      <c r="R191" s="1">
        <v>0</v>
      </c>
    </row>
    <row r="192" spans="1:18">
      <c r="A192" s="3">
        <v>45879.916672685184</v>
      </c>
      <c r="B192" s="1">
        <v>129308</v>
      </c>
      <c r="C192" s="1">
        <v>1322</v>
      </c>
      <c r="D192" s="1">
        <v>32836.5</v>
      </c>
      <c r="E192" s="1">
        <v>0</v>
      </c>
      <c r="F192" s="1">
        <v>393875</v>
      </c>
      <c r="G192" s="1">
        <v>31692.799999999999</v>
      </c>
      <c r="H192" s="1">
        <v>363984</v>
      </c>
      <c r="I192" s="1">
        <v>491465</v>
      </c>
      <c r="J192" s="1">
        <v>45317.4</v>
      </c>
      <c r="K192" s="1">
        <v>87541</v>
      </c>
      <c r="L192" s="1">
        <v>83579.7</v>
      </c>
      <c r="M192" s="1">
        <v>48823.9</v>
      </c>
      <c r="N192" s="1">
        <v>63158.3</v>
      </c>
      <c r="O192" s="1">
        <v>77391.8</v>
      </c>
      <c r="P192" s="1">
        <v>50920</v>
      </c>
      <c r="Q192" s="1">
        <v>79296</v>
      </c>
      <c r="R192" s="1">
        <v>0</v>
      </c>
    </row>
    <row r="193" spans="1:18">
      <c r="A193" s="3">
        <v>45879.958339409721</v>
      </c>
      <c r="B193" s="1">
        <v>129939</v>
      </c>
      <c r="C193" s="1">
        <v>1475</v>
      </c>
      <c r="D193" s="1">
        <v>32850.6</v>
      </c>
      <c r="E193" s="1">
        <v>0</v>
      </c>
      <c r="F193" s="1">
        <v>393889</v>
      </c>
      <c r="G193" s="1">
        <v>31744.7</v>
      </c>
      <c r="H193" s="1">
        <v>363998</v>
      </c>
      <c r="I193" s="1">
        <v>491662</v>
      </c>
      <c r="J193" s="1">
        <v>45326.3</v>
      </c>
      <c r="K193" s="1">
        <v>87545</v>
      </c>
      <c r="L193" s="1">
        <v>83598.7</v>
      </c>
      <c r="M193" s="1">
        <v>48861.4</v>
      </c>
      <c r="N193" s="1">
        <v>63212</v>
      </c>
      <c r="O193" s="1">
        <v>77407.3</v>
      </c>
      <c r="P193" s="1">
        <v>50920</v>
      </c>
      <c r="Q193" s="1">
        <v>79296</v>
      </c>
      <c r="R193" s="1">
        <v>0</v>
      </c>
    </row>
    <row r="194" spans="1:18">
      <c r="A194" s="3">
        <v>45880.000006134258</v>
      </c>
      <c r="B194" s="1">
        <v>130568</v>
      </c>
      <c r="C194" s="1">
        <v>1628</v>
      </c>
      <c r="D194" s="1">
        <v>32864.300000000003</v>
      </c>
      <c r="E194" s="1">
        <v>0</v>
      </c>
      <c r="F194" s="1">
        <v>393901</v>
      </c>
      <c r="G194" s="1">
        <v>31796.7</v>
      </c>
      <c r="H194" s="1">
        <v>364012</v>
      </c>
      <c r="I194" s="1">
        <v>491862</v>
      </c>
      <c r="J194" s="1">
        <v>45335</v>
      </c>
      <c r="K194" s="1">
        <v>87548.800000000003</v>
      </c>
      <c r="L194" s="1">
        <v>83617.5</v>
      </c>
      <c r="M194" s="1">
        <v>48898.7</v>
      </c>
      <c r="N194" s="1">
        <v>63265.9</v>
      </c>
      <c r="O194" s="1">
        <v>77422.8</v>
      </c>
      <c r="P194" s="1">
        <v>50920</v>
      </c>
      <c r="Q194" s="1">
        <v>79296</v>
      </c>
      <c r="R194" s="1">
        <v>0</v>
      </c>
    </row>
    <row r="195" spans="1:18">
      <c r="A195" s="3">
        <v>45880.041672858795</v>
      </c>
      <c r="B195" s="1">
        <v>131197</v>
      </c>
      <c r="C195" s="1">
        <v>1781</v>
      </c>
      <c r="D195" s="1">
        <v>32877.699999999997</v>
      </c>
      <c r="E195" s="1">
        <v>0</v>
      </c>
      <c r="F195" s="1">
        <v>393914</v>
      </c>
      <c r="G195" s="1">
        <v>31848</v>
      </c>
      <c r="H195" s="1">
        <v>364026</v>
      </c>
      <c r="I195" s="1">
        <v>492064</v>
      </c>
      <c r="J195" s="1">
        <v>45343</v>
      </c>
      <c r="K195" s="1">
        <v>87552.9</v>
      </c>
      <c r="L195" s="1">
        <v>83636.5</v>
      </c>
      <c r="M195" s="1">
        <v>48936.2</v>
      </c>
      <c r="N195" s="1">
        <v>63319.8</v>
      </c>
      <c r="O195" s="1">
        <v>77438.100000000006</v>
      </c>
      <c r="P195" s="1">
        <v>50920</v>
      </c>
      <c r="Q195" s="1">
        <v>79296</v>
      </c>
      <c r="R195" s="1">
        <v>0</v>
      </c>
    </row>
    <row r="196" spans="1:18">
      <c r="A196" s="3">
        <v>45880.083339583332</v>
      </c>
      <c r="B196" s="1">
        <v>131812</v>
      </c>
      <c r="C196" s="1">
        <v>1928</v>
      </c>
      <c r="D196" s="1">
        <v>32891.4</v>
      </c>
      <c r="E196" s="1">
        <v>0</v>
      </c>
      <c r="F196" s="1">
        <v>393926</v>
      </c>
      <c r="G196" s="1">
        <v>31899.8</v>
      </c>
      <c r="H196" s="1">
        <v>364039</v>
      </c>
      <c r="I196" s="1">
        <v>492258</v>
      </c>
      <c r="J196" s="1">
        <v>45351.7</v>
      </c>
      <c r="K196" s="1">
        <v>87557.1</v>
      </c>
      <c r="L196" s="1">
        <v>83655.399999999994</v>
      </c>
      <c r="M196" s="1">
        <v>48973</v>
      </c>
      <c r="N196" s="1">
        <v>63373.599999999999</v>
      </c>
      <c r="O196" s="1">
        <v>77453.5</v>
      </c>
      <c r="P196" s="1">
        <v>50920</v>
      </c>
      <c r="Q196" s="1">
        <v>79296</v>
      </c>
      <c r="R196" s="1">
        <v>0</v>
      </c>
    </row>
    <row r="197" spans="1:18">
      <c r="A197" s="3">
        <v>45880.12500630787</v>
      </c>
      <c r="B197" s="1">
        <v>132422</v>
      </c>
      <c r="C197" s="1">
        <v>2073</v>
      </c>
      <c r="D197" s="1">
        <v>32904.5</v>
      </c>
      <c r="E197" s="1">
        <v>0</v>
      </c>
      <c r="F197" s="1">
        <v>393938</v>
      </c>
      <c r="G197" s="1">
        <v>31952</v>
      </c>
      <c r="H197" s="1">
        <v>364053</v>
      </c>
      <c r="I197" s="1">
        <v>492450</v>
      </c>
      <c r="J197" s="1">
        <v>45360.5</v>
      </c>
      <c r="K197" s="1">
        <v>87561</v>
      </c>
      <c r="L197" s="1">
        <v>83674.100000000006</v>
      </c>
      <c r="M197" s="1">
        <v>49010.5</v>
      </c>
      <c r="N197" s="1">
        <v>63427.3</v>
      </c>
      <c r="O197" s="1">
        <v>77468.2</v>
      </c>
      <c r="P197" s="1">
        <v>50920</v>
      </c>
      <c r="Q197" s="1">
        <v>79296</v>
      </c>
      <c r="R197" s="1">
        <v>0</v>
      </c>
    </row>
    <row r="198" spans="1:18">
      <c r="A198" s="3">
        <v>45880.166673032407</v>
      </c>
      <c r="B198" s="1">
        <v>133029</v>
      </c>
      <c r="C198" s="1">
        <v>2218</v>
      </c>
      <c r="D198" s="1">
        <v>32917.199999999997</v>
      </c>
      <c r="E198" s="1">
        <v>0</v>
      </c>
      <c r="F198" s="1">
        <v>393950</v>
      </c>
      <c r="G198" s="1">
        <v>32003.3</v>
      </c>
      <c r="H198" s="1">
        <v>364068</v>
      </c>
      <c r="I198" s="1">
        <v>492641</v>
      </c>
      <c r="J198" s="1">
        <v>45368.5</v>
      </c>
      <c r="K198" s="1">
        <v>87564.800000000003</v>
      </c>
      <c r="L198" s="1">
        <v>83692.800000000003</v>
      </c>
      <c r="M198" s="1">
        <v>49047.199999999997</v>
      </c>
      <c r="N198" s="1">
        <v>63481.4</v>
      </c>
      <c r="O198" s="1">
        <v>77482.899999999994</v>
      </c>
      <c r="P198" s="1">
        <v>50920</v>
      </c>
      <c r="Q198" s="1">
        <v>79296</v>
      </c>
      <c r="R198" s="1">
        <v>0</v>
      </c>
    </row>
    <row r="199" spans="1:18">
      <c r="A199" s="3">
        <v>45880.208339756944</v>
      </c>
      <c r="B199" s="1">
        <v>133635</v>
      </c>
      <c r="C199" s="1">
        <v>2362</v>
      </c>
      <c r="D199" s="1">
        <v>32929.699999999997</v>
      </c>
      <c r="E199" s="1">
        <v>0</v>
      </c>
      <c r="F199" s="1">
        <v>393962</v>
      </c>
      <c r="G199" s="1">
        <v>32054.7</v>
      </c>
      <c r="H199" s="1">
        <v>364082</v>
      </c>
      <c r="I199" s="1">
        <v>492830</v>
      </c>
      <c r="J199" s="1">
        <v>45377.1</v>
      </c>
      <c r="K199" s="1">
        <v>87568.9</v>
      </c>
      <c r="L199" s="1">
        <v>83711.3</v>
      </c>
      <c r="M199" s="1">
        <v>49084.3</v>
      </c>
      <c r="N199" s="1">
        <v>63535</v>
      </c>
      <c r="O199" s="1">
        <v>77499.3</v>
      </c>
      <c r="P199" s="1">
        <v>50920</v>
      </c>
      <c r="Q199" s="1">
        <v>79296</v>
      </c>
      <c r="R199" s="1">
        <v>0</v>
      </c>
    </row>
    <row r="200" spans="1:18">
      <c r="A200" s="3">
        <v>45880.250006481481</v>
      </c>
      <c r="B200" s="1">
        <v>134236</v>
      </c>
      <c r="C200" s="1">
        <v>2506</v>
      </c>
      <c r="D200" s="1">
        <v>32942.300000000003</v>
      </c>
      <c r="E200" s="1">
        <v>0</v>
      </c>
      <c r="F200" s="1">
        <v>393974</v>
      </c>
      <c r="G200" s="1">
        <v>32106.5</v>
      </c>
      <c r="H200" s="1">
        <v>364095</v>
      </c>
      <c r="I200" s="1">
        <v>493019</v>
      </c>
      <c r="J200" s="1">
        <v>45385</v>
      </c>
      <c r="K200" s="1">
        <v>87572.800000000003</v>
      </c>
      <c r="L200" s="1">
        <v>83729.8</v>
      </c>
      <c r="M200" s="1">
        <v>49120.5</v>
      </c>
      <c r="N200" s="1">
        <v>63588.800000000003</v>
      </c>
      <c r="O200" s="1">
        <v>77514.5</v>
      </c>
      <c r="P200" s="1">
        <v>50920</v>
      </c>
      <c r="Q200" s="1">
        <v>79296</v>
      </c>
      <c r="R200" s="1">
        <v>0</v>
      </c>
    </row>
    <row r="201" spans="1:18">
      <c r="A201" s="3">
        <v>45880.291673206018</v>
      </c>
      <c r="B201" s="1">
        <v>134846</v>
      </c>
      <c r="C201" s="1">
        <v>2655</v>
      </c>
      <c r="D201" s="1">
        <v>32954.9</v>
      </c>
      <c r="E201" s="1">
        <v>0</v>
      </c>
      <c r="F201" s="1">
        <v>393986</v>
      </c>
      <c r="G201" s="1">
        <v>32158.2</v>
      </c>
      <c r="H201" s="1">
        <v>364109</v>
      </c>
      <c r="I201" s="1">
        <v>493208</v>
      </c>
      <c r="J201" s="1">
        <v>45393.7</v>
      </c>
      <c r="K201" s="1">
        <v>87576.8</v>
      </c>
      <c r="L201" s="1">
        <v>83747.8</v>
      </c>
      <c r="M201" s="1">
        <v>49157.4</v>
      </c>
      <c r="N201" s="1">
        <v>63642.400000000001</v>
      </c>
      <c r="O201" s="1">
        <v>77530.600000000006</v>
      </c>
      <c r="P201" s="1">
        <v>50920</v>
      </c>
      <c r="Q201" s="1">
        <v>79296</v>
      </c>
      <c r="R201" s="1">
        <v>0</v>
      </c>
    </row>
    <row r="202" spans="1:18">
      <c r="A202" s="3">
        <v>45880.333339930556</v>
      </c>
      <c r="B202" s="1">
        <v>135440</v>
      </c>
      <c r="C202" s="1">
        <v>2798</v>
      </c>
      <c r="D202" s="1">
        <v>32966.699999999997</v>
      </c>
      <c r="E202" s="1">
        <v>0</v>
      </c>
      <c r="F202" s="1">
        <v>393998</v>
      </c>
      <c r="G202" s="1">
        <v>32209.4</v>
      </c>
      <c r="H202" s="1">
        <v>364122</v>
      </c>
      <c r="I202" s="1">
        <v>493395</v>
      </c>
      <c r="J202" s="1">
        <v>45402.2</v>
      </c>
      <c r="K202" s="1">
        <v>87580.3</v>
      </c>
      <c r="L202" s="1">
        <v>83764.800000000003</v>
      </c>
      <c r="M202" s="1">
        <v>49193.4</v>
      </c>
      <c r="N202" s="1">
        <v>63695.8</v>
      </c>
      <c r="O202" s="1">
        <v>77545.2</v>
      </c>
      <c r="P202" s="1">
        <v>50920</v>
      </c>
      <c r="Q202" s="1">
        <v>79296</v>
      </c>
      <c r="R202" s="1">
        <v>0</v>
      </c>
    </row>
    <row r="203" spans="1:18">
      <c r="A203" s="3">
        <v>45880.375006655093</v>
      </c>
      <c r="B203" s="1">
        <v>136048</v>
      </c>
      <c r="C203" s="1">
        <v>2941</v>
      </c>
      <c r="D203" s="1">
        <v>32979.9</v>
      </c>
      <c r="E203" s="1">
        <v>0</v>
      </c>
      <c r="F203" s="1">
        <v>394010</v>
      </c>
      <c r="G203" s="1">
        <v>32258.799999999999</v>
      </c>
      <c r="H203" s="1">
        <v>364146</v>
      </c>
      <c r="I203" s="1">
        <v>493584</v>
      </c>
      <c r="J203" s="1">
        <v>45409.9</v>
      </c>
      <c r="K203" s="1">
        <v>87583.2</v>
      </c>
      <c r="L203" s="1">
        <v>83781.7</v>
      </c>
      <c r="M203" s="1">
        <v>49229.5</v>
      </c>
      <c r="N203" s="1">
        <v>63749.2</v>
      </c>
      <c r="O203" s="1">
        <v>77561.7</v>
      </c>
      <c r="P203" s="1">
        <v>50920</v>
      </c>
      <c r="Q203" s="1">
        <v>79297</v>
      </c>
      <c r="R203" s="1">
        <v>0</v>
      </c>
    </row>
    <row r="204" spans="1:18">
      <c r="A204" s="3">
        <v>45880.41667337963</v>
      </c>
      <c r="B204" s="1">
        <v>136700</v>
      </c>
      <c r="C204" s="1">
        <v>3086</v>
      </c>
      <c r="D204" s="1">
        <v>32993.300000000003</v>
      </c>
      <c r="E204" s="1">
        <v>0</v>
      </c>
      <c r="F204" s="1">
        <v>394023</v>
      </c>
      <c r="G204" s="1">
        <v>32307.1</v>
      </c>
      <c r="H204" s="1">
        <v>364197</v>
      </c>
      <c r="I204" s="1">
        <v>493789</v>
      </c>
      <c r="J204" s="1">
        <v>45418.400000000001</v>
      </c>
      <c r="K204" s="1">
        <v>87585.1</v>
      </c>
      <c r="L204" s="1">
        <v>83799.600000000006</v>
      </c>
      <c r="M204" s="1">
        <v>49266</v>
      </c>
      <c r="N204" s="1">
        <v>63801.1</v>
      </c>
      <c r="O204" s="1">
        <v>77577.399999999994</v>
      </c>
      <c r="P204" s="1">
        <v>50921</v>
      </c>
      <c r="Q204" s="1">
        <v>79298</v>
      </c>
      <c r="R204" s="1">
        <v>0</v>
      </c>
    </row>
    <row r="205" spans="1:18">
      <c r="A205" s="3">
        <v>45880.458340104167</v>
      </c>
      <c r="B205" s="1">
        <v>137364</v>
      </c>
      <c r="C205" s="1">
        <v>3233</v>
      </c>
      <c r="D205" s="1">
        <v>33010</v>
      </c>
      <c r="E205" s="1">
        <v>0</v>
      </c>
      <c r="F205" s="1">
        <v>394035</v>
      </c>
      <c r="G205" s="1">
        <v>32352.6</v>
      </c>
      <c r="H205" s="1">
        <v>364259</v>
      </c>
      <c r="I205" s="1">
        <v>493995</v>
      </c>
      <c r="J205" s="1">
        <v>45426.3</v>
      </c>
      <c r="K205" s="1">
        <v>87585.4</v>
      </c>
      <c r="L205" s="1">
        <v>83818.2</v>
      </c>
      <c r="M205" s="1">
        <v>49303</v>
      </c>
      <c r="N205" s="1">
        <v>63851</v>
      </c>
      <c r="O205" s="1">
        <v>77593.100000000006</v>
      </c>
      <c r="P205" s="1">
        <v>50924</v>
      </c>
      <c r="Q205" s="1">
        <v>79303</v>
      </c>
      <c r="R205" s="1">
        <v>0</v>
      </c>
    </row>
    <row r="206" spans="1:18">
      <c r="A206" s="3">
        <v>45880.500006828704</v>
      </c>
      <c r="B206" s="1">
        <v>138043</v>
      </c>
      <c r="C206" s="1">
        <v>3384</v>
      </c>
      <c r="D206" s="1">
        <v>33026.699999999997</v>
      </c>
      <c r="E206" s="1">
        <v>0</v>
      </c>
      <c r="F206" s="1">
        <v>394048</v>
      </c>
      <c r="G206" s="1">
        <v>32399.200000000001</v>
      </c>
      <c r="H206" s="1">
        <v>364324</v>
      </c>
      <c r="I206" s="1">
        <v>494213</v>
      </c>
      <c r="J206" s="1">
        <v>45435.5</v>
      </c>
      <c r="K206" s="1">
        <v>87585.4</v>
      </c>
      <c r="L206" s="1">
        <v>83837.100000000006</v>
      </c>
      <c r="M206" s="1">
        <v>49339.7</v>
      </c>
      <c r="N206" s="1">
        <v>63897.9</v>
      </c>
      <c r="O206" s="1">
        <v>77608.5</v>
      </c>
      <c r="P206" s="1">
        <v>50928</v>
      </c>
      <c r="Q206" s="1">
        <v>79310</v>
      </c>
      <c r="R206" s="1">
        <v>0</v>
      </c>
    </row>
    <row r="207" spans="1:18">
      <c r="A207" s="3">
        <v>45880.541673553242</v>
      </c>
      <c r="B207" s="1">
        <v>138724</v>
      </c>
      <c r="C207" s="1">
        <v>3542</v>
      </c>
      <c r="D207" s="1">
        <v>33044.400000000001</v>
      </c>
      <c r="E207" s="1">
        <v>0</v>
      </c>
      <c r="F207" s="1">
        <v>394063</v>
      </c>
      <c r="G207" s="1">
        <v>32450.799999999999</v>
      </c>
      <c r="H207" s="1">
        <v>364368</v>
      </c>
      <c r="I207" s="1">
        <v>494434</v>
      </c>
      <c r="J207" s="1">
        <v>45444.7</v>
      </c>
      <c r="K207" s="1">
        <v>87585.4</v>
      </c>
      <c r="L207" s="1">
        <v>83856.600000000006</v>
      </c>
      <c r="M207" s="1">
        <v>49376.800000000003</v>
      </c>
      <c r="N207" s="1">
        <v>63946.1</v>
      </c>
      <c r="O207" s="1">
        <v>77623.399999999994</v>
      </c>
      <c r="P207" s="1">
        <v>50932</v>
      </c>
      <c r="Q207" s="1">
        <v>79316</v>
      </c>
      <c r="R207" s="1">
        <v>0</v>
      </c>
    </row>
    <row r="208" spans="1:18">
      <c r="A208" s="3">
        <v>45880.583340277779</v>
      </c>
      <c r="B208" s="1">
        <v>139448</v>
      </c>
      <c r="C208" s="1">
        <v>3700</v>
      </c>
      <c r="D208" s="1">
        <v>33064.1</v>
      </c>
      <c r="E208" s="1">
        <v>0</v>
      </c>
      <c r="F208" s="1">
        <v>394077</v>
      </c>
      <c r="G208" s="1">
        <v>32506.1</v>
      </c>
      <c r="H208" s="1">
        <v>364443</v>
      </c>
      <c r="I208" s="1">
        <v>494657</v>
      </c>
      <c r="J208" s="1">
        <v>45453.7</v>
      </c>
      <c r="K208" s="1">
        <v>87586.1</v>
      </c>
      <c r="L208" s="1">
        <v>83875.399999999994</v>
      </c>
      <c r="M208" s="1">
        <v>49414.2</v>
      </c>
      <c r="N208" s="1">
        <v>63995.9</v>
      </c>
      <c r="O208" s="1">
        <v>77639.5</v>
      </c>
      <c r="P208" s="1">
        <v>50934</v>
      </c>
      <c r="Q208" s="1">
        <v>79320</v>
      </c>
      <c r="R208" s="1">
        <v>0</v>
      </c>
    </row>
    <row r="209" spans="1:18">
      <c r="A209" s="3">
        <v>45880.625007002316</v>
      </c>
      <c r="B209" s="1">
        <v>140149</v>
      </c>
      <c r="C209" s="1">
        <v>3856</v>
      </c>
      <c r="D209" s="1">
        <v>33081</v>
      </c>
      <c r="E209" s="1">
        <v>0</v>
      </c>
      <c r="F209" s="1">
        <v>394092</v>
      </c>
      <c r="G209" s="1">
        <v>32567.1</v>
      </c>
      <c r="H209" s="1">
        <v>364500</v>
      </c>
      <c r="I209" s="1">
        <v>494874</v>
      </c>
      <c r="J209" s="1">
        <v>45462.7</v>
      </c>
      <c r="K209" s="1">
        <v>87587.199999999997</v>
      </c>
      <c r="L209" s="1">
        <v>83893.8</v>
      </c>
      <c r="M209" s="1">
        <v>49451.4</v>
      </c>
      <c r="N209" s="1">
        <v>64046.2</v>
      </c>
      <c r="O209" s="1">
        <v>77654.7</v>
      </c>
      <c r="P209" s="1">
        <v>50936</v>
      </c>
      <c r="Q209" s="1">
        <v>79322</v>
      </c>
      <c r="R209" s="1">
        <v>0</v>
      </c>
    </row>
    <row r="210" spans="1:18">
      <c r="A210" s="3">
        <v>45880.666673726853</v>
      </c>
      <c r="B210" s="1">
        <v>140834</v>
      </c>
      <c r="C210" s="1">
        <v>4015</v>
      </c>
      <c r="D210" s="1">
        <v>33098.400000000001</v>
      </c>
      <c r="E210" s="1">
        <v>0</v>
      </c>
      <c r="F210" s="1">
        <v>394107</v>
      </c>
      <c r="G210" s="1">
        <v>32626</v>
      </c>
      <c r="H210" s="1">
        <v>364538</v>
      </c>
      <c r="I210" s="1">
        <v>495091</v>
      </c>
      <c r="J210" s="1">
        <v>45471.4</v>
      </c>
      <c r="K210" s="1">
        <v>87589.7</v>
      </c>
      <c r="L210" s="1">
        <v>83912.8</v>
      </c>
      <c r="M210" s="1">
        <v>49488.2</v>
      </c>
      <c r="N210" s="1">
        <v>64098</v>
      </c>
      <c r="O210" s="1">
        <v>77671</v>
      </c>
      <c r="P210" s="1">
        <v>50936</v>
      </c>
      <c r="Q210" s="1">
        <v>79323</v>
      </c>
      <c r="R210" s="1">
        <v>0</v>
      </c>
    </row>
    <row r="211" spans="1:18">
      <c r="A211" s="3">
        <v>45880.708340451391</v>
      </c>
      <c r="B211" s="1">
        <v>141492</v>
      </c>
      <c r="C211" s="1">
        <v>4173</v>
      </c>
      <c r="D211" s="1">
        <v>33115.9</v>
      </c>
      <c r="E211" s="1">
        <v>0</v>
      </c>
      <c r="F211" s="1">
        <v>394121</v>
      </c>
      <c r="G211" s="1">
        <v>32680.400000000001</v>
      </c>
      <c r="H211" s="1">
        <v>364551</v>
      </c>
      <c r="I211" s="1">
        <v>495308</v>
      </c>
      <c r="J211" s="1">
        <v>45480.3</v>
      </c>
      <c r="K211" s="1">
        <v>87593.3</v>
      </c>
      <c r="L211" s="1">
        <v>83931.1</v>
      </c>
      <c r="M211" s="1">
        <v>49524.9</v>
      </c>
      <c r="N211" s="1">
        <v>64150.400000000001</v>
      </c>
      <c r="O211" s="1">
        <v>77686.899999999994</v>
      </c>
      <c r="P211" s="1">
        <v>50936</v>
      </c>
      <c r="Q211" s="1">
        <v>79323</v>
      </c>
      <c r="R211" s="1">
        <v>0</v>
      </c>
    </row>
    <row r="212" spans="1:18">
      <c r="A212" s="3">
        <v>45880.750007175928</v>
      </c>
      <c r="B212" s="1">
        <v>142141</v>
      </c>
      <c r="C212" s="1">
        <v>4332</v>
      </c>
      <c r="D212" s="1">
        <v>33129.800000000003</v>
      </c>
      <c r="E212" s="1">
        <v>0</v>
      </c>
      <c r="F212" s="1">
        <v>394135</v>
      </c>
      <c r="G212" s="1">
        <v>32736.5</v>
      </c>
      <c r="H212" s="1">
        <v>364562</v>
      </c>
      <c r="I212" s="1">
        <v>495522</v>
      </c>
      <c r="J212" s="1">
        <v>45489</v>
      </c>
      <c r="K212" s="1">
        <v>87596.800000000003</v>
      </c>
      <c r="L212" s="1">
        <v>83949.4</v>
      </c>
      <c r="M212" s="1">
        <v>49562</v>
      </c>
      <c r="N212" s="1">
        <v>64203</v>
      </c>
      <c r="O212" s="1">
        <v>77701.7</v>
      </c>
      <c r="P212" s="1">
        <v>50936</v>
      </c>
      <c r="Q212" s="1">
        <v>79323</v>
      </c>
      <c r="R212" s="1">
        <v>0</v>
      </c>
    </row>
    <row r="213" spans="1:18">
      <c r="A213" s="3">
        <v>45880.791673900465</v>
      </c>
      <c r="B213" s="1">
        <v>142791</v>
      </c>
      <c r="C213" s="1">
        <v>4493</v>
      </c>
      <c r="D213" s="1">
        <v>33144.400000000001</v>
      </c>
      <c r="E213" s="1">
        <v>0</v>
      </c>
      <c r="F213" s="1">
        <v>394148</v>
      </c>
      <c r="G213" s="1">
        <v>32791.199999999997</v>
      </c>
      <c r="H213" s="1">
        <v>364573</v>
      </c>
      <c r="I213" s="1">
        <v>495739</v>
      </c>
      <c r="J213" s="1">
        <v>45497.5</v>
      </c>
      <c r="K213" s="1">
        <v>87600.1</v>
      </c>
      <c r="L213" s="1">
        <v>83967.7</v>
      </c>
      <c r="M213" s="1">
        <v>49599</v>
      </c>
      <c r="N213" s="1">
        <v>64255.5</v>
      </c>
      <c r="O213" s="1">
        <v>77715.8</v>
      </c>
      <c r="P213" s="1">
        <v>50936</v>
      </c>
      <c r="Q213" s="1">
        <v>79323</v>
      </c>
      <c r="R213" s="1">
        <v>0</v>
      </c>
    </row>
    <row r="214" spans="1:18">
      <c r="A214" s="3">
        <v>45880.833340625002</v>
      </c>
      <c r="B214" s="1">
        <v>143420</v>
      </c>
      <c r="C214" s="1">
        <v>4647</v>
      </c>
      <c r="D214" s="1">
        <v>33157.9</v>
      </c>
      <c r="E214" s="1">
        <v>0</v>
      </c>
      <c r="F214" s="1">
        <v>394160</v>
      </c>
      <c r="G214" s="1">
        <v>32846.6</v>
      </c>
      <c r="H214" s="1">
        <v>364584</v>
      </c>
      <c r="I214" s="1">
        <v>495940</v>
      </c>
      <c r="J214" s="1">
        <v>45505.5</v>
      </c>
      <c r="K214" s="1">
        <v>87603.5</v>
      </c>
      <c r="L214" s="1">
        <v>83987.199999999997</v>
      </c>
      <c r="M214" s="1">
        <v>49636.4</v>
      </c>
      <c r="N214" s="1">
        <v>64308.2</v>
      </c>
      <c r="O214" s="1">
        <v>77731.399999999994</v>
      </c>
      <c r="P214" s="1">
        <v>50936</v>
      </c>
      <c r="Q214" s="1">
        <v>79323</v>
      </c>
      <c r="R214" s="1">
        <v>0</v>
      </c>
    </row>
    <row r="215" spans="1:18">
      <c r="A215" s="3">
        <v>45880.875007349539</v>
      </c>
      <c r="B215" s="1">
        <v>144050</v>
      </c>
      <c r="C215" s="1">
        <v>4804</v>
      </c>
      <c r="D215" s="1">
        <v>33172.5</v>
      </c>
      <c r="E215" s="1">
        <v>0</v>
      </c>
      <c r="F215" s="1">
        <v>394174</v>
      </c>
      <c r="G215" s="1">
        <v>32900.9</v>
      </c>
      <c r="H215" s="1">
        <v>364594</v>
      </c>
      <c r="I215" s="1">
        <v>496137</v>
      </c>
      <c r="J215" s="1">
        <v>45514.2</v>
      </c>
      <c r="K215" s="1">
        <v>87607</v>
      </c>
      <c r="L215" s="1">
        <v>84006.3</v>
      </c>
      <c r="M215" s="1">
        <v>49674.1</v>
      </c>
      <c r="N215" s="1">
        <v>64360.9</v>
      </c>
      <c r="O215" s="1">
        <v>77747.3</v>
      </c>
      <c r="P215" s="1">
        <v>50936</v>
      </c>
      <c r="Q215" s="1">
        <v>79323</v>
      </c>
      <c r="R215" s="1">
        <v>0</v>
      </c>
    </row>
    <row r="216" spans="1:18">
      <c r="A216" s="3">
        <v>45880.916674074077</v>
      </c>
      <c r="B216" s="1">
        <v>144680</v>
      </c>
      <c r="C216" s="1">
        <v>4963</v>
      </c>
      <c r="D216" s="1">
        <v>33186.5</v>
      </c>
      <c r="E216" s="1">
        <v>0</v>
      </c>
      <c r="F216" s="1">
        <v>394186</v>
      </c>
      <c r="G216" s="1">
        <v>32955.4</v>
      </c>
      <c r="H216" s="1">
        <v>364605</v>
      </c>
      <c r="I216" s="1">
        <v>496332</v>
      </c>
      <c r="J216" s="1">
        <v>45523.3</v>
      </c>
      <c r="K216" s="1">
        <v>87610.5</v>
      </c>
      <c r="L216" s="1">
        <v>84025.3</v>
      </c>
      <c r="M216" s="1">
        <v>49712.6</v>
      </c>
      <c r="N216" s="1">
        <v>64413.5</v>
      </c>
      <c r="O216" s="1">
        <v>77763.100000000006</v>
      </c>
      <c r="P216" s="1">
        <v>50936</v>
      </c>
      <c r="Q216" s="1">
        <v>79323</v>
      </c>
      <c r="R216" s="1">
        <v>0</v>
      </c>
    </row>
    <row r="217" spans="1:18">
      <c r="A217" s="3">
        <v>45880.958340798614</v>
      </c>
      <c r="B217" s="1">
        <v>145314</v>
      </c>
      <c r="C217" s="1">
        <v>5125</v>
      </c>
      <c r="D217" s="1">
        <v>33200</v>
      </c>
      <c r="E217" s="1">
        <v>0</v>
      </c>
      <c r="F217" s="1">
        <v>394200</v>
      </c>
      <c r="G217" s="1">
        <v>33009.1</v>
      </c>
      <c r="H217" s="1">
        <v>364616</v>
      </c>
      <c r="I217" s="1">
        <v>496527</v>
      </c>
      <c r="J217" s="1">
        <v>45532.1</v>
      </c>
      <c r="K217" s="1">
        <v>87614</v>
      </c>
      <c r="L217" s="1">
        <v>84044.1</v>
      </c>
      <c r="M217" s="1">
        <v>49750.8</v>
      </c>
      <c r="N217" s="1">
        <v>64466</v>
      </c>
      <c r="O217" s="1">
        <v>77778.8</v>
      </c>
      <c r="P217" s="1">
        <v>50936</v>
      </c>
      <c r="Q217" s="1">
        <v>79323</v>
      </c>
      <c r="R217" s="1">
        <v>0</v>
      </c>
    </row>
    <row r="218" spans="1:18">
      <c r="A218" s="3">
        <v>45881.000007523151</v>
      </c>
      <c r="B218" s="1">
        <v>145946</v>
      </c>
      <c r="C218" s="1">
        <v>5285</v>
      </c>
      <c r="D218" s="1">
        <v>33213.300000000003</v>
      </c>
      <c r="E218" s="1">
        <v>0</v>
      </c>
      <c r="F218" s="1">
        <v>394214</v>
      </c>
      <c r="G218" s="1">
        <v>33062.300000000003</v>
      </c>
      <c r="H218" s="1">
        <v>364627</v>
      </c>
      <c r="I218" s="1">
        <v>496722</v>
      </c>
      <c r="J218" s="1">
        <v>45541</v>
      </c>
      <c r="K218" s="1">
        <v>87617.4</v>
      </c>
      <c r="L218" s="1">
        <v>84065.600000000006</v>
      </c>
      <c r="M218" s="1">
        <v>49788.4</v>
      </c>
      <c r="N218" s="1">
        <v>64518.5</v>
      </c>
      <c r="O218" s="1">
        <v>77795</v>
      </c>
      <c r="P218" s="1">
        <v>50936</v>
      </c>
      <c r="Q218" s="1">
        <v>79323</v>
      </c>
      <c r="R218" s="1">
        <v>0</v>
      </c>
    </row>
    <row r="219" spans="1:18">
      <c r="A219" s="3">
        <v>45881.041674247688</v>
      </c>
      <c r="B219" s="1">
        <v>146565</v>
      </c>
      <c r="C219" s="1">
        <v>5438</v>
      </c>
      <c r="D219" s="1">
        <v>33225.800000000003</v>
      </c>
      <c r="E219" s="1">
        <v>0</v>
      </c>
      <c r="F219" s="1">
        <v>394227</v>
      </c>
      <c r="G219" s="1">
        <v>33115.300000000003</v>
      </c>
      <c r="H219" s="1">
        <v>364639</v>
      </c>
      <c r="I219" s="1">
        <v>496915</v>
      </c>
      <c r="J219" s="1">
        <v>45549</v>
      </c>
      <c r="K219" s="1">
        <v>87621.1</v>
      </c>
      <c r="L219" s="1">
        <v>84086.6</v>
      </c>
      <c r="M219" s="1">
        <v>49826.1</v>
      </c>
      <c r="N219" s="1">
        <v>64571.1</v>
      </c>
      <c r="O219" s="1">
        <v>77810.5</v>
      </c>
      <c r="P219" s="1">
        <v>50936</v>
      </c>
      <c r="Q219" s="1">
        <v>79323</v>
      </c>
      <c r="R219" s="1">
        <v>0</v>
      </c>
    </row>
    <row r="220" spans="1:18">
      <c r="A220" s="3">
        <v>45881.083340972225</v>
      </c>
      <c r="B220" s="1">
        <v>147175</v>
      </c>
      <c r="C220" s="1">
        <v>5586</v>
      </c>
      <c r="D220" s="1">
        <v>33238.300000000003</v>
      </c>
      <c r="E220" s="1">
        <v>0</v>
      </c>
      <c r="F220" s="1">
        <v>394239</v>
      </c>
      <c r="G220" s="1">
        <v>33168.199999999997</v>
      </c>
      <c r="H220" s="1">
        <v>364649</v>
      </c>
      <c r="I220" s="1">
        <v>497106</v>
      </c>
      <c r="J220" s="1">
        <v>45557.7</v>
      </c>
      <c r="K220" s="1">
        <v>87624.6</v>
      </c>
      <c r="L220" s="1">
        <v>84107.1</v>
      </c>
      <c r="M220" s="1">
        <v>49863.6</v>
      </c>
      <c r="N220" s="1">
        <v>64623.7</v>
      </c>
      <c r="O220" s="1">
        <v>77826.399999999994</v>
      </c>
      <c r="P220" s="1">
        <v>50936</v>
      </c>
      <c r="Q220" s="1">
        <v>79323</v>
      </c>
      <c r="R220" s="1">
        <v>0</v>
      </c>
    </row>
    <row r="221" spans="1:18">
      <c r="A221" s="3">
        <v>45881.125007696763</v>
      </c>
      <c r="B221" s="1">
        <v>147782</v>
      </c>
      <c r="C221" s="1">
        <v>5734</v>
      </c>
      <c r="D221" s="1">
        <v>33250.800000000003</v>
      </c>
      <c r="E221" s="1">
        <v>0</v>
      </c>
      <c r="F221" s="1">
        <v>394251</v>
      </c>
      <c r="G221" s="1">
        <v>33219.800000000003</v>
      </c>
      <c r="H221" s="1">
        <v>364660</v>
      </c>
      <c r="I221" s="1">
        <v>497298</v>
      </c>
      <c r="J221" s="1">
        <v>45566.6</v>
      </c>
      <c r="K221" s="1">
        <v>87627.8</v>
      </c>
      <c r="L221" s="1">
        <v>84125.9</v>
      </c>
      <c r="M221" s="1">
        <v>49901.5</v>
      </c>
      <c r="N221" s="1">
        <v>64676.1</v>
      </c>
      <c r="O221" s="1">
        <v>77842</v>
      </c>
      <c r="P221" s="1">
        <v>50936</v>
      </c>
      <c r="Q221" s="1">
        <v>79323</v>
      </c>
      <c r="R221" s="1">
        <v>0</v>
      </c>
    </row>
    <row r="222" spans="1:18">
      <c r="A222" s="3">
        <v>45881.1666744213</v>
      </c>
      <c r="B222" s="1">
        <v>148379</v>
      </c>
      <c r="C222" s="1">
        <v>5880</v>
      </c>
      <c r="D222" s="1">
        <v>33263.5</v>
      </c>
      <c r="E222" s="1">
        <v>0</v>
      </c>
      <c r="F222" s="1">
        <v>394263</v>
      </c>
      <c r="G222" s="1">
        <v>33271</v>
      </c>
      <c r="H222" s="1">
        <v>364670</v>
      </c>
      <c r="I222" s="1">
        <v>497482</v>
      </c>
      <c r="J222" s="1">
        <v>45574.5</v>
      </c>
      <c r="K222" s="1">
        <v>87631</v>
      </c>
      <c r="L222" s="1">
        <v>84145.2</v>
      </c>
      <c r="M222" s="1">
        <v>49939.5</v>
      </c>
      <c r="N222" s="1">
        <v>64728.7</v>
      </c>
      <c r="O222" s="1">
        <v>77857.600000000006</v>
      </c>
      <c r="P222" s="1">
        <v>50936</v>
      </c>
      <c r="Q222" s="1">
        <v>79323</v>
      </c>
      <c r="R222" s="1">
        <v>0</v>
      </c>
    </row>
    <row r="223" spans="1:18">
      <c r="A223" s="3">
        <v>45881.20834114583</v>
      </c>
      <c r="B223" s="1">
        <v>148981</v>
      </c>
      <c r="C223" s="1">
        <v>6026</v>
      </c>
      <c r="D223" s="1">
        <v>33276</v>
      </c>
      <c r="E223" s="1">
        <v>0</v>
      </c>
      <c r="F223" s="1">
        <v>394275</v>
      </c>
      <c r="G223" s="1">
        <v>33322.400000000001</v>
      </c>
      <c r="H223" s="1">
        <v>364680</v>
      </c>
      <c r="I223" s="1">
        <v>497666</v>
      </c>
      <c r="J223" s="1">
        <v>45583.5</v>
      </c>
      <c r="K223" s="1">
        <v>87634.1</v>
      </c>
      <c r="L223" s="1">
        <v>84164.1</v>
      </c>
      <c r="M223" s="1">
        <v>49976.9</v>
      </c>
      <c r="N223" s="1">
        <v>64783.9</v>
      </c>
      <c r="O223" s="1">
        <v>77874.2</v>
      </c>
      <c r="P223" s="1">
        <v>50936</v>
      </c>
      <c r="Q223" s="1">
        <v>79323</v>
      </c>
      <c r="R223" s="1">
        <v>0</v>
      </c>
    </row>
    <row r="224" spans="1:18">
      <c r="A224" s="3">
        <v>45881.250007870367</v>
      </c>
      <c r="B224" s="1">
        <v>149567</v>
      </c>
      <c r="C224" s="1">
        <v>6167</v>
      </c>
      <c r="D224" s="1">
        <v>33288.199999999997</v>
      </c>
      <c r="E224" s="1">
        <v>0</v>
      </c>
      <c r="F224" s="1">
        <v>394287</v>
      </c>
      <c r="G224" s="1">
        <v>33374.199999999997</v>
      </c>
      <c r="H224" s="1">
        <v>364690</v>
      </c>
      <c r="I224" s="1">
        <v>497848</v>
      </c>
      <c r="J224" s="1">
        <v>45591.199999999997</v>
      </c>
      <c r="K224" s="1">
        <v>87637.1</v>
      </c>
      <c r="L224" s="1">
        <v>84182.7</v>
      </c>
      <c r="M224" s="1">
        <v>50014.2</v>
      </c>
      <c r="N224" s="1">
        <v>64836.5</v>
      </c>
      <c r="O224" s="1">
        <v>77889.5</v>
      </c>
      <c r="P224" s="1">
        <v>50936</v>
      </c>
      <c r="Q224" s="1">
        <v>79323</v>
      </c>
      <c r="R224" s="1">
        <v>0</v>
      </c>
    </row>
    <row r="225" spans="1:18">
      <c r="A225" s="3">
        <v>45881.291674594904</v>
      </c>
      <c r="B225" s="1">
        <v>150148</v>
      </c>
      <c r="C225" s="1">
        <v>6306</v>
      </c>
      <c r="D225" s="1">
        <v>33300.699999999997</v>
      </c>
      <c r="E225" s="1">
        <v>0</v>
      </c>
      <c r="F225" s="1">
        <v>394299</v>
      </c>
      <c r="G225" s="1">
        <v>33423.300000000003</v>
      </c>
      <c r="H225" s="1">
        <v>364702</v>
      </c>
      <c r="I225" s="1">
        <v>498028</v>
      </c>
      <c r="J225" s="1">
        <v>45599.7</v>
      </c>
      <c r="K225" s="1">
        <v>87639.9</v>
      </c>
      <c r="L225" s="1">
        <v>84200.8</v>
      </c>
      <c r="M225" s="1">
        <v>50050.8</v>
      </c>
      <c r="N225" s="1">
        <v>64888.800000000003</v>
      </c>
      <c r="O225" s="1">
        <v>77904.100000000006</v>
      </c>
      <c r="P225" s="1">
        <v>50936</v>
      </c>
      <c r="Q225" s="1">
        <v>79323</v>
      </c>
      <c r="R225" s="1">
        <v>0</v>
      </c>
    </row>
    <row r="226" spans="1:18">
      <c r="A226" s="3">
        <v>45881.333341319441</v>
      </c>
      <c r="B226" s="1">
        <v>150727</v>
      </c>
      <c r="C226" s="1">
        <v>6447</v>
      </c>
      <c r="D226" s="1">
        <v>33313.4</v>
      </c>
      <c r="E226" s="1">
        <v>0</v>
      </c>
      <c r="F226" s="1">
        <v>394311</v>
      </c>
      <c r="G226" s="1">
        <v>33472.199999999997</v>
      </c>
      <c r="H226" s="1">
        <v>364712</v>
      </c>
      <c r="I226" s="1">
        <v>498207</v>
      </c>
      <c r="J226" s="1">
        <v>45607.5</v>
      </c>
      <c r="K226" s="1">
        <v>87642.3</v>
      </c>
      <c r="L226" s="1">
        <v>84219.4</v>
      </c>
      <c r="M226" s="1">
        <v>50087.4</v>
      </c>
      <c r="N226" s="1">
        <v>64941.4</v>
      </c>
      <c r="O226" s="1">
        <v>77919</v>
      </c>
      <c r="P226" s="1">
        <v>50937</v>
      </c>
      <c r="Q226" s="1">
        <v>79324</v>
      </c>
      <c r="R226" s="1">
        <v>0</v>
      </c>
    </row>
    <row r="227" spans="1:18">
      <c r="A227" s="3">
        <v>45881.375008043979</v>
      </c>
      <c r="B227" s="1">
        <v>151332</v>
      </c>
      <c r="C227" s="1">
        <v>6597</v>
      </c>
      <c r="D227" s="1">
        <v>33325.699999999997</v>
      </c>
      <c r="E227" s="1">
        <v>0</v>
      </c>
      <c r="F227" s="1">
        <v>394324</v>
      </c>
      <c r="G227" s="1">
        <v>33516.199999999997</v>
      </c>
      <c r="H227" s="1">
        <v>364730</v>
      </c>
      <c r="I227" s="1">
        <v>498396</v>
      </c>
      <c r="J227" s="1">
        <v>45616.3</v>
      </c>
      <c r="K227" s="1">
        <v>87642.4</v>
      </c>
      <c r="L227" s="1">
        <v>84237.8</v>
      </c>
      <c r="M227" s="1">
        <v>50128.3</v>
      </c>
      <c r="N227" s="1">
        <v>64991.1</v>
      </c>
      <c r="O227" s="1">
        <v>77935.100000000006</v>
      </c>
      <c r="P227" s="1">
        <v>50939</v>
      </c>
      <c r="Q227" s="1">
        <v>79328</v>
      </c>
      <c r="R227" s="1">
        <v>0</v>
      </c>
    </row>
    <row r="228" spans="1:18">
      <c r="A228" s="3">
        <v>45881.416674768516</v>
      </c>
      <c r="B228" s="1">
        <v>151969</v>
      </c>
      <c r="C228" s="1">
        <v>6768</v>
      </c>
      <c r="D228" s="1">
        <v>33341.300000000003</v>
      </c>
      <c r="E228" s="1">
        <v>0</v>
      </c>
      <c r="F228" s="1">
        <v>394339</v>
      </c>
      <c r="G228" s="1">
        <v>33556.699999999997</v>
      </c>
      <c r="H228" s="1">
        <v>364745</v>
      </c>
      <c r="I228" s="1">
        <v>498600</v>
      </c>
      <c r="J228" s="1">
        <v>45624.6</v>
      </c>
      <c r="K228" s="1">
        <v>87642.4</v>
      </c>
      <c r="L228" s="1">
        <v>84256.4</v>
      </c>
      <c r="M228" s="1">
        <v>50169.4</v>
      </c>
      <c r="N228" s="1">
        <v>65038</v>
      </c>
      <c r="O228" s="1">
        <v>77950.7</v>
      </c>
      <c r="P228" s="1">
        <v>50944</v>
      </c>
      <c r="Q228" s="1">
        <v>79336</v>
      </c>
      <c r="R228" s="1">
        <v>0</v>
      </c>
    </row>
    <row r="229" spans="1:18">
      <c r="A229" s="3">
        <v>45881.458341493053</v>
      </c>
      <c r="B229" s="1">
        <v>152640</v>
      </c>
      <c r="C229" s="1">
        <v>6940</v>
      </c>
      <c r="D229" s="1">
        <v>33361.300000000003</v>
      </c>
      <c r="E229" s="1">
        <v>0</v>
      </c>
      <c r="F229" s="1">
        <v>394355</v>
      </c>
      <c r="G229" s="1">
        <v>33597.599999999999</v>
      </c>
      <c r="H229" s="1">
        <v>364756</v>
      </c>
      <c r="I229" s="1">
        <v>498825</v>
      </c>
      <c r="J229" s="1">
        <v>45633.8</v>
      </c>
      <c r="K229" s="1">
        <v>87642.4</v>
      </c>
      <c r="L229" s="1">
        <v>84278.7</v>
      </c>
      <c r="M229" s="1">
        <v>50212.2</v>
      </c>
      <c r="N229" s="1">
        <v>65085.2</v>
      </c>
      <c r="O229" s="1">
        <v>77971.100000000006</v>
      </c>
      <c r="P229" s="1">
        <v>50951</v>
      </c>
      <c r="Q229" s="1">
        <v>79346</v>
      </c>
      <c r="R229" s="1">
        <v>0</v>
      </c>
    </row>
    <row r="230" spans="1:18">
      <c r="A230" s="3">
        <v>45881.50000821759</v>
      </c>
      <c r="B230" s="1">
        <v>153315</v>
      </c>
      <c r="C230" s="1">
        <v>7114</v>
      </c>
      <c r="D230" s="1">
        <v>33381.800000000003</v>
      </c>
      <c r="E230" s="1">
        <v>0</v>
      </c>
      <c r="F230" s="1">
        <v>394376</v>
      </c>
      <c r="G230" s="1">
        <v>33630.199999999997</v>
      </c>
      <c r="H230" s="1">
        <v>364766</v>
      </c>
      <c r="I230" s="1">
        <v>499062</v>
      </c>
      <c r="J230" s="1">
        <v>45643.6</v>
      </c>
      <c r="K230" s="1">
        <v>87642.4</v>
      </c>
      <c r="L230" s="1">
        <v>84300.5</v>
      </c>
      <c r="M230" s="1">
        <v>50255.3</v>
      </c>
      <c r="N230" s="1">
        <v>65129.599999999999</v>
      </c>
      <c r="O230" s="1">
        <v>77992.899999999994</v>
      </c>
      <c r="P230" s="1">
        <v>50961</v>
      </c>
      <c r="Q230" s="1">
        <v>79362</v>
      </c>
      <c r="R230" s="1">
        <v>0</v>
      </c>
    </row>
    <row r="231" spans="1:18">
      <c r="A231" s="3">
        <v>45881.541674942127</v>
      </c>
      <c r="B231" s="1">
        <v>154004</v>
      </c>
      <c r="C231" s="1">
        <v>7295</v>
      </c>
      <c r="D231" s="1">
        <v>33402.400000000001</v>
      </c>
      <c r="E231" s="1">
        <v>0</v>
      </c>
      <c r="F231" s="1">
        <v>394401</v>
      </c>
      <c r="G231" s="1">
        <v>33662.6</v>
      </c>
      <c r="H231" s="1">
        <v>364777</v>
      </c>
      <c r="I231" s="1">
        <v>499307</v>
      </c>
      <c r="J231" s="1">
        <v>45653.9</v>
      </c>
      <c r="K231" s="1">
        <v>87642.4</v>
      </c>
      <c r="L231" s="1">
        <v>84323.5</v>
      </c>
      <c r="M231" s="1">
        <v>50300.7</v>
      </c>
      <c r="N231" s="1">
        <v>65174.400000000001</v>
      </c>
      <c r="O231" s="1">
        <v>78009</v>
      </c>
      <c r="P231" s="1">
        <v>50975</v>
      </c>
      <c r="Q231" s="1">
        <v>79383</v>
      </c>
      <c r="R231" s="1">
        <v>0</v>
      </c>
    </row>
    <row r="232" spans="1:18">
      <c r="A232" s="3">
        <v>45881.583341666665</v>
      </c>
      <c r="B232" s="1">
        <v>154756</v>
      </c>
      <c r="C232" s="1">
        <v>7478</v>
      </c>
      <c r="D232" s="1">
        <v>33425.800000000003</v>
      </c>
      <c r="E232" s="1">
        <v>0</v>
      </c>
      <c r="F232" s="1">
        <v>394425</v>
      </c>
      <c r="G232" s="1">
        <v>33706.6</v>
      </c>
      <c r="H232" s="1">
        <v>364787</v>
      </c>
      <c r="I232" s="1">
        <v>499554</v>
      </c>
      <c r="J232" s="1">
        <v>45664.5</v>
      </c>
      <c r="K232" s="1">
        <v>87642.4</v>
      </c>
      <c r="L232" s="1">
        <v>84390.2</v>
      </c>
      <c r="M232" s="1">
        <v>50345.7</v>
      </c>
      <c r="N232" s="1">
        <v>65218.6</v>
      </c>
      <c r="O232" s="1">
        <v>78025.7</v>
      </c>
      <c r="P232" s="1">
        <v>50989</v>
      </c>
      <c r="Q232" s="1">
        <v>79404</v>
      </c>
      <c r="R232" s="1">
        <v>0</v>
      </c>
    </row>
    <row r="233" spans="1:18">
      <c r="A233" s="3">
        <v>45881.625008391202</v>
      </c>
      <c r="B233" s="1">
        <v>155521</v>
      </c>
      <c r="C233" s="1">
        <v>7674</v>
      </c>
      <c r="D233" s="1">
        <v>33450</v>
      </c>
      <c r="E233" s="1">
        <v>0</v>
      </c>
      <c r="F233" s="1">
        <v>394451</v>
      </c>
      <c r="G233" s="1">
        <v>33754.400000000001</v>
      </c>
      <c r="H233" s="1">
        <v>364798</v>
      </c>
      <c r="I233" s="1">
        <v>499802</v>
      </c>
      <c r="J233" s="1">
        <v>45675.5</v>
      </c>
      <c r="K233" s="1">
        <v>87642.4</v>
      </c>
      <c r="L233" s="1">
        <v>84445</v>
      </c>
      <c r="M233" s="1">
        <v>50391.7</v>
      </c>
      <c r="N233" s="1">
        <v>65262.8</v>
      </c>
      <c r="O233" s="1">
        <v>78042.600000000006</v>
      </c>
      <c r="P233" s="1">
        <v>51002</v>
      </c>
      <c r="Q233" s="1">
        <v>79425</v>
      </c>
      <c r="R233" s="1">
        <v>0</v>
      </c>
    </row>
    <row r="234" spans="1:18">
      <c r="A234" s="3">
        <v>45881.666675115739</v>
      </c>
      <c r="B234" s="1">
        <v>156292</v>
      </c>
      <c r="C234" s="1">
        <v>7865</v>
      </c>
      <c r="D234" s="1">
        <v>33471.9</v>
      </c>
      <c r="E234" s="1">
        <v>0</v>
      </c>
      <c r="F234" s="1">
        <v>394475</v>
      </c>
      <c r="G234" s="1">
        <v>33808.400000000001</v>
      </c>
      <c r="H234" s="1">
        <v>364810</v>
      </c>
      <c r="I234" s="1">
        <v>500064</v>
      </c>
      <c r="J234" s="1">
        <v>45686.1</v>
      </c>
      <c r="K234" s="1">
        <v>87642.4</v>
      </c>
      <c r="L234" s="1">
        <v>84487.8</v>
      </c>
      <c r="M234" s="1">
        <v>50436.4</v>
      </c>
      <c r="N234" s="1">
        <v>65308</v>
      </c>
      <c r="O234" s="1">
        <v>78060.2</v>
      </c>
      <c r="P234" s="1">
        <v>51011</v>
      </c>
      <c r="Q234" s="1">
        <v>79438</v>
      </c>
      <c r="R234" s="1">
        <v>0</v>
      </c>
    </row>
    <row r="235" spans="1:18">
      <c r="A235" s="3">
        <v>45881.708341840276</v>
      </c>
      <c r="B235" s="1">
        <v>157055</v>
      </c>
      <c r="C235" s="1">
        <v>8055</v>
      </c>
      <c r="D235" s="1">
        <v>33496.1</v>
      </c>
      <c r="E235" s="1">
        <v>0</v>
      </c>
      <c r="F235" s="1">
        <v>394497</v>
      </c>
      <c r="G235" s="1">
        <v>33865.800000000003</v>
      </c>
      <c r="H235" s="1">
        <v>364827</v>
      </c>
      <c r="I235" s="1">
        <v>500325</v>
      </c>
      <c r="J235" s="1">
        <v>45697</v>
      </c>
      <c r="K235" s="1">
        <v>87642.4</v>
      </c>
      <c r="L235" s="1">
        <v>84510.5</v>
      </c>
      <c r="M235" s="1">
        <v>50479.3</v>
      </c>
      <c r="N235" s="1">
        <v>65356.3</v>
      </c>
      <c r="O235" s="1">
        <v>78077.100000000006</v>
      </c>
      <c r="P235" s="1">
        <v>51017</v>
      </c>
      <c r="Q235" s="1">
        <v>79447</v>
      </c>
      <c r="R235" s="1">
        <v>0</v>
      </c>
    </row>
    <row r="236" spans="1:18">
      <c r="A236" s="3">
        <v>45881.750008564813</v>
      </c>
      <c r="B236" s="1">
        <v>157791</v>
      </c>
      <c r="C236" s="1">
        <v>8228</v>
      </c>
      <c r="D236" s="1">
        <v>33515.5</v>
      </c>
      <c r="E236" s="1">
        <v>0</v>
      </c>
      <c r="F236" s="1">
        <v>394518</v>
      </c>
      <c r="G236" s="1">
        <v>33929.4</v>
      </c>
      <c r="H236" s="1">
        <v>364838</v>
      </c>
      <c r="I236" s="1">
        <v>500577</v>
      </c>
      <c r="J236" s="1">
        <v>45707.4</v>
      </c>
      <c r="K236" s="1">
        <v>87644.3</v>
      </c>
      <c r="L236" s="1">
        <v>84530.3</v>
      </c>
      <c r="M236" s="1">
        <v>50521.4</v>
      </c>
      <c r="N236" s="1">
        <v>65409.4</v>
      </c>
      <c r="O236" s="1">
        <v>78093.5</v>
      </c>
      <c r="P236" s="1">
        <v>51017</v>
      </c>
      <c r="Q236" s="1">
        <v>79448</v>
      </c>
      <c r="R236" s="1">
        <v>0</v>
      </c>
    </row>
    <row r="237" spans="1:18">
      <c r="A237" s="3">
        <v>45881.791675289351</v>
      </c>
      <c r="B237" s="1">
        <v>158490</v>
      </c>
      <c r="C237" s="1">
        <v>8391</v>
      </c>
      <c r="D237" s="1">
        <v>33532.800000000003</v>
      </c>
      <c r="E237" s="1">
        <v>0</v>
      </c>
      <c r="F237" s="1">
        <v>394536</v>
      </c>
      <c r="G237" s="1">
        <v>33990.800000000003</v>
      </c>
      <c r="H237" s="1">
        <v>364849</v>
      </c>
      <c r="I237" s="1">
        <v>500818</v>
      </c>
      <c r="J237" s="1">
        <v>45717</v>
      </c>
      <c r="K237" s="1">
        <v>87646.8</v>
      </c>
      <c r="L237" s="1">
        <v>84547.9</v>
      </c>
      <c r="M237" s="1">
        <v>50559.8</v>
      </c>
      <c r="N237" s="1">
        <v>65463.1</v>
      </c>
      <c r="O237" s="1">
        <v>78108.399999999994</v>
      </c>
      <c r="P237" s="1">
        <v>51017</v>
      </c>
      <c r="Q237" s="1">
        <v>79448</v>
      </c>
      <c r="R237" s="1">
        <v>0</v>
      </c>
    </row>
    <row r="238" spans="1:18">
      <c r="A238" s="3">
        <v>45881.833342013888</v>
      </c>
      <c r="B238" s="1">
        <v>159179</v>
      </c>
      <c r="C238" s="1">
        <v>8554</v>
      </c>
      <c r="D238" s="1">
        <v>33548.400000000001</v>
      </c>
      <c r="E238" s="1">
        <v>0</v>
      </c>
      <c r="F238" s="1">
        <v>394553</v>
      </c>
      <c r="G238" s="1">
        <v>34049</v>
      </c>
      <c r="H238" s="1">
        <v>364859</v>
      </c>
      <c r="I238" s="1">
        <v>501052</v>
      </c>
      <c r="J238" s="1">
        <v>45726.6</v>
      </c>
      <c r="K238" s="1">
        <v>87649.9</v>
      </c>
      <c r="L238" s="1">
        <v>84566.6</v>
      </c>
      <c r="M238" s="1">
        <v>50597.8</v>
      </c>
      <c r="N238" s="1">
        <v>65517.5</v>
      </c>
      <c r="O238" s="1">
        <v>78124.7</v>
      </c>
      <c r="P238" s="1">
        <v>51017</v>
      </c>
      <c r="Q238" s="1">
        <v>79448</v>
      </c>
      <c r="R238" s="1">
        <v>0</v>
      </c>
    </row>
    <row r="239" spans="1:18">
      <c r="A239" s="3">
        <v>45881.875008738425</v>
      </c>
      <c r="B239" s="1">
        <v>159850</v>
      </c>
      <c r="C239" s="1">
        <v>8713</v>
      </c>
      <c r="D239" s="1">
        <v>33563.300000000003</v>
      </c>
      <c r="E239" s="1">
        <v>0</v>
      </c>
      <c r="F239" s="1">
        <v>394570</v>
      </c>
      <c r="G239" s="1">
        <v>34103.599999999999</v>
      </c>
      <c r="H239" s="1">
        <v>364869</v>
      </c>
      <c r="I239" s="1">
        <v>501276</v>
      </c>
      <c r="J239" s="1">
        <v>45735.9</v>
      </c>
      <c r="K239" s="1">
        <v>87653.4</v>
      </c>
      <c r="L239" s="1">
        <v>84588.1</v>
      </c>
      <c r="M239" s="1">
        <v>50636.3</v>
      </c>
      <c r="N239" s="1">
        <v>65571.600000000006</v>
      </c>
      <c r="O239" s="1">
        <v>78141.7</v>
      </c>
      <c r="P239" s="1">
        <v>51017</v>
      </c>
      <c r="Q239" s="1">
        <v>79448</v>
      </c>
      <c r="R239" s="1">
        <v>0</v>
      </c>
    </row>
    <row r="240" spans="1:18">
      <c r="A240" s="3">
        <v>45881.916675462962</v>
      </c>
      <c r="B240" s="1">
        <v>160514</v>
      </c>
      <c r="C240" s="1">
        <v>8868</v>
      </c>
      <c r="D240" s="1">
        <v>33577.300000000003</v>
      </c>
      <c r="E240" s="1">
        <v>0</v>
      </c>
      <c r="F240" s="1">
        <v>394587</v>
      </c>
      <c r="G240" s="1">
        <v>34157.5</v>
      </c>
      <c r="H240" s="1">
        <v>364880</v>
      </c>
      <c r="I240" s="1">
        <v>501497</v>
      </c>
      <c r="J240" s="1">
        <v>45745.3</v>
      </c>
      <c r="K240" s="1">
        <v>87656.8</v>
      </c>
      <c r="L240" s="1">
        <v>84610.7</v>
      </c>
      <c r="M240" s="1">
        <v>50674.400000000001</v>
      </c>
      <c r="N240" s="1">
        <v>65625.3</v>
      </c>
      <c r="O240" s="1">
        <v>78158.5</v>
      </c>
      <c r="P240" s="1">
        <v>51017</v>
      </c>
      <c r="Q240" s="1">
        <v>79448</v>
      </c>
      <c r="R240" s="1">
        <v>0</v>
      </c>
    </row>
    <row r="241" spans="1:18">
      <c r="A241" s="3">
        <v>45881.9583421875</v>
      </c>
      <c r="B241" s="1">
        <v>161170</v>
      </c>
      <c r="C241" s="1">
        <v>9019</v>
      </c>
      <c r="D241" s="1">
        <v>33592.1</v>
      </c>
      <c r="E241" s="1">
        <v>0</v>
      </c>
      <c r="F241" s="1">
        <v>394603</v>
      </c>
      <c r="G241" s="1">
        <v>34210.6</v>
      </c>
      <c r="H241" s="1">
        <v>364892</v>
      </c>
      <c r="I241" s="1">
        <v>501709</v>
      </c>
      <c r="J241" s="1">
        <v>45754.8</v>
      </c>
      <c r="K241" s="1">
        <v>87659.9</v>
      </c>
      <c r="L241" s="1">
        <v>84634</v>
      </c>
      <c r="M241" s="1">
        <v>50715.4</v>
      </c>
      <c r="N241" s="1">
        <v>65680.7</v>
      </c>
      <c r="O241" s="1">
        <v>78175.3</v>
      </c>
      <c r="P241" s="1">
        <v>51017</v>
      </c>
      <c r="Q241" s="1">
        <v>79448</v>
      </c>
      <c r="R241" s="1">
        <v>0</v>
      </c>
    </row>
    <row r="242" spans="1:18">
      <c r="A242" s="3">
        <v>45882.000008912037</v>
      </c>
      <c r="B242" s="1">
        <v>161818</v>
      </c>
      <c r="C242" s="1">
        <v>9171</v>
      </c>
      <c r="D242" s="1">
        <v>33605.5</v>
      </c>
      <c r="E242" s="1">
        <v>0</v>
      </c>
      <c r="F242" s="1">
        <v>394619</v>
      </c>
      <c r="G242" s="1">
        <v>34264.400000000001</v>
      </c>
      <c r="H242" s="1">
        <v>364902</v>
      </c>
      <c r="I242" s="1">
        <v>501920</v>
      </c>
      <c r="J242" s="1">
        <v>45764.3</v>
      </c>
      <c r="K242" s="1">
        <v>87662.9</v>
      </c>
      <c r="L242" s="1">
        <v>84657.5</v>
      </c>
      <c r="M242" s="1">
        <v>50754.1</v>
      </c>
      <c r="N242" s="1">
        <v>65734.100000000006</v>
      </c>
      <c r="O242" s="1">
        <v>78191</v>
      </c>
      <c r="P242" s="1">
        <v>51017</v>
      </c>
      <c r="Q242" s="1">
        <v>79448</v>
      </c>
      <c r="R242" s="1">
        <v>0</v>
      </c>
    </row>
    <row r="243" spans="1:18">
      <c r="A243" s="3">
        <v>45882.041675636574</v>
      </c>
      <c r="B243" s="1">
        <v>162455</v>
      </c>
      <c r="C243" s="1">
        <v>9320</v>
      </c>
      <c r="D243" s="1">
        <v>33617.9</v>
      </c>
      <c r="E243" s="1">
        <v>0</v>
      </c>
      <c r="F243" s="1">
        <v>394635</v>
      </c>
      <c r="G243" s="1">
        <v>34316.199999999997</v>
      </c>
      <c r="H243" s="1">
        <v>364912</v>
      </c>
      <c r="I243" s="1">
        <v>502127</v>
      </c>
      <c r="J243" s="1">
        <v>45773.7</v>
      </c>
      <c r="K243" s="1">
        <v>87666</v>
      </c>
      <c r="L243" s="1">
        <v>84680.1</v>
      </c>
      <c r="M243" s="1">
        <v>50792.7</v>
      </c>
      <c r="N243" s="1">
        <v>65787.5</v>
      </c>
      <c r="O243" s="1">
        <v>78206.100000000006</v>
      </c>
      <c r="P243" s="1">
        <v>51017</v>
      </c>
      <c r="Q243" s="1">
        <v>79448</v>
      </c>
      <c r="R243" s="1">
        <v>0</v>
      </c>
    </row>
    <row r="244" spans="1:18">
      <c r="A244" s="3">
        <v>45882.083342361111</v>
      </c>
      <c r="B244" s="1">
        <v>163081</v>
      </c>
      <c r="C244" s="1">
        <v>9467</v>
      </c>
      <c r="D244" s="1">
        <v>33629.5</v>
      </c>
      <c r="E244" s="1">
        <v>0</v>
      </c>
      <c r="F244" s="1">
        <v>394649</v>
      </c>
      <c r="G244" s="1">
        <v>34367.199999999997</v>
      </c>
      <c r="H244" s="1">
        <v>364922</v>
      </c>
      <c r="I244" s="1">
        <v>502330</v>
      </c>
      <c r="J244" s="1">
        <v>45783.1</v>
      </c>
      <c r="K244" s="1">
        <v>87669</v>
      </c>
      <c r="L244" s="1">
        <v>84702.1</v>
      </c>
      <c r="M244" s="1">
        <v>50831</v>
      </c>
      <c r="N244" s="1">
        <v>65840.600000000006</v>
      </c>
      <c r="O244" s="1">
        <v>78223</v>
      </c>
      <c r="P244" s="1">
        <v>51017</v>
      </c>
      <c r="Q244" s="1">
        <v>79448</v>
      </c>
      <c r="R244" s="1">
        <v>0</v>
      </c>
    </row>
    <row r="245" spans="1:18">
      <c r="A245" s="3">
        <v>45882.125009085648</v>
      </c>
      <c r="B245" s="1">
        <v>163699</v>
      </c>
      <c r="C245" s="1">
        <v>9614</v>
      </c>
      <c r="D245" s="1">
        <v>33641.599999999999</v>
      </c>
      <c r="E245" s="1">
        <v>0</v>
      </c>
      <c r="F245" s="1">
        <v>394663</v>
      </c>
      <c r="G245" s="1">
        <v>34417.599999999999</v>
      </c>
      <c r="H245" s="1">
        <v>364932</v>
      </c>
      <c r="I245" s="1">
        <v>502528</v>
      </c>
      <c r="J245" s="1">
        <v>45792.4</v>
      </c>
      <c r="K245" s="1">
        <v>87672.1</v>
      </c>
      <c r="L245" s="1">
        <v>84723.1</v>
      </c>
      <c r="M245" s="1">
        <v>50869.7</v>
      </c>
      <c r="N245" s="1">
        <v>65893.7</v>
      </c>
      <c r="O245" s="1">
        <v>78238.7</v>
      </c>
      <c r="P245" s="1">
        <v>51017</v>
      </c>
      <c r="Q245" s="1">
        <v>79448</v>
      </c>
      <c r="R245" s="1">
        <v>0</v>
      </c>
    </row>
    <row r="246" spans="1:18">
      <c r="A246" s="3">
        <v>45882.166675810186</v>
      </c>
      <c r="B246" s="1">
        <v>164309</v>
      </c>
      <c r="C246" s="1">
        <v>9759</v>
      </c>
      <c r="D246" s="1">
        <v>33653.9</v>
      </c>
      <c r="E246" s="1">
        <v>0</v>
      </c>
      <c r="F246" s="1">
        <v>394677</v>
      </c>
      <c r="G246" s="1">
        <v>34467.800000000003</v>
      </c>
      <c r="H246" s="1">
        <v>364942</v>
      </c>
      <c r="I246" s="1">
        <v>502723</v>
      </c>
      <c r="J246" s="1">
        <v>45801.7</v>
      </c>
      <c r="K246" s="1">
        <v>87675</v>
      </c>
      <c r="L246" s="1">
        <v>84742</v>
      </c>
      <c r="M246" s="1">
        <v>50907.199999999997</v>
      </c>
      <c r="N246" s="1">
        <v>65946.899999999994</v>
      </c>
      <c r="O246" s="1">
        <v>78254.2</v>
      </c>
      <c r="P246" s="1">
        <v>51017</v>
      </c>
      <c r="Q246" s="1">
        <v>79448</v>
      </c>
      <c r="R246" s="1">
        <v>0</v>
      </c>
    </row>
    <row r="247" spans="1:18">
      <c r="A247" s="3">
        <v>45882.208342534723</v>
      </c>
      <c r="B247" s="1">
        <v>164918</v>
      </c>
      <c r="C247" s="1">
        <v>9902</v>
      </c>
      <c r="D247" s="1">
        <v>33666.5</v>
      </c>
      <c r="E247" s="1">
        <v>0</v>
      </c>
      <c r="F247" s="1">
        <v>394691</v>
      </c>
      <c r="G247" s="1">
        <v>34516.699999999997</v>
      </c>
      <c r="H247" s="1">
        <v>364953</v>
      </c>
      <c r="I247" s="1">
        <v>502916</v>
      </c>
      <c r="J247" s="1">
        <v>45810.8</v>
      </c>
      <c r="K247" s="1">
        <v>87678.2</v>
      </c>
      <c r="L247" s="1">
        <v>84761.1</v>
      </c>
      <c r="M247" s="1">
        <v>50945.4</v>
      </c>
      <c r="N247" s="1">
        <v>66002.8</v>
      </c>
      <c r="O247" s="1">
        <v>78270.7</v>
      </c>
      <c r="P247" s="1">
        <v>51017</v>
      </c>
      <c r="Q247" s="1">
        <v>79448</v>
      </c>
      <c r="R247" s="1">
        <v>0</v>
      </c>
    </row>
    <row r="248" spans="1:18">
      <c r="A248" s="3">
        <v>45882.25000925926</v>
      </c>
      <c r="B248" s="1">
        <v>165520</v>
      </c>
      <c r="C248" s="1">
        <v>10045</v>
      </c>
      <c r="D248" s="1">
        <v>33678.400000000001</v>
      </c>
      <c r="E248" s="1">
        <v>0</v>
      </c>
      <c r="F248" s="1">
        <v>394705</v>
      </c>
      <c r="G248" s="1">
        <v>34566.199999999997</v>
      </c>
      <c r="H248" s="1">
        <v>364963</v>
      </c>
      <c r="I248" s="1">
        <v>503108</v>
      </c>
      <c r="J248" s="1">
        <v>45819.9</v>
      </c>
      <c r="K248" s="1">
        <v>87681.600000000006</v>
      </c>
      <c r="L248" s="1">
        <v>84779.9</v>
      </c>
      <c r="M248" s="1">
        <v>50982.3</v>
      </c>
      <c r="N248" s="1">
        <v>66056.5</v>
      </c>
      <c r="O248" s="1">
        <v>78286</v>
      </c>
      <c r="P248" s="1">
        <v>51017</v>
      </c>
      <c r="Q248" s="1">
        <v>79448</v>
      </c>
      <c r="R248" s="1">
        <v>0</v>
      </c>
    </row>
    <row r="249" spans="1:18">
      <c r="A249" s="3">
        <v>45882.291675983797</v>
      </c>
      <c r="B249" s="1">
        <v>166125</v>
      </c>
      <c r="C249" s="1">
        <v>10192</v>
      </c>
      <c r="D249" s="1">
        <v>33690.9</v>
      </c>
      <c r="E249" s="1">
        <v>0</v>
      </c>
      <c r="F249" s="1">
        <v>394719</v>
      </c>
      <c r="G249" s="1">
        <v>34614.199999999997</v>
      </c>
      <c r="H249" s="1">
        <v>364974</v>
      </c>
      <c r="I249" s="1">
        <v>503300</v>
      </c>
      <c r="J249" s="1">
        <v>45828.800000000003</v>
      </c>
      <c r="K249" s="1">
        <v>87683.9</v>
      </c>
      <c r="L249" s="1">
        <v>84798</v>
      </c>
      <c r="M249" s="1">
        <v>51019.8</v>
      </c>
      <c r="N249" s="1">
        <v>66109.399999999994</v>
      </c>
      <c r="O249" s="1">
        <v>78301.399999999994</v>
      </c>
      <c r="P249" s="1">
        <v>51018</v>
      </c>
      <c r="Q249" s="1">
        <v>79449</v>
      </c>
      <c r="R249" s="1">
        <v>0</v>
      </c>
    </row>
    <row r="250" spans="1:18">
      <c r="A250" s="3">
        <v>45882.333342708334</v>
      </c>
      <c r="B250" s="1">
        <v>166751</v>
      </c>
      <c r="C250" s="1">
        <v>10349</v>
      </c>
      <c r="D250" s="1">
        <v>33703.199999999997</v>
      </c>
      <c r="E250" s="1">
        <v>0</v>
      </c>
      <c r="F250" s="1">
        <v>394734</v>
      </c>
      <c r="G250" s="1">
        <v>34662.199999999997</v>
      </c>
      <c r="H250" s="1">
        <v>364984</v>
      </c>
      <c r="I250" s="1">
        <v>503505</v>
      </c>
      <c r="J250" s="1">
        <v>45838.5</v>
      </c>
      <c r="K250" s="1">
        <v>87684.5</v>
      </c>
      <c r="L250" s="1">
        <v>84816.7</v>
      </c>
      <c r="M250" s="1">
        <v>51057.2</v>
      </c>
      <c r="N250" s="1">
        <v>66159.600000000006</v>
      </c>
      <c r="O250" s="1">
        <v>78316.7</v>
      </c>
      <c r="P250" s="1">
        <v>51019</v>
      </c>
      <c r="Q250" s="1">
        <v>79452</v>
      </c>
      <c r="R250" s="1">
        <v>0</v>
      </c>
    </row>
    <row r="251" spans="1:18">
      <c r="A251" s="3">
        <v>45882.375009432872</v>
      </c>
      <c r="B251" s="1">
        <v>167391</v>
      </c>
      <c r="C251" s="1">
        <v>10509</v>
      </c>
      <c r="D251" s="1">
        <v>33715.199999999997</v>
      </c>
      <c r="E251" s="1">
        <v>0</v>
      </c>
      <c r="F251" s="1">
        <v>394750</v>
      </c>
      <c r="G251" s="1">
        <v>34702.699999999997</v>
      </c>
      <c r="H251" s="1">
        <v>364994</v>
      </c>
      <c r="I251" s="1">
        <v>503728</v>
      </c>
      <c r="J251" s="1">
        <v>45849.7</v>
      </c>
      <c r="K251" s="1">
        <v>87684.5</v>
      </c>
      <c r="L251" s="1">
        <v>84835.3</v>
      </c>
      <c r="M251" s="1">
        <v>51098.8</v>
      </c>
      <c r="N251" s="1">
        <v>66206.2</v>
      </c>
      <c r="O251" s="1">
        <v>78333.7</v>
      </c>
      <c r="P251" s="1">
        <v>51025</v>
      </c>
      <c r="Q251" s="1">
        <v>79462</v>
      </c>
      <c r="R251" s="1">
        <v>0</v>
      </c>
    </row>
    <row r="252" spans="1:18">
      <c r="A252" s="3">
        <v>45882.416676157409</v>
      </c>
      <c r="B252" s="1">
        <v>168055</v>
      </c>
      <c r="C252" s="1">
        <v>10680</v>
      </c>
      <c r="D252" s="1">
        <v>33727.5</v>
      </c>
      <c r="E252" s="1">
        <v>0</v>
      </c>
      <c r="F252" s="1">
        <v>394770</v>
      </c>
      <c r="G252" s="1">
        <v>34740.699999999997</v>
      </c>
      <c r="H252" s="1">
        <v>365004</v>
      </c>
      <c r="I252" s="1">
        <v>503960</v>
      </c>
      <c r="J252" s="1">
        <v>45862</v>
      </c>
      <c r="K252" s="1">
        <v>87684.5</v>
      </c>
      <c r="L252" s="1">
        <v>84854.1</v>
      </c>
      <c r="M252" s="1">
        <v>51141.3</v>
      </c>
      <c r="N252" s="1">
        <v>66250.899999999994</v>
      </c>
      <c r="O252" s="1">
        <v>78350.3</v>
      </c>
      <c r="P252" s="1">
        <v>51033</v>
      </c>
      <c r="Q252" s="1">
        <v>79474</v>
      </c>
      <c r="R252" s="1">
        <v>0</v>
      </c>
    </row>
    <row r="253" spans="1:18">
      <c r="A253" s="3">
        <v>45882.458342881946</v>
      </c>
      <c r="B253" s="1">
        <v>168751</v>
      </c>
      <c r="C253" s="1">
        <v>10863</v>
      </c>
      <c r="D253" s="1">
        <v>33750.5</v>
      </c>
      <c r="E253" s="1">
        <v>0</v>
      </c>
      <c r="F253" s="1">
        <v>394793</v>
      </c>
      <c r="G253" s="1">
        <v>34771.4</v>
      </c>
      <c r="H253" s="1">
        <v>365014</v>
      </c>
      <c r="I253" s="1">
        <v>504206</v>
      </c>
      <c r="J253" s="1">
        <v>45877.4</v>
      </c>
      <c r="K253" s="1">
        <v>87684.5</v>
      </c>
      <c r="L253" s="1">
        <v>84874.6</v>
      </c>
      <c r="M253" s="1">
        <v>51183.9</v>
      </c>
      <c r="N253" s="1">
        <v>66295.600000000006</v>
      </c>
      <c r="O253" s="1">
        <v>78366.899999999994</v>
      </c>
      <c r="P253" s="1">
        <v>51046</v>
      </c>
      <c r="Q253" s="1">
        <v>79494</v>
      </c>
      <c r="R253" s="1">
        <v>0</v>
      </c>
    </row>
    <row r="254" spans="1:18">
      <c r="A254" s="3">
        <v>45882.500009606483</v>
      </c>
      <c r="B254" s="1">
        <v>169441</v>
      </c>
      <c r="C254" s="1">
        <v>11046</v>
      </c>
      <c r="D254" s="1">
        <v>33769</v>
      </c>
      <c r="E254" s="1">
        <v>0</v>
      </c>
      <c r="F254" s="1">
        <v>394818</v>
      </c>
      <c r="G254" s="1">
        <v>34801.599999999999</v>
      </c>
      <c r="H254" s="1">
        <v>365024</v>
      </c>
      <c r="I254" s="1">
        <v>504457</v>
      </c>
      <c r="J254" s="1">
        <v>45891.7</v>
      </c>
      <c r="K254" s="1">
        <v>87684.5</v>
      </c>
      <c r="L254" s="1">
        <v>84895</v>
      </c>
      <c r="M254" s="1">
        <v>51226.8</v>
      </c>
      <c r="N254" s="1">
        <v>66336.800000000003</v>
      </c>
      <c r="O254" s="1">
        <v>78383.199999999997</v>
      </c>
      <c r="P254" s="1">
        <v>51061</v>
      </c>
      <c r="Q254" s="1">
        <v>79516</v>
      </c>
      <c r="R254" s="1">
        <v>0</v>
      </c>
    </row>
    <row r="255" spans="1:18">
      <c r="A255" s="3">
        <v>45882.54167633102</v>
      </c>
      <c r="B255" s="1">
        <v>170137</v>
      </c>
      <c r="C255" s="1">
        <v>11238</v>
      </c>
      <c r="D255" s="1">
        <v>33785.699999999997</v>
      </c>
      <c r="E255" s="1">
        <v>0</v>
      </c>
      <c r="F255" s="1">
        <v>394844</v>
      </c>
      <c r="G255" s="1">
        <v>34831.800000000003</v>
      </c>
      <c r="H255" s="1">
        <v>365035</v>
      </c>
      <c r="I255" s="1">
        <v>504709</v>
      </c>
      <c r="J255" s="1">
        <v>45906</v>
      </c>
      <c r="K255" s="1">
        <v>87684.5</v>
      </c>
      <c r="L255" s="1">
        <v>84916.1</v>
      </c>
      <c r="M255" s="1">
        <v>51271.4</v>
      </c>
      <c r="N255" s="1">
        <v>66375.899999999994</v>
      </c>
      <c r="O255" s="1">
        <v>78398.899999999994</v>
      </c>
      <c r="P255" s="1">
        <v>51077</v>
      </c>
      <c r="Q255" s="1">
        <v>79541</v>
      </c>
      <c r="R255" s="1">
        <v>0</v>
      </c>
    </row>
    <row r="256" spans="1:18">
      <c r="A256" s="3">
        <v>45882.583343055558</v>
      </c>
      <c r="B256" s="1">
        <v>170880</v>
      </c>
      <c r="C256" s="1">
        <v>11435</v>
      </c>
      <c r="D256" s="1">
        <v>33803.4</v>
      </c>
      <c r="E256" s="1">
        <v>0</v>
      </c>
      <c r="F256" s="1">
        <v>394867</v>
      </c>
      <c r="G256" s="1">
        <v>34880.699999999997</v>
      </c>
      <c r="H256" s="1">
        <v>365045</v>
      </c>
      <c r="I256" s="1">
        <v>504972</v>
      </c>
      <c r="J256" s="1">
        <v>45920.4</v>
      </c>
      <c r="K256" s="1">
        <v>87684.5</v>
      </c>
      <c r="L256" s="1">
        <v>84943.3</v>
      </c>
      <c r="M256" s="1">
        <v>51318.8</v>
      </c>
      <c r="N256" s="1">
        <v>66415.399999999994</v>
      </c>
      <c r="O256" s="1">
        <v>78415.100000000006</v>
      </c>
      <c r="P256" s="1">
        <v>51093</v>
      </c>
      <c r="Q256" s="1">
        <v>79565</v>
      </c>
      <c r="R256" s="1">
        <v>0</v>
      </c>
    </row>
    <row r="257" spans="1:18">
      <c r="A257" s="3">
        <v>45882.625009780095</v>
      </c>
      <c r="B257" s="1">
        <v>171647</v>
      </c>
      <c r="C257" s="1">
        <v>11633</v>
      </c>
      <c r="D257" s="1">
        <v>33825.9</v>
      </c>
      <c r="E257" s="1">
        <v>0</v>
      </c>
      <c r="F257" s="1">
        <v>394890</v>
      </c>
      <c r="G257" s="1">
        <v>34940</v>
      </c>
      <c r="H257" s="1">
        <v>365057</v>
      </c>
      <c r="I257" s="1">
        <v>505238</v>
      </c>
      <c r="J257" s="1">
        <v>45932.9</v>
      </c>
      <c r="K257" s="1">
        <v>87684.5</v>
      </c>
      <c r="L257" s="1">
        <v>84970.1</v>
      </c>
      <c r="M257" s="1">
        <v>51367</v>
      </c>
      <c r="N257" s="1">
        <v>66456.399999999994</v>
      </c>
      <c r="O257" s="1">
        <v>78432</v>
      </c>
      <c r="P257" s="1">
        <v>51108</v>
      </c>
      <c r="Q257" s="1">
        <v>79588</v>
      </c>
      <c r="R257" s="1">
        <v>0</v>
      </c>
    </row>
    <row r="258" spans="1:18">
      <c r="A258" s="3">
        <v>45882.666676504632</v>
      </c>
      <c r="B258" s="1">
        <v>172418</v>
      </c>
      <c r="C258" s="1">
        <v>11834</v>
      </c>
      <c r="D258" s="1">
        <v>33849.1</v>
      </c>
      <c r="E258" s="1">
        <v>0</v>
      </c>
      <c r="F258" s="1">
        <v>394913</v>
      </c>
      <c r="G258" s="1">
        <v>34999.199999999997</v>
      </c>
      <c r="H258" s="1">
        <v>365067</v>
      </c>
      <c r="I258" s="1">
        <v>505498</v>
      </c>
      <c r="J258" s="1">
        <v>45946.8</v>
      </c>
      <c r="K258" s="1">
        <v>87684.5</v>
      </c>
      <c r="L258" s="1">
        <v>84995.5</v>
      </c>
      <c r="M258" s="1">
        <v>51414.3</v>
      </c>
      <c r="N258" s="1">
        <v>66500.100000000006</v>
      </c>
      <c r="O258" s="1">
        <v>78448.899999999994</v>
      </c>
      <c r="P258" s="1">
        <v>51120</v>
      </c>
      <c r="Q258" s="1">
        <v>79607</v>
      </c>
      <c r="R258" s="1">
        <v>0</v>
      </c>
    </row>
    <row r="259" spans="1:18">
      <c r="A259" s="3">
        <v>45882.708343229169</v>
      </c>
      <c r="B259" s="1">
        <v>173192</v>
      </c>
      <c r="C259" s="1">
        <v>12031</v>
      </c>
      <c r="D259" s="1">
        <v>33869</v>
      </c>
      <c r="E259" s="1">
        <v>0</v>
      </c>
      <c r="F259" s="1">
        <v>394940</v>
      </c>
      <c r="G259" s="1">
        <v>35063.1</v>
      </c>
      <c r="H259" s="1">
        <v>365078</v>
      </c>
      <c r="I259" s="1">
        <v>505754</v>
      </c>
      <c r="J259" s="1">
        <v>45962</v>
      </c>
      <c r="K259" s="1">
        <v>87684.5</v>
      </c>
      <c r="L259" s="1">
        <v>85016</v>
      </c>
      <c r="M259" s="1">
        <v>51459.4</v>
      </c>
      <c r="N259" s="1">
        <v>66548</v>
      </c>
      <c r="O259" s="1">
        <v>78466.2</v>
      </c>
      <c r="P259" s="1">
        <v>51129</v>
      </c>
      <c r="Q259" s="1">
        <v>79620</v>
      </c>
      <c r="R259" s="1">
        <v>0</v>
      </c>
    </row>
    <row r="260" spans="1:18">
      <c r="A260" s="3">
        <v>45882.750009953706</v>
      </c>
      <c r="B260" s="1">
        <v>173956</v>
      </c>
      <c r="C260" s="1">
        <v>12225</v>
      </c>
      <c r="D260" s="1">
        <v>33883.5</v>
      </c>
      <c r="E260" s="1">
        <v>0</v>
      </c>
      <c r="F260" s="1">
        <v>394967</v>
      </c>
      <c r="G260" s="1">
        <v>35136.699999999997</v>
      </c>
      <c r="H260" s="1">
        <v>365090</v>
      </c>
      <c r="I260" s="1">
        <v>505997</v>
      </c>
      <c r="J260" s="1">
        <v>45975.3</v>
      </c>
      <c r="K260" s="1">
        <v>87685.3</v>
      </c>
      <c r="L260" s="1">
        <v>85035.4</v>
      </c>
      <c r="M260" s="1">
        <v>51503.4</v>
      </c>
      <c r="N260" s="1">
        <v>66600.600000000006</v>
      </c>
      <c r="O260" s="1">
        <v>78482.899999999994</v>
      </c>
      <c r="P260" s="1">
        <v>51132</v>
      </c>
      <c r="Q260" s="1">
        <v>79625</v>
      </c>
      <c r="R260" s="1">
        <v>0</v>
      </c>
    </row>
    <row r="261" spans="1:18">
      <c r="A261" s="3">
        <v>45882.791676678244</v>
      </c>
      <c r="B261" s="1">
        <v>174679</v>
      </c>
      <c r="C261" s="1">
        <v>12406</v>
      </c>
      <c r="D261" s="1">
        <v>33896.800000000003</v>
      </c>
      <c r="E261" s="1">
        <v>0</v>
      </c>
      <c r="F261" s="1">
        <v>394989</v>
      </c>
      <c r="G261" s="1">
        <v>35210.199999999997</v>
      </c>
      <c r="H261" s="1">
        <v>365101</v>
      </c>
      <c r="I261" s="1">
        <v>506223</v>
      </c>
      <c r="J261" s="1">
        <v>45985.9</v>
      </c>
      <c r="K261" s="1">
        <v>87687.7</v>
      </c>
      <c r="L261" s="1">
        <v>85054.399999999994</v>
      </c>
      <c r="M261" s="1">
        <v>51545.7</v>
      </c>
      <c r="N261" s="1">
        <v>66655.3</v>
      </c>
      <c r="O261" s="1">
        <v>78498.399999999994</v>
      </c>
      <c r="P261" s="1">
        <v>51132</v>
      </c>
      <c r="Q261" s="1">
        <v>79625</v>
      </c>
      <c r="R261" s="1">
        <v>0</v>
      </c>
    </row>
    <row r="262" spans="1:18">
      <c r="A262" s="3">
        <v>45882.833343402781</v>
      </c>
      <c r="B262" s="1">
        <v>175382</v>
      </c>
      <c r="C262" s="1">
        <v>12576</v>
      </c>
      <c r="D262" s="1">
        <v>33909.9</v>
      </c>
      <c r="E262" s="1">
        <v>0</v>
      </c>
      <c r="F262" s="1">
        <v>395009</v>
      </c>
      <c r="G262" s="1">
        <v>35273.300000000003</v>
      </c>
      <c r="H262" s="1">
        <v>365112</v>
      </c>
      <c r="I262" s="1">
        <v>506450</v>
      </c>
      <c r="J262" s="1">
        <v>45996.5</v>
      </c>
      <c r="K262" s="1">
        <v>87691</v>
      </c>
      <c r="L262" s="1">
        <v>85074.5</v>
      </c>
      <c r="M262" s="1">
        <v>51585.2</v>
      </c>
      <c r="N262" s="1">
        <v>66711.199999999997</v>
      </c>
      <c r="O262" s="1">
        <v>78514.899999999994</v>
      </c>
      <c r="P262" s="1">
        <v>51132</v>
      </c>
      <c r="Q262" s="1">
        <v>79625</v>
      </c>
      <c r="R262" s="1">
        <v>0</v>
      </c>
    </row>
    <row r="263" spans="1:18">
      <c r="A263" s="3">
        <v>45882.875010127318</v>
      </c>
      <c r="B263" s="1">
        <v>176072</v>
      </c>
      <c r="C263" s="1">
        <v>12744</v>
      </c>
      <c r="D263" s="1">
        <v>33923.4</v>
      </c>
      <c r="E263" s="1">
        <v>0</v>
      </c>
      <c r="F263" s="1">
        <v>395029</v>
      </c>
      <c r="G263" s="1">
        <v>35334.5</v>
      </c>
      <c r="H263" s="1">
        <v>365122</v>
      </c>
      <c r="I263" s="1">
        <v>506666</v>
      </c>
      <c r="J263" s="1">
        <v>46006.6</v>
      </c>
      <c r="K263" s="1">
        <v>87694.5</v>
      </c>
      <c r="L263" s="1">
        <v>85097.5</v>
      </c>
      <c r="M263" s="1">
        <v>51624.3</v>
      </c>
      <c r="N263" s="1">
        <v>66766.600000000006</v>
      </c>
      <c r="O263" s="1">
        <v>78532.3</v>
      </c>
      <c r="P263" s="1">
        <v>51132</v>
      </c>
      <c r="Q263" s="1">
        <v>79625</v>
      </c>
      <c r="R263" s="1">
        <v>0</v>
      </c>
    </row>
    <row r="264" spans="1:18">
      <c r="A264" s="3">
        <v>45882.916676851855</v>
      </c>
      <c r="B264" s="1">
        <v>176750</v>
      </c>
      <c r="C264" s="1">
        <v>12908</v>
      </c>
      <c r="D264" s="1">
        <v>33936.300000000003</v>
      </c>
      <c r="E264" s="1">
        <v>0</v>
      </c>
      <c r="F264" s="1">
        <v>395049</v>
      </c>
      <c r="G264" s="1">
        <v>35394.800000000003</v>
      </c>
      <c r="H264" s="1">
        <v>365134</v>
      </c>
      <c r="I264" s="1">
        <v>506878</v>
      </c>
      <c r="J264" s="1">
        <v>46016.7</v>
      </c>
      <c r="K264" s="1">
        <v>87697.5</v>
      </c>
      <c r="L264" s="1">
        <v>85119.8</v>
      </c>
      <c r="M264" s="1">
        <v>51664.1</v>
      </c>
      <c r="N264" s="1">
        <v>66821.600000000006</v>
      </c>
      <c r="O264" s="1">
        <v>78549.5</v>
      </c>
      <c r="P264" s="1">
        <v>51132</v>
      </c>
      <c r="Q264" s="1">
        <v>79625</v>
      </c>
      <c r="R264" s="1">
        <v>0</v>
      </c>
    </row>
    <row r="265" spans="1:18">
      <c r="A265" s="3">
        <v>45882.958343576393</v>
      </c>
      <c r="B265" s="1">
        <v>177419</v>
      </c>
      <c r="C265" s="1">
        <v>13072</v>
      </c>
      <c r="D265" s="1">
        <v>33949.199999999997</v>
      </c>
      <c r="E265" s="1">
        <v>0</v>
      </c>
      <c r="F265" s="1">
        <v>395068</v>
      </c>
      <c r="G265" s="1">
        <v>35453.800000000003</v>
      </c>
      <c r="H265" s="1">
        <v>365145</v>
      </c>
      <c r="I265" s="1">
        <v>507089</v>
      </c>
      <c r="J265" s="1">
        <v>46026.8</v>
      </c>
      <c r="K265" s="1">
        <v>87700.5</v>
      </c>
      <c r="L265" s="1">
        <v>85141.3</v>
      </c>
      <c r="M265" s="1">
        <v>51703.199999999997</v>
      </c>
      <c r="N265" s="1">
        <v>66875.7</v>
      </c>
      <c r="O265" s="1">
        <v>78566.5</v>
      </c>
      <c r="P265" s="1">
        <v>51132</v>
      </c>
      <c r="Q265" s="1">
        <v>79625</v>
      </c>
      <c r="R265" s="1">
        <v>0</v>
      </c>
    </row>
    <row r="266" spans="1:18">
      <c r="A266" s="3">
        <v>45883.000010300922</v>
      </c>
      <c r="B266" s="1">
        <v>178077</v>
      </c>
      <c r="C266" s="1">
        <v>13235</v>
      </c>
      <c r="D266" s="1">
        <v>33961.699999999997</v>
      </c>
      <c r="E266" s="1">
        <v>0</v>
      </c>
      <c r="F266" s="1">
        <v>395086</v>
      </c>
      <c r="G266" s="1">
        <v>35509.199999999997</v>
      </c>
      <c r="H266" s="1">
        <v>365155</v>
      </c>
      <c r="I266" s="1">
        <v>507295</v>
      </c>
      <c r="J266" s="1">
        <v>46036.6</v>
      </c>
      <c r="K266" s="1">
        <v>87703.3</v>
      </c>
      <c r="L266" s="1">
        <v>85163.5</v>
      </c>
      <c r="M266" s="1">
        <v>51741.599999999999</v>
      </c>
      <c r="N266" s="1">
        <v>66930.5</v>
      </c>
      <c r="O266" s="1">
        <v>78583.5</v>
      </c>
      <c r="P266" s="1">
        <v>51132</v>
      </c>
      <c r="Q266" s="1">
        <v>79625</v>
      </c>
      <c r="R266" s="1">
        <v>0</v>
      </c>
    </row>
    <row r="267" spans="1:18">
      <c r="A267" s="3">
        <v>45883.04167702546</v>
      </c>
      <c r="B267" s="1">
        <v>178721</v>
      </c>
      <c r="C267" s="1">
        <v>13388</v>
      </c>
      <c r="D267" s="1">
        <v>33974.5</v>
      </c>
      <c r="E267" s="1">
        <v>0</v>
      </c>
      <c r="F267" s="1">
        <v>395102</v>
      </c>
      <c r="G267" s="1">
        <v>35563.4</v>
      </c>
      <c r="H267" s="1">
        <v>365165</v>
      </c>
      <c r="I267" s="1">
        <v>507502</v>
      </c>
      <c r="J267" s="1">
        <v>46046.2</v>
      </c>
      <c r="K267" s="1">
        <v>87706.2</v>
      </c>
      <c r="L267" s="1">
        <v>85185.5</v>
      </c>
      <c r="M267" s="1">
        <v>51779.5</v>
      </c>
      <c r="N267" s="1">
        <v>66985.100000000006</v>
      </c>
      <c r="O267" s="1">
        <v>78598.899999999994</v>
      </c>
      <c r="P267" s="1">
        <v>51132</v>
      </c>
      <c r="Q267" s="1">
        <v>79625</v>
      </c>
      <c r="R267" s="1">
        <v>0</v>
      </c>
    </row>
    <row r="268" spans="1:18">
      <c r="A268" s="3">
        <v>45883.083343749997</v>
      </c>
      <c r="B268" s="1">
        <v>179359</v>
      </c>
      <c r="C268" s="1">
        <v>13541</v>
      </c>
      <c r="D268" s="1">
        <v>33986.699999999997</v>
      </c>
      <c r="E268" s="1">
        <v>0</v>
      </c>
      <c r="F268" s="1">
        <v>395119</v>
      </c>
      <c r="G268" s="1">
        <v>35617.4</v>
      </c>
      <c r="H268" s="1">
        <v>365176</v>
      </c>
      <c r="I268" s="1">
        <v>507704</v>
      </c>
      <c r="J268" s="1">
        <v>46055.9</v>
      </c>
      <c r="K268" s="1">
        <v>87709.1</v>
      </c>
      <c r="L268" s="1">
        <v>85207.3</v>
      </c>
      <c r="M268" s="1">
        <v>51817.5</v>
      </c>
      <c r="N268" s="1">
        <v>67039.399999999994</v>
      </c>
      <c r="O268" s="1">
        <v>78615.8</v>
      </c>
      <c r="P268" s="1">
        <v>51132</v>
      </c>
      <c r="Q268" s="1">
        <v>79625</v>
      </c>
      <c r="R268" s="1">
        <v>0</v>
      </c>
    </row>
    <row r="269" spans="1:18">
      <c r="A269" s="3">
        <v>45883.125010474534</v>
      </c>
      <c r="B269" s="1">
        <v>179987</v>
      </c>
      <c r="C269" s="1">
        <v>13691</v>
      </c>
      <c r="D269" s="1">
        <v>33999.4</v>
      </c>
      <c r="E269" s="1">
        <v>0</v>
      </c>
      <c r="F269" s="1">
        <v>395135</v>
      </c>
      <c r="G269" s="1">
        <v>35670.5</v>
      </c>
      <c r="H269" s="1">
        <v>365186</v>
      </c>
      <c r="I269" s="1">
        <v>507903</v>
      </c>
      <c r="J269" s="1">
        <v>46065.3</v>
      </c>
      <c r="K269" s="1">
        <v>87712</v>
      </c>
      <c r="L269" s="1">
        <v>85227.5</v>
      </c>
      <c r="M269" s="1">
        <v>51855.6</v>
      </c>
      <c r="N269" s="1">
        <v>67093.7</v>
      </c>
      <c r="O269" s="1">
        <v>78632</v>
      </c>
      <c r="P269" s="1">
        <v>51132</v>
      </c>
      <c r="Q269" s="1">
        <v>79625</v>
      </c>
      <c r="R269" s="1">
        <v>0</v>
      </c>
    </row>
    <row r="270" spans="1:18">
      <c r="A270" s="3">
        <v>45883.166677199071</v>
      </c>
      <c r="B270" s="1">
        <v>180611</v>
      </c>
      <c r="C270" s="1">
        <v>13840</v>
      </c>
      <c r="D270" s="1">
        <v>34012.199999999997</v>
      </c>
      <c r="E270" s="1">
        <v>0</v>
      </c>
      <c r="F270" s="1">
        <v>395150</v>
      </c>
      <c r="G270" s="1">
        <v>35723.699999999997</v>
      </c>
      <c r="H270" s="1">
        <v>365196</v>
      </c>
      <c r="I270" s="1">
        <v>508100</v>
      </c>
      <c r="J270" s="1">
        <v>46074.5</v>
      </c>
      <c r="K270" s="1">
        <v>87714.9</v>
      </c>
      <c r="L270" s="1">
        <v>85247.3</v>
      </c>
      <c r="M270" s="1">
        <v>51893.5</v>
      </c>
      <c r="N270" s="1">
        <v>67148.100000000006</v>
      </c>
      <c r="O270" s="1">
        <v>78647.8</v>
      </c>
      <c r="P270" s="1">
        <v>51132</v>
      </c>
      <c r="Q270" s="1">
        <v>79625</v>
      </c>
      <c r="R270" s="1">
        <v>0</v>
      </c>
    </row>
    <row r="271" spans="1:18">
      <c r="A271" s="3">
        <v>45883.208343923608</v>
      </c>
      <c r="B271" s="1">
        <v>181227</v>
      </c>
      <c r="C271" s="1">
        <v>13986</v>
      </c>
      <c r="D271" s="1">
        <v>34025.5</v>
      </c>
      <c r="E271" s="1">
        <v>0</v>
      </c>
      <c r="F271" s="1">
        <v>395166</v>
      </c>
      <c r="G271" s="1">
        <v>35775.800000000003</v>
      </c>
      <c r="H271" s="1">
        <v>365207</v>
      </c>
      <c r="I271" s="1">
        <v>508293</v>
      </c>
      <c r="J271" s="1">
        <v>46083.7</v>
      </c>
      <c r="K271" s="1">
        <v>87717.7</v>
      </c>
      <c r="L271" s="1">
        <v>85266.5</v>
      </c>
      <c r="M271" s="1">
        <v>51931</v>
      </c>
      <c r="N271" s="1">
        <v>67202.899999999994</v>
      </c>
      <c r="O271" s="1">
        <v>78664.399999999994</v>
      </c>
      <c r="P271" s="1">
        <v>51132</v>
      </c>
      <c r="Q271" s="1">
        <v>79625</v>
      </c>
      <c r="R271" s="1">
        <v>0</v>
      </c>
    </row>
    <row r="272" spans="1:18">
      <c r="A272" s="3">
        <v>45883.250010648146</v>
      </c>
      <c r="B272" s="1">
        <v>181837</v>
      </c>
      <c r="C272" s="1">
        <v>14132</v>
      </c>
      <c r="D272" s="1">
        <v>34037.5</v>
      </c>
      <c r="E272" s="1">
        <v>0</v>
      </c>
      <c r="F272" s="1">
        <v>395182</v>
      </c>
      <c r="G272" s="1">
        <v>35828.300000000003</v>
      </c>
      <c r="H272" s="1">
        <v>365218</v>
      </c>
      <c r="I272" s="1">
        <v>508483</v>
      </c>
      <c r="J272" s="1">
        <v>46092.5</v>
      </c>
      <c r="K272" s="1">
        <v>87720.4</v>
      </c>
      <c r="L272" s="1">
        <v>85285.1</v>
      </c>
      <c r="M272" s="1">
        <v>51968.2</v>
      </c>
      <c r="N272" s="1">
        <v>67257.100000000006</v>
      </c>
      <c r="O272" s="1">
        <v>78680.2</v>
      </c>
      <c r="P272" s="1">
        <v>51132</v>
      </c>
      <c r="Q272" s="1">
        <v>79625</v>
      </c>
      <c r="R272" s="1">
        <v>0</v>
      </c>
    </row>
    <row r="273" spans="1:18">
      <c r="A273" s="3">
        <v>45883.291677372683</v>
      </c>
      <c r="B273" s="1">
        <v>182446</v>
      </c>
      <c r="C273" s="1">
        <v>14278</v>
      </c>
      <c r="D273" s="1">
        <v>34050</v>
      </c>
      <c r="E273" s="1">
        <v>0</v>
      </c>
      <c r="F273" s="1">
        <v>395198</v>
      </c>
      <c r="G273" s="1">
        <v>35880.1</v>
      </c>
      <c r="H273" s="1">
        <v>365229</v>
      </c>
      <c r="I273" s="1">
        <v>508674</v>
      </c>
      <c r="J273" s="1">
        <v>46101.3</v>
      </c>
      <c r="K273" s="1">
        <v>87722.5</v>
      </c>
      <c r="L273" s="1">
        <v>85303.7</v>
      </c>
      <c r="M273" s="1">
        <v>52005.8</v>
      </c>
      <c r="N273" s="1">
        <v>67310.600000000006</v>
      </c>
      <c r="O273" s="1">
        <v>78695.600000000006</v>
      </c>
      <c r="P273" s="1">
        <v>51133</v>
      </c>
      <c r="Q273" s="1">
        <v>79626</v>
      </c>
      <c r="R273" s="1">
        <v>0</v>
      </c>
    </row>
    <row r="274" spans="1:18">
      <c r="A274" s="3">
        <v>45883.33334409722</v>
      </c>
      <c r="B274" s="1">
        <v>183080</v>
      </c>
      <c r="C274" s="1">
        <v>14435</v>
      </c>
      <c r="D274" s="1">
        <v>34062.1</v>
      </c>
      <c r="E274" s="1">
        <v>0</v>
      </c>
      <c r="F274" s="1">
        <v>395215</v>
      </c>
      <c r="G274" s="1">
        <v>35931.800000000003</v>
      </c>
      <c r="H274" s="1">
        <v>365239</v>
      </c>
      <c r="I274" s="1">
        <v>508878</v>
      </c>
      <c r="J274" s="1">
        <v>46111.1</v>
      </c>
      <c r="K274" s="1">
        <v>87722.9</v>
      </c>
      <c r="L274" s="1">
        <v>85322.9</v>
      </c>
      <c r="M274" s="1">
        <v>52044.3</v>
      </c>
      <c r="N274" s="1">
        <v>67361.2</v>
      </c>
      <c r="O274" s="1">
        <v>78711.100000000006</v>
      </c>
      <c r="P274" s="1">
        <v>51134</v>
      </c>
      <c r="Q274" s="1">
        <v>79630</v>
      </c>
      <c r="R274" s="1">
        <v>0</v>
      </c>
    </row>
    <row r="275" spans="1:18">
      <c r="A275" s="3">
        <v>45883.375010821757</v>
      </c>
      <c r="B275" s="1">
        <v>183735</v>
      </c>
      <c r="C275" s="1">
        <v>14596</v>
      </c>
      <c r="D275" s="1">
        <v>34074.199999999997</v>
      </c>
      <c r="E275" s="1">
        <v>0</v>
      </c>
      <c r="F275" s="1">
        <v>395234</v>
      </c>
      <c r="G275" s="1">
        <v>35978.5</v>
      </c>
      <c r="H275" s="1">
        <v>365249</v>
      </c>
      <c r="I275" s="1">
        <v>509093</v>
      </c>
      <c r="J275" s="1">
        <v>46121.5</v>
      </c>
      <c r="K275" s="1">
        <v>87722.9</v>
      </c>
      <c r="L275" s="1">
        <v>85341.6</v>
      </c>
      <c r="M275" s="1">
        <v>52089.1</v>
      </c>
      <c r="N275" s="1">
        <v>67409.7</v>
      </c>
      <c r="O275" s="1">
        <v>78728.2</v>
      </c>
      <c r="P275" s="1">
        <v>51138</v>
      </c>
      <c r="Q275" s="1">
        <v>79638</v>
      </c>
      <c r="R275" s="1">
        <v>0</v>
      </c>
    </row>
    <row r="276" spans="1:18">
      <c r="A276" s="3">
        <v>45883.416677546295</v>
      </c>
      <c r="B276" s="1">
        <v>184393</v>
      </c>
      <c r="C276" s="1">
        <v>14762</v>
      </c>
      <c r="D276" s="1">
        <v>34090.6</v>
      </c>
      <c r="E276" s="1">
        <v>0</v>
      </c>
      <c r="F276" s="1">
        <v>395256</v>
      </c>
      <c r="G276" s="1">
        <v>36015.199999999997</v>
      </c>
      <c r="H276" s="1">
        <v>365260</v>
      </c>
      <c r="I276" s="1">
        <v>509324</v>
      </c>
      <c r="J276" s="1">
        <v>46132</v>
      </c>
      <c r="K276" s="1">
        <v>87722.9</v>
      </c>
      <c r="L276" s="1">
        <v>85360.3</v>
      </c>
      <c r="M276" s="1">
        <v>52131.6</v>
      </c>
      <c r="N276" s="1">
        <v>67453.899999999994</v>
      </c>
      <c r="O276" s="1">
        <v>78745.2</v>
      </c>
      <c r="P276" s="1">
        <v>51148</v>
      </c>
      <c r="Q276" s="1">
        <v>79653</v>
      </c>
      <c r="R276" s="1">
        <v>0</v>
      </c>
    </row>
    <row r="277" spans="1:18">
      <c r="A277" s="3">
        <v>45883.458344270832</v>
      </c>
      <c r="B277" s="1">
        <v>185076</v>
      </c>
      <c r="C277" s="1">
        <v>14933</v>
      </c>
      <c r="D277" s="1">
        <v>34111.4</v>
      </c>
      <c r="E277" s="1">
        <v>0</v>
      </c>
      <c r="F277" s="1">
        <v>395280</v>
      </c>
      <c r="G277" s="1">
        <v>36051.800000000003</v>
      </c>
      <c r="H277" s="1">
        <v>365271</v>
      </c>
      <c r="I277" s="1">
        <v>509568</v>
      </c>
      <c r="J277" s="1">
        <v>46145</v>
      </c>
      <c r="K277" s="1">
        <v>87722.9</v>
      </c>
      <c r="L277" s="1">
        <v>85381.3</v>
      </c>
      <c r="M277" s="1">
        <v>52174.2</v>
      </c>
      <c r="N277" s="1">
        <v>67495.399999999994</v>
      </c>
      <c r="O277" s="1">
        <v>78762.100000000006</v>
      </c>
      <c r="P277" s="1">
        <v>51161</v>
      </c>
      <c r="Q277" s="1">
        <v>79673</v>
      </c>
      <c r="R277" s="1">
        <v>0</v>
      </c>
    </row>
    <row r="278" spans="1:18">
      <c r="A278" s="3">
        <v>45883.500010995369</v>
      </c>
      <c r="B278" s="1">
        <v>185778</v>
      </c>
      <c r="C278" s="1">
        <v>15118</v>
      </c>
      <c r="D278" s="1">
        <v>34131</v>
      </c>
      <c r="E278" s="1">
        <v>0</v>
      </c>
      <c r="F278" s="1">
        <v>395307</v>
      </c>
      <c r="G278" s="1">
        <v>36083</v>
      </c>
      <c r="H278" s="1">
        <v>365282</v>
      </c>
      <c r="I278" s="1">
        <v>509822</v>
      </c>
      <c r="J278" s="1">
        <v>46158.7</v>
      </c>
      <c r="K278" s="1">
        <v>87722.9</v>
      </c>
      <c r="L278" s="1">
        <v>85402</v>
      </c>
      <c r="M278" s="1">
        <v>52217.5</v>
      </c>
      <c r="N278" s="1">
        <v>67535.8</v>
      </c>
      <c r="O278" s="1">
        <v>78778.5</v>
      </c>
      <c r="P278" s="1">
        <v>51176</v>
      </c>
      <c r="Q278" s="1">
        <v>79696</v>
      </c>
      <c r="R278" s="1">
        <v>0</v>
      </c>
    </row>
    <row r="279" spans="1:18">
      <c r="A279" s="3">
        <v>45883.541677719906</v>
      </c>
      <c r="B279" s="1">
        <v>186501</v>
      </c>
      <c r="C279" s="1">
        <v>15305</v>
      </c>
      <c r="D279" s="1">
        <v>34153.5</v>
      </c>
      <c r="E279" s="1">
        <v>0</v>
      </c>
      <c r="F279" s="1">
        <v>395333</v>
      </c>
      <c r="G279" s="1">
        <v>36115.699999999997</v>
      </c>
      <c r="H279" s="1">
        <v>365292</v>
      </c>
      <c r="I279" s="1">
        <v>510086</v>
      </c>
      <c r="J279" s="1">
        <v>46173.1</v>
      </c>
      <c r="K279" s="1">
        <v>87722.9</v>
      </c>
      <c r="L279" s="1">
        <v>85423.4</v>
      </c>
      <c r="M279" s="1">
        <v>52263.199999999997</v>
      </c>
      <c r="N279" s="1">
        <v>67574.899999999994</v>
      </c>
      <c r="O279" s="1">
        <v>78794.899999999994</v>
      </c>
      <c r="P279" s="1">
        <v>51192</v>
      </c>
      <c r="Q279" s="1">
        <v>79720</v>
      </c>
      <c r="R279" s="1">
        <v>0</v>
      </c>
    </row>
    <row r="280" spans="1:18">
      <c r="A280" s="3">
        <v>45883.583344444443</v>
      </c>
      <c r="B280" s="1">
        <v>187274</v>
      </c>
      <c r="C280" s="1">
        <v>15508</v>
      </c>
      <c r="D280" s="1">
        <v>34187.699999999997</v>
      </c>
      <c r="E280" s="1">
        <v>0</v>
      </c>
      <c r="F280" s="1">
        <v>395363</v>
      </c>
      <c r="G280" s="1">
        <v>36156.400000000001</v>
      </c>
      <c r="H280" s="1">
        <v>365304</v>
      </c>
      <c r="I280" s="1">
        <v>510354</v>
      </c>
      <c r="J280" s="1">
        <v>46187.1</v>
      </c>
      <c r="K280" s="1">
        <v>87722.9</v>
      </c>
      <c r="L280" s="1">
        <v>85447.3</v>
      </c>
      <c r="M280" s="1">
        <v>52311</v>
      </c>
      <c r="N280" s="1">
        <v>67614.5</v>
      </c>
      <c r="O280" s="1">
        <v>78811.7</v>
      </c>
      <c r="P280" s="1">
        <v>51207</v>
      </c>
      <c r="Q280" s="1">
        <v>79743</v>
      </c>
      <c r="R280" s="1">
        <v>0</v>
      </c>
    </row>
    <row r="281" spans="1:18">
      <c r="A281" s="3">
        <v>45883.625011168981</v>
      </c>
      <c r="B281" s="1">
        <v>188085</v>
      </c>
      <c r="C281" s="1">
        <v>15729</v>
      </c>
      <c r="D281" s="1">
        <v>34217.699999999997</v>
      </c>
      <c r="E281" s="1">
        <v>0</v>
      </c>
      <c r="F281" s="1">
        <v>395393</v>
      </c>
      <c r="G281" s="1">
        <v>36206.400000000001</v>
      </c>
      <c r="H281" s="1">
        <v>365315</v>
      </c>
      <c r="I281" s="1">
        <v>510634</v>
      </c>
      <c r="J281" s="1">
        <v>46200.9</v>
      </c>
      <c r="K281" s="1">
        <v>87722.9</v>
      </c>
      <c r="L281" s="1">
        <v>85471.9</v>
      </c>
      <c r="M281" s="1">
        <v>52359.8</v>
      </c>
      <c r="N281" s="1">
        <v>67655.199999999997</v>
      </c>
      <c r="O281" s="1">
        <v>78829.100000000006</v>
      </c>
      <c r="P281" s="1">
        <v>51222</v>
      </c>
      <c r="Q281" s="1">
        <v>79765</v>
      </c>
      <c r="R281" s="1">
        <v>0</v>
      </c>
    </row>
    <row r="282" spans="1:18">
      <c r="A282" s="3">
        <v>45883.666677893518</v>
      </c>
      <c r="B282" s="1">
        <v>188925</v>
      </c>
      <c r="C282" s="1">
        <v>15952</v>
      </c>
      <c r="D282" s="1">
        <v>34250.5</v>
      </c>
      <c r="E282" s="1">
        <v>0</v>
      </c>
      <c r="F282" s="1">
        <v>395423</v>
      </c>
      <c r="G282" s="1">
        <v>36265.4</v>
      </c>
      <c r="H282" s="1">
        <v>365327</v>
      </c>
      <c r="I282" s="1">
        <v>510923</v>
      </c>
      <c r="J282" s="1">
        <v>46215.199999999997</v>
      </c>
      <c r="K282" s="1">
        <v>87722.9</v>
      </c>
      <c r="L282" s="1">
        <v>85495</v>
      </c>
      <c r="M282" s="1">
        <v>52409.8</v>
      </c>
      <c r="N282" s="1">
        <v>67699.100000000006</v>
      </c>
      <c r="O282" s="1">
        <v>78847</v>
      </c>
      <c r="P282" s="1">
        <v>51235</v>
      </c>
      <c r="Q282" s="1">
        <v>79785</v>
      </c>
      <c r="R282" s="1">
        <v>0</v>
      </c>
    </row>
    <row r="283" spans="1:18">
      <c r="A283" s="3">
        <v>45883.708344618055</v>
      </c>
      <c r="B283" s="1">
        <v>189760</v>
      </c>
      <c r="C283" s="1">
        <v>16166</v>
      </c>
      <c r="D283" s="1">
        <v>34278.9</v>
      </c>
      <c r="E283" s="1">
        <v>0</v>
      </c>
      <c r="F283" s="1">
        <v>395449</v>
      </c>
      <c r="G283" s="1">
        <v>36328.9</v>
      </c>
      <c r="H283" s="1">
        <v>365338</v>
      </c>
      <c r="I283" s="1">
        <v>511208</v>
      </c>
      <c r="J283" s="1">
        <v>46228.9</v>
      </c>
      <c r="K283" s="1">
        <v>87722.9</v>
      </c>
      <c r="L283" s="1">
        <v>85516.800000000003</v>
      </c>
      <c r="M283" s="1">
        <v>52459.6</v>
      </c>
      <c r="N283" s="1">
        <v>67746.7</v>
      </c>
      <c r="O283" s="1">
        <v>78865.8</v>
      </c>
      <c r="P283" s="1">
        <v>51244</v>
      </c>
      <c r="Q283" s="1">
        <v>79799</v>
      </c>
      <c r="R283" s="1">
        <v>0</v>
      </c>
    </row>
    <row r="284" spans="1:18">
      <c r="A284" s="3">
        <v>45883.750011342592</v>
      </c>
      <c r="B284" s="1">
        <v>190571</v>
      </c>
      <c r="C284" s="1">
        <v>16373</v>
      </c>
      <c r="D284" s="1">
        <v>34302.699999999997</v>
      </c>
      <c r="E284" s="1">
        <v>0</v>
      </c>
      <c r="F284" s="1">
        <v>395474</v>
      </c>
      <c r="G284" s="1">
        <v>36395.599999999999</v>
      </c>
      <c r="H284" s="1">
        <v>365349</v>
      </c>
      <c r="I284" s="1">
        <v>511473</v>
      </c>
      <c r="J284" s="1">
        <v>46240.9</v>
      </c>
      <c r="K284" s="1">
        <v>87724.4</v>
      </c>
      <c r="L284" s="1">
        <v>85537.1</v>
      </c>
      <c r="M284" s="1">
        <v>52506.8</v>
      </c>
      <c r="N284" s="1">
        <v>67798.399999999994</v>
      </c>
      <c r="O284" s="1">
        <v>78882.600000000006</v>
      </c>
      <c r="P284" s="1">
        <v>51250</v>
      </c>
      <c r="Q284" s="1">
        <v>79808</v>
      </c>
      <c r="R284" s="1">
        <v>0</v>
      </c>
    </row>
    <row r="285" spans="1:18">
      <c r="A285" s="3">
        <v>45883.791678067129</v>
      </c>
      <c r="B285" s="1">
        <v>191336</v>
      </c>
      <c r="C285" s="1">
        <v>16565</v>
      </c>
      <c r="D285" s="1">
        <v>34318.800000000003</v>
      </c>
      <c r="E285" s="1">
        <v>0</v>
      </c>
      <c r="F285" s="1">
        <v>395497</v>
      </c>
      <c r="G285" s="1">
        <v>36464.800000000003</v>
      </c>
      <c r="H285" s="1">
        <v>365360</v>
      </c>
      <c r="I285" s="1">
        <v>511721</v>
      </c>
      <c r="J285" s="1">
        <v>46252.1</v>
      </c>
      <c r="K285" s="1">
        <v>87727.4</v>
      </c>
      <c r="L285" s="1">
        <v>85556.1</v>
      </c>
      <c r="M285" s="1">
        <v>52550.5</v>
      </c>
      <c r="N285" s="1">
        <v>67853.2</v>
      </c>
      <c r="O285" s="1">
        <v>78898.5</v>
      </c>
      <c r="P285" s="1">
        <v>51251</v>
      </c>
      <c r="Q285" s="1">
        <v>79810</v>
      </c>
      <c r="R285" s="1">
        <v>0</v>
      </c>
    </row>
    <row r="286" spans="1:18">
      <c r="A286" s="3">
        <v>45883.833344791667</v>
      </c>
      <c r="B286" s="1">
        <v>192057</v>
      </c>
      <c r="C286" s="1">
        <v>16743</v>
      </c>
      <c r="D286" s="1">
        <v>34333.1</v>
      </c>
      <c r="E286" s="1">
        <v>0</v>
      </c>
      <c r="F286" s="1">
        <v>395517</v>
      </c>
      <c r="G286" s="1">
        <v>36530.300000000003</v>
      </c>
      <c r="H286" s="1">
        <v>365372</v>
      </c>
      <c r="I286" s="1">
        <v>511949</v>
      </c>
      <c r="J286" s="1">
        <v>46262.7</v>
      </c>
      <c r="K286" s="1">
        <v>87730.4</v>
      </c>
      <c r="L286" s="1">
        <v>85577.1</v>
      </c>
      <c r="M286" s="1">
        <v>52593.4</v>
      </c>
      <c r="N286" s="1">
        <v>67908.7</v>
      </c>
      <c r="O286" s="1">
        <v>78915.3</v>
      </c>
      <c r="P286" s="1">
        <v>51251</v>
      </c>
      <c r="Q286" s="1">
        <v>79810</v>
      </c>
      <c r="R286" s="1">
        <v>0</v>
      </c>
    </row>
    <row r="287" spans="1:18">
      <c r="A287" s="3">
        <v>45883.875011516204</v>
      </c>
      <c r="B287" s="1">
        <v>192756</v>
      </c>
      <c r="C287" s="1">
        <v>16915</v>
      </c>
      <c r="D287" s="1">
        <v>34344.800000000003</v>
      </c>
      <c r="E287" s="1">
        <v>0</v>
      </c>
      <c r="F287" s="1">
        <v>395536</v>
      </c>
      <c r="G287" s="1">
        <v>36591.1</v>
      </c>
      <c r="H287" s="1">
        <v>365383</v>
      </c>
      <c r="I287" s="1">
        <v>512171</v>
      </c>
      <c r="J287" s="1">
        <v>46273</v>
      </c>
      <c r="K287" s="1">
        <v>87733.4</v>
      </c>
      <c r="L287" s="1">
        <v>85599.8</v>
      </c>
      <c r="M287" s="1">
        <v>52635.5</v>
      </c>
      <c r="N287" s="1">
        <v>67963.8</v>
      </c>
      <c r="O287" s="1">
        <v>78933.2</v>
      </c>
      <c r="P287" s="1">
        <v>51251</v>
      </c>
      <c r="Q287" s="1">
        <v>79810</v>
      </c>
      <c r="R287" s="1">
        <v>0</v>
      </c>
    </row>
    <row r="288" spans="1:18">
      <c r="A288" s="3">
        <v>45883.916678240741</v>
      </c>
      <c r="B288" s="1">
        <v>193438</v>
      </c>
      <c r="C288" s="1">
        <v>17083</v>
      </c>
      <c r="D288" s="1">
        <v>34356.800000000003</v>
      </c>
      <c r="E288" s="1">
        <v>0</v>
      </c>
      <c r="F288" s="1">
        <v>395555</v>
      </c>
      <c r="G288" s="1">
        <v>36649.800000000003</v>
      </c>
      <c r="H288" s="1">
        <v>365394</v>
      </c>
      <c r="I288" s="1">
        <v>512387</v>
      </c>
      <c r="J288" s="1">
        <v>46283.3</v>
      </c>
      <c r="K288" s="1">
        <v>87736.4</v>
      </c>
      <c r="L288" s="1">
        <v>85622</v>
      </c>
      <c r="M288" s="1">
        <v>52674.9</v>
      </c>
      <c r="N288" s="1">
        <v>68018.7</v>
      </c>
      <c r="O288" s="1">
        <v>78950.2</v>
      </c>
      <c r="P288" s="1">
        <v>51251</v>
      </c>
      <c r="Q288" s="1">
        <v>79810</v>
      </c>
      <c r="R288" s="1">
        <v>0</v>
      </c>
    </row>
    <row r="289" spans="1:18">
      <c r="A289" s="3">
        <v>45883.958344965278</v>
      </c>
      <c r="B289" s="1">
        <v>194102</v>
      </c>
      <c r="C289" s="1">
        <v>17247</v>
      </c>
      <c r="D289" s="1">
        <v>34368.199999999997</v>
      </c>
      <c r="E289" s="1">
        <v>0</v>
      </c>
      <c r="F289" s="1">
        <v>395573</v>
      </c>
      <c r="G289" s="1">
        <v>36706</v>
      </c>
      <c r="H289" s="1">
        <v>365404</v>
      </c>
      <c r="I289" s="1">
        <v>512596</v>
      </c>
      <c r="J289" s="1">
        <v>46293.3</v>
      </c>
      <c r="K289" s="1">
        <v>87739.4</v>
      </c>
      <c r="L289" s="1">
        <v>85643.3</v>
      </c>
      <c r="M289" s="1">
        <v>52714</v>
      </c>
      <c r="N289" s="1">
        <v>68073.600000000006</v>
      </c>
      <c r="O289" s="1">
        <v>78967.600000000006</v>
      </c>
      <c r="P289" s="1">
        <v>51251</v>
      </c>
      <c r="Q289" s="1">
        <v>79810</v>
      </c>
      <c r="R289" s="1">
        <v>0</v>
      </c>
    </row>
    <row r="290" spans="1:18">
      <c r="A290" s="3">
        <v>45884.000011689815</v>
      </c>
      <c r="B290" s="1">
        <v>194760</v>
      </c>
      <c r="C290" s="1">
        <v>17408</v>
      </c>
      <c r="D290" s="1">
        <v>34379.699999999997</v>
      </c>
      <c r="E290" s="1">
        <v>0</v>
      </c>
      <c r="F290" s="1">
        <v>395591</v>
      </c>
      <c r="G290" s="1">
        <v>36761.599999999999</v>
      </c>
      <c r="H290" s="1">
        <v>365415</v>
      </c>
      <c r="I290" s="1">
        <v>512805</v>
      </c>
      <c r="J290" s="1">
        <v>46303.1</v>
      </c>
      <c r="K290" s="1">
        <v>87742.399999999994</v>
      </c>
      <c r="L290" s="1">
        <v>85664.5</v>
      </c>
      <c r="M290" s="1">
        <v>52752.6</v>
      </c>
      <c r="N290" s="1">
        <v>68127.899999999994</v>
      </c>
      <c r="O290" s="1">
        <v>78985</v>
      </c>
      <c r="P290" s="1">
        <v>51251</v>
      </c>
      <c r="Q290" s="1">
        <v>79810</v>
      </c>
      <c r="R290" s="1">
        <v>0</v>
      </c>
    </row>
    <row r="291" spans="1:18">
      <c r="A291" s="3">
        <v>45884.041678414353</v>
      </c>
      <c r="B291" s="1">
        <v>195413</v>
      </c>
      <c r="C291" s="1">
        <v>17567</v>
      </c>
      <c r="D291" s="1">
        <v>34391.4</v>
      </c>
      <c r="E291" s="1">
        <v>0</v>
      </c>
      <c r="F291" s="1">
        <v>395609</v>
      </c>
      <c r="G291" s="1">
        <v>36816.300000000003</v>
      </c>
      <c r="H291" s="1">
        <v>365425</v>
      </c>
      <c r="I291" s="1">
        <v>513012</v>
      </c>
      <c r="J291" s="1">
        <v>46313</v>
      </c>
      <c r="K291" s="1">
        <v>87745.3</v>
      </c>
      <c r="L291" s="1">
        <v>85686.3</v>
      </c>
      <c r="M291" s="1">
        <v>52790.9</v>
      </c>
      <c r="N291" s="1">
        <v>68182.100000000006</v>
      </c>
      <c r="O291" s="1">
        <v>79001.2</v>
      </c>
      <c r="P291" s="1">
        <v>51251</v>
      </c>
      <c r="Q291" s="1">
        <v>79810</v>
      </c>
      <c r="R291" s="1">
        <v>0</v>
      </c>
    </row>
    <row r="292" spans="1:18">
      <c r="A292" s="3">
        <v>45884.08334513889</v>
      </c>
      <c r="B292" s="1">
        <v>196063</v>
      </c>
      <c r="C292" s="1">
        <v>17728</v>
      </c>
      <c r="D292" s="1">
        <v>34403.5</v>
      </c>
      <c r="E292" s="1">
        <v>0</v>
      </c>
      <c r="F292" s="1">
        <v>395627</v>
      </c>
      <c r="G292" s="1">
        <v>36871</v>
      </c>
      <c r="H292" s="1">
        <v>365435</v>
      </c>
      <c r="I292" s="1">
        <v>513215</v>
      </c>
      <c r="J292" s="1">
        <v>46322.400000000001</v>
      </c>
      <c r="K292" s="1">
        <v>87748.3</v>
      </c>
      <c r="L292" s="1">
        <v>85708.1</v>
      </c>
      <c r="M292" s="1">
        <v>52828.9</v>
      </c>
      <c r="N292" s="1">
        <v>68236.5</v>
      </c>
      <c r="O292" s="1">
        <v>79018.2</v>
      </c>
      <c r="P292" s="1">
        <v>51251</v>
      </c>
      <c r="Q292" s="1">
        <v>79810</v>
      </c>
      <c r="R292" s="1">
        <v>0</v>
      </c>
    </row>
    <row r="293" spans="1:18">
      <c r="A293" s="3">
        <v>45884.125011863427</v>
      </c>
      <c r="B293" s="1">
        <v>196704</v>
      </c>
      <c r="C293" s="1">
        <v>17886</v>
      </c>
      <c r="D293" s="1">
        <v>34415.699999999997</v>
      </c>
      <c r="E293" s="1">
        <v>0</v>
      </c>
      <c r="F293" s="1">
        <v>395645</v>
      </c>
      <c r="G293" s="1">
        <v>36924.5</v>
      </c>
      <c r="H293" s="1">
        <v>365446</v>
      </c>
      <c r="I293" s="1">
        <v>513415</v>
      </c>
      <c r="J293" s="1">
        <v>46332</v>
      </c>
      <c r="K293" s="1">
        <v>87751.7</v>
      </c>
      <c r="L293" s="1">
        <v>85727.5</v>
      </c>
      <c r="M293" s="1">
        <v>52867.199999999997</v>
      </c>
      <c r="N293" s="1">
        <v>68290.5</v>
      </c>
      <c r="O293" s="1">
        <v>79035</v>
      </c>
      <c r="P293" s="1">
        <v>51251</v>
      </c>
      <c r="Q293" s="1">
        <v>79810</v>
      </c>
      <c r="R293" s="1">
        <v>0</v>
      </c>
    </row>
    <row r="294" spans="1:18">
      <c r="A294" s="3">
        <v>45884.166678587964</v>
      </c>
      <c r="B294" s="1">
        <v>197332</v>
      </c>
      <c r="C294" s="1">
        <v>18039</v>
      </c>
      <c r="D294" s="1">
        <v>34427.4</v>
      </c>
      <c r="E294" s="1">
        <v>0</v>
      </c>
      <c r="F294" s="1">
        <v>395662</v>
      </c>
      <c r="G294" s="1">
        <v>36976.9</v>
      </c>
      <c r="H294" s="1">
        <v>365456</v>
      </c>
      <c r="I294" s="1">
        <v>513612</v>
      </c>
      <c r="J294" s="1">
        <v>46341.2</v>
      </c>
      <c r="K294" s="1">
        <v>87754.9</v>
      </c>
      <c r="L294" s="1">
        <v>85746.5</v>
      </c>
      <c r="M294" s="1">
        <v>52905.3</v>
      </c>
      <c r="N294" s="1">
        <v>68344.399999999994</v>
      </c>
      <c r="O294" s="1">
        <v>79051.3</v>
      </c>
      <c r="P294" s="1">
        <v>51251</v>
      </c>
      <c r="Q294" s="1">
        <v>79810</v>
      </c>
      <c r="R294" s="1">
        <v>0</v>
      </c>
    </row>
    <row r="295" spans="1:18">
      <c r="A295" s="3">
        <v>45884.208345312501</v>
      </c>
      <c r="B295" s="1">
        <v>197963</v>
      </c>
      <c r="C295" s="1">
        <v>18193</v>
      </c>
      <c r="D295" s="1">
        <v>34439.699999999997</v>
      </c>
      <c r="E295" s="1">
        <v>0</v>
      </c>
      <c r="F295" s="1">
        <v>395680</v>
      </c>
      <c r="G295" s="1">
        <v>37029.9</v>
      </c>
      <c r="H295" s="1">
        <v>365467</v>
      </c>
      <c r="I295" s="1">
        <v>513807</v>
      </c>
      <c r="J295" s="1">
        <v>46350.6</v>
      </c>
      <c r="K295" s="1">
        <v>87757.8</v>
      </c>
      <c r="L295" s="1">
        <v>85766.2</v>
      </c>
      <c r="M295" s="1">
        <v>52943.199999999997</v>
      </c>
      <c r="N295" s="1">
        <v>68398.899999999994</v>
      </c>
      <c r="O295" s="1">
        <v>79068.800000000003</v>
      </c>
      <c r="P295" s="1">
        <v>51251</v>
      </c>
      <c r="Q295" s="1">
        <v>79810</v>
      </c>
      <c r="R295" s="1">
        <v>0</v>
      </c>
    </row>
    <row r="296" spans="1:18">
      <c r="A296" s="3">
        <v>45884.250012037039</v>
      </c>
      <c r="B296" s="1">
        <v>198588</v>
      </c>
      <c r="C296" s="1">
        <v>18347</v>
      </c>
      <c r="D296" s="1">
        <v>34452.300000000003</v>
      </c>
      <c r="E296" s="1">
        <v>0</v>
      </c>
      <c r="F296" s="1">
        <v>395697</v>
      </c>
      <c r="G296" s="1">
        <v>37081.199999999997</v>
      </c>
      <c r="H296" s="1">
        <v>365478</v>
      </c>
      <c r="I296" s="1">
        <v>514002</v>
      </c>
      <c r="J296" s="1">
        <v>46359.1</v>
      </c>
      <c r="K296" s="1">
        <v>87760.6</v>
      </c>
      <c r="L296" s="1">
        <v>85785.2</v>
      </c>
      <c r="M296" s="1">
        <v>52980.800000000003</v>
      </c>
      <c r="N296" s="1">
        <v>68452.399999999994</v>
      </c>
      <c r="O296" s="1">
        <v>79084.7</v>
      </c>
      <c r="P296" s="1">
        <v>51251</v>
      </c>
      <c r="Q296" s="1">
        <v>79810</v>
      </c>
      <c r="R296" s="1">
        <v>0</v>
      </c>
    </row>
    <row r="297" spans="1:18">
      <c r="A297" s="3">
        <v>45884.291678761576</v>
      </c>
      <c r="B297" s="1">
        <v>199224</v>
      </c>
      <c r="C297" s="1">
        <v>18503</v>
      </c>
      <c r="D297" s="1">
        <v>34464.5</v>
      </c>
      <c r="E297" s="1">
        <v>0</v>
      </c>
      <c r="F297" s="1">
        <v>395714</v>
      </c>
      <c r="G297" s="1">
        <v>37136.300000000003</v>
      </c>
      <c r="H297" s="1">
        <v>365488</v>
      </c>
      <c r="I297" s="1">
        <v>514200</v>
      </c>
      <c r="J297" s="1">
        <v>46368.4</v>
      </c>
      <c r="K297" s="1">
        <v>87762.9</v>
      </c>
      <c r="L297" s="1">
        <v>85803.9</v>
      </c>
      <c r="M297" s="1">
        <v>53019.199999999997</v>
      </c>
      <c r="N297" s="1">
        <v>68505.5</v>
      </c>
      <c r="O297" s="1">
        <v>79100.399999999994</v>
      </c>
      <c r="P297" s="1">
        <v>51251</v>
      </c>
      <c r="Q297" s="1">
        <v>79810</v>
      </c>
      <c r="R297" s="1">
        <v>0</v>
      </c>
    </row>
    <row r="298" spans="1:18">
      <c r="A298" s="3">
        <v>45884.333345486113</v>
      </c>
      <c r="B298" s="1">
        <v>199885</v>
      </c>
      <c r="C298" s="1">
        <v>18670</v>
      </c>
      <c r="D298" s="1">
        <v>34476.300000000003</v>
      </c>
      <c r="E298" s="1">
        <v>0</v>
      </c>
      <c r="F298" s="1">
        <v>395733</v>
      </c>
      <c r="G298" s="1">
        <v>37192.9</v>
      </c>
      <c r="H298" s="1">
        <v>365498</v>
      </c>
      <c r="I298" s="1">
        <v>514411</v>
      </c>
      <c r="J298" s="1">
        <v>46378.8</v>
      </c>
      <c r="K298" s="1">
        <v>87763.5</v>
      </c>
      <c r="L298" s="1">
        <v>85822.3</v>
      </c>
      <c r="M298" s="1">
        <v>53057.9</v>
      </c>
      <c r="N298" s="1">
        <v>68555.899999999994</v>
      </c>
      <c r="O298" s="1">
        <v>79116.899999999994</v>
      </c>
      <c r="P298" s="1">
        <v>51252</v>
      </c>
      <c r="Q298" s="1">
        <v>79813</v>
      </c>
      <c r="R298" s="1">
        <v>0</v>
      </c>
    </row>
    <row r="299" spans="1:18">
      <c r="A299" s="3">
        <v>45884.37501221065</v>
      </c>
      <c r="B299" s="1">
        <v>200572</v>
      </c>
      <c r="C299" s="1">
        <v>18840</v>
      </c>
      <c r="D299" s="1">
        <v>34488.300000000003</v>
      </c>
      <c r="E299" s="1">
        <v>0</v>
      </c>
      <c r="F299" s="1">
        <v>395755</v>
      </c>
      <c r="G299" s="1">
        <v>37243.199999999997</v>
      </c>
      <c r="H299" s="1">
        <v>365509</v>
      </c>
      <c r="I299" s="1">
        <v>514642</v>
      </c>
      <c r="J299" s="1">
        <v>46392.9</v>
      </c>
      <c r="K299" s="1">
        <v>87763.5</v>
      </c>
      <c r="L299" s="1">
        <v>85842.7</v>
      </c>
      <c r="M299" s="1">
        <v>53098</v>
      </c>
      <c r="N299" s="1">
        <v>68604.3</v>
      </c>
      <c r="O299" s="1">
        <v>79134.3</v>
      </c>
      <c r="P299" s="1">
        <v>51256</v>
      </c>
      <c r="Q299" s="1">
        <v>79821</v>
      </c>
      <c r="R299" s="1">
        <v>0</v>
      </c>
    </row>
    <row r="300" spans="1:18">
      <c r="A300" s="3">
        <v>45884.416678935188</v>
      </c>
      <c r="B300" s="1">
        <v>201270</v>
      </c>
      <c r="C300" s="1">
        <v>19016</v>
      </c>
      <c r="D300" s="1">
        <v>34500.699999999997</v>
      </c>
      <c r="E300" s="1">
        <v>0</v>
      </c>
      <c r="F300" s="1">
        <v>395780</v>
      </c>
      <c r="G300" s="1">
        <v>37286.5</v>
      </c>
      <c r="H300" s="1">
        <v>365519</v>
      </c>
      <c r="I300" s="1">
        <v>514885</v>
      </c>
      <c r="J300" s="1">
        <v>46408.1</v>
      </c>
      <c r="K300" s="1">
        <v>87763.5</v>
      </c>
      <c r="L300" s="1">
        <v>85865.3</v>
      </c>
      <c r="M300" s="1">
        <v>53140.2</v>
      </c>
      <c r="N300" s="1">
        <v>68649.600000000006</v>
      </c>
      <c r="O300" s="1">
        <v>79152</v>
      </c>
      <c r="P300" s="1">
        <v>51266</v>
      </c>
      <c r="Q300" s="1">
        <v>79835</v>
      </c>
      <c r="R300" s="1">
        <v>0</v>
      </c>
    </row>
    <row r="301" spans="1:18">
      <c r="A301" s="3">
        <v>45884.458345659725</v>
      </c>
      <c r="B301" s="1">
        <v>202000</v>
      </c>
      <c r="C301" s="1">
        <v>19198</v>
      </c>
      <c r="D301" s="1">
        <v>34519.699999999997</v>
      </c>
      <c r="E301" s="1">
        <v>0</v>
      </c>
      <c r="F301" s="1">
        <v>395810</v>
      </c>
      <c r="G301" s="1">
        <v>37334.1</v>
      </c>
      <c r="H301" s="1">
        <v>365529</v>
      </c>
      <c r="I301" s="1">
        <v>515137</v>
      </c>
      <c r="J301" s="1">
        <v>46421.9</v>
      </c>
      <c r="K301" s="1">
        <v>87763.5</v>
      </c>
      <c r="L301" s="1">
        <v>85885.9</v>
      </c>
      <c r="M301" s="1">
        <v>53183.8</v>
      </c>
      <c r="N301" s="1">
        <v>68698.399999999994</v>
      </c>
      <c r="O301" s="1">
        <v>79169.5</v>
      </c>
      <c r="P301" s="1">
        <v>51276</v>
      </c>
      <c r="Q301" s="1">
        <v>79851</v>
      </c>
      <c r="R301" s="1">
        <v>0</v>
      </c>
    </row>
    <row r="302" spans="1:18">
      <c r="A302" s="3">
        <v>45884.500012384262</v>
      </c>
      <c r="B302" s="1">
        <v>202743</v>
      </c>
      <c r="C302" s="1">
        <v>19391</v>
      </c>
      <c r="D302" s="1">
        <v>34537</v>
      </c>
      <c r="E302" s="1">
        <v>0</v>
      </c>
      <c r="F302" s="1">
        <v>395844</v>
      </c>
      <c r="G302" s="1">
        <v>37379.1</v>
      </c>
      <c r="H302" s="1">
        <v>365541</v>
      </c>
      <c r="I302" s="1">
        <v>515398</v>
      </c>
      <c r="J302" s="1">
        <v>46434.2</v>
      </c>
      <c r="K302" s="1">
        <v>87763.5</v>
      </c>
      <c r="L302" s="1">
        <v>85908.4</v>
      </c>
      <c r="M302" s="1">
        <v>53225.7</v>
      </c>
      <c r="N302" s="1">
        <v>68744</v>
      </c>
      <c r="O302" s="1">
        <v>79186.899999999994</v>
      </c>
      <c r="P302" s="1">
        <v>51289</v>
      </c>
      <c r="Q302" s="1">
        <v>79871</v>
      </c>
      <c r="R302" s="1">
        <v>0</v>
      </c>
    </row>
    <row r="303" spans="1:18">
      <c r="A303" s="3">
        <v>45884.541679108799</v>
      </c>
      <c r="B303" s="1">
        <v>203498</v>
      </c>
      <c r="C303" s="1">
        <v>19590</v>
      </c>
      <c r="D303" s="1">
        <v>34555.5</v>
      </c>
      <c r="E303" s="1">
        <v>0</v>
      </c>
      <c r="F303" s="1">
        <v>395879</v>
      </c>
      <c r="G303" s="1">
        <v>37427.199999999997</v>
      </c>
      <c r="H303" s="1">
        <v>365552</v>
      </c>
      <c r="I303" s="1">
        <v>515663</v>
      </c>
      <c r="J303" s="1">
        <v>46446.400000000001</v>
      </c>
      <c r="K303" s="1">
        <v>87763.5</v>
      </c>
      <c r="L303" s="1">
        <v>85931.8</v>
      </c>
      <c r="M303" s="1">
        <v>53269.3</v>
      </c>
      <c r="N303" s="1">
        <v>68789.2</v>
      </c>
      <c r="O303" s="1">
        <v>79202.8</v>
      </c>
      <c r="P303" s="1">
        <v>51304</v>
      </c>
      <c r="Q303" s="1">
        <v>79893</v>
      </c>
      <c r="R303" s="1">
        <v>0</v>
      </c>
    </row>
    <row r="304" spans="1:18">
      <c r="A304" s="3">
        <v>45884.583345833336</v>
      </c>
      <c r="B304" s="1">
        <v>204291</v>
      </c>
      <c r="C304" s="1">
        <v>19804</v>
      </c>
      <c r="D304" s="1">
        <v>34577.199999999997</v>
      </c>
      <c r="E304" s="1">
        <v>0</v>
      </c>
      <c r="F304" s="1">
        <v>395916</v>
      </c>
      <c r="G304" s="1">
        <v>37482.6</v>
      </c>
      <c r="H304" s="1">
        <v>365564</v>
      </c>
      <c r="I304" s="1">
        <v>515928</v>
      </c>
      <c r="J304" s="1">
        <v>46459.6</v>
      </c>
      <c r="K304" s="1">
        <v>87763.5</v>
      </c>
      <c r="L304" s="1">
        <v>85957.1</v>
      </c>
      <c r="M304" s="1">
        <v>53316.2</v>
      </c>
      <c r="N304" s="1">
        <v>68836.399999999994</v>
      </c>
      <c r="O304" s="1">
        <v>79220.7</v>
      </c>
      <c r="P304" s="1">
        <v>51320</v>
      </c>
      <c r="Q304" s="1">
        <v>79917</v>
      </c>
      <c r="R304" s="1">
        <v>0</v>
      </c>
    </row>
    <row r="305" spans="1:18">
      <c r="A305" s="3">
        <v>45884.625012557874</v>
      </c>
      <c r="B305" s="1">
        <v>205085</v>
      </c>
      <c r="C305" s="1">
        <v>20020</v>
      </c>
      <c r="D305" s="1">
        <v>34597.4</v>
      </c>
      <c r="E305" s="1">
        <v>0</v>
      </c>
      <c r="F305" s="1">
        <v>395953</v>
      </c>
      <c r="G305" s="1">
        <v>37542</v>
      </c>
      <c r="H305" s="1">
        <v>365575</v>
      </c>
      <c r="I305" s="1">
        <v>516198</v>
      </c>
      <c r="J305" s="1">
        <v>46472.800000000003</v>
      </c>
      <c r="K305" s="1">
        <v>87763.5</v>
      </c>
      <c r="L305" s="1">
        <v>85981.1</v>
      </c>
      <c r="M305" s="1">
        <v>53362.2</v>
      </c>
      <c r="N305" s="1">
        <v>68875.600000000006</v>
      </c>
      <c r="O305" s="1">
        <v>79238.2</v>
      </c>
      <c r="P305" s="1">
        <v>51335</v>
      </c>
      <c r="Q305" s="1">
        <v>79940</v>
      </c>
      <c r="R305" s="1">
        <v>0</v>
      </c>
    </row>
    <row r="306" spans="1:18">
      <c r="A306" s="3">
        <v>45884.666679282411</v>
      </c>
      <c r="B306" s="1">
        <v>205924</v>
      </c>
      <c r="C306" s="1">
        <v>20244</v>
      </c>
      <c r="D306" s="1">
        <v>34617.800000000003</v>
      </c>
      <c r="E306" s="1">
        <v>0</v>
      </c>
      <c r="F306" s="1">
        <v>395989</v>
      </c>
      <c r="G306" s="1">
        <v>37608.6</v>
      </c>
      <c r="H306" s="1">
        <v>365586</v>
      </c>
      <c r="I306" s="1">
        <v>516481</v>
      </c>
      <c r="J306" s="1">
        <v>46486</v>
      </c>
      <c r="K306" s="1">
        <v>87763.5</v>
      </c>
      <c r="L306" s="1">
        <v>86005.1</v>
      </c>
      <c r="M306" s="1">
        <v>53411.8</v>
      </c>
      <c r="N306" s="1">
        <v>68920.899999999994</v>
      </c>
      <c r="O306" s="1">
        <v>79256.3</v>
      </c>
      <c r="P306" s="1">
        <v>51347</v>
      </c>
      <c r="Q306" s="1">
        <v>79958</v>
      </c>
      <c r="R306" s="1">
        <v>0</v>
      </c>
    </row>
    <row r="307" spans="1:18">
      <c r="A307" s="3">
        <v>45884.708346006948</v>
      </c>
      <c r="B307" s="1">
        <v>206755</v>
      </c>
      <c r="C307" s="1">
        <v>20461</v>
      </c>
      <c r="D307" s="1">
        <v>34637.1</v>
      </c>
      <c r="E307" s="1">
        <v>0</v>
      </c>
      <c r="F307" s="1">
        <v>396019</v>
      </c>
      <c r="G307" s="1">
        <v>37683.800000000003</v>
      </c>
      <c r="H307" s="1">
        <v>365598</v>
      </c>
      <c r="I307" s="1">
        <v>516757</v>
      </c>
      <c r="J307" s="1">
        <v>46499.6</v>
      </c>
      <c r="K307" s="1">
        <v>87763.6</v>
      </c>
      <c r="L307" s="1">
        <v>86027.4</v>
      </c>
      <c r="M307" s="1">
        <v>53457.8</v>
      </c>
      <c r="N307" s="1">
        <v>68969.5</v>
      </c>
      <c r="O307" s="1">
        <v>79274.7</v>
      </c>
      <c r="P307" s="1">
        <v>51355</v>
      </c>
      <c r="Q307" s="1">
        <v>79971</v>
      </c>
      <c r="R307" s="1">
        <v>0</v>
      </c>
    </row>
    <row r="308" spans="1:18">
      <c r="A308" s="3">
        <v>45884.750012731478</v>
      </c>
      <c r="B308" s="1">
        <v>207569</v>
      </c>
      <c r="C308" s="1">
        <v>20670</v>
      </c>
      <c r="D308" s="1">
        <v>34654.400000000001</v>
      </c>
      <c r="E308" s="1">
        <v>0</v>
      </c>
      <c r="F308" s="1">
        <v>396044</v>
      </c>
      <c r="G308" s="1">
        <v>37766.5</v>
      </c>
      <c r="H308" s="1">
        <v>365609</v>
      </c>
      <c r="I308" s="1">
        <v>517016</v>
      </c>
      <c r="J308" s="1">
        <v>46513</v>
      </c>
      <c r="K308" s="1">
        <v>87765.1</v>
      </c>
      <c r="L308" s="1">
        <v>86049</v>
      </c>
      <c r="M308" s="1">
        <v>53502.400000000001</v>
      </c>
      <c r="N308" s="1">
        <v>69023.100000000006</v>
      </c>
      <c r="O308" s="1">
        <v>79293.100000000006</v>
      </c>
      <c r="P308" s="1">
        <v>51360</v>
      </c>
      <c r="Q308" s="1">
        <v>79979</v>
      </c>
      <c r="R308" s="1">
        <v>0</v>
      </c>
    </row>
    <row r="309" spans="1:18">
      <c r="A309" s="3">
        <v>45884.791679456015</v>
      </c>
      <c r="B309" s="1">
        <v>208348</v>
      </c>
      <c r="C309" s="1">
        <v>20865</v>
      </c>
      <c r="D309" s="1">
        <v>34670.300000000003</v>
      </c>
      <c r="E309" s="1">
        <v>0</v>
      </c>
      <c r="F309" s="1">
        <v>396065</v>
      </c>
      <c r="G309" s="1">
        <v>37847.599999999999</v>
      </c>
      <c r="H309" s="1">
        <v>365621</v>
      </c>
      <c r="I309" s="1">
        <v>517261</v>
      </c>
      <c r="J309" s="1">
        <v>46527</v>
      </c>
      <c r="K309" s="1">
        <v>87767.9</v>
      </c>
      <c r="L309" s="1">
        <v>86070.399999999994</v>
      </c>
      <c r="M309" s="1">
        <v>53549.1</v>
      </c>
      <c r="N309" s="1">
        <v>69076.5</v>
      </c>
      <c r="O309" s="1">
        <v>79309</v>
      </c>
      <c r="P309" s="1">
        <v>51361</v>
      </c>
      <c r="Q309" s="1">
        <v>79981</v>
      </c>
      <c r="R309" s="1">
        <v>0</v>
      </c>
    </row>
    <row r="310" spans="1:18">
      <c r="A310" s="3">
        <v>45884.833346180552</v>
      </c>
      <c r="B310" s="1">
        <v>209086</v>
      </c>
      <c r="C310" s="1">
        <v>21048</v>
      </c>
      <c r="D310" s="1">
        <v>34683.800000000003</v>
      </c>
      <c r="E310" s="1">
        <v>0</v>
      </c>
      <c r="F310" s="1">
        <v>396084</v>
      </c>
      <c r="G310" s="1">
        <v>37923.9</v>
      </c>
      <c r="H310" s="1">
        <v>365632</v>
      </c>
      <c r="I310" s="1">
        <v>517489</v>
      </c>
      <c r="J310" s="1">
        <v>46541.3</v>
      </c>
      <c r="K310" s="1">
        <v>87770.9</v>
      </c>
      <c r="L310" s="1">
        <v>86091.4</v>
      </c>
      <c r="M310" s="1">
        <v>53591.4</v>
      </c>
      <c r="N310" s="1">
        <v>69132.600000000006</v>
      </c>
      <c r="O310" s="1">
        <v>79326.600000000006</v>
      </c>
      <c r="P310" s="1">
        <v>51361</v>
      </c>
      <c r="Q310" s="1">
        <v>79981</v>
      </c>
      <c r="R310" s="1">
        <v>0</v>
      </c>
    </row>
    <row r="311" spans="1:18">
      <c r="A311" s="3">
        <v>45884.87501290509</v>
      </c>
      <c r="B311" s="1">
        <v>209810</v>
      </c>
      <c r="C311" s="1">
        <v>21219</v>
      </c>
      <c r="D311" s="1">
        <v>34697</v>
      </c>
      <c r="E311" s="1">
        <v>0</v>
      </c>
      <c r="F311" s="1">
        <v>396103</v>
      </c>
      <c r="G311" s="1">
        <v>37993.599999999999</v>
      </c>
      <c r="H311" s="1">
        <v>365644</v>
      </c>
      <c r="I311" s="1">
        <v>517724</v>
      </c>
      <c r="J311" s="1">
        <v>46552.800000000003</v>
      </c>
      <c r="K311" s="1">
        <v>87774</v>
      </c>
      <c r="L311" s="1">
        <v>86114.1</v>
      </c>
      <c r="M311" s="1">
        <v>53632.5</v>
      </c>
      <c r="N311" s="1">
        <v>69186.7</v>
      </c>
      <c r="O311" s="1">
        <v>79345.8</v>
      </c>
      <c r="P311" s="1">
        <v>51361</v>
      </c>
      <c r="Q311" s="1">
        <v>79981</v>
      </c>
      <c r="R311" s="1">
        <v>0</v>
      </c>
    </row>
    <row r="312" spans="1:18">
      <c r="A312" s="3">
        <v>45884.916679629627</v>
      </c>
      <c r="B312" s="1">
        <v>210509</v>
      </c>
      <c r="C312" s="1">
        <v>21386</v>
      </c>
      <c r="D312" s="1">
        <v>34709.800000000003</v>
      </c>
      <c r="E312" s="1">
        <v>0</v>
      </c>
      <c r="F312" s="1">
        <v>396120</v>
      </c>
      <c r="G312" s="1">
        <v>38055.599999999999</v>
      </c>
      <c r="H312" s="1">
        <v>365655</v>
      </c>
      <c r="I312" s="1">
        <v>517954</v>
      </c>
      <c r="J312" s="1">
        <v>46563</v>
      </c>
      <c r="K312" s="1">
        <v>87776.9</v>
      </c>
      <c r="L312" s="1">
        <v>86136.6</v>
      </c>
      <c r="M312" s="1">
        <v>53673.1</v>
      </c>
      <c r="N312" s="1">
        <v>69241</v>
      </c>
      <c r="O312" s="1">
        <v>79363.199999999997</v>
      </c>
      <c r="P312" s="1">
        <v>51361</v>
      </c>
      <c r="Q312" s="1">
        <v>79981</v>
      </c>
      <c r="R312" s="1">
        <v>0</v>
      </c>
    </row>
    <row r="313" spans="1:18">
      <c r="A313" s="3">
        <v>45884.958346354164</v>
      </c>
      <c r="B313" s="1">
        <v>211193</v>
      </c>
      <c r="C313" s="1">
        <v>21551</v>
      </c>
      <c r="D313" s="1">
        <v>34722</v>
      </c>
      <c r="E313" s="1">
        <v>0</v>
      </c>
      <c r="F313" s="1">
        <v>396137</v>
      </c>
      <c r="G313" s="1">
        <v>38115.1</v>
      </c>
      <c r="H313" s="1">
        <v>365665</v>
      </c>
      <c r="I313" s="1">
        <v>518176</v>
      </c>
      <c r="J313" s="1">
        <v>46573.2</v>
      </c>
      <c r="K313" s="1">
        <v>87779.9</v>
      </c>
      <c r="L313" s="1">
        <v>86158.1</v>
      </c>
      <c r="M313" s="1">
        <v>53712.800000000003</v>
      </c>
      <c r="N313" s="1">
        <v>69297</v>
      </c>
      <c r="O313" s="1">
        <v>79380.399999999994</v>
      </c>
      <c r="P313" s="1">
        <v>51361</v>
      </c>
      <c r="Q313" s="1">
        <v>79981</v>
      </c>
      <c r="R313" s="1">
        <v>0</v>
      </c>
    </row>
    <row r="314" spans="1:18">
      <c r="A314" s="3">
        <v>45885.000013078701</v>
      </c>
      <c r="B314" s="1">
        <v>211867</v>
      </c>
      <c r="C314" s="1">
        <v>21712</v>
      </c>
      <c r="D314" s="1">
        <v>34734.6</v>
      </c>
      <c r="E314" s="1">
        <v>0</v>
      </c>
      <c r="F314" s="1">
        <v>396153</v>
      </c>
      <c r="G314" s="1">
        <v>38174.5</v>
      </c>
      <c r="H314" s="1">
        <v>365676</v>
      </c>
      <c r="I314" s="1">
        <v>518393</v>
      </c>
      <c r="J314" s="1">
        <v>46582.9</v>
      </c>
      <c r="K314" s="1">
        <v>87783</v>
      </c>
      <c r="L314" s="1">
        <v>86181.7</v>
      </c>
      <c r="M314" s="1">
        <v>53752.2</v>
      </c>
      <c r="N314" s="1">
        <v>69350.8</v>
      </c>
      <c r="O314" s="1">
        <v>79397.399999999994</v>
      </c>
      <c r="P314" s="1">
        <v>51361</v>
      </c>
      <c r="Q314" s="1">
        <v>79981</v>
      </c>
      <c r="R314" s="1">
        <v>0</v>
      </c>
    </row>
    <row r="315" spans="1:18">
      <c r="A315" s="3">
        <v>45885.041679803238</v>
      </c>
      <c r="B315" s="1">
        <v>212538</v>
      </c>
      <c r="C315" s="1">
        <v>21872</v>
      </c>
      <c r="D315" s="1">
        <v>34747</v>
      </c>
      <c r="E315" s="1">
        <v>0</v>
      </c>
      <c r="F315" s="1">
        <v>396170</v>
      </c>
      <c r="G315" s="1">
        <v>38232.699999999997</v>
      </c>
      <c r="H315" s="1">
        <v>365686</v>
      </c>
      <c r="I315" s="1">
        <v>518611</v>
      </c>
      <c r="J315" s="1">
        <v>46592.9</v>
      </c>
      <c r="K315" s="1">
        <v>87786.3</v>
      </c>
      <c r="L315" s="1">
        <v>86203.1</v>
      </c>
      <c r="M315" s="1">
        <v>53791.7</v>
      </c>
      <c r="N315" s="1">
        <v>69405</v>
      </c>
      <c r="O315" s="1">
        <v>79414.2</v>
      </c>
      <c r="P315" s="1">
        <v>51361</v>
      </c>
      <c r="Q315" s="1">
        <v>79981</v>
      </c>
      <c r="R315" s="1">
        <v>0</v>
      </c>
    </row>
    <row r="316" spans="1:18">
      <c r="A316" s="3">
        <v>45885.083346527776</v>
      </c>
      <c r="B316" s="1">
        <v>213190</v>
      </c>
      <c r="C316" s="1">
        <v>22031</v>
      </c>
      <c r="D316" s="1">
        <v>34759.800000000003</v>
      </c>
      <c r="E316" s="1">
        <v>0</v>
      </c>
      <c r="F316" s="1">
        <v>396186</v>
      </c>
      <c r="G316" s="1">
        <v>38289.9</v>
      </c>
      <c r="H316" s="1">
        <v>365698</v>
      </c>
      <c r="I316" s="1">
        <v>518815</v>
      </c>
      <c r="J316" s="1">
        <v>46602.400000000001</v>
      </c>
      <c r="K316" s="1">
        <v>87789.9</v>
      </c>
      <c r="L316" s="1">
        <v>86225</v>
      </c>
      <c r="M316" s="1">
        <v>53830.7</v>
      </c>
      <c r="N316" s="1">
        <v>69459.100000000006</v>
      </c>
      <c r="O316" s="1">
        <v>79431.199999999997</v>
      </c>
      <c r="P316" s="1">
        <v>51361</v>
      </c>
      <c r="Q316" s="1">
        <v>79981</v>
      </c>
      <c r="R316" s="1">
        <v>0</v>
      </c>
    </row>
    <row r="317" spans="1:18">
      <c r="A317" s="3">
        <v>45885.125013252313</v>
      </c>
      <c r="B317" s="1">
        <v>213827</v>
      </c>
      <c r="C317" s="1">
        <v>22184</v>
      </c>
      <c r="D317" s="1">
        <v>34772.199999999997</v>
      </c>
      <c r="E317" s="1">
        <v>0</v>
      </c>
      <c r="F317" s="1">
        <v>396202</v>
      </c>
      <c r="G317" s="1">
        <v>38345.800000000003</v>
      </c>
      <c r="H317" s="1">
        <v>365708</v>
      </c>
      <c r="I317" s="1">
        <v>519014</v>
      </c>
      <c r="J317" s="1">
        <v>46611.9</v>
      </c>
      <c r="K317" s="1">
        <v>87793.3</v>
      </c>
      <c r="L317" s="1">
        <v>86247</v>
      </c>
      <c r="M317" s="1">
        <v>53869.2</v>
      </c>
      <c r="N317" s="1">
        <v>69513.899999999994</v>
      </c>
      <c r="O317" s="1">
        <v>79447.399999999994</v>
      </c>
      <c r="P317" s="1">
        <v>51361</v>
      </c>
      <c r="Q317" s="1">
        <v>79981</v>
      </c>
      <c r="R317" s="1">
        <v>0</v>
      </c>
    </row>
    <row r="318" spans="1:18">
      <c r="A318" s="3">
        <v>45885.16667997685</v>
      </c>
      <c r="B318" s="1">
        <v>214459</v>
      </c>
      <c r="C318" s="1">
        <v>22334</v>
      </c>
      <c r="D318" s="1">
        <v>34784.699999999997</v>
      </c>
      <c r="E318" s="1">
        <v>0</v>
      </c>
      <c r="F318" s="1">
        <v>396218</v>
      </c>
      <c r="G318" s="1">
        <v>38399.800000000003</v>
      </c>
      <c r="H318" s="1">
        <v>365719</v>
      </c>
      <c r="I318" s="1">
        <v>519212</v>
      </c>
      <c r="J318" s="1">
        <v>46621.3</v>
      </c>
      <c r="K318" s="1">
        <v>87796.5</v>
      </c>
      <c r="L318" s="1">
        <v>86267.199999999997</v>
      </c>
      <c r="M318" s="1">
        <v>53907.7</v>
      </c>
      <c r="N318" s="1">
        <v>69568.2</v>
      </c>
      <c r="O318" s="1">
        <v>79464.7</v>
      </c>
      <c r="P318" s="1">
        <v>51361</v>
      </c>
      <c r="Q318" s="1">
        <v>79981</v>
      </c>
      <c r="R318" s="1">
        <v>0</v>
      </c>
    </row>
    <row r="319" spans="1:18">
      <c r="A319" s="3">
        <v>45885.208346701387</v>
      </c>
      <c r="B319" s="1">
        <v>215088</v>
      </c>
      <c r="C319" s="1">
        <v>22482</v>
      </c>
      <c r="D319" s="1">
        <v>34797.1</v>
      </c>
      <c r="E319" s="1">
        <v>0</v>
      </c>
      <c r="F319" s="1">
        <v>396233</v>
      </c>
      <c r="G319" s="1">
        <v>38454.1</v>
      </c>
      <c r="H319" s="1">
        <v>365729</v>
      </c>
      <c r="I319" s="1">
        <v>519411</v>
      </c>
      <c r="J319" s="1">
        <v>46630.6</v>
      </c>
      <c r="K319" s="1">
        <v>87799.4</v>
      </c>
      <c r="L319" s="1">
        <v>86287</v>
      </c>
      <c r="M319" s="1">
        <v>53946.5</v>
      </c>
      <c r="N319" s="1">
        <v>69623.8</v>
      </c>
      <c r="O319" s="1">
        <v>79481.899999999994</v>
      </c>
      <c r="P319" s="1">
        <v>51361</v>
      </c>
      <c r="Q319" s="1">
        <v>79981</v>
      </c>
      <c r="R319" s="1">
        <v>0</v>
      </c>
    </row>
    <row r="320" spans="1:18">
      <c r="A320" s="3">
        <v>45885.250013425924</v>
      </c>
      <c r="B320" s="1">
        <v>215707</v>
      </c>
      <c r="C320" s="1">
        <v>22630</v>
      </c>
      <c r="D320" s="1">
        <v>34810.1</v>
      </c>
      <c r="E320" s="1">
        <v>0</v>
      </c>
      <c r="F320" s="1">
        <v>396250</v>
      </c>
      <c r="G320" s="1">
        <v>38507.4</v>
      </c>
      <c r="H320" s="1">
        <v>365740</v>
      </c>
      <c r="I320" s="1">
        <v>519605</v>
      </c>
      <c r="J320" s="1">
        <v>46638.9</v>
      </c>
      <c r="K320" s="1">
        <v>87802.2</v>
      </c>
      <c r="L320" s="1">
        <v>86306.3</v>
      </c>
      <c r="M320" s="1">
        <v>53984.3</v>
      </c>
      <c r="N320" s="1">
        <v>69677.899999999994</v>
      </c>
      <c r="O320" s="1">
        <v>79498.2</v>
      </c>
      <c r="P320" s="1">
        <v>51361</v>
      </c>
      <c r="Q320" s="1">
        <v>79981</v>
      </c>
      <c r="R320" s="1">
        <v>0</v>
      </c>
    </row>
    <row r="321" spans="1:18">
      <c r="A321" s="3">
        <v>45885.291680150462</v>
      </c>
      <c r="B321" s="1">
        <v>216331</v>
      </c>
      <c r="C321" s="1">
        <v>22780</v>
      </c>
      <c r="D321" s="1">
        <v>34822.9</v>
      </c>
      <c r="E321" s="1">
        <v>0</v>
      </c>
      <c r="F321" s="1">
        <v>396265</v>
      </c>
      <c r="G321" s="1">
        <v>38564</v>
      </c>
      <c r="H321" s="1">
        <v>365751</v>
      </c>
      <c r="I321" s="1">
        <v>519800</v>
      </c>
      <c r="J321" s="1">
        <v>46648.2</v>
      </c>
      <c r="K321" s="1">
        <v>87804.5</v>
      </c>
      <c r="L321" s="1">
        <v>86325.4</v>
      </c>
      <c r="M321" s="1">
        <v>54022.5</v>
      </c>
      <c r="N321" s="1">
        <v>69731.100000000006</v>
      </c>
      <c r="O321" s="1">
        <v>79512.7</v>
      </c>
      <c r="P321" s="1">
        <v>51361</v>
      </c>
      <c r="Q321" s="1">
        <v>79981</v>
      </c>
      <c r="R321" s="1">
        <v>0</v>
      </c>
    </row>
    <row r="322" spans="1:18">
      <c r="A322" s="3">
        <v>45885.333346874999</v>
      </c>
      <c r="B322" s="1">
        <v>216978</v>
      </c>
      <c r="C322" s="1">
        <v>22936</v>
      </c>
      <c r="D322" s="1">
        <v>34835.199999999997</v>
      </c>
      <c r="E322" s="1">
        <v>0</v>
      </c>
      <c r="F322" s="1">
        <v>396282</v>
      </c>
      <c r="G322" s="1">
        <v>38621.599999999999</v>
      </c>
      <c r="H322" s="1">
        <v>365761</v>
      </c>
      <c r="I322" s="1">
        <v>520008</v>
      </c>
      <c r="J322" s="1">
        <v>46658.5</v>
      </c>
      <c r="K322" s="1">
        <v>87805.1</v>
      </c>
      <c r="L322" s="1">
        <v>86344.3</v>
      </c>
      <c r="M322" s="1">
        <v>54061.2</v>
      </c>
      <c r="N322" s="1">
        <v>69782.2</v>
      </c>
      <c r="O322" s="1">
        <v>79529.5</v>
      </c>
      <c r="P322" s="1">
        <v>51362</v>
      </c>
      <c r="Q322" s="1">
        <v>79983</v>
      </c>
      <c r="R322" s="1">
        <v>0</v>
      </c>
    </row>
    <row r="323" spans="1:18">
      <c r="A323" s="3">
        <v>45885.375013599536</v>
      </c>
      <c r="B323" s="1">
        <v>217633</v>
      </c>
      <c r="C323" s="1">
        <v>23102</v>
      </c>
      <c r="D323" s="1">
        <v>34847.699999999997</v>
      </c>
      <c r="E323" s="1">
        <v>0</v>
      </c>
      <c r="F323" s="1">
        <v>396300</v>
      </c>
      <c r="G323" s="1">
        <v>38668.400000000001</v>
      </c>
      <c r="H323" s="1">
        <v>365771</v>
      </c>
      <c r="I323" s="1">
        <v>520226</v>
      </c>
      <c r="J323" s="1">
        <v>46670.400000000001</v>
      </c>
      <c r="K323" s="1">
        <v>87805.1</v>
      </c>
      <c r="L323" s="1">
        <v>86363.5</v>
      </c>
      <c r="M323" s="1">
        <v>54101.2</v>
      </c>
      <c r="N323" s="1">
        <v>69830.3</v>
      </c>
      <c r="O323" s="1">
        <v>79546.7</v>
      </c>
      <c r="P323" s="1">
        <v>51367</v>
      </c>
      <c r="Q323" s="1">
        <v>79993</v>
      </c>
      <c r="R323" s="1">
        <v>0</v>
      </c>
    </row>
    <row r="324" spans="1:18">
      <c r="A324" s="3">
        <v>45885.416680324073</v>
      </c>
      <c r="B324" s="1">
        <v>218299</v>
      </c>
      <c r="C324" s="1">
        <v>23273</v>
      </c>
      <c r="D324" s="1">
        <v>34861.1</v>
      </c>
      <c r="E324" s="1">
        <v>0</v>
      </c>
      <c r="F324" s="1">
        <v>396317</v>
      </c>
      <c r="G324" s="1">
        <v>38706.199999999997</v>
      </c>
      <c r="H324" s="1">
        <v>365783</v>
      </c>
      <c r="I324" s="1">
        <v>520463</v>
      </c>
      <c r="J324" s="1">
        <v>46684.6</v>
      </c>
      <c r="K324" s="1">
        <v>87805.1</v>
      </c>
      <c r="L324" s="1">
        <v>86382.1</v>
      </c>
      <c r="M324" s="1">
        <v>54143.6</v>
      </c>
      <c r="N324" s="1">
        <v>69874.600000000006</v>
      </c>
      <c r="O324" s="1">
        <v>79563.7</v>
      </c>
      <c r="P324" s="1">
        <v>51377</v>
      </c>
      <c r="Q324" s="1">
        <v>80009</v>
      </c>
      <c r="R324" s="1">
        <v>0</v>
      </c>
    </row>
    <row r="325" spans="1:18">
      <c r="A325" s="3">
        <v>45885.45834704861</v>
      </c>
      <c r="B325" s="1">
        <v>218974</v>
      </c>
      <c r="C325" s="1">
        <v>23443</v>
      </c>
      <c r="D325" s="1">
        <v>34880.400000000001</v>
      </c>
      <c r="E325" s="1">
        <v>0</v>
      </c>
      <c r="F325" s="1">
        <v>396335</v>
      </c>
      <c r="G325" s="1">
        <v>38742.5</v>
      </c>
      <c r="H325" s="1">
        <v>365793</v>
      </c>
      <c r="I325" s="1">
        <v>520706</v>
      </c>
      <c r="J325" s="1">
        <v>46699</v>
      </c>
      <c r="K325" s="1">
        <v>87805.1</v>
      </c>
      <c r="L325" s="1">
        <v>86399.9</v>
      </c>
      <c r="M325" s="1">
        <v>54186.6</v>
      </c>
      <c r="N325" s="1">
        <v>69916.899999999994</v>
      </c>
      <c r="O325" s="1">
        <v>79582.399999999994</v>
      </c>
      <c r="P325" s="1">
        <v>51390</v>
      </c>
      <c r="Q325" s="1">
        <v>80029</v>
      </c>
      <c r="R325" s="1">
        <v>0</v>
      </c>
    </row>
    <row r="326" spans="1:18">
      <c r="A326" s="3">
        <v>45885.500013773148</v>
      </c>
      <c r="B326" s="1">
        <v>219656</v>
      </c>
      <c r="C326" s="1">
        <v>23620</v>
      </c>
      <c r="D326" s="1">
        <v>34897.1</v>
      </c>
      <c r="E326" s="1">
        <v>0</v>
      </c>
      <c r="F326" s="1">
        <v>396355</v>
      </c>
      <c r="G326" s="1">
        <v>38776.9</v>
      </c>
      <c r="H326" s="1">
        <v>365804</v>
      </c>
      <c r="I326" s="1">
        <v>520956</v>
      </c>
      <c r="J326" s="1">
        <v>46710.400000000001</v>
      </c>
      <c r="K326" s="1">
        <v>87805.1</v>
      </c>
      <c r="L326" s="1">
        <v>86418.2</v>
      </c>
      <c r="M326" s="1">
        <v>54230.8</v>
      </c>
      <c r="N326" s="1">
        <v>69957.100000000006</v>
      </c>
      <c r="O326" s="1">
        <v>79600.2</v>
      </c>
      <c r="P326" s="1">
        <v>51405</v>
      </c>
      <c r="Q326" s="1">
        <v>80051</v>
      </c>
      <c r="R326" s="1">
        <v>0</v>
      </c>
    </row>
    <row r="327" spans="1:18">
      <c r="A327" s="3">
        <v>45885.541680497685</v>
      </c>
      <c r="B327" s="1">
        <v>220350</v>
      </c>
      <c r="C327" s="1">
        <v>23803</v>
      </c>
      <c r="D327" s="1">
        <v>34914.5</v>
      </c>
      <c r="E327" s="1">
        <v>0</v>
      </c>
      <c r="F327" s="1">
        <v>396377</v>
      </c>
      <c r="G327" s="1">
        <v>38815.699999999997</v>
      </c>
      <c r="H327" s="1">
        <v>365815</v>
      </c>
      <c r="I327" s="1">
        <v>521207</v>
      </c>
      <c r="J327" s="1">
        <v>46722.6</v>
      </c>
      <c r="K327" s="1">
        <v>87805.1</v>
      </c>
      <c r="L327" s="1">
        <v>86436.6</v>
      </c>
      <c r="M327" s="1">
        <v>54276</v>
      </c>
      <c r="N327" s="1">
        <v>69996.399999999994</v>
      </c>
      <c r="O327" s="1">
        <v>79616.7</v>
      </c>
      <c r="P327" s="1">
        <v>51420</v>
      </c>
      <c r="Q327" s="1">
        <v>80075</v>
      </c>
      <c r="R327" s="1">
        <v>0</v>
      </c>
    </row>
    <row r="328" spans="1:18">
      <c r="A328" s="3">
        <v>45885.583347222222</v>
      </c>
      <c r="B328" s="1">
        <v>221086</v>
      </c>
      <c r="C328" s="1">
        <v>23994</v>
      </c>
      <c r="D328" s="1">
        <v>34936.6</v>
      </c>
      <c r="E328" s="1">
        <v>0</v>
      </c>
      <c r="F328" s="1">
        <v>396400</v>
      </c>
      <c r="G328" s="1">
        <v>38864.199999999997</v>
      </c>
      <c r="H328" s="1">
        <v>365826</v>
      </c>
      <c r="I328" s="1">
        <v>521467</v>
      </c>
      <c r="J328" s="1">
        <v>46735.1</v>
      </c>
      <c r="K328" s="1">
        <v>87805.1</v>
      </c>
      <c r="L328" s="1">
        <v>86455.2</v>
      </c>
      <c r="M328" s="1">
        <v>54323.5</v>
      </c>
      <c r="N328" s="1">
        <v>70037.3</v>
      </c>
      <c r="O328" s="1">
        <v>79635</v>
      </c>
      <c r="P328" s="1">
        <v>51435</v>
      </c>
      <c r="Q328" s="1">
        <v>80097</v>
      </c>
      <c r="R328" s="1">
        <v>0</v>
      </c>
    </row>
    <row r="329" spans="1:18">
      <c r="A329" s="3">
        <v>45885.625013946759</v>
      </c>
      <c r="B329" s="1">
        <v>221854</v>
      </c>
      <c r="C329" s="1">
        <v>24194</v>
      </c>
      <c r="D329" s="1">
        <v>34957.800000000003</v>
      </c>
      <c r="E329" s="1">
        <v>0</v>
      </c>
      <c r="F329" s="1">
        <v>396423</v>
      </c>
      <c r="G329" s="1">
        <v>38918.5</v>
      </c>
      <c r="H329" s="1">
        <v>365842</v>
      </c>
      <c r="I329" s="1">
        <v>521735</v>
      </c>
      <c r="J329" s="1">
        <v>46748.5</v>
      </c>
      <c r="K329" s="1">
        <v>87805.1</v>
      </c>
      <c r="L329" s="1">
        <v>86473.8</v>
      </c>
      <c r="M329" s="1">
        <v>54373.1</v>
      </c>
      <c r="N329" s="1">
        <v>70079.8</v>
      </c>
      <c r="O329" s="1">
        <v>79652.7</v>
      </c>
      <c r="P329" s="1">
        <v>51449</v>
      </c>
      <c r="Q329" s="1">
        <v>80119</v>
      </c>
      <c r="R329" s="1">
        <v>0</v>
      </c>
    </row>
    <row r="330" spans="1:18">
      <c r="A330" s="3">
        <v>45885.666680671296</v>
      </c>
      <c r="B330" s="1">
        <v>222646</v>
      </c>
      <c r="C330" s="1">
        <v>24404</v>
      </c>
      <c r="D330" s="1">
        <v>34978.300000000003</v>
      </c>
      <c r="E330" s="1">
        <v>0</v>
      </c>
      <c r="F330" s="1">
        <v>396445</v>
      </c>
      <c r="G330" s="1">
        <v>38981.599999999999</v>
      </c>
      <c r="H330" s="1">
        <v>365853</v>
      </c>
      <c r="I330" s="1">
        <v>522006</v>
      </c>
      <c r="J330" s="1">
        <v>46762.5</v>
      </c>
      <c r="K330" s="1">
        <v>87805.1</v>
      </c>
      <c r="L330" s="1">
        <v>86492.7</v>
      </c>
      <c r="M330" s="1">
        <v>54422.8</v>
      </c>
      <c r="N330" s="1">
        <v>70125.5</v>
      </c>
      <c r="O330" s="1">
        <v>79670.399999999994</v>
      </c>
      <c r="P330" s="1">
        <v>51462</v>
      </c>
      <c r="Q330" s="1">
        <v>80137</v>
      </c>
      <c r="R330" s="1">
        <v>0</v>
      </c>
    </row>
    <row r="331" spans="1:18">
      <c r="A331" s="3">
        <v>45885.708347395834</v>
      </c>
      <c r="B331" s="1">
        <v>223466</v>
      </c>
      <c r="C331" s="1">
        <v>24615</v>
      </c>
      <c r="D331" s="1">
        <v>34999.599999999999</v>
      </c>
      <c r="E331" s="1">
        <v>0</v>
      </c>
      <c r="F331" s="1">
        <v>396466</v>
      </c>
      <c r="G331" s="1">
        <v>39052.400000000001</v>
      </c>
      <c r="H331" s="1">
        <v>365866</v>
      </c>
      <c r="I331" s="1">
        <v>522284</v>
      </c>
      <c r="J331" s="1">
        <v>46775.3</v>
      </c>
      <c r="K331" s="1">
        <v>87805.1</v>
      </c>
      <c r="L331" s="1">
        <v>86511.4</v>
      </c>
      <c r="M331" s="1">
        <v>54472.6</v>
      </c>
      <c r="N331" s="1">
        <v>70175.7</v>
      </c>
      <c r="O331" s="1">
        <v>79690.5</v>
      </c>
      <c r="P331" s="1">
        <v>51471</v>
      </c>
      <c r="Q331" s="1">
        <v>80151</v>
      </c>
      <c r="R331" s="1">
        <v>0</v>
      </c>
    </row>
    <row r="332" spans="1:18">
      <c r="A332" s="3">
        <v>45885.750014120371</v>
      </c>
      <c r="B332" s="1">
        <v>224263</v>
      </c>
      <c r="C332" s="1">
        <v>24817</v>
      </c>
      <c r="D332" s="1">
        <v>35019</v>
      </c>
      <c r="E332" s="1">
        <v>0</v>
      </c>
      <c r="F332" s="1">
        <v>396487</v>
      </c>
      <c r="G332" s="1">
        <v>39128.699999999997</v>
      </c>
      <c r="H332" s="1">
        <v>365877</v>
      </c>
      <c r="I332" s="1">
        <v>522540</v>
      </c>
      <c r="J332" s="1">
        <v>46788.5</v>
      </c>
      <c r="K332" s="1">
        <v>87807</v>
      </c>
      <c r="L332" s="1">
        <v>86529.9</v>
      </c>
      <c r="M332" s="1">
        <v>54522.2</v>
      </c>
      <c r="N332" s="1">
        <v>70227.3</v>
      </c>
      <c r="O332" s="1">
        <v>79708.2</v>
      </c>
      <c r="P332" s="1">
        <v>51476</v>
      </c>
      <c r="Q332" s="1">
        <v>80159</v>
      </c>
      <c r="R332" s="1">
        <v>0</v>
      </c>
    </row>
    <row r="333" spans="1:18">
      <c r="A333" s="3">
        <v>45885.791680844908</v>
      </c>
      <c r="B333" s="1">
        <v>225045</v>
      </c>
      <c r="C333" s="1">
        <v>25013</v>
      </c>
      <c r="D333" s="1">
        <v>35037.5</v>
      </c>
      <c r="E333" s="1">
        <v>0</v>
      </c>
      <c r="F333" s="1">
        <v>396505</v>
      </c>
      <c r="G333" s="1">
        <v>39204.300000000003</v>
      </c>
      <c r="H333" s="1">
        <v>365892</v>
      </c>
      <c r="I333" s="1">
        <v>522791</v>
      </c>
      <c r="J333" s="1">
        <v>46799.9</v>
      </c>
      <c r="K333" s="1">
        <v>87810.4</v>
      </c>
      <c r="L333" s="1">
        <v>86548.1</v>
      </c>
      <c r="M333" s="1">
        <v>54568.800000000003</v>
      </c>
      <c r="N333" s="1">
        <v>70283.7</v>
      </c>
      <c r="O333" s="1">
        <v>79724.2</v>
      </c>
      <c r="P333" s="1">
        <v>51477</v>
      </c>
      <c r="Q333" s="1">
        <v>80160</v>
      </c>
      <c r="R333" s="1">
        <v>0</v>
      </c>
    </row>
    <row r="334" spans="1:18">
      <c r="A334" s="3">
        <v>45885.833347569445</v>
      </c>
      <c r="B334" s="1">
        <v>225795</v>
      </c>
      <c r="C334" s="1">
        <v>25197</v>
      </c>
      <c r="D334" s="1">
        <v>35053.300000000003</v>
      </c>
      <c r="E334" s="1">
        <v>0</v>
      </c>
      <c r="F334" s="1">
        <v>396522</v>
      </c>
      <c r="G334" s="1">
        <v>39273.199999999997</v>
      </c>
      <c r="H334" s="1">
        <v>365908</v>
      </c>
      <c r="I334" s="1">
        <v>523032</v>
      </c>
      <c r="J334" s="1">
        <v>46810.9</v>
      </c>
      <c r="K334" s="1">
        <v>87813.9</v>
      </c>
      <c r="L334" s="1">
        <v>86567.2</v>
      </c>
      <c r="M334" s="1">
        <v>54613.599999999999</v>
      </c>
      <c r="N334" s="1">
        <v>70338.8</v>
      </c>
      <c r="O334" s="1">
        <v>79742.2</v>
      </c>
      <c r="P334" s="1">
        <v>51477</v>
      </c>
      <c r="Q334" s="1">
        <v>80160</v>
      </c>
      <c r="R334" s="1">
        <v>0</v>
      </c>
    </row>
    <row r="335" spans="1:18">
      <c r="A335" s="3">
        <v>45885.875014293983</v>
      </c>
      <c r="B335" s="1">
        <v>226519</v>
      </c>
      <c r="C335" s="1">
        <v>25376</v>
      </c>
      <c r="D335" s="1">
        <v>35067.800000000003</v>
      </c>
      <c r="E335" s="1">
        <v>0</v>
      </c>
      <c r="F335" s="1">
        <v>396538</v>
      </c>
      <c r="G335" s="1">
        <v>39336.800000000003</v>
      </c>
      <c r="H335" s="1">
        <v>365924</v>
      </c>
      <c r="I335" s="1">
        <v>523263</v>
      </c>
      <c r="J335" s="1">
        <v>46821.8</v>
      </c>
      <c r="K335" s="1">
        <v>87817</v>
      </c>
      <c r="L335" s="1">
        <v>86586.7</v>
      </c>
      <c r="M335" s="1">
        <v>54655.5</v>
      </c>
      <c r="N335" s="1">
        <v>70395.5</v>
      </c>
      <c r="O335" s="1">
        <v>79760.399999999994</v>
      </c>
      <c r="P335" s="1">
        <v>51477</v>
      </c>
      <c r="Q335" s="1">
        <v>80160</v>
      </c>
      <c r="R335" s="1">
        <v>0</v>
      </c>
    </row>
    <row r="336" spans="1:18">
      <c r="A336" s="3">
        <v>45885.91668101852</v>
      </c>
      <c r="B336" s="1">
        <v>227225</v>
      </c>
      <c r="C336" s="1">
        <v>25550</v>
      </c>
      <c r="D336" s="1">
        <v>35081</v>
      </c>
      <c r="E336" s="1">
        <v>0</v>
      </c>
      <c r="F336" s="1">
        <v>396555</v>
      </c>
      <c r="G336" s="1">
        <v>39400.5</v>
      </c>
      <c r="H336" s="1">
        <v>365940</v>
      </c>
      <c r="I336" s="1">
        <v>523489</v>
      </c>
      <c r="J336" s="1">
        <v>46832.1</v>
      </c>
      <c r="K336" s="1">
        <v>87820</v>
      </c>
      <c r="L336" s="1">
        <v>86606</v>
      </c>
      <c r="M336" s="1">
        <v>54696.5</v>
      </c>
      <c r="N336" s="1">
        <v>70450</v>
      </c>
      <c r="O336" s="1">
        <v>79777.899999999994</v>
      </c>
      <c r="P336" s="1">
        <v>51477</v>
      </c>
      <c r="Q336" s="1">
        <v>80160</v>
      </c>
      <c r="R336" s="1">
        <v>0</v>
      </c>
    </row>
    <row r="337" spans="1:18">
      <c r="A337" s="3">
        <v>45885.958347743057</v>
      </c>
      <c r="B337" s="1">
        <v>227928</v>
      </c>
      <c r="C337" s="1">
        <v>25721</v>
      </c>
      <c r="D337" s="1">
        <v>35093.800000000003</v>
      </c>
      <c r="E337" s="1">
        <v>0</v>
      </c>
      <c r="F337" s="1">
        <v>396570</v>
      </c>
      <c r="G337" s="1">
        <v>39462.400000000001</v>
      </c>
      <c r="H337" s="1">
        <v>365956</v>
      </c>
      <c r="I337" s="1">
        <v>523714</v>
      </c>
      <c r="J337" s="1">
        <v>46842.8</v>
      </c>
      <c r="K337" s="1">
        <v>87823.3</v>
      </c>
      <c r="L337" s="1">
        <v>86624.4</v>
      </c>
      <c r="M337" s="1">
        <v>54738.1</v>
      </c>
      <c r="N337" s="1">
        <v>70507</v>
      </c>
      <c r="O337" s="1">
        <v>79795.3</v>
      </c>
      <c r="P337" s="1">
        <v>51477</v>
      </c>
      <c r="Q337" s="1">
        <v>80160</v>
      </c>
      <c r="R337" s="1">
        <v>0</v>
      </c>
    </row>
    <row r="338" spans="1:18">
      <c r="A338" s="3">
        <v>45886.000014467594</v>
      </c>
      <c r="B338" s="1">
        <v>228618</v>
      </c>
      <c r="C338" s="1">
        <v>25891</v>
      </c>
      <c r="D338" s="1">
        <v>35106.1</v>
      </c>
      <c r="E338" s="1">
        <v>0</v>
      </c>
      <c r="F338" s="1">
        <v>396586</v>
      </c>
      <c r="G338" s="1">
        <v>39523</v>
      </c>
      <c r="H338" s="1">
        <v>365973</v>
      </c>
      <c r="I338" s="1">
        <v>523935</v>
      </c>
      <c r="J338" s="1">
        <v>46852.800000000003</v>
      </c>
      <c r="K338" s="1">
        <v>87826.7</v>
      </c>
      <c r="L338" s="1">
        <v>86642.8</v>
      </c>
      <c r="M338" s="1">
        <v>54778.400000000001</v>
      </c>
      <c r="N338" s="1">
        <v>70561.5</v>
      </c>
      <c r="O338" s="1">
        <v>79813.2</v>
      </c>
      <c r="P338" s="1">
        <v>51477</v>
      </c>
      <c r="Q338" s="1">
        <v>80160</v>
      </c>
      <c r="R338" s="1">
        <v>0</v>
      </c>
    </row>
    <row r="339" spans="1:18">
      <c r="A339" s="3">
        <v>45886.041681192131</v>
      </c>
      <c r="B339" s="1">
        <v>229302</v>
      </c>
      <c r="C339" s="1">
        <v>26059</v>
      </c>
      <c r="D339" s="1">
        <v>35118.800000000003</v>
      </c>
      <c r="E339" s="1">
        <v>0</v>
      </c>
      <c r="F339" s="1">
        <v>396602</v>
      </c>
      <c r="G339" s="1">
        <v>39583.800000000003</v>
      </c>
      <c r="H339" s="1">
        <v>365988</v>
      </c>
      <c r="I339" s="1">
        <v>524150</v>
      </c>
      <c r="J339" s="1">
        <v>46863</v>
      </c>
      <c r="K339" s="1">
        <v>87829.7</v>
      </c>
      <c r="L339" s="1">
        <v>86661.8</v>
      </c>
      <c r="M339" s="1">
        <v>54820.4</v>
      </c>
      <c r="N339" s="1">
        <v>70616.100000000006</v>
      </c>
      <c r="O339" s="1">
        <v>79830.7</v>
      </c>
      <c r="P339" s="1">
        <v>51477</v>
      </c>
      <c r="Q339" s="1">
        <v>80160</v>
      </c>
      <c r="R339" s="1">
        <v>0</v>
      </c>
    </row>
    <row r="340" spans="1:18">
      <c r="A340" s="3">
        <v>45886.083347916669</v>
      </c>
      <c r="B340" s="1">
        <v>229968</v>
      </c>
      <c r="C340" s="1">
        <v>26224</v>
      </c>
      <c r="D340" s="1">
        <v>35131.599999999999</v>
      </c>
      <c r="E340" s="1">
        <v>0</v>
      </c>
      <c r="F340" s="1">
        <v>396617</v>
      </c>
      <c r="G340" s="1">
        <v>39643.1</v>
      </c>
      <c r="H340" s="1">
        <v>365999</v>
      </c>
      <c r="I340" s="1">
        <v>524357</v>
      </c>
      <c r="J340" s="1">
        <v>46872.9</v>
      </c>
      <c r="K340" s="1">
        <v>87832.7</v>
      </c>
      <c r="L340" s="1">
        <v>86680.8</v>
      </c>
      <c r="M340" s="1">
        <v>54862.6</v>
      </c>
      <c r="N340" s="1">
        <v>70670.5</v>
      </c>
      <c r="O340" s="1">
        <v>79848.100000000006</v>
      </c>
      <c r="P340" s="1">
        <v>51477</v>
      </c>
      <c r="Q340" s="1">
        <v>80160</v>
      </c>
      <c r="R340" s="1">
        <v>0</v>
      </c>
    </row>
    <row r="341" spans="1:18">
      <c r="A341" s="3">
        <v>45886.125014641206</v>
      </c>
      <c r="B341" s="1">
        <v>230620</v>
      </c>
      <c r="C341" s="1">
        <v>26384</v>
      </c>
      <c r="D341" s="1">
        <v>35144.9</v>
      </c>
      <c r="E341" s="1">
        <v>0</v>
      </c>
      <c r="F341" s="1">
        <v>396632</v>
      </c>
      <c r="G341" s="1">
        <v>39701.699999999997</v>
      </c>
      <c r="H341" s="1">
        <v>366009</v>
      </c>
      <c r="I341" s="1">
        <v>524560</v>
      </c>
      <c r="J341" s="1">
        <v>46882.7</v>
      </c>
      <c r="K341" s="1">
        <v>87835.6</v>
      </c>
      <c r="L341" s="1">
        <v>86699.9</v>
      </c>
      <c r="M341" s="1">
        <v>54901.4</v>
      </c>
      <c r="N341" s="1">
        <v>70725.899999999994</v>
      </c>
      <c r="O341" s="1">
        <v>79865.600000000006</v>
      </c>
      <c r="P341" s="1">
        <v>51477</v>
      </c>
      <c r="Q341" s="1">
        <v>80160</v>
      </c>
      <c r="R341" s="1">
        <v>0</v>
      </c>
    </row>
    <row r="342" spans="1:18">
      <c r="A342" s="3">
        <v>45886.166681365743</v>
      </c>
      <c r="B342" s="1">
        <v>231263</v>
      </c>
      <c r="C342" s="1">
        <v>26541</v>
      </c>
      <c r="D342" s="1">
        <v>35157.300000000003</v>
      </c>
      <c r="E342" s="1">
        <v>0</v>
      </c>
      <c r="F342" s="1">
        <v>396647</v>
      </c>
      <c r="G342" s="1">
        <v>39758.9</v>
      </c>
      <c r="H342" s="1">
        <v>366020</v>
      </c>
      <c r="I342" s="1">
        <v>524762</v>
      </c>
      <c r="J342" s="1">
        <v>46892.5</v>
      </c>
      <c r="K342" s="1">
        <v>87838.5</v>
      </c>
      <c r="L342" s="1">
        <v>86718.8</v>
      </c>
      <c r="M342" s="1">
        <v>54940.4</v>
      </c>
      <c r="N342" s="1">
        <v>70780.5</v>
      </c>
      <c r="O342" s="1">
        <v>79882.5</v>
      </c>
      <c r="P342" s="1">
        <v>51477</v>
      </c>
      <c r="Q342" s="1">
        <v>80160</v>
      </c>
      <c r="R342" s="1">
        <v>0</v>
      </c>
    </row>
    <row r="343" spans="1:18">
      <c r="A343" s="3">
        <v>45886.20834809028</v>
      </c>
      <c r="B343" s="1">
        <v>231906</v>
      </c>
      <c r="C343" s="1">
        <v>26699</v>
      </c>
      <c r="D343" s="1">
        <v>35170.5</v>
      </c>
      <c r="E343" s="1">
        <v>0</v>
      </c>
      <c r="F343" s="1">
        <v>396661</v>
      </c>
      <c r="G343" s="1">
        <v>39815.599999999999</v>
      </c>
      <c r="H343" s="1">
        <v>366030</v>
      </c>
      <c r="I343" s="1">
        <v>524961</v>
      </c>
      <c r="J343" s="1">
        <v>46902.2</v>
      </c>
      <c r="K343" s="1">
        <v>87841.4</v>
      </c>
      <c r="L343" s="1">
        <v>86737.3</v>
      </c>
      <c r="M343" s="1">
        <v>54979.1</v>
      </c>
      <c r="N343" s="1">
        <v>70835.899999999994</v>
      </c>
      <c r="O343" s="1">
        <v>79900.100000000006</v>
      </c>
      <c r="P343" s="1">
        <v>51477</v>
      </c>
      <c r="Q343" s="1">
        <v>80160</v>
      </c>
      <c r="R343" s="1">
        <v>0</v>
      </c>
    </row>
    <row r="344" spans="1:18">
      <c r="A344" s="3">
        <v>45886.250014814817</v>
      </c>
      <c r="B344" s="1">
        <v>232545</v>
      </c>
      <c r="C344" s="1">
        <v>26857</v>
      </c>
      <c r="D344" s="1">
        <v>35183.599999999999</v>
      </c>
      <c r="E344" s="1">
        <v>0</v>
      </c>
      <c r="F344" s="1">
        <v>396676</v>
      </c>
      <c r="G344" s="1">
        <v>39872.6</v>
      </c>
      <c r="H344" s="1">
        <v>366041</v>
      </c>
      <c r="I344" s="1">
        <v>525158</v>
      </c>
      <c r="J344" s="1">
        <v>46911.9</v>
      </c>
      <c r="K344" s="1">
        <v>87844.3</v>
      </c>
      <c r="L344" s="1">
        <v>86755.8</v>
      </c>
      <c r="M344" s="1">
        <v>55017.3</v>
      </c>
      <c r="N344" s="1">
        <v>70889.399999999994</v>
      </c>
      <c r="O344" s="1">
        <v>79916.7</v>
      </c>
      <c r="P344" s="1">
        <v>51477</v>
      </c>
      <c r="Q344" s="1">
        <v>80160</v>
      </c>
      <c r="R344" s="1">
        <v>0</v>
      </c>
    </row>
    <row r="345" spans="1:18">
      <c r="A345" s="3">
        <v>45886.291681539355</v>
      </c>
      <c r="B345" s="1">
        <v>233189</v>
      </c>
      <c r="C345" s="1">
        <v>27018</v>
      </c>
      <c r="D345" s="1">
        <v>35196.9</v>
      </c>
      <c r="E345" s="1">
        <v>0</v>
      </c>
      <c r="F345" s="1">
        <v>396691</v>
      </c>
      <c r="G345" s="1">
        <v>39929.5</v>
      </c>
      <c r="H345" s="1">
        <v>366052</v>
      </c>
      <c r="I345" s="1">
        <v>525357</v>
      </c>
      <c r="J345" s="1">
        <v>46921.9</v>
      </c>
      <c r="K345" s="1">
        <v>87846.399999999994</v>
      </c>
      <c r="L345" s="1">
        <v>86774.6</v>
      </c>
      <c r="M345" s="1">
        <v>55055.5</v>
      </c>
      <c r="N345" s="1">
        <v>70943.5</v>
      </c>
      <c r="O345" s="1">
        <v>79931.600000000006</v>
      </c>
      <c r="P345" s="1">
        <v>51477</v>
      </c>
      <c r="Q345" s="1">
        <v>80161</v>
      </c>
      <c r="R345" s="1">
        <v>0</v>
      </c>
    </row>
    <row r="346" spans="1:18">
      <c r="A346" s="3">
        <v>45886.333348263892</v>
      </c>
      <c r="B346" s="1">
        <v>233849</v>
      </c>
      <c r="C346" s="1">
        <v>27185</v>
      </c>
      <c r="D346" s="1">
        <v>35209.599999999999</v>
      </c>
      <c r="E346" s="1">
        <v>0</v>
      </c>
      <c r="F346" s="1">
        <v>396707</v>
      </c>
      <c r="G346" s="1">
        <v>39986.199999999997</v>
      </c>
      <c r="H346" s="1">
        <v>366063</v>
      </c>
      <c r="I346" s="1">
        <v>525565</v>
      </c>
      <c r="J346" s="1">
        <v>46932</v>
      </c>
      <c r="K346" s="1">
        <v>87846.399999999994</v>
      </c>
      <c r="L346" s="1">
        <v>86792.9</v>
      </c>
      <c r="M346" s="1">
        <v>55095.3</v>
      </c>
      <c r="N346" s="1">
        <v>70995.3</v>
      </c>
      <c r="O346" s="1">
        <v>79948.399999999994</v>
      </c>
      <c r="P346" s="1">
        <v>51479</v>
      </c>
      <c r="Q346" s="1">
        <v>80165</v>
      </c>
      <c r="R346" s="1">
        <v>0</v>
      </c>
    </row>
    <row r="347" spans="1:18">
      <c r="A347" s="3">
        <v>45886.375014988429</v>
      </c>
      <c r="B347" s="1">
        <v>234513</v>
      </c>
      <c r="C347" s="1">
        <v>27355</v>
      </c>
      <c r="D347" s="1">
        <v>35222.400000000001</v>
      </c>
      <c r="E347" s="1">
        <v>0</v>
      </c>
      <c r="F347" s="1">
        <v>396724</v>
      </c>
      <c r="G347" s="1">
        <v>40041.5</v>
      </c>
      <c r="H347" s="1">
        <v>366073</v>
      </c>
      <c r="I347" s="1">
        <v>525779</v>
      </c>
      <c r="J347" s="1">
        <v>46942.8</v>
      </c>
      <c r="K347" s="1">
        <v>87846.399999999994</v>
      </c>
      <c r="L347" s="1">
        <v>86811</v>
      </c>
      <c r="M347" s="1">
        <v>55137.8</v>
      </c>
      <c r="N347" s="1">
        <v>71042.399999999994</v>
      </c>
      <c r="O347" s="1">
        <v>79965.8</v>
      </c>
      <c r="P347" s="1">
        <v>51483</v>
      </c>
      <c r="Q347" s="1">
        <v>80173</v>
      </c>
      <c r="R347" s="1">
        <v>0</v>
      </c>
    </row>
    <row r="348" spans="1:18">
      <c r="A348" s="3">
        <v>45886.416681712966</v>
      </c>
      <c r="B348" s="1">
        <v>235190</v>
      </c>
      <c r="C348" s="1">
        <v>27535</v>
      </c>
      <c r="D348" s="1">
        <v>35235.4</v>
      </c>
      <c r="E348" s="1">
        <v>0</v>
      </c>
      <c r="F348" s="1">
        <v>396741</v>
      </c>
      <c r="G348" s="1">
        <v>40090</v>
      </c>
      <c r="H348" s="1">
        <v>366084</v>
      </c>
      <c r="I348" s="1">
        <v>526007</v>
      </c>
      <c r="J348" s="1">
        <v>46953.4</v>
      </c>
      <c r="K348" s="1">
        <v>87846.399999999994</v>
      </c>
      <c r="L348" s="1">
        <v>86829.1</v>
      </c>
      <c r="M348" s="1">
        <v>55178.7</v>
      </c>
      <c r="N348" s="1">
        <v>71089.399999999994</v>
      </c>
      <c r="O348" s="1">
        <v>79983.199999999997</v>
      </c>
      <c r="P348" s="1">
        <v>51491</v>
      </c>
      <c r="Q348" s="1">
        <v>80185</v>
      </c>
      <c r="R348" s="1">
        <v>0</v>
      </c>
    </row>
    <row r="349" spans="1:18">
      <c r="A349" s="3">
        <v>45886.458348437503</v>
      </c>
      <c r="B349" s="1">
        <v>235893</v>
      </c>
      <c r="C349" s="1">
        <v>27734</v>
      </c>
      <c r="D349" s="1">
        <v>35253.4</v>
      </c>
      <c r="E349" s="1">
        <v>0</v>
      </c>
      <c r="F349" s="1">
        <v>396758</v>
      </c>
      <c r="G349" s="1">
        <v>40133.800000000003</v>
      </c>
      <c r="H349" s="1">
        <v>366095</v>
      </c>
      <c r="I349" s="1">
        <v>526238</v>
      </c>
      <c r="J349" s="1">
        <v>46964.6</v>
      </c>
      <c r="K349" s="1">
        <v>87846.399999999994</v>
      </c>
      <c r="L349" s="1">
        <v>86849.600000000006</v>
      </c>
      <c r="M349" s="1">
        <v>55220</v>
      </c>
      <c r="N349" s="1">
        <v>71138.5</v>
      </c>
      <c r="O349" s="1">
        <v>80000.399999999994</v>
      </c>
      <c r="P349" s="1">
        <v>51503</v>
      </c>
      <c r="Q349" s="1">
        <v>80204</v>
      </c>
      <c r="R349" s="1">
        <v>0</v>
      </c>
    </row>
    <row r="350" spans="1:18">
      <c r="A350" s="3">
        <v>45886.500015162041</v>
      </c>
      <c r="B350" s="1">
        <v>236588</v>
      </c>
      <c r="C350" s="1">
        <v>27938</v>
      </c>
      <c r="D350" s="1">
        <v>35269.199999999997</v>
      </c>
      <c r="E350" s="1">
        <v>0</v>
      </c>
      <c r="F350" s="1">
        <v>396776</v>
      </c>
      <c r="G350" s="1">
        <v>40174.5</v>
      </c>
      <c r="H350" s="1">
        <v>366106</v>
      </c>
      <c r="I350" s="1">
        <v>526471</v>
      </c>
      <c r="J350" s="1">
        <v>46976.1</v>
      </c>
      <c r="K350" s="1">
        <v>87846.399999999994</v>
      </c>
      <c r="L350" s="1">
        <v>86869.8</v>
      </c>
      <c r="M350" s="1">
        <v>55264.4</v>
      </c>
      <c r="N350" s="1">
        <v>71179.8</v>
      </c>
      <c r="O350" s="1">
        <v>80017.100000000006</v>
      </c>
      <c r="P350" s="1">
        <v>51517</v>
      </c>
      <c r="Q350" s="1">
        <v>80225</v>
      </c>
      <c r="R350" s="1">
        <v>0</v>
      </c>
    </row>
    <row r="351" spans="1:18">
      <c r="A351" s="3">
        <v>45886.541681886571</v>
      </c>
      <c r="B351" s="1">
        <v>237279</v>
      </c>
      <c r="C351" s="1">
        <v>28138</v>
      </c>
      <c r="D351" s="1">
        <v>35283.699999999997</v>
      </c>
      <c r="E351" s="1">
        <v>0</v>
      </c>
      <c r="F351" s="1">
        <v>396793</v>
      </c>
      <c r="G351" s="1">
        <v>40213.4</v>
      </c>
      <c r="H351" s="1">
        <v>366117</v>
      </c>
      <c r="I351" s="1">
        <v>526711</v>
      </c>
      <c r="J351" s="1">
        <v>46987.9</v>
      </c>
      <c r="K351" s="1">
        <v>87846.399999999994</v>
      </c>
      <c r="L351" s="1">
        <v>86890.5</v>
      </c>
      <c r="M351" s="1">
        <v>55307.4</v>
      </c>
      <c r="N351" s="1">
        <v>71219</v>
      </c>
      <c r="O351" s="1">
        <v>80034.3</v>
      </c>
      <c r="P351" s="1">
        <v>51533</v>
      </c>
      <c r="Q351" s="1">
        <v>80249</v>
      </c>
      <c r="R351" s="1">
        <v>0</v>
      </c>
    </row>
    <row r="352" spans="1:18">
      <c r="A352" s="3">
        <v>45886.583348611108</v>
      </c>
      <c r="B352" s="1">
        <v>238032</v>
      </c>
      <c r="C352" s="1">
        <v>28345</v>
      </c>
      <c r="D352" s="1">
        <v>35307.1</v>
      </c>
      <c r="E352" s="1">
        <v>0</v>
      </c>
      <c r="F352" s="1">
        <v>396811</v>
      </c>
      <c r="G352" s="1">
        <v>40273.300000000003</v>
      </c>
      <c r="H352" s="1">
        <v>366129</v>
      </c>
      <c r="I352" s="1">
        <v>526956</v>
      </c>
      <c r="J352" s="1">
        <v>46999.8</v>
      </c>
      <c r="K352" s="1">
        <v>87846.399999999994</v>
      </c>
      <c r="L352" s="1">
        <v>86911</v>
      </c>
      <c r="M352" s="1">
        <v>55350.1</v>
      </c>
      <c r="N352" s="1">
        <v>71267.7</v>
      </c>
      <c r="O352" s="1">
        <v>80052</v>
      </c>
      <c r="P352" s="1">
        <v>51544</v>
      </c>
      <c r="Q352" s="1">
        <v>80265</v>
      </c>
      <c r="R352" s="1">
        <v>0</v>
      </c>
    </row>
    <row r="353" spans="1:18">
      <c r="A353" s="3">
        <v>45886.625015335645</v>
      </c>
      <c r="B353" s="1">
        <v>238808</v>
      </c>
      <c r="C353" s="1">
        <v>28571</v>
      </c>
      <c r="D353" s="1">
        <v>35335.199999999997</v>
      </c>
      <c r="E353" s="1">
        <v>0</v>
      </c>
      <c r="F353" s="1">
        <v>396830</v>
      </c>
      <c r="G353" s="1">
        <v>40326.800000000003</v>
      </c>
      <c r="H353" s="1">
        <v>366143</v>
      </c>
      <c r="I353" s="1">
        <v>527204</v>
      </c>
      <c r="J353" s="1">
        <v>47011.9</v>
      </c>
      <c r="K353" s="1">
        <v>87846.399999999994</v>
      </c>
      <c r="L353" s="1">
        <v>86931.6</v>
      </c>
      <c r="M353" s="1">
        <v>55398.7</v>
      </c>
      <c r="N353" s="1">
        <v>71315.7</v>
      </c>
      <c r="O353" s="1">
        <v>80069.3</v>
      </c>
      <c r="P353" s="1">
        <v>51558</v>
      </c>
      <c r="Q353" s="1">
        <v>80288</v>
      </c>
      <c r="R353" s="1">
        <v>0</v>
      </c>
    </row>
    <row r="354" spans="1:18">
      <c r="A354" s="3">
        <v>45886.666682060182</v>
      </c>
      <c r="B354" s="1">
        <v>239620</v>
      </c>
      <c r="C354" s="1">
        <v>28807</v>
      </c>
      <c r="D354" s="1">
        <v>35365.9</v>
      </c>
      <c r="E354" s="1">
        <v>0</v>
      </c>
      <c r="F354" s="1">
        <v>396849</v>
      </c>
      <c r="G354" s="1">
        <v>40384.300000000003</v>
      </c>
      <c r="H354" s="1">
        <v>366159</v>
      </c>
      <c r="I354" s="1">
        <v>527466</v>
      </c>
      <c r="J354" s="1">
        <v>47025.5</v>
      </c>
      <c r="K354" s="1">
        <v>87846.399999999994</v>
      </c>
      <c r="L354" s="1">
        <v>86953.5</v>
      </c>
      <c r="M354" s="1">
        <v>55444.2</v>
      </c>
      <c r="N354" s="1">
        <v>71361.5</v>
      </c>
      <c r="O354" s="1">
        <v>80086.7</v>
      </c>
      <c r="P354" s="1">
        <v>51571</v>
      </c>
      <c r="Q354" s="1">
        <v>80307</v>
      </c>
      <c r="R354" s="1">
        <v>0</v>
      </c>
    </row>
    <row r="355" spans="1:18">
      <c r="A355" s="3">
        <v>45886.708348784719</v>
      </c>
      <c r="B355" s="1">
        <v>240448</v>
      </c>
      <c r="C355" s="1">
        <v>29029</v>
      </c>
      <c r="D355" s="1">
        <v>35396</v>
      </c>
      <c r="E355" s="1">
        <v>0</v>
      </c>
      <c r="F355" s="1">
        <v>396868</v>
      </c>
      <c r="G355" s="1">
        <v>40448</v>
      </c>
      <c r="H355" s="1">
        <v>366170</v>
      </c>
      <c r="I355" s="1">
        <v>527740</v>
      </c>
      <c r="J355" s="1">
        <v>47038.1</v>
      </c>
      <c r="K355" s="1">
        <v>87846.399999999994</v>
      </c>
      <c r="L355" s="1">
        <v>86976.8</v>
      </c>
      <c r="M355" s="1">
        <v>55493</v>
      </c>
      <c r="N355" s="1">
        <v>71412</v>
      </c>
      <c r="O355" s="1">
        <v>80105.8</v>
      </c>
      <c r="P355" s="1">
        <v>51580</v>
      </c>
      <c r="Q355" s="1">
        <v>80321</v>
      </c>
      <c r="R355" s="1">
        <v>0</v>
      </c>
    </row>
    <row r="356" spans="1:18">
      <c r="A356" s="3">
        <v>45886.750015509257</v>
      </c>
      <c r="B356" s="1">
        <v>241264</v>
      </c>
      <c r="C356" s="1">
        <v>29240</v>
      </c>
      <c r="D356" s="1">
        <v>35414.9</v>
      </c>
      <c r="E356" s="1">
        <v>0</v>
      </c>
      <c r="F356" s="1">
        <v>396886</v>
      </c>
      <c r="G356" s="1">
        <v>40522.400000000001</v>
      </c>
      <c r="H356" s="1">
        <v>366181</v>
      </c>
      <c r="I356" s="1">
        <v>528008</v>
      </c>
      <c r="J356" s="1">
        <v>47050.400000000001</v>
      </c>
      <c r="K356" s="1">
        <v>87848.2</v>
      </c>
      <c r="L356" s="1">
        <v>87001.7</v>
      </c>
      <c r="M356" s="1">
        <v>55539</v>
      </c>
      <c r="N356" s="1">
        <v>71464.800000000003</v>
      </c>
      <c r="O356" s="1">
        <v>80123.7</v>
      </c>
      <c r="P356" s="1">
        <v>51585</v>
      </c>
      <c r="Q356" s="1">
        <v>80328</v>
      </c>
      <c r="R356" s="1">
        <v>0</v>
      </c>
    </row>
    <row r="357" spans="1:18">
      <c r="A357" s="3">
        <v>45886.791682233794</v>
      </c>
      <c r="B357" s="1">
        <v>242049</v>
      </c>
      <c r="C357" s="1">
        <v>29445</v>
      </c>
      <c r="D357" s="1">
        <v>35430.9</v>
      </c>
      <c r="E357" s="1">
        <v>0</v>
      </c>
      <c r="F357" s="1">
        <v>396903</v>
      </c>
      <c r="G357" s="1">
        <v>40603.599999999999</v>
      </c>
      <c r="H357" s="1">
        <v>366192</v>
      </c>
      <c r="I357" s="1">
        <v>528255</v>
      </c>
      <c r="J357" s="1">
        <v>47061.4</v>
      </c>
      <c r="K357" s="1">
        <v>87851.4</v>
      </c>
      <c r="L357" s="1">
        <v>87024.6</v>
      </c>
      <c r="M357" s="1">
        <v>55582</v>
      </c>
      <c r="N357" s="1">
        <v>71520.3</v>
      </c>
      <c r="O357" s="1">
        <v>80140.5</v>
      </c>
      <c r="P357" s="1">
        <v>51586</v>
      </c>
      <c r="Q357" s="1">
        <v>80329</v>
      </c>
      <c r="R357" s="1">
        <v>0</v>
      </c>
    </row>
    <row r="358" spans="1:18">
      <c r="A358" s="3">
        <v>45886.833348958331</v>
      </c>
      <c r="B358" s="1">
        <v>242804</v>
      </c>
      <c r="C358" s="1">
        <v>29644</v>
      </c>
      <c r="D358" s="1">
        <v>35446</v>
      </c>
      <c r="E358" s="1">
        <v>0</v>
      </c>
      <c r="F358" s="1">
        <v>396919</v>
      </c>
      <c r="G358" s="1">
        <v>40674.800000000003</v>
      </c>
      <c r="H358" s="1">
        <v>366203</v>
      </c>
      <c r="I358" s="1">
        <v>528492</v>
      </c>
      <c r="J358" s="1">
        <v>47072.1</v>
      </c>
      <c r="K358" s="1">
        <v>87854.5</v>
      </c>
      <c r="L358" s="1">
        <v>87046.8</v>
      </c>
      <c r="M358" s="1">
        <v>55624</v>
      </c>
      <c r="N358" s="1">
        <v>71575.8</v>
      </c>
      <c r="O358" s="1">
        <v>80159</v>
      </c>
      <c r="P358" s="1">
        <v>51586</v>
      </c>
      <c r="Q358" s="1">
        <v>80329</v>
      </c>
      <c r="R358" s="1">
        <v>0</v>
      </c>
    </row>
    <row r="359" spans="1:18">
      <c r="A359" s="3">
        <v>45886.875015682868</v>
      </c>
      <c r="B359" s="1">
        <v>243524</v>
      </c>
      <c r="C359" s="1">
        <v>29826</v>
      </c>
      <c r="D359" s="1">
        <v>35463.800000000003</v>
      </c>
      <c r="E359" s="1">
        <v>0</v>
      </c>
      <c r="F359" s="1">
        <v>396934</v>
      </c>
      <c r="G359" s="1">
        <v>40740.6</v>
      </c>
      <c r="H359" s="1">
        <v>366215</v>
      </c>
      <c r="I359" s="1">
        <v>528713</v>
      </c>
      <c r="J359" s="1">
        <v>47082.6</v>
      </c>
      <c r="K359" s="1">
        <v>87858</v>
      </c>
      <c r="L359" s="1">
        <v>87069.4</v>
      </c>
      <c r="M359" s="1">
        <v>55666.5</v>
      </c>
      <c r="N359" s="1">
        <v>71630.8</v>
      </c>
      <c r="O359" s="1">
        <v>80177.899999999994</v>
      </c>
      <c r="P359" s="1">
        <v>51586</v>
      </c>
      <c r="Q359" s="1">
        <v>80329</v>
      </c>
      <c r="R359" s="1">
        <v>0</v>
      </c>
    </row>
    <row r="360" spans="1:18">
      <c r="A360" s="3">
        <v>45886.916682407405</v>
      </c>
      <c r="B360" s="1">
        <v>244228</v>
      </c>
      <c r="C360" s="1">
        <v>30001</v>
      </c>
      <c r="D360" s="1">
        <v>35480.1</v>
      </c>
      <c r="E360" s="1">
        <v>0</v>
      </c>
      <c r="F360" s="1">
        <v>396950</v>
      </c>
      <c r="G360" s="1">
        <v>40804.9</v>
      </c>
      <c r="H360" s="1">
        <v>366226</v>
      </c>
      <c r="I360" s="1">
        <v>528930</v>
      </c>
      <c r="J360" s="1">
        <v>47093</v>
      </c>
      <c r="K360" s="1">
        <v>87861.5</v>
      </c>
      <c r="L360" s="1">
        <v>87090.8</v>
      </c>
      <c r="M360" s="1">
        <v>55707.8</v>
      </c>
      <c r="N360" s="1">
        <v>71685.8</v>
      </c>
      <c r="O360" s="1">
        <v>80197.399999999994</v>
      </c>
      <c r="P360" s="1">
        <v>51586</v>
      </c>
      <c r="Q360" s="1">
        <v>80329</v>
      </c>
      <c r="R360" s="1">
        <v>0</v>
      </c>
    </row>
    <row r="361" spans="1:18">
      <c r="A361" s="3">
        <v>45886.958349131943</v>
      </c>
      <c r="B361" s="1">
        <v>244926</v>
      </c>
      <c r="C361" s="1">
        <v>30172</v>
      </c>
      <c r="D361" s="1">
        <v>35495.1</v>
      </c>
      <c r="E361" s="1">
        <v>0</v>
      </c>
      <c r="F361" s="1">
        <v>396965</v>
      </c>
      <c r="G361" s="1">
        <v>40866.300000000003</v>
      </c>
      <c r="H361" s="1">
        <v>366237</v>
      </c>
      <c r="I361" s="1">
        <v>529152</v>
      </c>
      <c r="J361" s="1">
        <v>47103.1</v>
      </c>
      <c r="K361" s="1">
        <v>87864.7</v>
      </c>
      <c r="L361" s="1">
        <v>87113.2</v>
      </c>
      <c r="M361" s="1">
        <v>55748.6</v>
      </c>
      <c r="N361" s="1">
        <v>71740.3</v>
      </c>
      <c r="O361" s="1">
        <v>80216.100000000006</v>
      </c>
      <c r="P361" s="1">
        <v>51586</v>
      </c>
      <c r="Q361" s="1">
        <v>80329</v>
      </c>
      <c r="R361" s="1">
        <v>0</v>
      </c>
    </row>
    <row r="362" spans="1:18">
      <c r="A362" s="3">
        <v>45887.00001585648</v>
      </c>
      <c r="B362" s="1">
        <v>245618</v>
      </c>
      <c r="C362" s="1">
        <v>30345</v>
      </c>
      <c r="D362" s="1">
        <v>35509.199999999997</v>
      </c>
      <c r="E362" s="1">
        <v>0</v>
      </c>
      <c r="F362" s="1">
        <v>396981</v>
      </c>
      <c r="G362" s="1">
        <v>40926.400000000001</v>
      </c>
      <c r="H362" s="1">
        <v>366248</v>
      </c>
      <c r="I362" s="1">
        <v>529371</v>
      </c>
      <c r="J362" s="1">
        <v>47113.1</v>
      </c>
      <c r="K362" s="1">
        <v>87867.6</v>
      </c>
      <c r="L362" s="1">
        <v>87135</v>
      </c>
      <c r="M362" s="1">
        <v>55788.9</v>
      </c>
      <c r="N362" s="1">
        <v>71794.600000000006</v>
      </c>
      <c r="O362" s="1">
        <v>80235.100000000006</v>
      </c>
      <c r="P362" s="1">
        <v>51586</v>
      </c>
      <c r="Q362" s="1">
        <v>80329</v>
      </c>
      <c r="R362" s="1">
        <v>0</v>
      </c>
    </row>
    <row r="363" spans="1:18">
      <c r="A363" s="3">
        <v>45887.041682581017</v>
      </c>
      <c r="B363" s="1">
        <v>246282</v>
      </c>
      <c r="C363" s="1">
        <v>30509</v>
      </c>
      <c r="D363" s="1">
        <v>35522</v>
      </c>
      <c r="E363" s="1">
        <v>0</v>
      </c>
      <c r="F363" s="1">
        <v>396995</v>
      </c>
      <c r="G363" s="1">
        <v>40984.9</v>
      </c>
      <c r="H363" s="1">
        <v>366259</v>
      </c>
      <c r="I363" s="1">
        <v>529580</v>
      </c>
      <c r="J363" s="1">
        <v>47123.1</v>
      </c>
      <c r="K363" s="1">
        <v>87870.5</v>
      </c>
      <c r="L363" s="1">
        <v>87155.5</v>
      </c>
      <c r="M363" s="1">
        <v>55829.4</v>
      </c>
      <c r="N363" s="1">
        <v>71848.899999999994</v>
      </c>
      <c r="O363" s="1">
        <v>80253.2</v>
      </c>
      <c r="P363" s="1">
        <v>51586</v>
      </c>
      <c r="Q363" s="1">
        <v>80329</v>
      </c>
      <c r="R363" s="1">
        <v>0</v>
      </c>
    </row>
    <row r="364" spans="1:18">
      <c r="A364" s="3">
        <v>45887.083349305554</v>
      </c>
      <c r="B364" s="1">
        <v>246940</v>
      </c>
      <c r="C364" s="1">
        <v>30669</v>
      </c>
      <c r="D364" s="1">
        <v>35535.5</v>
      </c>
      <c r="E364" s="1">
        <v>0</v>
      </c>
      <c r="F364" s="1">
        <v>397010</v>
      </c>
      <c r="G364" s="1">
        <v>41045.5</v>
      </c>
      <c r="H364" s="1">
        <v>366269</v>
      </c>
      <c r="I364" s="1">
        <v>529785</v>
      </c>
      <c r="J364" s="1">
        <v>47132.6</v>
      </c>
      <c r="K364" s="1">
        <v>87873.4</v>
      </c>
      <c r="L364" s="1">
        <v>87176.5</v>
      </c>
      <c r="M364" s="1">
        <v>55868.6</v>
      </c>
      <c r="N364" s="1">
        <v>71902.7</v>
      </c>
      <c r="O364" s="1">
        <v>80271.899999999994</v>
      </c>
      <c r="P364" s="1">
        <v>51586</v>
      </c>
      <c r="Q364" s="1">
        <v>80329</v>
      </c>
      <c r="R364" s="1">
        <v>0</v>
      </c>
    </row>
    <row r="365" spans="1:18">
      <c r="A365" s="3">
        <v>45887.125016030092</v>
      </c>
      <c r="B365" s="1">
        <v>247582</v>
      </c>
      <c r="C365" s="1">
        <v>30824</v>
      </c>
      <c r="D365" s="1">
        <v>35548.699999999997</v>
      </c>
      <c r="E365" s="1">
        <v>0</v>
      </c>
      <c r="F365" s="1">
        <v>397025</v>
      </c>
      <c r="G365" s="1">
        <v>41104.300000000003</v>
      </c>
      <c r="H365" s="1">
        <v>366280</v>
      </c>
      <c r="I365" s="1">
        <v>529981</v>
      </c>
      <c r="J365" s="1">
        <v>47142.3</v>
      </c>
      <c r="K365" s="1">
        <v>87876.800000000003</v>
      </c>
      <c r="L365" s="1">
        <v>87197.2</v>
      </c>
      <c r="M365" s="1">
        <v>55907.7</v>
      </c>
      <c r="N365" s="1">
        <v>71956.800000000003</v>
      </c>
      <c r="O365" s="1">
        <v>80290.8</v>
      </c>
      <c r="P365" s="1">
        <v>51586</v>
      </c>
      <c r="Q365" s="1">
        <v>80329</v>
      </c>
      <c r="R365" s="1">
        <v>0</v>
      </c>
    </row>
    <row r="366" spans="1:18">
      <c r="A366" s="3">
        <v>45887.166682754629</v>
      </c>
      <c r="B366" s="1">
        <v>248219</v>
      </c>
      <c r="C366" s="1">
        <v>30977</v>
      </c>
      <c r="D366" s="1">
        <v>35562.199999999997</v>
      </c>
      <c r="E366" s="1">
        <v>0</v>
      </c>
      <c r="F366" s="1">
        <v>397039</v>
      </c>
      <c r="G366" s="1">
        <v>41162.5</v>
      </c>
      <c r="H366" s="1">
        <v>366291</v>
      </c>
      <c r="I366" s="1">
        <v>530175</v>
      </c>
      <c r="J366" s="1">
        <v>47151.8</v>
      </c>
      <c r="K366" s="1">
        <v>87880.1</v>
      </c>
      <c r="L366" s="1">
        <v>87218.2</v>
      </c>
      <c r="M366" s="1">
        <v>55947.4</v>
      </c>
      <c r="N366" s="1">
        <v>72010.899999999994</v>
      </c>
      <c r="O366" s="1">
        <v>80308.3</v>
      </c>
      <c r="P366" s="1">
        <v>51586</v>
      </c>
      <c r="Q366" s="1">
        <v>80329</v>
      </c>
      <c r="R366" s="1">
        <v>0</v>
      </c>
    </row>
    <row r="367" spans="1:18">
      <c r="A367" s="3">
        <v>45887.208349479166</v>
      </c>
      <c r="B367" s="1">
        <v>248855</v>
      </c>
      <c r="C367" s="1">
        <v>31132</v>
      </c>
      <c r="D367" s="1">
        <v>35575.1</v>
      </c>
      <c r="E367" s="1">
        <v>0</v>
      </c>
      <c r="F367" s="1">
        <v>397053</v>
      </c>
      <c r="G367" s="1">
        <v>41220.800000000003</v>
      </c>
      <c r="H367" s="1">
        <v>366301</v>
      </c>
      <c r="I367" s="1">
        <v>530369</v>
      </c>
      <c r="J367" s="1">
        <v>47160.2</v>
      </c>
      <c r="K367" s="1">
        <v>87882.9</v>
      </c>
      <c r="L367" s="1">
        <v>87237.6</v>
      </c>
      <c r="M367" s="1">
        <v>55987.6</v>
      </c>
      <c r="N367" s="1">
        <v>72066.399999999994</v>
      </c>
      <c r="O367" s="1">
        <v>80326.8</v>
      </c>
      <c r="P367" s="1">
        <v>51586</v>
      </c>
      <c r="Q367" s="1">
        <v>80329</v>
      </c>
      <c r="R367" s="1">
        <v>0</v>
      </c>
    </row>
    <row r="368" spans="1:18">
      <c r="A368" s="3">
        <v>45887.250016203703</v>
      </c>
      <c r="B368" s="1">
        <v>249483</v>
      </c>
      <c r="C368" s="1">
        <v>31287</v>
      </c>
      <c r="D368" s="1">
        <v>35588.6</v>
      </c>
      <c r="E368" s="1">
        <v>0</v>
      </c>
      <c r="F368" s="1">
        <v>397068</v>
      </c>
      <c r="G368" s="1">
        <v>41275.5</v>
      </c>
      <c r="H368" s="1">
        <v>366312</v>
      </c>
      <c r="I368" s="1">
        <v>530562</v>
      </c>
      <c r="J368" s="1">
        <v>47169.7</v>
      </c>
      <c r="K368" s="1">
        <v>87885.7</v>
      </c>
      <c r="L368" s="1">
        <v>87255.8</v>
      </c>
      <c r="M368" s="1">
        <v>56026.2</v>
      </c>
      <c r="N368" s="1">
        <v>72119.600000000006</v>
      </c>
      <c r="O368" s="1">
        <v>80344.2</v>
      </c>
      <c r="P368" s="1">
        <v>51586</v>
      </c>
      <c r="Q368" s="1">
        <v>80329</v>
      </c>
      <c r="R368" s="1">
        <v>0</v>
      </c>
    </row>
    <row r="369" spans="1:18">
      <c r="A369" s="3">
        <v>45887.29168292824</v>
      </c>
      <c r="B369" s="1">
        <v>250135</v>
      </c>
      <c r="C369" s="1">
        <v>31450</v>
      </c>
      <c r="D369" s="1">
        <v>35601.699999999997</v>
      </c>
      <c r="E369" s="1">
        <v>0</v>
      </c>
      <c r="F369" s="1">
        <v>397082</v>
      </c>
      <c r="G369" s="1">
        <v>41331.800000000003</v>
      </c>
      <c r="H369" s="1">
        <v>366323</v>
      </c>
      <c r="I369" s="1">
        <v>530763</v>
      </c>
      <c r="J369" s="1">
        <v>47179.199999999997</v>
      </c>
      <c r="K369" s="1">
        <v>87888.2</v>
      </c>
      <c r="L369" s="1">
        <v>87273.8</v>
      </c>
      <c r="M369" s="1">
        <v>56064.9</v>
      </c>
      <c r="N369" s="1">
        <v>72173.899999999994</v>
      </c>
      <c r="O369" s="1">
        <v>80362.2</v>
      </c>
      <c r="P369" s="1">
        <v>51586</v>
      </c>
      <c r="Q369" s="1">
        <v>80330</v>
      </c>
      <c r="R369" s="1">
        <v>0</v>
      </c>
    </row>
    <row r="370" spans="1:18">
      <c r="A370" s="3">
        <v>45887.333349652778</v>
      </c>
      <c r="B370" s="1">
        <v>250810</v>
      </c>
      <c r="C370" s="1">
        <v>31629</v>
      </c>
      <c r="D370" s="1">
        <v>35615.1</v>
      </c>
      <c r="E370" s="1">
        <v>0</v>
      </c>
      <c r="F370" s="1">
        <v>397099</v>
      </c>
      <c r="G370" s="1">
        <v>41386.699999999997</v>
      </c>
      <c r="H370" s="1">
        <v>366333</v>
      </c>
      <c r="I370" s="1">
        <v>530972</v>
      </c>
      <c r="J370" s="1">
        <v>47189.5</v>
      </c>
      <c r="K370" s="1">
        <v>87888.7</v>
      </c>
      <c r="L370" s="1">
        <v>87291.5</v>
      </c>
      <c r="M370" s="1">
        <v>56104.7</v>
      </c>
      <c r="N370" s="1">
        <v>72223.399999999994</v>
      </c>
      <c r="O370" s="1">
        <v>80381.100000000006</v>
      </c>
      <c r="P370" s="1">
        <v>51588</v>
      </c>
      <c r="Q370" s="1">
        <v>80334</v>
      </c>
      <c r="R370" s="1">
        <v>0</v>
      </c>
    </row>
    <row r="371" spans="1:18">
      <c r="A371" s="3">
        <v>45887.375016377315</v>
      </c>
      <c r="B371" s="1">
        <v>251532</v>
      </c>
      <c r="C371" s="1">
        <v>31821</v>
      </c>
      <c r="D371" s="1">
        <v>35628.6</v>
      </c>
      <c r="E371" s="1">
        <v>0</v>
      </c>
      <c r="F371" s="1">
        <v>397122</v>
      </c>
      <c r="G371" s="1">
        <v>41437.1</v>
      </c>
      <c r="H371" s="1">
        <v>366344</v>
      </c>
      <c r="I371" s="1">
        <v>531207</v>
      </c>
      <c r="J371" s="1">
        <v>47200.9</v>
      </c>
      <c r="K371" s="1">
        <v>87888.7</v>
      </c>
      <c r="L371" s="1">
        <v>87309.5</v>
      </c>
      <c r="M371" s="1">
        <v>56149.599999999999</v>
      </c>
      <c r="N371" s="1">
        <v>72269.899999999994</v>
      </c>
      <c r="O371" s="1">
        <v>80399.7</v>
      </c>
      <c r="P371" s="1">
        <v>51592</v>
      </c>
      <c r="Q371" s="1">
        <v>80343</v>
      </c>
      <c r="R371" s="1">
        <v>0</v>
      </c>
    </row>
    <row r="372" spans="1:18">
      <c r="A372" s="3">
        <v>45887.416683101852</v>
      </c>
      <c r="B372" s="1">
        <v>252337</v>
      </c>
      <c r="C372" s="1">
        <v>32038</v>
      </c>
      <c r="D372" s="1">
        <v>35647.699999999997</v>
      </c>
      <c r="E372" s="1">
        <v>0</v>
      </c>
      <c r="F372" s="1">
        <v>397144</v>
      </c>
      <c r="G372" s="1">
        <v>41481.300000000003</v>
      </c>
      <c r="H372" s="1">
        <v>366354</v>
      </c>
      <c r="I372" s="1">
        <v>531494</v>
      </c>
      <c r="J372" s="1">
        <v>47212.4</v>
      </c>
      <c r="K372" s="1">
        <v>87888.7</v>
      </c>
      <c r="L372" s="1">
        <v>87328</v>
      </c>
      <c r="M372" s="1">
        <v>56199</v>
      </c>
      <c r="N372" s="1">
        <v>72313.7</v>
      </c>
      <c r="O372" s="1">
        <v>80419.199999999997</v>
      </c>
      <c r="P372" s="1">
        <v>51604</v>
      </c>
      <c r="Q372" s="1">
        <v>80360</v>
      </c>
      <c r="R372" s="1">
        <v>0</v>
      </c>
    </row>
    <row r="373" spans="1:18">
      <c r="A373" s="3">
        <v>45887.458349826389</v>
      </c>
      <c r="B373" s="1">
        <v>253235</v>
      </c>
      <c r="C373" s="1">
        <v>32276</v>
      </c>
      <c r="D373" s="1">
        <v>35674.699999999997</v>
      </c>
      <c r="E373" s="1">
        <v>0</v>
      </c>
      <c r="F373" s="1">
        <v>397174</v>
      </c>
      <c r="G373" s="1">
        <v>41535.1</v>
      </c>
      <c r="H373" s="1">
        <v>366367</v>
      </c>
      <c r="I373" s="1">
        <v>531820</v>
      </c>
      <c r="J373" s="1">
        <v>47227.5</v>
      </c>
      <c r="K373" s="1">
        <v>87888.7</v>
      </c>
      <c r="L373" s="1">
        <v>87348.2</v>
      </c>
      <c r="M373" s="1">
        <v>56245.9</v>
      </c>
      <c r="N373" s="1">
        <v>72358.100000000006</v>
      </c>
      <c r="O373" s="1">
        <v>80443.199999999997</v>
      </c>
      <c r="P373" s="1">
        <v>51617</v>
      </c>
      <c r="Q373" s="1">
        <v>80381</v>
      </c>
      <c r="R373" s="1">
        <v>0</v>
      </c>
    </row>
    <row r="374" spans="1:18">
      <c r="A374" s="3">
        <v>45887.500016550926</v>
      </c>
      <c r="B374" s="1">
        <v>254178</v>
      </c>
      <c r="C374" s="1">
        <v>32518</v>
      </c>
      <c r="D374" s="1">
        <v>35709.699999999997</v>
      </c>
      <c r="E374" s="1">
        <v>0</v>
      </c>
      <c r="F374" s="1">
        <v>397208</v>
      </c>
      <c r="G374" s="1">
        <v>41595.699999999997</v>
      </c>
      <c r="H374" s="1">
        <v>366384</v>
      </c>
      <c r="I374" s="1">
        <v>532171</v>
      </c>
      <c r="J374" s="1">
        <v>47243</v>
      </c>
      <c r="K374" s="1">
        <v>87888.7</v>
      </c>
      <c r="L374" s="1">
        <v>87368.4</v>
      </c>
      <c r="M374" s="1">
        <v>56292.9</v>
      </c>
      <c r="N374" s="1">
        <v>72401.2</v>
      </c>
      <c r="O374" s="1">
        <v>80463.600000000006</v>
      </c>
      <c r="P374" s="1">
        <v>51631</v>
      </c>
      <c r="Q374" s="1">
        <v>80402</v>
      </c>
      <c r="R374" s="1">
        <v>0</v>
      </c>
    </row>
    <row r="375" spans="1:18">
      <c r="A375" s="3">
        <v>45887.541683275464</v>
      </c>
      <c r="B375" s="1">
        <v>255156</v>
      </c>
      <c r="C375" s="1">
        <v>32777</v>
      </c>
      <c r="D375" s="1">
        <v>35745.699999999997</v>
      </c>
      <c r="E375" s="1">
        <v>0</v>
      </c>
      <c r="F375" s="1">
        <v>397247</v>
      </c>
      <c r="G375" s="1">
        <v>41664.6</v>
      </c>
      <c r="H375" s="1">
        <v>366399</v>
      </c>
      <c r="I375" s="1">
        <v>532528</v>
      </c>
      <c r="J375" s="1">
        <v>47259.4</v>
      </c>
      <c r="K375" s="1">
        <v>87888.7</v>
      </c>
      <c r="L375" s="1">
        <v>87392</v>
      </c>
      <c r="M375" s="1">
        <v>56342.5</v>
      </c>
      <c r="N375" s="1">
        <v>72442.3</v>
      </c>
      <c r="O375" s="1">
        <v>80481.600000000006</v>
      </c>
      <c r="P375" s="1">
        <v>51646</v>
      </c>
      <c r="Q375" s="1">
        <v>80425</v>
      </c>
      <c r="R375" s="1">
        <v>0</v>
      </c>
    </row>
    <row r="376" spans="1:18">
      <c r="A376" s="3">
        <v>45887.583350000001</v>
      </c>
      <c r="B376" s="1">
        <v>256177</v>
      </c>
      <c r="C376" s="1">
        <v>33042</v>
      </c>
      <c r="D376" s="1">
        <v>35780.9</v>
      </c>
      <c r="E376" s="1">
        <v>0</v>
      </c>
      <c r="F376" s="1">
        <v>397288</v>
      </c>
      <c r="G376" s="1">
        <v>41739.5</v>
      </c>
      <c r="H376" s="1">
        <v>366413</v>
      </c>
      <c r="I376" s="1">
        <v>532901</v>
      </c>
      <c r="J376" s="1">
        <v>47276</v>
      </c>
      <c r="K376" s="1">
        <v>87888.7</v>
      </c>
      <c r="L376" s="1">
        <v>87422</v>
      </c>
      <c r="M376" s="1">
        <v>56395.7</v>
      </c>
      <c r="N376" s="1">
        <v>72483</v>
      </c>
      <c r="O376" s="1">
        <v>80502.2</v>
      </c>
      <c r="P376" s="1">
        <v>51662</v>
      </c>
      <c r="Q376" s="1">
        <v>80449</v>
      </c>
      <c r="R376" s="1">
        <v>0</v>
      </c>
    </row>
    <row r="377" spans="1:18">
      <c r="A377" s="3">
        <v>45887.625016724538</v>
      </c>
      <c r="B377" s="1">
        <v>257255</v>
      </c>
      <c r="C377" s="1">
        <v>33314</v>
      </c>
      <c r="D377" s="1">
        <v>35821.800000000003</v>
      </c>
      <c r="E377" s="1">
        <v>0</v>
      </c>
      <c r="F377" s="1">
        <v>397335</v>
      </c>
      <c r="G377" s="1">
        <v>41819.4</v>
      </c>
      <c r="H377" s="1">
        <v>366429</v>
      </c>
      <c r="I377" s="1">
        <v>533295</v>
      </c>
      <c r="J377" s="1">
        <v>47293.5</v>
      </c>
      <c r="K377" s="1">
        <v>87888.7</v>
      </c>
      <c r="L377" s="1">
        <v>87458.9</v>
      </c>
      <c r="M377" s="1">
        <v>56448.6</v>
      </c>
      <c r="N377" s="1">
        <v>72525</v>
      </c>
      <c r="O377" s="1">
        <v>80522.600000000006</v>
      </c>
      <c r="P377" s="1">
        <v>51677</v>
      </c>
      <c r="Q377" s="1">
        <v>80471</v>
      </c>
      <c r="R377" s="1">
        <v>0</v>
      </c>
    </row>
    <row r="378" spans="1:18">
      <c r="A378" s="3">
        <v>45887.666683449075</v>
      </c>
      <c r="B378" s="1">
        <v>258318</v>
      </c>
      <c r="C378" s="1">
        <v>33583</v>
      </c>
      <c r="D378" s="1">
        <v>35861.9</v>
      </c>
      <c r="E378" s="1">
        <v>0</v>
      </c>
      <c r="F378" s="1">
        <v>397378</v>
      </c>
      <c r="G378" s="1">
        <v>41909.4</v>
      </c>
      <c r="H378" s="1">
        <v>366444</v>
      </c>
      <c r="I378" s="1">
        <v>533666</v>
      </c>
      <c r="J378" s="1">
        <v>47311.199999999997</v>
      </c>
      <c r="K378" s="1">
        <v>87888.7</v>
      </c>
      <c r="L378" s="1">
        <v>87493.2</v>
      </c>
      <c r="M378" s="1">
        <v>56501.7</v>
      </c>
      <c r="N378" s="1">
        <v>72570.2</v>
      </c>
      <c r="O378" s="1">
        <v>80541.8</v>
      </c>
      <c r="P378" s="1">
        <v>51689</v>
      </c>
      <c r="Q378" s="1">
        <v>80489</v>
      </c>
      <c r="R378" s="1">
        <v>0</v>
      </c>
    </row>
    <row r="379" spans="1:18">
      <c r="A379" s="3">
        <v>45887.708350173612</v>
      </c>
      <c r="B379" s="1">
        <v>259389</v>
      </c>
      <c r="C379" s="1">
        <v>33862</v>
      </c>
      <c r="D379" s="1">
        <v>35895.1</v>
      </c>
      <c r="E379" s="1">
        <v>0</v>
      </c>
      <c r="F379" s="1">
        <v>397427</v>
      </c>
      <c r="G379" s="1">
        <v>42008.2</v>
      </c>
      <c r="H379" s="1">
        <v>366459</v>
      </c>
      <c r="I379" s="1">
        <v>534023</v>
      </c>
      <c r="J379" s="1">
        <v>47325.5</v>
      </c>
      <c r="K379" s="1">
        <v>87888.7</v>
      </c>
      <c r="L379" s="1">
        <v>87524.5</v>
      </c>
      <c r="M379" s="1">
        <v>56551.199999999997</v>
      </c>
      <c r="N379" s="1">
        <v>72619.7</v>
      </c>
      <c r="O379" s="1">
        <v>80562.7</v>
      </c>
      <c r="P379" s="1">
        <v>51697</v>
      </c>
      <c r="Q379" s="1">
        <v>80501</v>
      </c>
      <c r="R379" s="1">
        <v>0</v>
      </c>
    </row>
    <row r="380" spans="1:18">
      <c r="A380" s="3">
        <v>45887.75001689815</v>
      </c>
      <c r="B380" s="1">
        <v>260420</v>
      </c>
      <c r="C380" s="1">
        <v>34130</v>
      </c>
      <c r="D380" s="1">
        <v>35923.800000000003</v>
      </c>
      <c r="E380" s="1">
        <v>0</v>
      </c>
      <c r="F380" s="1">
        <v>397469</v>
      </c>
      <c r="G380" s="1">
        <v>42102</v>
      </c>
      <c r="H380" s="1">
        <v>366476</v>
      </c>
      <c r="I380" s="1">
        <v>534365</v>
      </c>
      <c r="J380" s="1">
        <v>47339.7</v>
      </c>
      <c r="K380" s="1">
        <v>87889.2</v>
      </c>
      <c r="L380" s="1">
        <v>87551.8</v>
      </c>
      <c r="M380" s="1">
        <v>56603.7</v>
      </c>
      <c r="N380" s="1">
        <v>72672.100000000006</v>
      </c>
      <c r="O380" s="1">
        <v>80582.2</v>
      </c>
      <c r="P380" s="1">
        <v>51701</v>
      </c>
      <c r="Q380" s="1">
        <v>80509</v>
      </c>
      <c r="R380" s="1">
        <v>0</v>
      </c>
    </row>
    <row r="381" spans="1:18">
      <c r="A381" s="3">
        <v>45887.791683622687</v>
      </c>
      <c r="B381" s="1">
        <v>261376</v>
      </c>
      <c r="C381" s="1">
        <v>34380</v>
      </c>
      <c r="D381" s="1">
        <v>35946.6</v>
      </c>
      <c r="E381" s="1">
        <v>0</v>
      </c>
      <c r="F381" s="1">
        <v>397504</v>
      </c>
      <c r="G381" s="1">
        <v>42196.2</v>
      </c>
      <c r="H381" s="1">
        <v>366490</v>
      </c>
      <c r="I381" s="1">
        <v>534673</v>
      </c>
      <c r="J381" s="1">
        <v>47353.1</v>
      </c>
      <c r="K381" s="1">
        <v>87891.4</v>
      </c>
      <c r="L381" s="1">
        <v>87579.5</v>
      </c>
      <c r="M381" s="1">
        <v>56651.7</v>
      </c>
      <c r="N381" s="1">
        <v>72726.899999999994</v>
      </c>
      <c r="O381" s="1">
        <v>80600.399999999994</v>
      </c>
      <c r="P381" s="1">
        <v>51702</v>
      </c>
      <c r="Q381" s="1">
        <v>80510</v>
      </c>
      <c r="R381" s="1">
        <v>0</v>
      </c>
    </row>
    <row r="382" spans="1:18">
      <c r="A382" s="3">
        <v>45887.833350347224</v>
      </c>
      <c r="B382" s="1">
        <v>262245</v>
      </c>
      <c r="C382" s="1">
        <v>34610</v>
      </c>
      <c r="D382" s="1">
        <v>35963.300000000003</v>
      </c>
      <c r="E382" s="1">
        <v>0</v>
      </c>
      <c r="F382" s="1">
        <v>397531</v>
      </c>
      <c r="G382" s="1">
        <v>42282.1</v>
      </c>
      <c r="H382" s="1">
        <v>366505</v>
      </c>
      <c r="I382" s="1">
        <v>534942</v>
      </c>
      <c r="J382" s="1">
        <v>47366.3</v>
      </c>
      <c r="K382" s="1">
        <v>87894.5</v>
      </c>
      <c r="L382" s="1">
        <v>87604.5</v>
      </c>
      <c r="M382" s="1">
        <v>56697.9</v>
      </c>
      <c r="N382" s="1">
        <v>72783.199999999997</v>
      </c>
      <c r="O382" s="1">
        <v>80620.399999999994</v>
      </c>
      <c r="P382" s="1">
        <v>51702</v>
      </c>
      <c r="Q382" s="1">
        <v>80510</v>
      </c>
      <c r="R382" s="1">
        <v>0</v>
      </c>
    </row>
    <row r="383" spans="1:18">
      <c r="A383" s="3">
        <v>45887.875017071761</v>
      </c>
      <c r="B383" s="1">
        <v>263068</v>
      </c>
      <c r="C383" s="1">
        <v>34834</v>
      </c>
      <c r="D383" s="1">
        <v>35981</v>
      </c>
      <c r="E383" s="1">
        <v>0</v>
      </c>
      <c r="F383" s="1">
        <v>397554</v>
      </c>
      <c r="G383" s="1">
        <v>42360.3</v>
      </c>
      <c r="H383" s="1">
        <v>366521</v>
      </c>
      <c r="I383" s="1">
        <v>535191</v>
      </c>
      <c r="J383" s="1">
        <v>47377.9</v>
      </c>
      <c r="K383" s="1">
        <v>87897.5</v>
      </c>
      <c r="L383" s="1">
        <v>87629.7</v>
      </c>
      <c r="M383" s="1">
        <v>56743</v>
      </c>
      <c r="N383" s="1">
        <v>72838.8</v>
      </c>
      <c r="O383" s="1">
        <v>80640.899999999994</v>
      </c>
      <c r="P383" s="1">
        <v>51702</v>
      </c>
      <c r="Q383" s="1">
        <v>80510</v>
      </c>
      <c r="R383" s="1">
        <v>0</v>
      </c>
    </row>
    <row r="384" spans="1:18">
      <c r="A384" s="3">
        <v>45887.916683796298</v>
      </c>
      <c r="B384" s="1">
        <v>263857</v>
      </c>
      <c r="C384" s="1">
        <v>35048</v>
      </c>
      <c r="D384" s="1">
        <v>35996.800000000003</v>
      </c>
      <c r="E384" s="1">
        <v>0</v>
      </c>
      <c r="F384" s="1">
        <v>397573</v>
      </c>
      <c r="G384" s="1">
        <v>42433.3</v>
      </c>
      <c r="H384" s="1">
        <v>366537</v>
      </c>
      <c r="I384" s="1">
        <v>535431</v>
      </c>
      <c r="J384" s="1">
        <v>47388.6</v>
      </c>
      <c r="K384" s="1">
        <v>87900.5</v>
      </c>
      <c r="L384" s="1">
        <v>87653.9</v>
      </c>
      <c r="M384" s="1">
        <v>56785.2</v>
      </c>
      <c r="N384" s="1">
        <v>72894.7</v>
      </c>
      <c r="O384" s="1">
        <v>80660.399999999994</v>
      </c>
      <c r="P384" s="1">
        <v>51702</v>
      </c>
      <c r="Q384" s="1">
        <v>80510</v>
      </c>
      <c r="R384" s="1">
        <v>0</v>
      </c>
    </row>
    <row r="385" spans="1:18">
      <c r="A385" s="3">
        <v>45887.958350520836</v>
      </c>
      <c r="B385" s="1">
        <v>264624</v>
      </c>
      <c r="C385" s="1">
        <v>35249</v>
      </c>
      <c r="D385" s="1">
        <v>36012.300000000003</v>
      </c>
      <c r="E385" s="1">
        <v>0</v>
      </c>
      <c r="F385" s="1">
        <v>397594</v>
      </c>
      <c r="G385" s="1">
        <v>42502.6</v>
      </c>
      <c r="H385" s="1">
        <v>366553</v>
      </c>
      <c r="I385" s="1">
        <v>535668</v>
      </c>
      <c r="J385" s="1">
        <v>47399.199999999997</v>
      </c>
      <c r="K385" s="1">
        <v>87903.5</v>
      </c>
      <c r="L385" s="1">
        <v>87676.800000000003</v>
      </c>
      <c r="M385" s="1">
        <v>56827.5</v>
      </c>
      <c r="N385" s="1">
        <v>72950</v>
      </c>
      <c r="O385" s="1">
        <v>80679.899999999994</v>
      </c>
      <c r="P385" s="1">
        <v>51702</v>
      </c>
      <c r="Q385" s="1">
        <v>80510</v>
      </c>
      <c r="R385" s="1">
        <v>0</v>
      </c>
    </row>
    <row r="386" spans="1:18">
      <c r="A386" s="3">
        <v>45888.000017245373</v>
      </c>
      <c r="B386" s="1">
        <v>265381</v>
      </c>
      <c r="C386" s="1">
        <v>35446</v>
      </c>
      <c r="D386" s="1">
        <v>36027.4</v>
      </c>
      <c r="E386" s="1">
        <v>0</v>
      </c>
      <c r="F386" s="1">
        <v>397613</v>
      </c>
      <c r="G386" s="1">
        <v>42570.7</v>
      </c>
      <c r="H386" s="1">
        <v>366569</v>
      </c>
      <c r="I386" s="1">
        <v>535903</v>
      </c>
      <c r="J386" s="1">
        <v>47409.7</v>
      </c>
      <c r="K386" s="1">
        <v>87906.4</v>
      </c>
      <c r="L386" s="1">
        <v>87699.4</v>
      </c>
      <c r="M386" s="1">
        <v>56871.1</v>
      </c>
      <c r="N386" s="1">
        <v>73004.7</v>
      </c>
      <c r="O386" s="1">
        <v>80699.3</v>
      </c>
      <c r="P386" s="1">
        <v>51702</v>
      </c>
      <c r="Q386" s="1">
        <v>80510</v>
      </c>
      <c r="R386" s="1">
        <v>0</v>
      </c>
    </row>
    <row r="387" spans="1:18">
      <c r="A387" s="3">
        <v>45888.04168396991</v>
      </c>
      <c r="B387" s="1">
        <v>266120</v>
      </c>
      <c r="C387" s="1">
        <v>35638</v>
      </c>
      <c r="D387" s="1">
        <v>36041.9</v>
      </c>
      <c r="E387" s="1">
        <v>0</v>
      </c>
      <c r="F387" s="1">
        <v>397630</v>
      </c>
      <c r="G387" s="1">
        <v>42636.7</v>
      </c>
      <c r="H387" s="1">
        <v>366585</v>
      </c>
      <c r="I387" s="1">
        <v>536131</v>
      </c>
      <c r="J387" s="1">
        <v>47420.1</v>
      </c>
      <c r="K387" s="1">
        <v>87909.4</v>
      </c>
      <c r="L387" s="1">
        <v>87721.9</v>
      </c>
      <c r="M387" s="1">
        <v>56914.3</v>
      </c>
      <c r="N387" s="1">
        <v>73059.5</v>
      </c>
      <c r="O387" s="1">
        <v>80717.600000000006</v>
      </c>
      <c r="P387" s="1">
        <v>51702</v>
      </c>
      <c r="Q387" s="1">
        <v>80510</v>
      </c>
      <c r="R387" s="1">
        <v>0</v>
      </c>
    </row>
    <row r="388" spans="1:18">
      <c r="A388" s="3">
        <v>45888.083350694447</v>
      </c>
      <c r="B388" s="1">
        <v>266834</v>
      </c>
      <c r="C388" s="1">
        <v>35829</v>
      </c>
      <c r="D388" s="1">
        <v>36056.300000000003</v>
      </c>
      <c r="E388" s="1">
        <v>0</v>
      </c>
      <c r="F388" s="1">
        <v>397647</v>
      </c>
      <c r="G388" s="1">
        <v>42701.9</v>
      </c>
      <c r="H388" s="1">
        <v>366601</v>
      </c>
      <c r="I388" s="1">
        <v>536343</v>
      </c>
      <c r="J388" s="1">
        <v>47430.3</v>
      </c>
      <c r="K388" s="1">
        <v>87912.8</v>
      </c>
      <c r="L388" s="1">
        <v>87744.3</v>
      </c>
      <c r="M388" s="1">
        <v>56954</v>
      </c>
      <c r="N388" s="1">
        <v>73114.3</v>
      </c>
      <c r="O388" s="1">
        <v>80736.5</v>
      </c>
      <c r="P388" s="1">
        <v>51702</v>
      </c>
      <c r="Q388" s="1">
        <v>80510</v>
      </c>
      <c r="R388" s="1">
        <v>0</v>
      </c>
    </row>
    <row r="389" spans="1:18">
      <c r="A389" s="3">
        <v>45888.125017418984</v>
      </c>
      <c r="B389" s="1">
        <v>267530</v>
      </c>
      <c r="C389" s="1">
        <v>36010</v>
      </c>
      <c r="D389" s="1">
        <v>36070.1</v>
      </c>
      <c r="E389" s="1">
        <v>0</v>
      </c>
      <c r="F389" s="1">
        <v>397664</v>
      </c>
      <c r="G389" s="1">
        <v>42766.8</v>
      </c>
      <c r="H389" s="1">
        <v>366613</v>
      </c>
      <c r="I389" s="1">
        <v>536548</v>
      </c>
      <c r="J389" s="1">
        <v>47440.6</v>
      </c>
      <c r="K389" s="1">
        <v>87916.1</v>
      </c>
      <c r="L389" s="1">
        <v>87769.3</v>
      </c>
      <c r="M389" s="1">
        <v>56993.8</v>
      </c>
      <c r="N389" s="1">
        <v>73168.800000000003</v>
      </c>
      <c r="O389" s="1">
        <v>80755</v>
      </c>
      <c r="P389" s="1">
        <v>51702</v>
      </c>
      <c r="Q389" s="1">
        <v>80510</v>
      </c>
      <c r="R389" s="1">
        <v>0</v>
      </c>
    </row>
    <row r="390" spans="1:18">
      <c r="A390" s="3">
        <v>45888.166684143522</v>
      </c>
      <c r="B390" s="1">
        <v>268227</v>
      </c>
      <c r="C390" s="1">
        <v>36192</v>
      </c>
      <c r="D390" s="1">
        <v>36084.400000000001</v>
      </c>
      <c r="E390" s="1">
        <v>0</v>
      </c>
      <c r="F390" s="1">
        <v>397682</v>
      </c>
      <c r="G390" s="1">
        <v>42832.2</v>
      </c>
      <c r="H390" s="1">
        <v>366623</v>
      </c>
      <c r="I390" s="1">
        <v>536753</v>
      </c>
      <c r="J390" s="1">
        <v>47450.5</v>
      </c>
      <c r="K390" s="1">
        <v>87919.1</v>
      </c>
      <c r="L390" s="1">
        <v>87794.1</v>
      </c>
      <c r="M390" s="1">
        <v>57033.599999999999</v>
      </c>
      <c r="N390" s="1">
        <v>73224</v>
      </c>
      <c r="O390" s="1">
        <v>80774.3</v>
      </c>
      <c r="P390" s="1">
        <v>51702</v>
      </c>
      <c r="Q390" s="1">
        <v>80510</v>
      </c>
      <c r="R390" s="1">
        <v>0</v>
      </c>
    </row>
    <row r="391" spans="1:18">
      <c r="A391" s="3">
        <v>45888.208350868059</v>
      </c>
      <c r="B391" s="1">
        <v>268910</v>
      </c>
      <c r="C391" s="1">
        <v>36372</v>
      </c>
      <c r="D391" s="1">
        <v>36098.1</v>
      </c>
      <c r="E391" s="1">
        <v>0</v>
      </c>
      <c r="F391" s="1">
        <v>397699</v>
      </c>
      <c r="G391" s="1">
        <v>42895.5</v>
      </c>
      <c r="H391" s="1">
        <v>366634</v>
      </c>
      <c r="I391" s="1">
        <v>536955</v>
      </c>
      <c r="J391" s="1">
        <v>47460.6</v>
      </c>
      <c r="K391" s="1">
        <v>87922</v>
      </c>
      <c r="L391" s="1">
        <v>87815.5</v>
      </c>
      <c r="M391" s="1">
        <v>57072.800000000003</v>
      </c>
      <c r="N391" s="1">
        <v>73279.100000000006</v>
      </c>
      <c r="O391" s="1">
        <v>80793.5</v>
      </c>
      <c r="P391" s="1">
        <v>51702</v>
      </c>
      <c r="Q391" s="1">
        <v>80510</v>
      </c>
      <c r="R391" s="1">
        <v>0</v>
      </c>
    </row>
    <row r="392" spans="1:18">
      <c r="A392" s="3">
        <v>45888.250017592596</v>
      </c>
      <c r="B392" s="1">
        <v>269593</v>
      </c>
      <c r="C392" s="1">
        <v>36552</v>
      </c>
      <c r="D392" s="1">
        <v>36114</v>
      </c>
      <c r="E392" s="1">
        <v>0</v>
      </c>
      <c r="F392" s="1">
        <v>397716</v>
      </c>
      <c r="G392" s="1">
        <v>42958.5</v>
      </c>
      <c r="H392" s="1">
        <v>366644</v>
      </c>
      <c r="I392" s="1">
        <v>537155</v>
      </c>
      <c r="J392" s="1">
        <v>47470.5</v>
      </c>
      <c r="K392" s="1">
        <v>87924.800000000003</v>
      </c>
      <c r="L392" s="1">
        <v>87835.5</v>
      </c>
      <c r="M392" s="1">
        <v>57111.7</v>
      </c>
      <c r="N392" s="1">
        <v>73334</v>
      </c>
      <c r="O392" s="1">
        <v>80814.3</v>
      </c>
      <c r="P392" s="1">
        <v>51702</v>
      </c>
      <c r="Q392" s="1">
        <v>80510</v>
      </c>
      <c r="R392" s="1">
        <v>0</v>
      </c>
    </row>
    <row r="393" spans="1:18">
      <c r="A393" s="3">
        <v>45888.291684317126</v>
      </c>
      <c r="B393" s="1">
        <v>270267</v>
      </c>
      <c r="C393" s="1">
        <v>36730</v>
      </c>
      <c r="D393" s="1">
        <v>36127.699999999997</v>
      </c>
      <c r="E393" s="1">
        <v>0</v>
      </c>
      <c r="F393" s="1">
        <v>397732</v>
      </c>
      <c r="G393" s="1">
        <v>43019.9</v>
      </c>
      <c r="H393" s="1">
        <v>366655</v>
      </c>
      <c r="I393" s="1">
        <v>537357</v>
      </c>
      <c r="J393" s="1">
        <v>47480.4</v>
      </c>
      <c r="K393" s="1">
        <v>87926.8</v>
      </c>
      <c r="L393" s="1">
        <v>87855.2</v>
      </c>
      <c r="M393" s="1">
        <v>57150.1</v>
      </c>
      <c r="N393" s="1">
        <v>73388.2</v>
      </c>
      <c r="O393" s="1">
        <v>80833.7</v>
      </c>
      <c r="P393" s="1">
        <v>51703</v>
      </c>
      <c r="Q393" s="1">
        <v>80511</v>
      </c>
      <c r="R393" s="1">
        <v>0</v>
      </c>
    </row>
    <row r="394" spans="1:18">
      <c r="A394" s="3">
        <v>45888.333351041663</v>
      </c>
      <c r="B394" s="1">
        <v>270986</v>
      </c>
      <c r="C394" s="1">
        <v>36923</v>
      </c>
      <c r="D394" s="1">
        <v>36141.699999999997</v>
      </c>
      <c r="E394" s="1">
        <v>0</v>
      </c>
      <c r="F394" s="1">
        <v>397750</v>
      </c>
      <c r="G394" s="1">
        <v>43082.2</v>
      </c>
      <c r="H394" s="1">
        <v>366667</v>
      </c>
      <c r="I394" s="1">
        <v>537575</v>
      </c>
      <c r="J394" s="1">
        <v>47490.5</v>
      </c>
      <c r="K394" s="1">
        <v>87926.9</v>
      </c>
      <c r="L394" s="1">
        <v>87876.9</v>
      </c>
      <c r="M394" s="1">
        <v>57189.599999999999</v>
      </c>
      <c r="N394" s="1">
        <v>73439.8</v>
      </c>
      <c r="O394" s="1">
        <v>80858.8</v>
      </c>
      <c r="P394" s="1">
        <v>51705</v>
      </c>
      <c r="Q394" s="1">
        <v>80514</v>
      </c>
      <c r="R394" s="1">
        <v>0</v>
      </c>
    </row>
    <row r="395" spans="1:18">
      <c r="A395" s="3">
        <v>45888.3750177662</v>
      </c>
      <c r="B395" s="1">
        <v>271832</v>
      </c>
      <c r="C395" s="1">
        <v>37146</v>
      </c>
      <c r="D395" s="1">
        <v>36160</v>
      </c>
      <c r="E395" s="1">
        <v>0</v>
      </c>
      <c r="F395" s="1">
        <v>397774</v>
      </c>
      <c r="G395" s="1">
        <v>43145.4</v>
      </c>
      <c r="H395" s="1">
        <v>366677</v>
      </c>
      <c r="I395" s="1">
        <v>537831</v>
      </c>
      <c r="J395" s="1">
        <v>47501</v>
      </c>
      <c r="K395" s="1">
        <v>87927.7</v>
      </c>
      <c r="L395" s="1">
        <v>87908.4</v>
      </c>
      <c r="M395" s="1">
        <v>57236.2</v>
      </c>
      <c r="N395" s="1">
        <v>73490.899999999994</v>
      </c>
      <c r="O395" s="1">
        <v>80895.5</v>
      </c>
      <c r="P395" s="1">
        <v>51709</v>
      </c>
      <c r="Q395" s="1">
        <v>80522</v>
      </c>
      <c r="R395" s="1">
        <v>0</v>
      </c>
    </row>
    <row r="396" spans="1:18">
      <c r="A396" s="3">
        <v>45888.416684490738</v>
      </c>
      <c r="B396" s="1">
        <v>272869</v>
      </c>
      <c r="C396" s="1">
        <v>37413</v>
      </c>
      <c r="D396" s="1">
        <v>36188.699999999997</v>
      </c>
      <c r="E396" s="1">
        <v>0</v>
      </c>
      <c r="F396" s="1">
        <v>397806</v>
      </c>
      <c r="G396" s="1">
        <v>43224.9</v>
      </c>
      <c r="H396" s="1">
        <v>366688</v>
      </c>
      <c r="I396" s="1">
        <v>538149</v>
      </c>
      <c r="J396" s="1">
        <v>47512.6</v>
      </c>
      <c r="K396" s="1">
        <v>87928.1</v>
      </c>
      <c r="L396" s="1">
        <v>87947.6</v>
      </c>
      <c r="M396" s="1">
        <v>57291.199999999997</v>
      </c>
      <c r="N396" s="1">
        <v>73539.5</v>
      </c>
      <c r="O396" s="1">
        <v>80946.7</v>
      </c>
      <c r="P396" s="1">
        <v>51718</v>
      </c>
      <c r="Q396" s="1">
        <v>80535</v>
      </c>
      <c r="R396" s="1">
        <v>0</v>
      </c>
    </row>
    <row r="397" spans="1:18">
      <c r="A397" s="3">
        <v>45888.458351215275</v>
      </c>
      <c r="B397" s="1">
        <v>274030</v>
      </c>
      <c r="C397" s="1">
        <v>37716</v>
      </c>
      <c r="D397" s="1">
        <v>36218.699999999997</v>
      </c>
      <c r="E397" s="1">
        <v>0</v>
      </c>
      <c r="F397" s="1">
        <v>397857</v>
      </c>
      <c r="G397" s="1">
        <v>43312</v>
      </c>
      <c r="H397" s="1">
        <v>366700</v>
      </c>
      <c r="I397" s="1">
        <v>538511</v>
      </c>
      <c r="J397" s="1">
        <v>47530.8</v>
      </c>
      <c r="K397" s="1">
        <v>87928.1</v>
      </c>
      <c r="L397" s="1">
        <v>87987.7</v>
      </c>
      <c r="M397" s="1">
        <v>57343.8</v>
      </c>
      <c r="N397" s="1">
        <v>73585.2</v>
      </c>
      <c r="O397" s="1">
        <v>81016.399999999994</v>
      </c>
      <c r="P397" s="1">
        <v>51730</v>
      </c>
      <c r="Q397" s="1">
        <v>80555</v>
      </c>
      <c r="R397" s="1">
        <v>0</v>
      </c>
    </row>
    <row r="398" spans="1:18">
      <c r="A398" s="3">
        <v>45888.500017939812</v>
      </c>
      <c r="B398" s="1">
        <v>275220</v>
      </c>
      <c r="C398" s="1">
        <v>38030</v>
      </c>
      <c r="D398" s="1">
        <v>36246.300000000003</v>
      </c>
      <c r="E398" s="1">
        <v>0</v>
      </c>
      <c r="F398" s="1">
        <v>397912</v>
      </c>
      <c r="G398" s="1">
        <v>43399.7</v>
      </c>
      <c r="H398" s="1">
        <v>366710</v>
      </c>
      <c r="I398" s="1">
        <v>538892</v>
      </c>
      <c r="J398" s="1">
        <v>47550.400000000001</v>
      </c>
      <c r="K398" s="1">
        <v>87928.1</v>
      </c>
      <c r="L398" s="1">
        <v>88029.5</v>
      </c>
      <c r="M398" s="1">
        <v>57395.8</v>
      </c>
      <c r="N398" s="1">
        <v>73631.3</v>
      </c>
      <c r="O398" s="1">
        <v>81081.100000000006</v>
      </c>
      <c r="P398" s="1">
        <v>51745</v>
      </c>
      <c r="Q398" s="1">
        <v>80577</v>
      </c>
      <c r="R398" s="1">
        <v>0</v>
      </c>
    </row>
    <row r="399" spans="1:18">
      <c r="A399" s="3">
        <v>45888.541684664349</v>
      </c>
      <c r="B399" s="1">
        <v>276427</v>
      </c>
      <c r="C399" s="1">
        <v>38329</v>
      </c>
      <c r="D399" s="1">
        <v>36279.699999999997</v>
      </c>
      <c r="E399" s="1">
        <v>0</v>
      </c>
      <c r="F399" s="1">
        <v>397961</v>
      </c>
      <c r="G399" s="1">
        <v>43487.199999999997</v>
      </c>
      <c r="H399" s="1">
        <v>366722</v>
      </c>
      <c r="I399" s="1">
        <v>539299</v>
      </c>
      <c r="J399" s="1">
        <v>47567</v>
      </c>
      <c r="K399" s="1">
        <v>87928.1</v>
      </c>
      <c r="L399" s="1">
        <v>88069.8</v>
      </c>
      <c r="M399" s="1">
        <v>57459.5</v>
      </c>
      <c r="N399" s="1">
        <v>73678.8</v>
      </c>
      <c r="O399" s="1">
        <v>81146.899999999994</v>
      </c>
      <c r="P399" s="1">
        <v>51760</v>
      </c>
      <c r="Q399" s="1">
        <v>80601</v>
      </c>
      <c r="R399" s="1">
        <v>0</v>
      </c>
    </row>
    <row r="400" spans="1:18">
      <c r="A400" s="3">
        <v>45888.583351388887</v>
      </c>
      <c r="B400" s="1">
        <v>277726</v>
      </c>
      <c r="C400" s="1">
        <v>38649</v>
      </c>
      <c r="D400" s="1">
        <v>36321.1</v>
      </c>
      <c r="E400" s="1">
        <v>0</v>
      </c>
      <c r="F400" s="1">
        <v>398010</v>
      </c>
      <c r="G400" s="1">
        <v>43592.7</v>
      </c>
      <c r="H400" s="1">
        <v>366737</v>
      </c>
      <c r="I400" s="1">
        <v>539709</v>
      </c>
      <c r="J400" s="1">
        <v>47585.2</v>
      </c>
      <c r="K400" s="1">
        <v>87928.1</v>
      </c>
      <c r="L400" s="1">
        <v>88121.4</v>
      </c>
      <c r="M400" s="1">
        <v>57533.8</v>
      </c>
      <c r="N400" s="1">
        <v>73726.7</v>
      </c>
      <c r="O400" s="1">
        <v>81220.399999999994</v>
      </c>
      <c r="P400" s="1">
        <v>51775</v>
      </c>
      <c r="Q400" s="1">
        <v>80624</v>
      </c>
      <c r="R400" s="1">
        <v>0</v>
      </c>
    </row>
    <row r="401" spans="1:18">
      <c r="A401" s="3">
        <v>45888.625018113424</v>
      </c>
      <c r="B401" s="1">
        <v>279070</v>
      </c>
      <c r="C401" s="1">
        <v>38985</v>
      </c>
      <c r="D401" s="1">
        <v>36363.5</v>
      </c>
      <c r="E401" s="1">
        <v>0</v>
      </c>
      <c r="F401" s="1">
        <v>398058</v>
      </c>
      <c r="G401" s="1">
        <v>43702</v>
      </c>
      <c r="H401" s="1">
        <v>366759</v>
      </c>
      <c r="I401" s="1">
        <v>540141</v>
      </c>
      <c r="J401" s="1">
        <v>47602.3</v>
      </c>
      <c r="K401" s="1">
        <v>87928.1</v>
      </c>
      <c r="L401" s="1">
        <v>88182.2</v>
      </c>
      <c r="M401" s="1">
        <v>57605.1</v>
      </c>
      <c r="N401" s="1">
        <v>73771.399999999994</v>
      </c>
      <c r="O401" s="1">
        <v>81277</v>
      </c>
      <c r="P401" s="1">
        <v>51790</v>
      </c>
      <c r="Q401" s="1">
        <v>80645</v>
      </c>
      <c r="R401" s="1">
        <v>0</v>
      </c>
    </row>
    <row r="402" spans="1:18">
      <c r="A402" s="3">
        <v>45888.666684837961</v>
      </c>
      <c r="B402" s="1">
        <v>280362</v>
      </c>
      <c r="C402" s="1">
        <v>39309</v>
      </c>
      <c r="D402" s="1">
        <v>36401.1</v>
      </c>
      <c r="E402" s="1">
        <v>0</v>
      </c>
      <c r="F402" s="1">
        <v>398106</v>
      </c>
      <c r="G402" s="1">
        <v>43814.1</v>
      </c>
      <c r="H402" s="1">
        <v>366786</v>
      </c>
      <c r="I402" s="1">
        <v>540562</v>
      </c>
      <c r="J402" s="1">
        <v>47619.4</v>
      </c>
      <c r="K402" s="1">
        <v>87928.1</v>
      </c>
      <c r="L402" s="1">
        <v>88247.3</v>
      </c>
      <c r="M402" s="1">
        <v>57670.6</v>
      </c>
      <c r="N402" s="1">
        <v>73819.100000000006</v>
      </c>
      <c r="O402" s="1">
        <v>81305.2</v>
      </c>
      <c r="P402" s="1">
        <v>51802</v>
      </c>
      <c r="Q402" s="1">
        <v>80664</v>
      </c>
      <c r="R402" s="1">
        <v>0</v>
      </c>
    </row>
    <row r="403" spans="1:18">
      <c r="A403" s="3">
        <v>45888.708351562498</v>
      </c>
      <c r="B403" s="1">
        <v>281594</v>
      </c>
      <c r="C403" s="1">
        <v>39616</v>
      </c>
      <c r="D403" s="1">
        <v>36432.400000000001</v>
      </c>
      <c r="E403" s="1">
        <v>0</v>
      </c>
      <c r="F403" s="1">
        <v>398152</v>
      </c>
      <c r="G403" s="1">
        <v>43930.2</v>
      </c>
      <c r="H403" s="1">
        <v>366809</v>
      </c>
      <c r="I403" s="1">
        <v>540960</v>
      </c>
      <c r="J403" s="1">
        <v>47635.3</v>
      </c>
      <c r="K403" s="1">
        <v>87931</v>
      </c>
      <c r="L403" s="1">
        <v>88309.3</v>
      </c>
      <c r="M403" s="1">
        <v>57726.3</v>
      </c>
      <c r="N403" s="1">
        <v>73870.2</v>
      </c>
      <c r="O403" s="1">
        <v>81331.8</v>
      </c>
      <c r="P403" s="1">
        <v>51810</v>
      </c>
      <c r="Q403" s="1">
        <v>80677</v>
      </c>
      <c r="R403" s="1">
        <v>0</v>
      </c>
    </row>
    <row r="404" spans="1:18">
      <c r="A404" s="3">
        <v>45888.750018287035</v>
      </c>
      <c r="B404" s="1">
        <v>282732</v>
      </c>
      <c r="C404" s="1">
        <v>39901</v>
      </c>
      <c r="D404" s="1">
        <v>36455.4</v>
      </c>
      <c r="E404" s="1">
        <v>0</v>
      </c>
      <c r="F404" s="1">
        <v>398191</v>
      </c>
      <c r="G404" s="1">
        <v>44041</v>
      </c>
      <c r="H404" s="1">
        <v>366830</v>
      </c>
      <c r="I404" s="1">
        <v>541333</v>
      </c>
      <c r="J404" s="1">
        <v>47649</v>
      </c>
      <c r="K404" s="1">
        <v>87934.2</v>
      </c>
      <c r="L404" s="1">
        <v>88357.4</v>
      </c>
      <c r="M404" s="1">
        <v>57778.1</v>
      </c>
      <c r="N404" s="1">
        <v>73925.100000000006</v>
      </c>
      <c r="O404" s="1">
        <v>81356.2</v>
      </c>
      <c r="P404" s="1">
        <v>51814</v>
      </c>
      <c r="Q404" s="1">
        <v>80682</v>
      </c>
      <c r="R404" s="1">
        <v>0</v>
      </c>
    </row>
    <row r="405" spans="1:18">
      <c r="A405" s="3">
        <v>45888.791685011573</v>
      </c>
      <c r="B405" s="1">
        <v>283750</v>
      </c>
      <c r="C405" s="1">
        <v>40162</v>
      </c>
      <c r="D405" s="1">
        <v>36474.9</v>
      </c>
      <c r="E405" s="1">
        <v>0</v>
      </c>
      <c r="F405" s="1">
        <v>398221</v>
      </c>
      <c r="G405" s="1">
        <v>44143.9</v>
      </c>
      <c r="H405" s="1">
        <v>366847</v>
      </c>
      <c r="I405" s="1">
        <v>541671</v>
      </c>
      <c r="J405" s="1">
        <v>47660.9</v>
      </c>
      <c r="K405" s="1">
        <v>87937.7</v>
      </c>
      <c r="L405" s="1">
        <v>88393.8</v>
      </c>
      <c r="M405" s="1">
        <v>57825.8</v>
      </c>
      <c r="N405" s="1">
        <v>73981</v>
      </c>
      <c r="O405" s="1">
        <v>81375.399999999994</v>
      </c>
      <c r="P405" s="1">
        <v>51814</v>
      </c>
      <c r="Q405" s="1">
        <v>80683</v>
      </c>
      <c r="R405" s="1">
        <v>0</v>
      </c>
    </row>
    <row r="406" spans="1:18">
      <c r="A406" s="3">
        <v>45888.83335173611</v>
      </c>
      <c r="B406" s="1">
        <v>284671</v>
      </c>
      <c r="C406" s="1">
        <v>40392</v>
      </c>
      <c r="D406" s="1">
        <v>36490.800000000003</v>
      </c>
      <c r="E406" s="1">
        <v>0</v>
      </c>
      <c r="F406" s="1">
        <v>398248</v>
      </c>
      <c r="G406" s="1">
        <v>44229.1</v>
      </c>
      <c r="H406" s="1">
        <v>366862</v>
      </c>
      <c r="I406" s="1">
        <v>541984</v>
      </c>
      <c r="J406" s="1">
        <v>47672.4</v>
      </c>
      <c r="K406" s="1">
        <v>87941.8</v>
      </c>
      <c r="L406" s="1">
        <v>88426.6</v>
      </c>
      <c r="M406" s="1">
        <v>57871.7</v>
      </c>
      <c r="N406" s="1">
        <v>74037</v>
      </c>
      <c r="O406" s="1">
        <v>81395.7</v>
      </c>
      <c r="P406" s="1">
        <v>51814</v>
      </c>
      <c r="Q406" s="1">
        <v>80683</v>
      </c>
      <c r="R406" s="1">
        <v>0</v>
      </c>
    </row>
    <row r="407" spans="1:18">
      <c r="A407" s="3">
        <v>45888.875018460647</v>
      </c>
      <c r="B407" s="1">
        <v>285535</v>
      </c>
      <c r="C407" s="1">
        <v>40617</v>
      </c>
      <c r="D407" s="1">
        <v>36507.5</v>
      </c>
      <c r="E407" s="1">
        <v>0</v>
      </c>
      <c r="F407" s="1">
        <v>398272</v>
      </c>
      <c r="G407" s="1">
        <v>44299.3</v>
      </c>
      <c r="H407" s="1">
        <v>366876</v>
      </c>
      <c r="I407" s="1">
        <v>542269</v>
      </c>
      <c r="J407" s="1">
        <v>47683.6</v>
      </c>
      <c r="K407" s="1">
        <v>87945.9</v>
      </c>
      <c r="L407" s="1">
        <v>88456.7</v>
      </c>
      <c r="M407" s="1">
        <v>57914.2</v>
      </c>
      <c r="N407" s="1">
        <v>74092.800000000003</v>
      </c>
      <c r="O407" s="1">
        <v>81418.5</v>
      </c>
      <c r="P407" s="1">
        <v>51814</v>
      </c>
      <c r="Q407" s="1">
        <v>80683</v>
      </c>
      <c r="R407" s="1">
        <v>0</v>
      </c>
    </row>
    <row r="408" spans="1:18">
      <c r="A408" s="3">
        <v>45888.916685185184</v>
      </c>
      <c r="B408" s="1">
        <v>286366</v>
      </c>
      <c r="C408" s="1">
        <v>40831</v>
      </c>
      <c r="D408" s="1">
        <v>36524.400000000001</v>
      </c>
      <c r="E408" s="1">
        <v>0</v>
      </c>
      <c r="F408" s="1">
        <v>398294</v>
      </c>
      <c r="G408" s="1">
        <v>44367.6</v>
      </c>
      <c r="H408" s="1">
        <v>366891</v>
      </c>
      <c r="I408" s="1">
        <v>542540</v>
      </c>
      <c r="J408" s="1">
        <v>47694.8</v>
      </c>
      <c r="K408" s="1">
        <v>87949.8</v>
      </c>
      <c r="L408" s="1">
        <v>88484.5</v>
      </c>
      <c r="M408" s="1">
        <v>57957.8</v>
      </c>
      <c r="N408" s="1">
        <v>74148.100000000006</v>
      </c>
      <c r="O408" s="1">
        <v>81439.600000000006</v>
      </c>
      <c r="P408" s="1">
        <v>51814</v>
      </c>
      <c r="Q408" s="1">
        <v>80683</v>
      </c>
      <c r="R408" s="1">
        <v>0</v>
      </c>
    </row>
    <row r="409" spans="1:18">
      <c r="A409" s="3">
        <v>45888.958351909721</v>
      </c>
      <c r="B409" s="1">
        <v>287159</v>
      </c>
      <c r="C409" s="1">
        <v>41030</v>
      </c>
      <c r="D409" s="1">
        <v>36540.699999999997</v>
      </c>
      <c r="E409" s="1">
        <v>0</v>
      </c>
      <c r="F409" s="1">
        <v>398317</v>
      </c>
      <c r="G409" s="1">
        <v>44433</v>
      </c>
      <c r="H409" s="1">
        <v>366905</v>
      </c>
      <c r="I409" s="1">
        <v>542799</v>
      </c>
      <c r="J409" s="1">
        <v>47705.8</v>
      </c>
      <c r="K409" s="1">
        <v>87953.8</v>
      </c>
      <c r="L409" s="1">
        <v>88512.5</v>
      </c>
      <c r="M409" s="1">
        <v>57998.3</v>
      </c>
      <c r="N409" s="1">
        <v>74204.2</v>
      </c>
      <c r="O409" s="1">
        <v>81458.899999999994</v>
      </c>
      <c r="P409" s="1">
        <v>51814</v>
      </c>
      <c r="Q409" s="1">
        <v>80683</v>
      </c>
      <c r="R409" s="1">
        <v>0</v>
      </c>
    </row>
    <row r="410" spans="1:18">
      <c r="A410" s="3">
        <v>45889.000018634259</v>
      </c>
      <c r="B410" s="1">
        <v>287940</v>
      </c>
      <c r="C410" s="1">
        <v>41224</v>
      </c>
      <c r="D410" s="1">
        <v>36556.800000000003</v>
      </c>
      <c r="E410" s="1">
        <v>0</v>
      </c>
      <c r="F410" s="1">
        <v>398338</v>
      </c>
      <c r="G410" s="1">
        <v>44497.599999999999</v>
      </c>
      <c r="H410" s="1">
        <v>366920</v>
      </c>
      <c r="I410" s="1">
        <v>543057</v>
      </c>
      <c r="J410" s="1">
        <v>47716.800000000003</v>
      </c>
      <c r="K410" s="1">
        <v>87957.8</v>
      </c>
      <c r="L410" s="1">
        <v>88540.4</v>
      </c>
      <c r="M410" s="1">
        <v>58037.9</v>
      </c>
      <c r="N410" s="1">
        <v>74259</v>
      </c>
      <c r="O410" s="1">
        <v>81477.7</v>
      </c>
      <c r="P410" s="1">
        <v>51814</v>
      </c>
      <c r="Q410" s="1">
        <v>80683</v>
      </c>
      <c r="R410" s="1">
        <v>0</v>
      </c>
    </row>
    <row r="411" spans="1:18">
      <c r="A411" s="3">
        <v>45889.041685358796</v>
      </c>
      <c r="B411" s="1">
        <v>288690</v>
      </c>
      <c r="C411" s="1">
        <v>41418</v>
      </c>
      <c r="D411" s="1">
        <v>36572.5</v>
      </c>
      <c r="E411" s="1">
        <v>0</v>
      </c>
      <c r="F411" s="1">
        <v>398359</v>
      </c>
      <c r="G411" s="1">
        <v>44559.8</v>
      </c>
      <c r="H411" s="1">
        <v>366935</v>
      </c>
      <c r="I411" s="1">
        <v>543291</v>
      </c>
      <c r="J411" s="1">
        <v>47727.5</v>
      </c>
      <c r="K411" s="1">
        <v>87961.8</v>
      </c>
      <c r="L411" s="1">
        <v>88569.5</v>
      </c>
      <c r="M411" s="1">
        <v>58076.3</v>
      </c>
      <c r="N411" s="1">
        <v>74313.7</v>
      </c>
      <c r="O411" s="1">
        <v>81494.5</v>
      </c>
      <c r="P411" s="1">
        <v>51814</v>
      </c>
      <c r="Q411" s="1">
        <v>80683</v>
      </c>
      <c r="R411" s="1">
        <v>0</v>
      </c>
    </row>
    <row r="412" spans="1:18">
      <c r="A412" s="3">
        <v>45889.083352083333</v>
      </c>
      <c r="B412" s="1">
        <v>289421</v>
      </c>
      <c r="C412" s="1">
        <v>41605</v>
      </c>
      <c r="D412" s="1">
        <v>36586.9</v>
      </c>
      <c r="E412" s="1">
        <v>0</v>
      </c>
      <c r="F412" s="1">
        <v>398379</v>
      </c>
      <c r="G412" s="1">
        <v>44626.3</v>
      </c>
      <c r="H412" s="1">
        <v>366950</v>
      </c>
      <c r="I412" s="1">
        <v>543511</v>
      </c>
      <c r="J412" s="1">
        <v>47738</v>
      </c>
      <c r="K412" s="1">
        <v>87965.8</v>
      </c>
      <c r="L412" s="1">
        <v>88598.3</v>
      </c>
      <c r="M412" s="1">
        <v>58114.400000000001</v>
      </c>
      <c r="N412" s="1">
        <v>74368.3</v>
      </c>
      <c r="O412" s="1">
        <v>81512.600000000006</v>
      </c>
      <c r="P412" s="1">
        <v>51814</v>
      </c>
      <c r="Q412" s="1">
        <v>80683</v>
      </c>
      <c r="R412" s="1">
        <v>0</v>
      </c>
    </row>
    <row r="413" spans="1:18">
      <c r="A413" s="3">
        <v>45889.12501880787</v>
      </c>
      <c r="B413" s="1">
        <v>290134</v>
      </c>
      <c r="C413" s="1">
        <v>41785</v>
      </c>
      <c r="D413" s="1">
        <v>36600.6</v>
      </c>
      <c r="E413" s="1">
        <v>0</v>
      </c>
      <c r="F413" s="1">
        <v>398400</v>
      </c>
      <c r="G413" s="1">
        <v>44692.1</v>
      </c>
      <c r="H413" s="1">
        <v>366964</v>
      </c>
      <c r="I413" s="1">
        <v>543725</v>
      </c>
      <c r="J413" s="1">
        <v>47748.4</v>
      </c>
      <c r="K413" s="1">
        <v>87969.9</v>
      </c>
      <c r="L413" s="1">
        <v>88625.600000000006</v>
      </c>
      <c r="M413" s="1">
        <v>58152.9</v>
      </c>
      <c r="N413" s="1">
        <v>74422.7</v>
      </c>
      <c r="O413" s="1">
        <v>81529.899999999994</v>
      </c>
      <c r="P413" s="1">
        <v>51814</v>
      </c>
      <c r="Q413" s="1">
        <v>80683</v>
      </c>
      <c r="R413" s="1">
        <v>0</v>
      </c>
    </row>
    <row r="414" spans="1:18">
      <c r="A414" s="3">
        <v>45889.166685532407</v>
      </c>
      <c r="B414" s="1">
        <v>290835</v>
      </c>
      <c r="C414" s="1">
        <v>41962</v>
      </c>
      <c r="D414" s="1">
        <v>36613.1</v>
      </c>
      <c r="E414" s="1">
        <v>0</v>
      </c>
      <c r="F414" s="1">
        <v>398419</v>
      </c>
      <c r="G414" s="1">
        <v>44753.2</v>
      </c>
      <c r="H414" s="1">
        <v>366978</v>
      </c>
      <c r="I414" s="1">
        <v>543939</v>
      </c>
      <c r="J414" s="1">
        <v>47758.7</v>
      </c>
      <c r="K414" s="1">
        <v>87974.1</v>
      </c>
      <c r="L414" s="1">
        <v>88652.3</v>
      </c>
      <c r="M414" s="1">
        <v>58191.6</v>
      </c>
      <c r="N414" s="1">
        <v>74477.7</v>
      </c>
      <c r="O414" s="1">
        <v>81547.899999999994</v>
      </c>
      <c r="P414" s="1">
        <v>51814</v>
      </c>
      <c r="Q414" s="1">
        <v>80683</v>
      </c>
      <c r="R414" s="1">
        <v>0</v>
      </c>
    </row>
    <row r="415" spans="1:18">
      <c r="A415" s="3">
        <v>45889.208352256945</v>
      </c>
      <c r="B415" s="1">
        <v>291537</v>
      </c>
      <c r="C415" s="1">
        <v>42139</v>
      </c>
      <c r="D415" s="1">
        <v>36625.800000000003</v>
      </c>
      <c r="E415" s="1">
        <v>0</v>
      </c>
      <c r="F415" s="1">
        <v>398439</v>
      </c>
      <c r="G415" s="1">
        <v>44812.4</v>
      </c>
      <c r="H415" s="1">
        <v>366992</v>
      </c>
      <c r="I415" s="1">
        <v>544152</v>
      </c>
      <c r="J415" s="1">
        <v>47769.1</v>
      </c>
      <c r="K415" s="1">
        <v>87977.8</v>
      </c>
      <c r="L415" s="1">
        <v>88679.3</v>
      </c>
      <c r="M415" s="1">
        <v>58232.1</v>
      </c>
      <c r="N415" s="1">
        <v>74533.399999999994</v>
      </c>
      <c r="O415" s="1">
        <v>81566.3</v>
      </c>
      <c r="P415" s="1">
        <v>51814</v>
      </c>
      <c r="Q415" s="1">
        <v>80683</v>
      </c>
      <c r="R415" s="1">
        <v>0</v>
      </c>
    </row>
    <row r="416" spans="1:18">
      <c r="A416" s="3">
        <v>45889.250018981482</v>
      </c>
      <c r="B416" s="1">
        <v>292231</v>
      </c>
      <c r="C416" s="1">
        <v>42317</v>
      </c>
      <c r="D416" s="1">
        <v>36637.599999999999</v>
      </c>
      <c r="E416" s="1">
        <v>0</v>
      </c>
      <c r="F416" s="1">
        <v>398459</v>
      </c>
      <c r="G416" s="1">
        <v>44870</v>
      </c>
      <c r="H416" s="1">
        <v>367005</v>
      </c>
      <c r="I416" s="1">
        <v>544360</v>
      </c>
      <c r="J416" s="1">
        <v>47779</v>
      </c>
      <c r="K416" s="1">
        <v>87981</v>
      </c>
      <c r="L416" s="1">
        <v>88705.600000000006</v>
      </c>
      <c r="M416" s="1">
        <v>58271.199999999997</v>
      </c>
      <c r="N416" s="1">
        <v>74588.5</v>
      </c>
      <c r="O416" s="1">
        <v>81586.2</v>
      </c>
      <c r="P416" s="1">
        <v>51814</v>
      </c>
      <c r="Q416" s="1">
        <v>80683</v>
      </c>
      <c r="R416" s="1">
        <v>0</v>
      </c>
    </row>
    <row r="417" spans="1:18">
      <c r="A417" s="3">
        <v>45889.291685706019</v>
      </c>
      <c r="B417" s="1">
        <v>292927</v>
      </c>
      <c r="C417" s="1">
        <v>42498</v>
      </c>
      <c r="D417" s="1">
        <v>36649.800000000003</v>
      </c>
      <c r="E417" s="1">
        <v>0</v>
      </c>
      <c r="F417" s="1">
        <v>398478</v>
      </c>
      <c r="G417" s="1">
        <v>44928.3</v>
      </c>
      <c r="H417" s="1">
        <v>367020</v>
      </c>
      <c r="I417" s="1">
        <v>544568</v>
      </c>
      <c r="J417" s="1">
        <v>47789.1</v>
      </c>
      <c r="K417" s="1">
        <v>87983.9</v>
      </c>
      <c r="L417" s="1">
        <v>88730.8</v>
      </c>
      <c r="M417" s="1">
        <v>58307.8</v>
      </c>
      <c r="N417" s="1">
        <v>74643.3</v>
      </c>
      <c r="O417" s="1">
        <v>81604.7</v>
      </c>
      <c r="P417" s="1">
        <v>51814</v>
      </c>
      <c r="Q417" s="1">
        <v>80683</v>
      </c>
      <c r="R417" s="1">
        <v>0</v>
      </c>
    </row>
    <row r="418" spans="1:18">
      <c r="A418" s="3">
        <v>45889.333352430556</v>
      </c>
      <c r="B418" s="1">
        <v>293640</v>
      </c>
      <c r="C418" s="1">
        <v>42687</v>
      </c>
      <c r="D418" s="1">
        <v>36662.699999999997</v>
      </c>
      <c r="E418" s="1">
        <v>0</v>
      </c>
      <c r="F418" s="1">
        <v>398498</v>
      </c>
      <c r="G418" s="1">
        <v>44985.599999999999</v>
      </c>
      <c r="H418" s="1">
        <v>367034</v>
      </c>
      <c r="I418" s="1">
        <v>544782</v>
      </c>
      <c r="J418" s="1">
        <v>47799.3</v>
      </c>
      <c r="K418" s="1">
        <v>87986.1</v>
      </c>
      <c r="L418" s="1">
        <v>88753.600000000006</v>
      </c>
      <c r="M418" s="1">
        <v>58343.199999999997</v>
      </c>
      <c r="N418" s="1">
        <v>74696.600000000006</v>
      </c>
      <c r="O418" s="1">
        <v>81628.100000000006</v>
      </c>
      <c r="P418" s="1">
        <v>51815</v>
      </c>
      <c r="Q418" s="1">
        <v>80684</v>
      </c>
      <c r="R418" s="1">
        <v>0</v>
      </c>
    </row>
    <row r="419" spans="1:18">
      <c r="A419" s="3">
        <v>45889.375019155093</v>
      </c>
      <c r="B419" s="1">
        <v>294512</v>
      </c>
      <c r="C419" s="1">
        <v>42927</v>
      </c>
      <c r="D419" s="1">
        <v>36681.699999999997</v>
      </c>
      <c r="E419" s="1">
        <v>0</v>
      </c>
      <c r="F419" s="1">
        <v>398527</v>
      </c>
      <c r="G419" s="1">
        <v>45048.3</v>
      </c>
      <c r="H419" s="1">
        <v>367049</v>
      </c>
      <c r="I419" s="1">
        <v>545050</v>
      </c>
      <c r="J419" s="1">
        <v>47810.5</v>
      </c>
      <c r="K419" s="1">
        <v>87986.4</v>
      </c>
      <c r="L419" s="1">
        <v>88782</v>
      </c>
      <c r="M419" s="1">
        <v>58381.1</v>
      </c>
      <c r="N419" s="1">
        <v>74746</v>
      </c>
      <c r="O419" s="1">
        <v>81664.100000000006</v>
      </c>
      <c r="P419" s="1">
        <v>51820</v>
      </c>
      <c r="Q419" s="1">
        <v>80694</v>
      </c>
      <c r="R419" s="1">
        <v>0</v>
      </c>
    </row>
    <row r="420" spans="1:18">
      <c r="A420" s="3">
        <v>45889.416685879631</v>
      </c>
      <c r="B420" s="1">
        <v>295594</v>
      </c>
      <c r="C420" s="1">
        <v>43223</v>
      </c>
      <c r="D420" s="1">
        <v>36710.9</v>
      </c>
      <c r="E420" s="1">
        <v>0</v>
      </c>
      <c r="F420" s="1">
        <v>398564</v>
      </c>
      <c r="G420" s="1">
        <v>45111.8</v>
      </c>
      <c r="H420" s="1">
        <v>367064</v>
      </c>
      <c r="I420" s="1">
        <v>545383</v>
      </c>
      <c r="J420" s="1">
        <v>47823.3</v>
      </c>
      <c r="K420" s="1">
        <v>87986.8</v>
      </c>
      <c r="L420" s="1">
        <v>88821.8</v>
      </c>
      <c r="M420" s="1">
        <v>58439.3</v>
      </c>
      <c r="N420" s="1">
        <v>74794</v>
      </c>
      <c r="O420" s="1">
        <v>81713.899999999994</v>
      </c>
      <c r="P420" s="1">
        <v>51831</v>
      </c>
      <c r="Q420" s="1">
        <v>80712</v>
      </c>
      <c r="R420" s="1">
        <v>0</v>
      </c>
    </row>
    <row r="421" spans="1:18">
      <c r="A421" s="3">
        <v>45889.458352604168</v>
      </c>
      <c r="B421" s="1">
        <v>296862</v>
      </c>
      <c r="C421" s="1">
        <v>43572</v>
      </c>
      <c r="D421" s="1">
        <v>36740.400000000001</v>
      </c>
      <c r="E421" s="1">
        <v>0</v>
      </c>
      <c r="F421" s="1">
        <v>398606</v>
      </c>
      <c r="G421" s="1">
        <v>45193.3</v>
      </c>
      <c r="H421" s="1">
        <v>367079</v>
      </c>
      <c r="I421" s="1">
        <v>545780</v>
      </c>
      <c r="J421" s="1">
        <v>47841.8</v>
      </c>
      <c r="K421" s="1">
        <v>87987.4</v>
      </c>
      <c r="L421" s="1">
        <v>88863</v>
      </c>
      <c r="M421" s="1">
        <v>58508.3</v>
      </c>
      <c r="N421" s="1">
        <v>74844.899999999994</v>
      </c>
      <c r="O421" s="1">
        <v>81778.8</v>
      </c>
      <c r="P421" s="1">
        <v>51844</v>
      </c>
      <c r="Q421" s="1">
        <v>80732</v>
      </c>
      <c r="R421" s="1">
        <v>0</v>
      </c>
    </row>
    <row r="422" spans="1:18">
      <c r="A422" s="3">
        <v>45889.500019328705</v>
      </c>
      <c r="B422" s="1">
        <v>298186</v>
      </c>
      <c r="C422" s="1">
        <v>43932</v>
      </c>
      <c r="D422" s="1">
        <v>36767.599999999999</v>
      </c>
      <c r="E422" s="1">
        <v>0</v>
      </c>
      <c r="F422" s="1">
        <v>398653</v>
      </c>
      <c r="G422" s="1">
        <v>45278.7</v>
      </c>
      <c r="H422" s="1">
        <v>367093</v>
      </c>
      <c r="I422" s="1">
        <v>546186</v>
      </c>
      <c r="J422" s="1">
        <v>47859.1</v>
      </c>
      <c r="K422" s="1">
        <v>87987.5</v>
      </c>
      <c r="L422" s="1">
        <v>88915.9</v>
      </c>
      <c r="M422" s="1">
        <v>58582.9</v>
      </c>
      <c r="N422" s="1">
        <v>74894.100000000006</v>
      </c>
      <c r="O422" s="1">
        <v>81845.600000000006</v>
      </c>
      <c r="P422" s="1">
        <v>51860</v>
      </c>
      <c r="Q422" s="1">
        <v>80755</v>
      </c>
      <c r="R422" s="1">
        <v>0</v>
      </c>
    </row>
    <row r="423" spans="1:18">
      <c r="A423" s="3">
        <v>45889.541686053242</v>
      </c>
      <c r="B423" s="1">
        <v>299522</v>
      </c>
      <c r="C423" s="1">
        <v>44280</v>
      </c>
      <c r="D423" s="1">
        <v>36807.300000000003</v>
      </c>
      <c r="E423" s="1">
        <v>0</v>
      </c>
      <c r="F423" s="1">
        <v>398700</v>
      </c>
      <c r="G423" s="1">
        <v>45363.7</v>
      </c>
      <c r="H423" s="1">
        <v>367108</v>
      </c>
      <c r="I423" s="1">
        <v>546614</v>
      </c>
      <c r="J423" s="1">
        <v>47873.8</v>
      </c>
      <c r="K423" s="1">
        <v>87987.5</v>
      </c>
      <c r="L423" s="1">
        <v>88969.8</v>
      </c>
      <c r="M423" s="1">
        <v>58657.8</v>
      </c>
      <c r="N423" s="1">
        <v>74938.8</v>
      </c>
      <c r="O423" s="1">
        <v>81917.399999999994</v>
      </c>
      <c r="P423" s="1">
        <v>51876</v>
      </c>
      <c r="Q423" s="1">
        <v>80780</v>
      </c>
      <c r="R423" s="1">
        <v>0</v>
      </c>
    </row>
    <row r="424" spans="1:18">
      <c r="A424" s="3">
        <v>45889.58335277778</v>
      </c>
      <c r="B424" s="1">
        <v>301002</v>
      </c>
      <c r="C424" s="1">
        <v>44643</v>
      </c>
      <c r="D424" s="1">
        <v>36852</v>
      </c>
      <c r="E424" s="1">
        <v>0</v>
      </c>
      <c r="F424" s="1">
        <v>398750</v>
      </c>
      <c r="G424" s="1">
        <v>45462.6</v>
      </c>
      <c r="H424" s="1">
        <v>367208</v>
      </c>
      <c r="I424" s="1">
        <v>547060</v>
      </c>
      <c r="J424" s="1">
        <v>47888.4</v>
      </c>
      <c r="K424" s="1">
        <v>87987.6</v>
      </c>
      <c r="L424" s="1">
        <v>89019.5</v>
      </c>
      <c r="M424" s="1">
        <v>58729.599999999999</v>
      </c>
      <c r="N424" s="1">
        <v>74981.3</v>
      </c>
      <c r="O424" s="1">
        <v>81997.8</v>
      </c>
      <c r="P424" s="1">
        <v>51892</v>
      </c>
      <c r="Q424" s="1">
        <v>80804</v>
      </c>
      <c r="R424" s="1">
        <v>0</v>
      </c>
    </row>
    <row r="425" spans="1:18">
      <c r="A425" s="3">
        <v>45889.625019502317</v>
      </c>
      <c r="B425" s="1">
        <v>302421</v>
      </c>
      <c r="C425" s="1">
        <v>45007</v>
      </c>
      <c r="D425" s="1">
        <v>36896.400000000001</v>
      </c>
      <c r="E425" s="1">
        <v>0</v>
      </c>
      <c r="F425" s="1">
        <v>398806</v>
      </c>
      <c r="G425" s="1">
        <v>45561.599999999999</v>
      </c>
      <c r="H425" s="1">
        <v>367271</v>
      </c>
      <c r="I425" s="1">
        <v>547511</v>
      </c>
      <c r="J425" s="1">
        <v>47903.199999999997</v>
      </c>
      <c r="K425" s="1">
        <v>87987.6</v>
      </c>
      <c r="L425" s="1">
        <v>89067.3</v>
      </c>
      <c r="M425" s="1">
        <v>58808.3</v>
      </c>
      <c r="N425" s="1">
        <v>75027.5</v>
      </c>
      <c r="O425" s="1">
        <v>82053.5</v>
      </c>
      <c r="P425" s="1">
        <v>51907</v>
      </c>
      <c r="Q425" s="1">
        <v>80827</v>
      </c>
      <c r="R425" s="1">
        <v>0</v>
      </c>
    </row>
    <row r="426" spans="1:18">
      <c r="A426" s="3">
        <v>45889.666686226854</v>
      </c>
      <c r="B426" s="1">
        <v>303799</v>
      </c>
      <c r="C426" s="1">
        <v>45382</v>
      </c>
      <c r="D426" s="1">
        <v>36937.1</v>
      </c>
      <c r="E426" s="1">
        <v>0</v>
      </c>
      <c r="F426" s="1">
        <v>398862</v>
      </c>
      <c r="G426" s="1">
        <v>45665.4</v>
      </c>
      <c r="H426" s="1">
        <v>367301</v>
      </c>
      <c r="I426" s="1">
        <v>547950</v>
      </c>
      <c r="J426" s="1">
        <v>47917.5</v>
      </c>
      <c r="K426" s="1">
        <v>87988.3</v>
      </c>
      <c r="L426" s="1">
        <v>89115.3</v>
      </c>
      <c r="M426" s="1">
        <v>58891.7</v>
      </c>
      <c r="N426" s="1">
        <v>75082.7</v>
      </c>
      <c r="O426" s="1">
        <v>82086</v>
      </c>
      <c r="P426" s="1">
        <v>51918</v>
      </c>
      <c r="Q426" s="1">
        <v>80844</v>
      </c>
      <c r="R426" s="1">
        <v>0</v>
      </c>
    </row>
    <row r="427" spans="1:18">
      <c r="A427" s="3">
        <v>45889.708352951391</v>
      </c>
      <c r="B427" s="1">
        <v>305112</v>
      </c>
      <c r="C427" s="1">
        <v>45743</v>
      </c>
      <c r="D427" s="1">
        <v>36971.5</v>
      </c>
      <c r="E427" s="1">
        <v>0</v>
      </c>
      <c r="F427" s="1">
        <v>398913</v>
      </c>
      <c r="G427" s="1">
        <v>45767.7</v>
      </c>
      <c r="H427" s="1">
        <v>367321</v>
      </c>
      <c r="I427" s="1">
        <v>548385</v>
      </c>
      <c r="J427" s="1">
        <v>47931.199999999997</v>
      </c>
      <c r="K427" s="1">
        <v>87993.7</v>
      </c>
      <c r="L427" s="1">
        <v>89161.600000000006</v>
      </c>
      <c r="M427" s="1">
        <v>58957.4</v>
      </c>
      <c r="N427" s="1">
        <v>75139.600000000006</v>
      </c>
      <c r="O427" s="1">
        <v>82116.3</v>
      </c>
      <c r="P427" s="1">
        <v>51925</v>
      </c>
      <c r="Q427" s="1">
        <v>80855</v>
      </c>
      <c r="R427" s="1">
        <v>0</v>
      </c>
    </row>
    <row r="428" spans="1:18">
      <c r="A428" s="3">
        <v>45889.750019675928</v>
      </c>
      <c r="B428" s="1">
        <v>306260</v>
      </c>
      <c r="C428" s="1">
        <v>46057</v>
      </c>
      <c r="D428" s="1">
        <v>36997.9</v>
      </c>
      <c r="E428" s="1">
        <v>0</v>
      </c>
      <c r="F428" s="1">
        <v>398952</v>
      </c>
      <c r="G428" s="1">
        <v>45861.5</v>
      </c>
      <c r="H428" s="1">
        <v>367335</v>
      </c>
      <c r="I428" s="1">
        <v>548777</v>
      </c>
      <c r="J428" s="1">
        <v>47942.6</v>
      </c>
      <c r="K428" s="1">
        <v>87999.5</v>
      </c>
      <c r="L428" s="1">
        <v>89195.5</v>
      </c>
      <c r="M428" s="1">
        <v>59008.3</v>
      </c>
      <c r="N428" s="1">
        <v>75195.899999999994</v>
      </c>
      <c r="O428" s="1">
        <v>82144.800000000003</v>
      </c>
      <c r="P428" s="1">
        <v>51925</v>
      </c>
      <c r="Q428" s="1">
        <v>80855</v>
      </c>
      <c r="R428" s="1">
        <v>0</v>
      </c>
    </row>
    <row r="429" spans="1:18">
      <c r="A429" s="3">
        <v>45889.791686400466</v>
      </c>
      <c r="B429" s="1">
        <v>307248</v>
      </c>
      <c r="C429" s="1">
        <v>46317</v>
      </c>
      <c r="D429" s="1">
        <v>37020</v>
      </c>
      <c r="E429" s="1">
        <v>0</v>
      </c>
      <c r="F429" s="1">
        <v>398985</v>
      </c>
      <c r="G429" s="1">
        <v>45945.2</v>
      </c>
      <c r="H429" s="1">
        <v>367348</v>
      </c>
      <c r="I429" s="1">
        <v>549115</v>
      </c>
      <c r="J429" s="1">
        <v>47953</v>
      </c>
      <c r="K429" s="1">
        <v>88002.7</v>
      </c>
      <c r="L429" s="1">
        <v>89222.6</v>
      </c>
      <c r="M429" s="1">
        <v>59055.3</v>
      </c>
      <c r="N429" s="1">
        <v>75251.399999999994</v>
      </c>
      <c r="O429" s="1">
        <v>82170.3</v>
      </c>
      <c r="P429" s="1">
        <v>51926</v>
      </c>
      <c r="Q429" s="1">
        <v>80856</v>
      </c>
      <c r="R429" s="1">
        <v>0</v>
      </c>
    </row>
    <row r="430" spans="1:18">
      <c r="A430" s="3">
        <v>45889.833353125003</v>
      </c>
      <c r="B430" s="1">
        <v>308157</v>
      </c>
      <c r="C430" s="1">
        <v>46555</v>
      </c>
      <c r="D430" s="1">
        <v>37039.4</v>
      </c>
      <c r="E430" s="1">
        <v>0</v>
      </c>
      <c r="F430" s="1">
        <v>399015</v>
      </c>
      <c r="G430" s="1">
        <v>46027.3</v>
      </c>
      <c r="H430" s="1">
        <v>367360</v>
      </c>
      <c r="I430" s="1">
        <v>549412</v>
      </c>
      <c r="J430" s="1">
        <v>47963.4</v>
      </c>
      <c r="K430" s="1">
        <v>88005.9</v>
      </c>
      <c r="L430" s="1">
        <v>89247.1</v>
      </c>
      <c r="M430" s="1">
        <v>59102.9</v>
      </c>
      <c r="N430" s="1">
        <v>75307.5</v>
      </c>
      <c r="O430" s="1">
        <v>82196</v>
      </c>
      <c r="P430" s="1">
        <v>51926</v>
      </c>
      <c r="Q430" s="1">
        <v>80856</v>
      </c>
      <c r="R430" s="1">
        <v>0</v>
      </c>
    </row>
    <row r="431" spans="1:18">
      <c r="A431" s="3">
        <v>45889.87501984954</v>
      </c>
      <c r="B431" s="1">
        <v>309015</v>
      </c>
      <c r="C431" s="1">
        <v>46774</v>
      </c>
      <c r="D431" s="1">
        <v>37064.5</v>
      </c>
      <c r="E431" s="1">
        <v>0</v>
      </c>
      <c r="F431" s="1">
        <v>399040</v>
      </c>
      <c r="G431" s="1">
        <v>46105.7</v>
      </c>
      <c r="H431" s="1">
        <v>367373</v>
      </c>
      <c r="I431" s="1">
        <v>549687</v>
      </c>
      <c r="J431" s="1">
        <v>47974.7</v>
      </c>
      <c r="K431" s="1">
        <v>88009.1</v>
      </c>
      <c r="L431" s="1">
        <v>89273.2</v>
      </c>
      <c r="M431" s="1">
        <v>59145.4</v>
      </c>
      <c r="N431" s="1">
        <v>75363.100000000006</v>
      </c>
      <c r="O431" s="1">
        <v>82222.899999999994</v>
      </c>
      <c r="P431" s="1">
        <v>51926</v>
      </c>
      <c r="Q431" s="1">
        <v>80856</v>
      </c>
      <c r="R431" s="1">
        <v>0</v>
      </c>
    </row>
    <row r="432" spans="1:18">
      <c r="A432" s="3">
        <v>45889.916686574077</v>
      </c>
      <c r="B432" s="1">
        <v>309834</v>
      </c>
      <c r="C432" s="1">
        <v>46990</v>
      </c>
      <c r="D432" s="1">
        <v>37083.800000000003</v>
      </c>
      <c r="E432" s="1">
        <v>0</v>
      </c>
      <c r="F432" s="1">
        <v>399063</v>
      </c>
      <c r="G432" s="1">
        <v>46177.3</v>
      </c>
      <c r="H432" s="1">
        <v>367385</v>
      </c>
      <c r="I432" s="1">
        <v>549946</v>
      </c>
      <c r="J432" s="1">
        <v>47985.1</v>
      </c>
      <c r="K432" s="1">
        <v>88012.3</v>
      </c>
      <c r="L432" s="1">
        <v>89298.4</v>
      </c>
      <c r="M432" s="1">
        <v>59186.8</v>
      </c>
      <c r="N432" s="1">
        <v>75418.8</v>
      </c>
      <c r="O432" s="1">
        <v>82249.7</v>
      </c>
      <c r="P432" s="1">
        <v>51926</v>
      </c>
      <c r="Q432" s="1">
        <v>80856</v>
      </c>
      <c r="R432" s="1">
        <v>0</v>
      </c>
    </row>
    <row r="433" spans="1:18">
      <c r="A433" s="3">
        <v>45889.958353298614</v>
      </c>
      <c r="B433" s="1">
        <v>310623</v>
      </c>
      <c r="C433" s="1">
        <v>47194</v>
      </c>
      <c r="D433" s="1">
        <v>37101.199999999997</v>
      </c>
      <c r="E433" s="1">
        <v>0</v>
      </c>
      <c r="F433" s="1">
        <v>399086</v>
      </c>
      <c r="G433" s="1">
        <v>46245.3</v>
      </c>
      <c r="H433" s="1">
        <v>367397</v>
      </c>
      <c r="I433" s="1">
        <v>550196</v>
      </c>
      <c r="J433" s="1">
        <v>47995.6</v>
      </c>
      <c r="K433" s="1">
        <v>88015.5</v>
      </c>
      <c r="L433" s="1">
        <v>89325.1</v>
      </c>
      <c r="M433" s="1">
        <v>59227.6</v>
      </c>
      <c r="N433" s="1">
        <v>75475.5</v>
      </c>
      <c r="O433" s="1">
        <v>82271.8</v>
      </c>
      <c r="P433" s="1">
        <v>51926</v>
      </c>
      <c r="Q433" s="1">
        <v>80856</v>
      </c>
      <c r="R433" s="1">
        <v>0</v>
      </c>
    </row>
    <row r="434" spans="1:18">
      <c r="A434" s="3">
        <v>45890.000020023152</v>
      </c>
      <c r="B434" s="1">
        <v>311391</v>
      </c>
      <c r="C434" s="1">
        <v>47392</v>
      </c>
      <c r="D434" s="1">
        <v>37116.800000000003</v>
      </c>
      <c r="E434" s="1">
        <v>0</v>
      </c>
      <c r="F434" s="1">
        <v>399108</v>
      </c>
      <c r="G434" s="1">
        <v>46309.599999999999</v>
      </c>
      <c r="H434" s="1">
        <v>367409</v>
      </c>
      <c r="I434" s="1">
        <v>550439</v>
      </c>
      <c r="J434" s="1">
        <v>48006</v>
      </c>
      <c r="K434" s="1">
        <v>88018.6</v>
      </c>
      <c r="L434" s="1">
        <v>89351.5</v>
      </c>
      <c r="M434" s="1">
        <v>59270.1</v>
      </c>
      <c r="N434" s="1">
        <v>75530</v>
      </c>
      <c r="O434" s="1">
        <v>82292.7</v>
      </c>
      <c r="P434" s="1">
        <v>51926</v>
      </c>
      <c r="Q434" s="1">
        <v>80856</v>
      </c>
      <c r="R434" s="1">
        <v>0</v>
      </c>
    </row>
    <row r="435" spans="1:18">
      <c r="A435" s="3">
        <v>45890.041686747689</v>
      </c>
      <c r="B435" s="1">
        <v>312132</v>
      </c>
      <c r="C435" s="1">
        <v>47584</v>
      </c>
      <c r="D435" s="1">
        <v>37131.599999999999</v>
      </c>
      <c r="E435" s="1">
        <v>0</v>
      </c>
      <c r="F435" s="1">
        <v>399130</v>
      </c>
      <c r="G435" s="1">
        <v>46372.5</v>
      </c>
      <c r="H435" s="1">
        <v>367421</v>
      </c>
      <c r="I435" s="1">
        <v>550675</v>
      </c>
      <c r="J435" s="1">
        <v>48016.4</v>
      </c>
      <c r="K435" s="1">
        <v>88021.7</v>
      </c>
      <c r="L435" s="1">
        <v>89374.6</v>
      </c>
      <c r="M435" s="1">
        <v>59310.9</v>
      </c>
      <c r="N435" s="1">
        <v>75585.3</v>
      </c>
      <c r="O435" s="1">
        <v>82312.2</v>
      </c>
      <c r="P435" s="1">
        <v>51926</v>
      </c>
      <c r="Q435" s="1">
        <v>80856</v>
      </c>
      <c r="R435" s="1">
        <v>0</v>
      </c>
    </row>
    <row r="436" spans="1:18">
      <c r="A436" s="3">
        <v>45890.083353472219</v>
      </c>
      <c r="B436" s="1">
        <v>312861</v>
      </c>
      <c r="C436" s="1">
        <v>47774</v>
      </c>
      <c r="D436" s="1">
        <v>37145.5</v>
      </c>
      <c r="E436" s="1">
        <v>0</v>
      </c>
      <c r="F436" s="1">
        <v>399151</v>
      </c>
      <c r="G436" s="1">
        <v>46434.2</v>
      </c>
      <c r="H436" s="1">
        <v>367433</v>
      </c>
      <c r="I436" s="1">
        <v>550905</v>
      </c>
      <c r="J436" s="1">
        <v>48026.5</v>
      </c>
      <c r="K436" s="1">
        <v>88024.9</v>
      </c>
      <c r="L436" s="1">
        <v>89397.2</v>
      </c>
      <c r="M436" s="1">
        <v>59350.7</v>
      </c>
      <c r="N436" s="1">
        <v>75639</v>
      </c>
      <c r="O436" s="1">
        <v>82332.800000000003</v>
      </c>
      <c r="P436" s="1">
        <v>51926</v>
      </c>
      <c r="Q436" s="1">
        <v>80856</v>
      </c>
      <c r="R436" s="1">
        <v>0</v>
      </c>
    </row>
    <row r="437" spans="1:18">
      <c r="A437" s="3">
        <v>45890.125020196756</v>
      </c>
      <c r="B437" s="1">
        <v>313561</v>
      </c>
      <c r="C437" s="1">
        <v>47958</v>
      </c>
      <c r="D437" s="1">
        <v>37158</v>
      </c>
      <c r="E437" s="1">
        <v>0</v>
      </c>
      <c r="F437" s="1">
        <v>399173</v>
      </c>
      <c r="G437" s="1">
        <v>46494.6</v>
      </c>
      <c r="H437" s="1">
        <v>367444</v>
      </c>
      <c r="I437" s="1">
        <v>551116</v>
      </c>
      <c r="J437" s="1">
        <v>48036.800000000003</v>
      </c>
      <c r="K437" s="1">
        <v>88028</v>
      </c>
      <c r="L437" s="1">
        <v>89419.3</v>
      </c>
      <c r="M437" s="1">
        <v>59390.400000000001</v>
      </c>
      <c r="N437" s="1">
        <v>75693.100000000006</v>
      </c>
      <c r="O437" s="1">
        <v>82352.800000000003</v>
      </c>
      <c r="P437" s="1">
        <v>51926</v>
      </c>
      <c r="Q437" s="1">
        <v>80856</v>
      </c>
      <c r="R437" s="1">
        <v>0</v>
      </c>
    </row>
    <row r="438" spans="1:18">
      <c r="A438" s="3">
        <v>45890.166686921293</v>
      </c>
      <c r="B438" s="1">
        <v>314245</v>
      </c>
      <c r="C438" s="1">
        <v>48138</v>
      </c>
      <c r="D438" s="1">
        <v>37170.5</v>
      </c>
      <c r="E438" s="1">
        <v>0</v>
      </c>
      <c r="F438" s="1">
        <v>399194</v>
      </c>
      <c r="G438" s="1">
        <v>46554.2</v>
      </c>
      <c r="H438" s="1">
        <v>367456</v>
      </c>
      <c r="I438" s="1">
        <v>551321</v>
      </c>
      <c r="J438" s="1">
        <v>48046.9</v>
      </c>
      <c r="K438" s="1">
        <v>88031.4</v>
      </c>
      <c r="L438" s="1">
        <v>89438.399999999994</v>
      </c>
      <c r="M438" s="1">
        <v>59430.1</v>
      </c>
      <c r="N438" s="1">
        <v>75747.399999999994</v>
      </c>
      <c r="O438" s="1">
        <v>82372.2</v>
      </c>
      <c r="P438" s="1">
        <v>51926</v>
      </c>
      <c r="Q438" s="1">
        <v>80856</v>
      </c>
      <c r="R438" s="1">
        <v>0</v>
      </c>
    </row>
    <row r="439" spans="1:18">
      <c r="A439" s="3">
        <v>45890.20835364583</v>
      </c>
      <c r="B439" s="1">
        <v>314927</v>
      </c>
      <c r="C439" s="1">
        <v>48317</v>
      </c>
      <c r="D439" s="1">
        <v>37183.199999999997</v>
      </c>
      <c r="E439" s="1">
        <v>0</v>
      </c>
      <c r="F439" s="1">
        <v>399215</v>
      </c>
      <c r="G439" s="1">
        <v>46611.7</v>
      </c>
      <c r="H439" s="1">
        <v>367467</v>
      </c>
      <c r="I439" s="1">
        <v>551524</v>
      </c>
      <c r="J439" s="1">
        <v>48056.7</v>
      </c>
      <c r="K439" s="1">
        <v>88034.6</v>
      </c>
      <c r="L439" s="1">
        <v>89459.1</v>
      </c>
      <c r="M439" s="1">
        <v>59469.599999999999</v>
      </c>
      <c r="N439" s="1">
        <v>75802.8</v>
      </c>
      <c r="O439" s="1">
        <v>82392.5</v>
      </c>
      <c r="P439" s="1">
        <v>51926</v>
      </c>
      <c r="Q439" s="1">
        <v>80856</v>
      </c>
      <c r="R439" s="1">
        <v>0</v>
      </c>
    </row>
    <row r="440" spans="1:18">
      <c r="A440" s="3">
        <v>45890.250020370368</v>
      </c>
      <c r="B440" s="1">
        <v>315610</v>
      </c>
      <c r="C440" s="1">
        <v>48494</v>
      </c>
      <c r="D440" s="1">
        <v>37196.199999999997</v>
      </c>
      <c r="E440" s="1">
        <v>0</v>
      </c>
      <c r="F440" s="1">
        <v>399236</v>
      </c>
      <c r="G440" s="1">
        <v>46668.4</v>
      </c>
      <c r="H440" s="1">
        <v>367479</v>
      </c>
      <c r="I440" s="1">
        <v>551728</v>
      </c>
      <c r="J440" s="1">
        <v>48066.7</v>
      </c>
      <c r="K440" s="1">
        <v>88037.6</v>
      </c>
      <c r="L440" s="1">
        <v>89478.7</v>
      </c>
      <c r="M440" s="1">
        <v>59508.800000000003</v>
      </c>
      <c r="N440" s="1">
        <v>75856.5</v>
      </c>
      <c r="O440" s="1">
        <v>82415.3</v>
      </c>
      <c r="P440" s="1">
        <v>51926</v>
      </c>
      <c r="Q440" s="1">
        <v>80856</v>
      </c>
      <c r="R440" s="1">
        <v>0</v>
      </c>
    </row>
    <row r="441" spans="1:18">
      <c r="A441" s="3">
        <v>45890.291687094905</v>
      </c>
      <c r="B441" s="1">
        <v>316308</v>
      </c>
      <c r="C441" s="1">
        <v>48678</v>
      </c>
      <c r="D441" s="1">
        <v>37209.699999999997</v>
      </c>
      <c r="E441" s="1">
        <v>0</v>
      </c>
      <c r="F441" s="1">
        <v>399257</v>
      </c>
      <c r="G441" s="1">
        <v>46727.5</v>
      </c>
      <c r="H441" s="1">
        <v>367491</v>
      </c>
      <c r="I441" s="1">
        <v>551936</v>
      </c>
      <c r="J441" s="1">
        <v>48076.5</v>
      </c>
      <c r="K441" s="1">
        <v>88040.2</v>
      </c>
      <c r="L441" s="1">
        <v>89498.1</v>
      </c>
      <c r="M441" s="1">
        <v>59548.2</v>
      </c>
      <c r="N441" s="1">
        <v>75911.5</v>
      </c>
      <c r="O441" s="1">
        <v>82436.800000000003</v>
      </c>
      <c r="P441" s="1">
        <v>51926</v>
      </c>
      <c r="Q441" s="1">
        <v>80856</v>
      </c>
      <c r="R441" s="1">
        <v>0</v>
      </c>
    </row>
    <row r="442" spans="1:18">
      <c r="A442" s="3">
        <v>45890.333353819442</v>
      </c>
      <c r="B442" s="1">
        <v>317044</v>
      </c>
      <c r="C442" s="1">
        <v>48880</v>
      </c>
      <c r="D442" s="1">
        <v>37223.300000000003</v>
      </c>
      <c r="E442" s="1">
        <v>0</v>
      </c>
      <c r="F442" s="1">
        <v>399280</v>
      </c>
      <c r="G442" s="1">
        <v>46786.2</v>
      </c>
      <c r="H442" s="1">
        <v>367504</v>
      </c>
      <c r="I442" s="1">
        <v>552156</v>
      </c>
      <c r="J442" s="1">
        <v>48089.4</v>
      </c>
      <c r="K442" s="1">
        <v>88041.3</v>
      </c>
      <c r="L442" s="1">
        <v>89517.9</v>
      </c>
      <c r="M442" s="1">
        <v>59589.1</v>
      </c>
      <c r="N442" s="1">
        <v>75961.600000000006</v>
      </c>
      <c r="O442" s="1">
        <v>82460.600000000006</v>
      </c>
      <c r="P442" s="1">
        <v>51927</v>
      </c>
      <c r="Q442" s="1">
        <v>80859</v>
      </c>
      <c r="R442" s="1">
        <v>0</v>
      </c>
    </row>
    <row r="443" spans="1:18">
      <c r="A443" s="3">
        <v>45890.375020543979</v>
      </c>
      <c r="B443" s="1">
        <v>317900</v>
      </c>
      <c r="C443" s="1">
        <v>49112</v>
      </c>
      <c r="D443" s="1">
        <v>37238.6</v>
      </c>
      <c r="E443" s="1">
        <v>0</v>
      </c>
      <c r="F443" s="1">
        <v>399312</v>
      </c>
      <c r="G443" s="1">
        <v>46843.199999999997</v>
      </c>
      <c r="H443" s="1">
        <v>367533</v>
      </c>
      <c r="I443" s="1">
        <v>552407</v>
      </c>
      <c r="J443" s="1">
        <v>48103.4</v>
      </c>
      <c r="K443" s="1">
        <v>88042.8</v>
      </c>
      <c r="L443" s="1">
        <v>89543.5</v>
      </c>
      <c r="M443" s="1">
        <v>59636.5</v>
      </c>
      <c r="N443" s="1">
        <v>76011.8</v>
      </c>
      <c r="O443" s="1">
        <v>82496.100000000006</v>
      </c>
      <c r="P443" s="1">
        <v>51932</v>
      </c>
      <c r="Q443" s="1">
        <v>80868</v>
      </c>
      <c r="R443" s="1">
        <v>0</v>
      </c>
    </row>
    <row r="444" spans="1:18">
      <c r="A444" s="3">
        <v>45890.416687268516</v>
      </c>
      <c r="B444" s="1">
        <v>319069</v>
      </c>
      <c r="C444" s="1">
        <v>49397</v>
      </c>
      <c r="D444" s="1">
        <v>37258.6</v>
      </c>
      <c r="E444" s="1">
        <v>0</v>
      </c>
      <c r="F444" s="1">
        <v>399360</v>
      </c>
      <c r="G444" s="1">
        <v>46899.7</v>
      </c>
      <c r="H444" s="1">
        <v>367673</v>
      </c>
      <c r="I444" s="1">
        <v>552726</v>
      </c>
      <c r="J444" s="1">
        <v>48116.9</v>
      </c>
      <c r="K444" s="1">
        <v>88043.199999999997</v>
      </c>
      <c r="L444" s="1">
        <v>89578.9</v>
      </c>
      <c r="M444" s="1">
        <v>59687.8</v>
      </c>
      <c r="N444" s="1">
        <v>76061</v>
      </c>
      <c r="O444" s="1">
        <v>82547.600000000006</v>
      </c>
      <c r="P444" s="1">
        <v>51942</v>
      </c>
      <c r="Q444" s="1">
        <v>80883</v>
      </c>
      <c r="R444" s="1">
        <v>0</v>
      </c>
    </row>
    <row r="445" spans="1:18">
      <c r="A445" s="3">
        <v>45890.458353993054</v>
      </c>
      <c r="B445" s="1">
        <v>320386</v>
      </c>
      <c r="C445" s="1">
        <v>49719</v>
      </c>
      <c r="D445" s="1">
        <v>37284.199999999997</v>
      </c>
      <c r="E445" s="1">
        <v>0</v>
      </c>
      <c r="F445" s="1">
        <v>399415</v>
      </c>
      <c r="G445" s="1">
        <v>46956.3</v>
      </c>
      <c r="H445" s="1">
        <v>367822</v>
      </c>
      <c r="I445" s="1">
        <v>553108</v>
      </c>
      <c r="J445" s="1">
        <v>48133.5</v>
      </c>
      <c r="K445" s="1">
        <v>88043.3</v>
      </c>
      <c r="L445" s="1">
        <v>89619.199999999997</v>
      </c>
      <c r="M445" s="1">
        <v>59749.599999999999</v>
      </c>
      <c r="N445" s="1">
        <v>76110.2</v>
      </c>
      <c r="O445" s="1">
        <v>82610.8</v>
      </c>
      <c r="P445" s="1">
        <v>51956</v>
      </c>
      <c r="Q445" s="1">
        <v>80904</v>
      </c>
      <c r="R445" s="1">
        <v>0</v>
      </c>
    </row>
    <row r="446" spans="1:18">
      <c r="A446" s="3">
        <v>45890.500020717591</v>
      </c>
      <c r="B446" s="1">
        <v>321714</v>
      </c>
      <c r="C446" s="1">
        <v>50052</v>
      </c>
      <c r="D446" s="1">
        <v>37312</v>
      </c>
      <c r="E446" s="1">
        <v>0</v>
      </c>
      <c r="F446" s="1">
        <v>399470</v>
      </c>
      <c r="G446" s="1">
        <v>47020.4</v>
      </c>
      <c r="H446" s="1">
        <v>367944</v>
      </c>
      <c r="I446" s="1">
        <v>553520</v>
      </c>
      <c r="J446" s="1">
        <v>48149.4</v>
      </c>
      <c r="K446" s="1">
        <v>88043.4</v>
      </c>
      <c r="L446" s="1">
        <v>89663.3</v>
      </c>
      <c r="M446" s="1">
        <v>59809.8</v>
      </c>
      <c r="N446" s="1">
        <v>76155.899999999994</v>
      </c>
      <c r="O446" s="1">
        <v>82672.399999999994</v>
      </c>
      <c r="P446" s="1">
        <v>51971</v>
      </c>
      <c r="Q446" s="1">
        <v>80928</v>
      </c>
      <c r="R446" s="1">
        <v>0</v>
      </c>
    </row>
    <row r="447" spans="1:18">
      <c r="A447" s="3">
        <v>45890.541687442128</v>
      </c>
      <c r="B447" s="1">
        <v>323035</v>
      </c>
      <c r="C447" s="1">
        <v>50382</v>
      </c>
      <c r="D447" s="1">
        <v>37347.800000000003</v>
      </c>
      <c r="E447" s="1">
        <v>0</v>
      </c>
      <c r="F447" s="1">
        <v>399518</v>
      </c>
      <c r="G447" s="1">
        <v>47093.599999999999</v>
      </c>
      <c r="H447" s="1">
        <v>368027</v>
      </c>
      <c r="I447" s="1">
        <v>553944</v>
      </c>
      <c r="J447" s="1">
        <v>48165.3</v>
      </c>
      <c r="K447" s="1">
        <v>88043.4</v>
      </c>
      <c r="L447" s="1">
        <v>89714.2</v>
      </c>
      <c r="M447" s="1">
        <v>59870.7</v>
      </c>
      <c r="N447" s="1">
        <v>76200.399999999994</v>
      </c>
      <c r="O447" s="1">
        <v>82742.8</v>
      </c>
      <c r="P447" s="1">
        <v>51988</v>
      </c>
      <c r="Q447" s="1">
        <v>80953</v>
      </c>
      <c r="R447" s="1">
        <v>0</v>
      </c>
    </row>
    <row r="448" spans="1:18">
      <c r="A448" s="3">
        <v>45890.583354166665</v>
      </c>
      <c r="B448" s="1">
        <v>324417</v>
      </c>
      <c r="C448" s="1">
        <v>50735</v>
      </c>
      <c r="D448" s="1">
        <v>37388.5</v>
      </c>
      <c r="E448" s="1">
        <v>0</v>
      </c>
      <c r="F448" s="1">
        <v>399568</v>
      </c>
      <c r="G448" s="1">
        <v>47183.6</v>
      </c>
      <c r="H448" s="1">
        <v>368097</v>
      </c>
      <c r="I448" s="1">
        <v>554379</v>
      </c>
      <c r="J448" s="1">
        <v>48180.7</v>
      </c>
      <c r="K448" s="1">
        <v>88043.6</v>
      </c>
      <c r="L448" s="1">
        <v>89770.9</v>
      </c>
      <c r="M448" s="1">
        <v>59935.7</v>
      </c>
      <c r="N448" s="1">
        <v>76243.899999999994</v>
      </c>
      <c r="O448" s="1">
        <v>82813.899999999994</v>
      </c>
      <c r="P448" s="1">
        <v>52004</v>
      </c>
      <c r="Q448" s="1">
        <v>80978</v>
      </c>
      <c r="R448" s="1">
        <v>0</v>
      </c>
    </row>
    <row r="449" spans="1:18">
      <c r="A449" s="3">
        <v>45890.625020891202</v>
      </c>
      <c r="B449" s="1">
        <v>325804</v>
      </c>
      <c r="C449" s="1">
        <v>51101</v>
      </c>
      <c r="D449" s="1">
        <v>37431.300000000003</v>
      </c>
      <c r="E449" s="1">
        <v>0</v>
      </c>
      <c r="F449" s="1">
        <v>399617</v>
      </c>
      <c r="G449" s="1">
        <v>47275.7</v>
      </c>
      <c r="H449" s="1">
        <v>368166</v>
      </c>
      <c r="I449" s="1">
        <v>554817</v>
      </c>
      <c r="J449" s="1">
        <v>48196.3</v>
      </c>
      <c r="K449" s="1">
        <v>88043.9</v>
      </c>
      <c r="L449" s="1">
        <v>89826.5</v>
      </c>
      <c r="M449" s="1">
        <v>60000.4</v>
      </c>
      <c r="N449" s="1">
        <v>76288.399999999994</v>
      </c>
      <c r="O449" s="1">
        <v>82870</v>
      </c>
      <c r="P449" s="1">
        <v>52019</v>
      </c>
      <c r="Q449" s="1">
        <v>81001</v>
      </c>
      <c r="R449" s="1">
        <v>0</v>
      </c>
    </row>
    <row r="450" spans="1:18">
      <c r="A450" s="3">
        <v>45890.66668761574</v>
      </c>
      <c r="B450" s="1">
        <v>327152</v>
      </c>
      <c r="C450" s="1">
        <v>51450</v>
      </c>
      <c r="D450" s="1">
        <v>37469.699999999997</v>
      </c>
      <c r="E450" s="1">
        <v>0</v>
      </c>
      <c r="F450" s="1">
        <v>399668</v>
      </c>
      <c r="G450" s="1">
        <v>47375.9</v>
      </c>
      <c r="H450" s="1">
        <v>368233</v>
      </c>
      <c r="I450" s="1">
        <v>555249</v>
      </c>
      <c r="J450" s="1">
        <v>48211.5</v>
      </c>
      <c r="K450" s="1">
        <v>88043.9</v>
      </c>
      <c r="L450" s="1">
        <v>89880.9</v>
      </c>
      <c r="M450" s="1">
        <v>60063.8</v>
      </c>
      <c r="N450" s="1">
        <v>76335.5</v>
      </c>
      <c r="O450" s="1">
        <v>82907.7</v>
      </c>
      <c r="P450" s="1">
        <v>52032</v>
      </c>
      <c r="Q450" s="1">
        <v>81021</v>
      </c>
      <c r="R450" s="1">
        <v>0</v>
      </c>
    </row>
    <row r="451" spans="1:18">
      <c r="A451" s="3">
        <v>45890.708354340277</v>
      </c>
      <c r="B451" s="1">
        <v>328507</v>
      </c>
      <c r="C451" s="1">
        <v>51784</v>
      </c>
      <c r="D451" s="1">
        <v>37504.9</v>
      </c>
      <c r="E451" s="1">
        <v>0</v>
      </c>
      <c r="F451" s="1">
        <v>399732</v>
      </c>
      <c r="G451" s="1">
        <v>47480.1</v>
      </c>
      <c r="H451" s="1">
        <v>368302</v>
      </c>
      <c r="I451" s="1">
        <v>555679</v>
      </c>
      <c r="J451" s="1">
        <v>48225.9</v>
      </c>
      <c r="K451" s="1">
        <v>88045.4</v>
      </c>
      <c r="L451" s="1">
        <v>89940.6</v>
      </c>
      <c r="M451" s="1">
        <v>60121.7</v>
      </c>
      <c r="N451" s="1">
        <v>76386.899999999994</v>
      </c>
      <c r="O451" s="1">
        <v>82945.8</v>
      </c>
      <c r="P451" s="1">
        <v>52042</v>
      </c>
      <c r="Q451" s="1">
        <v>81035</v>
      </c>
      <c r="R451" s="1">
        <v>0</v>
      </c>
    </row>
    <row r="452" spans="1:18">
      <c r="A452" s="3">
        <v>45890.750021064814</v>
      </c>
      <c r="B452" s="1">
        <v>329740</v>
      </c>
      <c r="C452" s="1">
        <v>52096</v>
      </c>
      <c r="D452" s="1">
        <v>37536.400000000001</v>
      </c>
      <c r="E452" s="1">
        <v>0</v>
      </c>
      <c r="F452" s="1">
        <v>399787</v>
      </c>
      <c r="G452" s="1">
        <v>47576.9</v>
      </c>
      <c r="H452" s="1">
        <v>368351</v>
      </c>
      <c r="I452" s="1">
        <v>556079</v>
      </c>
      <c r="J452" s="1">
        <v>48238.7</v>
      </c>
      <c r="K452" s="1">
        <v>88049.2</v>
      </c>
      <c r="L452" s="1">
        <v>89980.5</v>
      </c>
      <c r="M452" s="1">
        <v>60171.199999999997</v>
      </c>
      <c r="N452" s="1">
        <v>76441.600000000006</v>
      </c>
      <c r="O452" s="1">
        <v>82986.5</v>
      </c>
      <c r="P452" s="1">
        <v>52046</v>
      </c>
      <c r="Q452" s="1">
        <v>81042</v>
      </c>
      <c r="R452" s="1">
        <v>0</v>
      </c>
    </row>
    <row r="453" spans="1:18">
      <c r="A453" s="3">
        <v>45890.791687789351</v>
      </c>
      <c r="B453" s="1">
        <v>330814</v>
      </c>
      <c r="C453" s="1">
        <v>52365</v>
      </c>
      <c r="D453" s="1">
        <v>37565.800000000003</v>
      </c>
      <c r="E453" s="1">
        <v>0</v>
      </c>
      <c r="F453" s="1">
        <v>399828</v>
      </c>
      <c r="G453" s="1">
        <v>47659.6</v>
      </c>
      <c r="H453" s="1">
        <v>368367</v>
      </c>
      <c r="I453" s="1">
        <v>556453</v>
      </c>
      <c r="J453" s="1">
        <v>48250.9</v>
      </c>
      <c r="K453" s="1">
        <v>88053.7</v>
      </c>
      <c r="L453" s="1">
        <v>90010.8</v>
      </c>
      <c r="M453" s="1">
        <v>60215.7</v>
      </c>
      <c r="N453" s="1">
        <v>76498.399999999994</v>
      </c>
      <c r="O453" s="1">
        <v>83029.2</v>
      </c>
      <c r="P453" s="1">
        <v>52047</v>
      </c>
      <c r="Q453" s="1">
        <v>81043</v>
      </c>
      <c r="R453" s="1">
        <v>0</v>
      </c>
    </row>
    <row r="454" spans="1:18">
      <c r="A454" s="3">
        <v>45890.833354513888</v>
      </c>
      <c r="B454" s="1">
        <v>331763</v>
      </c>
      <c r="C454" s="1">
        <v>52611</v>
      </c>
      <c r="D454" s="1">
        <v>37588</v>
      </c>
      <c r="E454" s="1">
        <v>0</v>
      </c>
      <c r="F454" s="1">
        <v>399861</v>
      </c>
      <c r="G454" s="1">
        <v>47737.5</v>
      </c>
      <c r="H454" s="1">
        <v>368384</v>
      </c>
      <c r="I454" s="1">
        <v>556762</v>
      </c>
      <c r="J454" s="1">
        <v>48261.8</v>
      </c>
      <c r="K454" s="1">
        <v>88057.9</v>
      </c>
      <c r="L454" s="1">
        <v>90038.399999999994</v>
      </c>
      <c r="M454" s="1">
        <v>60257.7</v>
      </c>
      <c r="N454" s="1">
        <v>76554.8</v>
      </c>
      <c r="O454" s="1">
        <v>83070.100000000006</v>
      </c>
      <c r="P454" s="1">
        <v>52047</v>
      </c>
      <c r="Q454" s="1">
        <v>81043</v>
      </c>
      <c r="R454" s="1">
        <v>0</v>
      </c>
    </row>
    <row r="455" spans="1:18">
      <c r="A455" s="3">
        <v>45890.875021238426</v>
      </c>
      <c r="B455" s="1">
        <v>332643</v>
      </c>
      <c r="C455" s="1">
        <v>52832</v>
      </c>
      <c r="D455" s="1">
        <v>37610.199999999997</v>
      </c>
      <c r="E455" s="1">
        <v>0</v>
      </c>
      <c r="F455" s="1">
        <v>399888</v>
      </c>
      <c r="G455" s="1">
        <v>47814</v>
      </c>
      <c r="H455" s="1">
        <v>368398</v>
      </c>
      <c r="I455" s="1">
        <v>557042</v>
      </c>
      <c r="J455" s="1">
        <v>48272.800000000003</v>
      </c>
      <c r="K455" s="1">
        <v>88062.2</v>
      </c>
      <c r="L455" s="1">
        <v>90064.6</v>
      </c>
      <c r="M455" s="1">
        <v>60298.400000000001</v>
      </c>
      <c r="N455" s="1">
        <v>76610.600000000006</v>
      </c>
      <c r="O455" s="1">
        <v>83117</v>
      </c>
      <c r="P455" s="1">
        <v>52047</v>
      </c>
      <c r="Q455" s="1">
        <v>81043</v>
      </c>
      <c r="R455" s="1">
        <v>0</v>
      </c>
    </row>
    <row r="456" spans="1:18">
      <c r="A456" s="3">
        <v>45890.916687962963</v>
      </c>
      <c r="B456" s="1">
        <v>333482</v>
      </c>
      <c r="C456" s="1">
        <v>53039</v>
      </c>
      <c r="D456" s="1">
        <v>37632.1</v>
      </c>
      <c r="E456" s="1">
        <v>0</v>
      </c>
      <c r="F456" s="1">
        <v>399913</v>
      </c>
      <c r="G456" s="1">
        <v>47886.5</v>
      </c>
      <c r="H456" s="1">
        <v>368410</v>
      </c>
      <c r="I456" s="1">
        <v>557315</v>
      </c>
      <c r="J456" s="1">
        <v>48283.5</v>
      </c>
      <c r="K456" s="1">
        <v>88066.4</v>
      </c>
      <c r="L456" s="1">
        <v>90088.7</v>
      </c>
      <c r="M456" s="1">
        <v>60338.9</v>
      </c>
      <c r="N456" s="1">
        <v>76666.100000000006</v>
      </c>
      <c r="O456" s="1">
        <v>83156</v>
      </c>
      <c r="P456" s="1">
        <v>52047</v>
      </c>
      <c r="Q456" s="1">
        <v>81043</v>
      </c>
      <c r="R456" s="1">
        <v>0</v>
      </c>
    </row>
    <row r="457" spans="1:18">
      <c r="A457" s="3">
        <v>45890.9583546875</v>
      </c>
      <c r="B457" s="1">
        <v>334272</v>
      </c>
      <c r="C457" s="1">
        <v>53242</v>
      </c>
      <c r="D457" s="1">
        <v>37649.599999999999</v>
      </c>
      <c r="E457" s="1">
        <v>0</v>
      </c>
      <c r="F457" s="1">
        <v>399937</v>
      </c>
      <c r="G457" s="1">
        <v>47956.6</v>
      </c>
      <c r="H457" s="1">
        <v>368421</v>
      </c>
      <c r="I457" s="1">
        <v>557570</v>
      </c>
      <c r="J457" s="1">
        <v>48293.9</v>
      </c>
      <c r="K457" s="1">
        <v>88070.5</v>
      </c>
      <c r="L457" s="1">
        <v>90111</v>
      </c>
      <c r="M457" s="1">
        <v>60379.4</v>
      </c>
      <c r="N457" s="1">
        <v>76721.100000000006</v>
      </c>
      <c r="O457" s="1">
        <v>83179.100000000006</v>
      </c>
      <c r="P457" s="1">
        <v>52047</v>
      </c>
      <c r="Q457" s="1">
        <v>81043</v>
      </c>
      <c r="R457" s="1">
        <v>0</v>
      </c>
    </row>
    <row r="458" spans="1:18">
      <c r="A458" s="3">
        <v>45891.000021412037</v>
      </c>
      <c r="B458" s="1">
        <v>335031</v>
      </c>
      <c r="C458" s="1">
        <v>53440</v>
      </c>
      <c r="D458" s="1">
        <v>37664.400000000001</v>
      </c>
      <c r="E458" s="1">
        <v>0</v>
      </c>
      <c r="F458" s="1">
        <v>399961</v>
      </c>
      <c r="G458" s="1">
        <v>48025.599999999999</v>
      </c>
      <c r="H458" s="1">
        <v>368433</v>
      </c>
      <c r="I458" s="1">
        <v>557809</v>
      </c>
      <c r="J458" s="1">
        <v>48304.6</v>
      </c>
      <c r="K458" s="1">
        <v>88074.7</v>
      </c>
      <c r="L458" s="1">
        <v>90133.5</v>
      </c>
      <c r="M458" s="1">
        <v>60419.6</v>
      </c>
      <c r="N458" s="1">
        <v>76775.399999999994</v>
      </c>
      <c r="O458" s="1">
        <v>83199.8</v>
      </c>
      <c r="P458" s="1">
        <v>52047</v>
      </c>
      <c r="Q458" s="1">
        <v>81043</v>
      </c>
      <c r="R458" s="1">
        <v>0</v>
      </c>
    </row>
    <row r="459" spans="1:18">
      <c r="A459" s="3">
        <v>45891.041688136575</v>
      </c>
      <c r="B459" s="1">
        <v>335787</v>
      </c>
      <c r="C459" s="1">
        <v>53638</v>
      </c>
      <c r="D459" s="1">
        <v>37679.599999999999</v>
      </c>
      <c r="E459" s="1">
        <v>0</v>
      </c>
      <c r="F459" s="1">
        <v>399984</v>
      </c>
      <c r="G459" s="1">
        <v>48093.2</v>
      </c>
      <c r="H459" s="1">
        <v>368444</v>
      </c>
      <c r="I459" s="1">
        <v>558045</v>
      </c>
      <c r="J459" s="1">
        <v>48314.9</v>
      </c>
      <c r="K459" s="1">
        <v>88078.8</v>
      </c>
      <c r="L459" s="1">
        <v>90156.7</v>
      </c>
      <c r="M459" s="1">
        <v>60460.9</v>
      </c>
      <c r="N459" s="1">
        <v>76830.2</v>
      </c>
      <c r="O459" s="1">
        <v>83218.899999999994</v>
      </c>
      <c r="P459" s="1">
        <v>52047</v>
      </c>
      <c r="Q459" s="1">
        <v>81043</v>
      </c>
      <c r="R459" s="1">
        <v>0</v>
      </c>
    </row>
    <row r="460" spans="1:18">
      <c r="A460" s="3">
        <v>45891.083354861112</v>
      </c>
      <c r="B460" s="1">
        <v>336537</v>
      </c>
      <c r="C460" s="1">
        <v>53834</v>
      </c>
      <c r="D460" s="1">
        <v>37694.1</v>
      </c>
      <c r="E460" s="1">
        <v>0</v>
      </c>
      <c r="F460" s="1">
        <v>400007</v>
      </c>
      <c r="G460" s="1">
        <v>48157.599999999999</v>
      </c>
      <c r="H460" s="1">
        <v>368456</v>
      </c>
      <c r="I460" s="1">
        <v>558276</v>
      </c>
      <c r="J460" s="1">
        <v>48325.4</v>
      </c>
      <c r="K460" s="1">
        <v>88083</v>
      </c>
      <c r="L460" s="1">
        <v>90179.6</v>
      </c>
      <c r="M460" s="1">
        <v>60503.5</v>
      </c>
      <c r="N460" s="1">
        <v>76884.399999999994</v>
      </c>
      <c r="O460" s="1">
        <v>83241.2</v>
      </c>
      <c r="P460" s="1">
        <v>52047</v>
      </c>
      <c r="Q460" s="1">
        <v>81043</v>
      </c>
      <c r="R460" s="1">
        <v>0</v>
      </c>
    </row>
    <row r="461" spans="1:18">
      <c r="A461" s="3">
        <v>45891.125021585649</v>
      </c>
      <c r="B461" s="1">
        <v>337276</v>
      </c>
      <c r="C461" s="1">
        <v>54029</v>
      </c>
      <c r="D461" s="1">
        <v>37708.199999999997</v>
      </c>
      <c r="E461" s="1">
        <v>0</v>
      </c>
      <c r="F461" s="1">
        <v>400029</v>
      </c>
      <c r="G461" s="1">
        <v>48220.1</v>
      </c>
      <c r="H461" s="1">
        <v>368467</v>
      </c>
      <c r="I461" s="1">
        <v>558506</v>
      </c>
      <c r="J461" s="1">
        <v>48336.3</v>
      </c>
      <c r="K461" s="1">
        <v>88086.7</v>
      </c>
      <c r="L461" s="1">
        <v>90202.2</v>
      </c>
      <c r="M461" s="1">
        <v>60543.9</v>
      </c>
      <c r="N461" s="1">
        <v>76938.7</v>
      </c>
      <c r="O461" s="1">
        <v>83261.7</v>
      </c>
      <c r="P461" s="1">
        <v>52047</v>
      </c>
      <c r="Q461" s="1">
        <v>81043</v>
      </c>
      <c r="R461" s="1">
        <v>0</v>
      </c>
    </row>
    <row r="462" spans="1:18">
      <c r="A462" s="3">
        <v>45891.166688310186</v>
      </c>
      <c r="B462" s="1">
        <v>337992</v>
      </c>
      <c r="C462" s="1">
        <v>54216</v>
      </c>
      <c r="D462" s="1">
        <v>37722</v>
      </c>
      <c r="E462" s="1">
        <v>0</v>
      </c>
      <c r="F462" s="1">
        <v>400051</v>
      </c>
      <c r="G462" s="1">
        <v>48281.5</v>
      </c>
      <c r="H462" s="1">
        <v>368479</v>
      </c>
      <c r="I462" s="1">
        <v>558726</v>
      </c>
      <c r="J462" s="1">
        <v>48346.400000000001</v>
      </c>
      <c r="K462" s="1">
        <v>88090.2</v>
      </c>
      <c r="L462" s="1">
        <v>90223.2</v>
      </c>
      <c r="M462" s="1">
        <v>60583.9</v>
      </c>
      <c r="N462" s="1">
        <v>76993.5</v>
      </c>
      <c r="O462" s="1">
        <v>83282</v>
      </c>
      <c r="P462" s="1">
        <v>52047</v>
      </c>
      <c r="Q462" s="1">
        <v>81043</v>
      </c>
      <c r="R462" s="1">
        <v>0</v>
      </c>
    </row>
    <row r="463" spans="1:18">
      <c r="A463" s="3">
        <v>45891.208355034723</v>
      </c>
      <c r="B463" s="1">
        <v>338702</v>
      </c>
      <c r="C463" s="1">
        <v>54403</v>
      </c>
      <c r="D463" s="1">
        <v>37736.1</v>
      </c>
      <c r="E463" s="1">
        <v>0</v>
      </c>
      <c r="F463" s="1">
        <v>400073</v>
      </c>
      <c r="G463" s="1">
        <v>48343.3</v>
      </c>
      <c r="H463" s="1">
        <v>368489</v>
      </c>
      <c r="I463" s="1">
        <v>558941</v>
      </c>
      <c r="J463" s="1">
        <v>48356.6</v>
      </c>
      <c r="K463" s="1">
        <v>88093.8</v>
      </c>
      <c r="L463" s="1">
        <v>90242.3</v>
      </c>
      <c r="M463" s="1">
        <v>60623.9</v>
      </c>
      <c r="N463" s="1">
        <v>77048.5</v>
      </c>
      <c r="O463" s="1">
        <v>83302.899999999994</v>
      </c>
      <c r="P463" s="1">
        <v>52047</v>
      </c>
      <c r="Q463" s="1">
        <v>81043</v>
      </c>
      <c r="R463" s="1">
        <v>0</v>
      </c>
    </row>
    <row r="464" spans="1:18">
      <c r="A464" s="3">
        <v>45891.250021759261</v>
      </c>
      <c r="B464" s="1">
        <v>339414</v>
      </c>
      <c r="C464" s="1">
        <v>54592</v>
      </c>
      <c r="D464" s="1">
        <v>37749.300000000003</v>
      </c>
      <c r="E464" s="1">
        <v>0</v>
      </c>
      <c r="F464" s="1">
        <v>400096</v>
      </c>
      <c r="G464" s="1">
        <v>48404.4</v>
      </c>
      <c r="H464" s="1">
        <v>368500</v>
      </c>
      <c r="I464" s="1">
        <v>559156</v>
      </c>
      <c r="J464" s="1">
        <v>48366.9</v>
      </c>
      <c r="K464" s="1">
        <v>88097.4</v>
      </c>
      <c r="L464" s="1">
        <v>90262</v>
      </c>
      <c r="M464" s="1">
        <v>60664.2</v>
      </c>
      <c r="N464" s="1">
        <v>77102.899999999994</v>
      </c>
      <c r="O464" s="1">
        <v>83325.5</v>
      </c>
      <c r="P464" s="1">
        <v>52047</v>
      </c>
      <c r="Q464" s="1">
        <v>81043</v>
      </c>
      <c r="R464" s="1">
        <v>0</v>
      </c>
    </row>
    <row r="465" spans="1:18">
      <c r="A465" s="3">
        <v>45891.291688483798</v>
      </c>
      <c r="B465" s="1">
        <v>340131</v>
      </c>
      <c r="C465" s="1">
        <v>54784</v>
      </c>
      <c r="D465" s="1">
        <v>37763.199999999997</v>
      </c>
      <c r="E465" s="1">
        <v>0</v>
      </c>
      <c r="F465" s="1">
        <v>400118</v>
      </c>
      <c r="G465" s="1">
        <v>48465.3</v>
      </c>
      <c r="H465" s="1">
        <v>368511</v>
      </c>
      <c r="I465" s="1">
        <v>559376</v>
      </c>
      <c r="J465" s="1">
        <v>48377.1</v>
      </c>
      <c r="K465" s="1">
        <v>88100</v>
      </c>
      <c r="L465" s="1">
        <v>90281</v>
      </c>
      <c r="M465" s="1">
        <v>60704</v>
      </c>
      <c r="N465" s="1">
        <v>77157.100000000006</v>
      </c>
      <c r="O465" s="1">
        <v>83347.199999999997</v>
      </c>
      <c r="P465" s="1">
        <v>52048</v>
      </c>
      <c r="Q465" s="1">
        <v>81044</v>
      </c>
      <c r="R465" s="1">
        <v>0</v>
      </c>
    </row>
    <row r="466" spans="1:18">
      <c r="A466" s="3">
        <v>45891.333355208335</v>
      </c>
      <c r="B466" s="1">
        <v>340871</v>
      </c>
      <c r="C466" s="1">
        <v>54990</v>
      </c>
      <c r="D466" s="1">
        <v>37776.6</v>
      </c>
      <c r="E466" s="1">
        <v>0</v>
      </c>
      <c r="F466" s="1">
        <v>400140</v>
      </c>
      <c r="G466" s="1">
        <v>48523.4</v>
      </c>
      <c r="H466" s="1">
        <v>368522</v>
      </c>
      <c r="I466" s="1">
        <v>559606</v>
      </c>
      <c r="J466" s="1">
        <v>48387.4</v>
      </c>
      <c r="K466" s="1">
        <v>88101</v>
      </c>
      <c r="L466" s="1">
        <v>90301</v>
      </c>
      <c r="M466" s="1">
        <v>60744.800000000003</v>
      </c>
      <c r="N466" s="1">
        <v>77208</v>
      </c>
      <c r="O466" s="1">
        <v>83372.5</v>
      </c>
      <c r="P466" s="1">
        <v>52049</v>
      </c>
      <c r="Q466" s="1">
        <v>81047</v>
      </c>
      <c r="R466" s="1">
        <v>0</v>
      </c>
    </row>
    <row r="467" spans="1:18">
      <c r="A467" s="3">
        <v>45891.375021932872</v>
      </c>
      <c r="B467" s="1">
        <v>341723</v>
      </c>
      <c r="C467" s="1">
        <v>55222</v>
      </c>
      <c r="D467" s="1">
        <v>37792.1</v>
      </c>
      <c r="E467" s="1">
        <v>0</v>
      </c>
      <c r="F467" s="1">
        <v>400169</v>
      </c>
      <c r="G467" s="1">
        <v>48584.2</v>
      </c>
      <c r="H467" s="1">
        <v>368535</v>
      </c>
      <c r="I467" s="1">
        <v>559864</v>
      </c>
      <c r="J467" s="1">
        <v>48398.1</v>
      </c>
      <c r="K467" s="1">
        <v>88102.1</v>
      </c>
      <c r="L467" s="1">
        <v>90327.9</v>
      </c>
      <c r="M467" s="1">
        <v>60789.599999999999</v>
      </c>
      <c r="N467" s="1">
        <v>77258.2</v>
      </c>
      <c r="O467" s="1">
        <v>83408.3</v>
      </c>
      <c r="P467" s="1">
        <v>52053</v>
      </c>
      <c r="Q467" s="1">
        <v>81056</v>
      </c>
      <c r="R467" s="1">
        <v>0</v>
      </c>
    </row>
    <row r="468" spans="1:18">
      <c r="A468" s="3">
        <v>45891.416688657409</v>
      </c>
      <c r="B468" s="1">
        <v>342813</v>
      </c>
      <c r="C468" s="1">
        <v>55531</v>
      </c>
      <c r="D468" s="1">
        <v>37817.9</v>
      </c>
      <c r="E468" s="1">
        <v>0</v>
      </c>
      <c r="F468" s="1">
        <v>400204</v>
      </c>
      <c r="G468" s="1">
        <v>48648.800000000003</v>
      </c>
      <c r="H468" s="1">
        <v>368557</v>
      </c>
      <c r="I468" s="1">
        <v>560217</v>
      </c>
      <c r="J468" s="1">
        <v>48409.8</v>
      </c>
      <c r="K468" s="1">
        <v>88102.3</v>
      </c>
      <c r="L468" s="1">
        <v>90356.4</v>
      </c>
      <c r="M468" s="1">
        <v>60843.9</v>
      </c>
      <c r="N468" s="1">
        <v>77304.100000000006</v>
      </c>
      <c r="O468" s="1">
        <v>83462.899999999994</v>
      </c>
      <c r="P468" s="1">
        <v>52063</v>
      </c>
      <c r="Q468" s="1">
        <v>81071</v>
      </c>
      <c r="R468" s="1">
        <v>0</v>
      </c>
    </row>
    <row r="469" spans="1:18">
      <c r="A469" s="3">
        <v>45891.458355381947</v>
      </c>
      <c r="B469" s="1">
        <v>344001</v>
      </c>
      <c r="C469" s="1">
        <v>55870</v>
      </c>
      <c r="D469" s="1">
        <v>37849</v>
      </c>
      <c r="E469" s="1">
        <v>0</v>
      </c>
      <c r="F469" s="1">
        <v>400247</v>
      </c>
      <c r="G469" s="1">
        <v>48722.1</v>
      </c>
      <c r="H469" s="1">
        <v>368572</v>
      </c>
      <c r="I469" s="1">
        <v>560597</v>
      </c>
      <c r="J469" s="1">
        <v>48424</v>
      </c>
      <c r="K469" s="1">
        <v>88102.3</v>
      </c>
      <c r="L469" s="1">
        <v>90389.3</v>
      </c>
      <c r="M469" s="1">
        <v>60906.5</v>
      </c>
      <c r="N469" s="1">
        <v>77349.100000000006</v>
      </c>
      <c r="O469" s="1">
        <v>83530.899999999994</v>
      </c>
      <c r="P469" s="1">
        <v>52076</v>
      </c>
      <c r="Q469" s="1">
        <v>81091</v>
      </c>
      <c r="R469" s="1">
        <v>0</v>
      </c>
    </row>
    <row r="470" spans="1:18">
      <c r="A470" s="3">
        <v>45891.500022106484</v>
      </c>
      <c r="B470" s="1">
        <v>345233</v>
      </c>
      <c r="C470" s="1">
        <v>56193</v>
      </c>
      <c r="D470" s="1">
        <v>37877.4</v>
      </c>
      <c r="E470" s="1">
        <v>0</v>
      </c>
      <c r="F470" s="1">
        <v>400289</v>
      </c>
      <c r="G470" s="1">
        <v>48800.5</v>
      </c>
      <c r="H470" s="1">
        <v>368591</v>
      </c>
      <c r="I470" s="1">
        <v>561026</v>
      </c>
      <c r="J470" s="1">
        <v>48435.6</v>
      </c>
      <c r="K470" s="1">
        <v>88102.3</v>
      </c>
      <c r="L470" s="1">
        <v>90423.5</v>
      </c>
      <c r="M470" s="1">
        <v>60968.2</v>
      </c>
      <c r="N470" s="1">
        <v>77396</v>
      </c>
      <c r="O470" s="1">
        <v>83593.2</v>
      </c>
      <c r="P470" s="1">
        <v>52091</v>
      </c>
      <c r="Q470" s="1">
        <v>81114</v>
      </c>
      <c r="R470" s="1">
        <v>0</v>
      </c>
    </row>
    <row r="471" spans="1:18">
      <c r="A471" s="3">
        <v>45891.541688831021</v>
      </c>
      <c r="B471" s="1">
        <v>346488</v>
      </c>
      <c r="C471" s="1">
        <v>56517</v>
      </c>
      <c r="D471" s="1">
        <v>37907.599999999999</v>
      </c>
      <c r="E471" s="1">
        <v>0</v>
      </c>
      <c r="F471" s="1">
        <v>400339</v>
      </c>
      <c r="G471" s="1">
        <v>48880.2</v>
      </c>
      <c r="H471" s="1">
        <v>368607</v>
      </c>
      <c r="I471" s="1">
        <v>561465</v>
      </c>
      <c r="J471" s="1">
        <v>48448.3</v>
      </c>
      <c r="K471" s="1">
        <v>88102.3</v>
      </c>
      <c r="L471" s="1">
        <v>90457.9</v>
      </c>
      <c r="M471" s="1">
        <v>61024.3</v>
      </c>
      <c r="N471" s="1">
        <v>77441.100000000006</v>
      </c>
      <c r="O471" s="1">
        <v>83659.7</v>
      </c>
      <c r="P471" s="1">
        <v>52107</v>
      </c>
      <c r="Q471" s="1">
        <v>81138</v>
      </c>
      <c r="R471" s="1">
        <v>0</v>
      </c>
    </row>
    <row r="472" spans="1:18">
      <c r="A472" s="3">
        <v>45891.583355555558</v>
      </c>
      <c r="B472" s="1">
        <v>347776</v>
      </c>
      <c r="C472" s="1">
        <v>56851</v>
      </c>
      <c r="D472" s="1">
        <v>37936.199999999997</v>
      </c>
      <c r="E472" s="1">
        <v>0</v>
      </c>
      <c r="F472" s="1">
        <v>400383</v>
      </c>
      <c r="G472" s="1">
        <v>48967.199999999997</v>
      </c>
      <c r="H472" s="1">
        <v>368619</v>
      </c>
      <c r="I472" s="1">
        <v>561904</v>
      </c>
      <c r="J472" s="1">
        <v>48462.6</v>
      </c>
      <c r="K472" s="1">
        <v>88102.3</v>
      </c>
      <c r="L472" s="1">
        <v>90499</v>
      </c>
      <c r="M472" s="1">
        <v>61082.3</v>
      </c>
      <c r="N472" s="1">
        <v>77487.100000000006</v>
      </c>
      <c r="O472" s="1">
        <v>83736.800000000003</v>
      </c>
      <c r="P472" s="1">
        <v>52120</v>
      </c>
      <c r="Q472" s="1">
        <v>81158</v>
      </c>
      <c r="R472" s="1">
        <v>0</v>
      </c>
    </row>
    <row r="473" spans="1:18">
      <c r="A473" s="3">
        <v>45891.625022280095</v>
      </c>
      <c r="B473" s="1">
        <v>349089</v>
      </c>
      <c r="C473" s="1">
        <v>57204</v>
      </c>
      <c r="D473" s="1">
        <v>37978.699999999997</v>
      </c>
      <c r="E473" s="1">
        <v>0</v>
      </c>
      <c r="F473" s="1">
        <v>400429</v>
      </c>
      <c r="G473" s="1">
        <v>49049.9</v>
      </c>
      <c r="H473" s="1">
        <v>368632</v>
      </c>
      <c r="I473" s="1">
        <v>562358</v>
      </c>
      <c r="J473" s="1">
        <v>48476</v>
      </c>
      <c r="K473" s="1">
        <v>88102.3</v>
      </c>
      <c r="L473" s="1">
        <v>90540.4</v>
      </c>
      <c r="M473" s="1">
        <v>61142.3</v>
      </c>
      <c r="N473" s="1">
        <v>77532.899999999994</v>
      </c>
      <c r="O473" s="1">
        <v>83793</v>
      </c>
      <c r="P473" s="1">
        <v>52134</v>
      </c>
      <c r="Q473" s="1">
        <v>81180</v>
      </c>
      <c r="R473" s="1">
        <v>0</v>
      </c>
    </row>
    <row r="474" spans="1:18">
      <c r="A474" s="3">
        <v>45891.666689004633</v>
      </c>
      <c r="B474" s="1">
        <v>350367</v>
      </c>
      <c r="C474" s="1">
        <v>57553</v>
      </c>
      <c r="D474" s="1">
        <v>38021.9</v>
      </c>
      <c r="E474" s="1">
        <v>0</v>
      </c>
      <c r="F474" s="1">
        <v>400476</v>
      </c>
      <c r="G474" s="1">
        <v>49138.8</v>
      </c>
      <c r="H474" s="1">
        <v>368645</v>
      </c>
      <c r="I474" s="1">
        <v>562804</v>
      </c>
      <c r="J474" s="1">
        <v>48488.800000000003</v>
      </c>
      <c r="K474" s="1">
        <v>88102.3</v>
      </c>
      <c r="L474" s="1">
        <v>90588.3</v>
      </c>
      <c r="M474" s="1">
        <v>61205.1</v>
      </c>
      <c r="N474" s="1">
        <v>77582.8</v>
      </c>
      <c r="O474" s="1">
        <v>83817</v>
      </c>
      <c r="P474" s="1">
        <v>52147</v>
      </c>
      <c r="Q474" s="1">
        <v>81198</v>
      </c>
      <c r="R474" s="1">
        <v>0</v>
      </c>
    </row>
    <row r="475" spans="1:18">
      <c r="A475" s="3">
        <v>45891.70835572917</v>
      </c>
      <c r="B475" s="1">
        <v>351599</v>
      </c>
      <c r="C475" s="1">
        <v>57897</v>
      </c>
      <c r="D475" s="1">
        <v>38057.199999999997</v>
      </c>
      <c r="E475" s="1">
        <v>0</v>
      </c>
      <c r="F475" s="1">
        <v>400518</v>
      </c>
      <c r="G475" s="1">
        <v>49226.400000000001</v>
      </c>
      <c r="H475" s="1">
        <v>368658</v>
      </c>
      <c r="I475" s="1">
        <v>563231</v>
      </c>
      <c r="J475" s="1">
        <v>48501.3</v>
      </c>
      <c r="K475" s="1">
        <v>88103.4</v>
      </c>
      <c r="L475" s="1">
        <v>90633</v>
      </c>
      <c r="M475" s="1">
        <v>61266.7</v>
      </c>
      <c r="N475" s="1">
        <v>77635.899999999994</v>
      </c>
      <c r="O475" s="1">
        <v>83841.2</v>
      </c>
      <c r="P475" s="1">
        <v>52156</v>
      </c>
      <c r="Q475" s="1">
        <v>81212</v>
      </c>
      <c r="R475" s="1">
        <v>0</v>
      </c>
    </row>
    <row r="476" spans="1:18">
      <c r="A476" s="3">
        <v>45891.750022453707</v>
      </c>
      <c r="B476" s="1">
        <v>352736</v>
      </c>
      <c r="C476" s="1">
        <v>58218</v>
      </c>
      <c r="D476" s="1">
        <v>38083.199999999997</v>
      </c>
      <c r="E476" s="1">
        <v>0</v>
      </c>
      <c r="F476" s="1">
        <v>400555</v>
      </c>
      <c r="G476" s="1">
        <v>49308.9</v>
      </c>
      <c r="H476" s="1">
        <v>368669</v>
      </c>
      <c r="I476" s="1">
        <v>563624</v>
      </c>
      <c r="J476" s="1">
        <v>48514.1</v>
      </c>
      <c r="K476" s="1">
        <v>88105.7</v>
      </c>
      <c r="L476" s="1">
        <v>90672</v>
      </c>
      <c r="M476" s="1">
        <v>61323.4</v>
      </c>
      <c r="N476" s="1">
        <v>77692.3</v>
      </c>
      <c r="O476" s="1">
        <v>83864.399999999994</v>
      </c>
      <c r="P476" s="1">
        <v>52160</v>
      </c>
      <c r="Q476" s="1">
        <v>81219</v>
      </c>
      <c r="R476" s="1">
        <v>0</v>
      </c>
    </row>
    <row r="477" spans="1:18">
      <c r="A477" s="3">
        <v>45891.791689178244</v>
      </c>
      <c r="B477" s="1">
        <v>353749</v>
      </c>
      <c r="C477" s="1">
        <v>58489</v>
      </c>
      <c r="D477" s="1">
        <v>38104.5</v>
      </c>
      <c r="E477" s="1">
        <v>0</v>
      </c>
      <c r="F477" s="1">
        <v>400586</v>
      </c>
      <c r="G477" s="1">
        <v>49386.8</v>
      </c>
      <c r="H477" s="1">
        <v>368681</v>
      </c>
      <c r="I477" s="1">
        <v>563992</v>
      </c>
      <c r="J477" s="1">
        <v>48526.2</v>
      </c>
      <c r="K477" s="1">
        <v>88108.9</v>
      </c>
      <c r="L477" s="1">
        <v>90702.1</v>
      </c>
      <c r="M477" s="1">
        <v>61371</v>
      </c>
      <c r="N477" s="1">
        <v>77748.600000000006</v>
      </c>
      <c r="O477" s="1">
        <v>83883.600000000006</v>
      </c>
      <c r="P477" s="1">
        <v>52161</v>
      </c>
      <c r="Q477" s="1">
        <v>81220</v>
      </c>
      <c r="R477" s="1">
        <v>0</v>
      </c>
    </row>
    <row r="478" spans="1:18">
      <c r="A478" s="3">
        <v>45891.833355902774</v>
      </c>
      <c r="B478" s="1">
        <v>354654</v>
      </c>
      <c r="C478" s="1">
        <v>58734</v>
      </c>
      <c r="D478" s="1">
        <v>38122.9</v>
      </c>
      <c r="E478" s="1">
        <v>0</v>
      </c>
      <c r="F478" s="1">
        <v>400612</v>
      </c>
      <c r="G478" s="1">
        <v>49458.7</v>
      </c>
      <c r="H478" s="1">
        <v>368692</v>
      </c>
      <c r="I478" s="1">
        <v>564301</v>
      </c>
      <c r="J478" s="1">
        <v>48538.400000000001</v>
      </c>
      <c r="K478" s="1">
        <v>88112.1</v>
      </c>
      <c r="L478" s="1">
        <v>90726.6</v>
      </c>
      <c r="M478" s="1">
        <v>61416.2</v>
      </c>
      <c r="N478" s="1">
        <v>77805</v>
      </c>
      <c r="O478" s="1">
        <v>83904.9</v>
      </c>
      <c r="P478" s="1">
        <v>52161</v>
      </c>
      <c r="Q478" s="1">
        <v>81220</v>
      </c>
      <c r="R478" s="1">
        <v>0</v>
      </c>
    </row>
    <row r="479" spans="1:18">
      <c r="A479" s="3">
        <v>45891.875022627311</v>
      </c>
      <c r="B479" s="1">
        <v>355488</v>
      </c>
      <c r="C479" s="1">
        <v>58956</v>
      </c>
      <c r="D479" s="1">
        <v>38140</v>
      </c>
      <c r="E479" s="1">
        <v>0</v>
      </c>
      <c r="F479" s="1">
        <v>400636</v>
      </c>
      <c r="G479" s="1">
        <v>49529</v>
      </c>
      <c r="H479" s="1">
        <v>368703</v>
      </c>
      <c r="I479" s="1">
        <v>564573</v>
      </c>
      <c r="J479" s="1">
        <v>48549.3</v>
      </c>
      <c r="K479" s="1">
        <v>88115</v>
      </c>
      <c r="L479" s="1">
        <v>90749.2</v>
      </c>
      <c r="M479" s="1">
        <v>61462.3</v>
      </c>
      <c r="N479" s="1">
        <v>77861.2</v>
      </c>
      <c r="O479" s="1">
        <v>83927.1</v>
      </c>
      <c r="P479" s="1">
        <v>52161</v>
      </c>
      <c r="Q479" s="1">
        <v>81220</v>
      </c>
      <c r="R479" s="1">
        <v>0</v>
      </c>
    </row>
    <row r="480" spans="1:18">
      <c r="A480" s="3">
        <v>45891.916689351849</v>
      </c>
      <c r="B480" s="1">
        <v>356286</v>
      </c>
      <c r="C480" s="1">
        <v>59166</v>
      </c>
      <c r="D480" s="1">
        <v>38153.9</v>
      </c>
      <c r="E480" s="1">
        <v>0</v>
      </c>
      <c r="F480" s="1">
        <v>400660</v>
      </c>
      <c r="G480" s="1">
        <v>49598.5</v>
      </c>
      <c r="H480" s="1">
        <v>368715</v>
      </c>
      <c r="I480" s="1">
        <v>564830</v>
      </c>
      <c r="J480" s="1">
        <v>48560.3</v>
      </c>
      <c r="K480" s="1">
        <v>88117.9</v>
      </c>
      <c r="L480" s="1">
        <v>90773.2</v>
      </c>
      <c r="M480" s="1">
        <v>61507.8</v>
      </c>
      <c r="N480" s="1">
        <v>77916.7</v>
      </c>
      <c r="O480" s="1">
        <v>83946.1</v>
      </c>
      <c r="P480" s="1">
        <v>52161</v>
      </c>
      <c r="Q480" s="1">
        <v>81220</v>
      </c>
      <c r="R480" s="1">
        <v>0</v>
      </c>
    </row>
    <row r="481" spans="1:18">
      <c r="A481" s="3">
        <v>45891.958356076386</v>
      </c>
      <c r="B481" s="1">
        <v>357062</v>
      </c>
      <c r="C481" s="1">
        <v>59370</v>
      </c>
      <c r="D481" s="1">
        <v>38167.699999999997</v>
      </c>
      <c r="E481" s="1">
        <v>0</v>
      </c>
      <c r="F481" s="1">
        <v>400684</v>
      </c>
      <c r="G481" s="1">
        <v>49661.599999999999</v>
      </c>
      <c r="H481" s="1">
        <v>368727</v>
      </c>
      <c r="I481" s="1">
        <v>565070</v>
      </c>
      <c r="J481" s="1">
        <v>48570.8</v>
      </c>
      <c r="K481" s="1">
        <v>88120.7</v>
      </c>
      <c r="L481" s="1">
        <v>90805.8</v>
      </c>
      <c r="M481" s="1">
        <v>61552.4</v>
      </c>
      <c r="N481" s="1">
        <v>77972.800000000003</v>
      </c>
      <c r="O481" s="1">
        <v>83963.7</v>
      </c>
      <c r="P481" s="1">
        <v>52161</v>
      </c>
      <c r="Q481" s="1">
        <v>81220</v>
      </c>
      <c r="R481" s="1">
        <v>0</v>
      </c>
    </row>
    <row r="482" spans="1:18">
      <c r="A482" s="3">
        <v>45892.000022800923</v>
      </c>
      <c r="B482" s="1">
        <v>357813</v>
      </c>
      <c r="C482" s="1">
        <v>59568</v>
      </c>
      <c r="D482" s="1">
        <v>38182.6</v>
      </c>
      <c r="E482" s="1">
        <v>0</v>
      </c>
      <c r="F482" s="1">
        <v>400706</v>
      </c>
      <c r="G482" s="1">
        <v>49721.3</v>
      </c>
      <c r="H482" s="1">
        <v>368738</v>
      </c>
      <c r="I482" s="1">
        <v>565305</v>
      </c>
      <c r="J482" s="1">
        <v>48581</v>
      </c>
      <c r="K482" s="1">
        <v>88124</v>
      </c>
      <c r="L482" s="1">
        <v>90832.8</v>
      </c>
      <c r="M482" s="1">
        <v>61595</v>
      </c>
      <c r="N482" s="1">
        <v>78028.399999999994</v>
      </c>
      <c r="O482" s="1">
        <v>83980.7</v>
      </c>
      <c r="P482" s="1">
        <v>52161</v>
      </c>
      <c r="Q482" s="1">
        <v>81220</v>
      </c>
      <c r="R482" s="1">
        <v>0</v>
      </c>
    </row>
    <row r="483" spans="1:18">
      <c r="A483" s="3">
        <v>45892.04168952546</v>
      </c>
      <c r="B483" s="1">
        <v>358550</v>
      </c>
      <c r="C483" s="1">
        <v>59761</v>
      </c>
      <c r="D483" s="1">
        <v>38197.599999999999</v>
      </c>
      <c r="E483" s="1">
        <v>0</v>
      </c>
      <c r="F483" s="1">
        <v>400729</v>
      </c>
      <c r="G483" s="1">
        <v>49780</v>
      </c>
      <c r="H483" s="1">
        <v>368749</v>
      </c>
      <c r="I483" s="1">
        <v>565537</v>
      </c>
      <c r="J483" s="1">
        <v>48591.6</v>
      </c>
      <c r="K483" s="1">
        <v>88127.3</v>
      </c>
      <c r="L483" s="1">
        <v>90856.1</v>
      </c>
      <c r="M483" s="1">
        <v>61637.2</v>
      </c>
      <c r="N483" s="1">
        <v>78084.3</v>
      </c>
      <c r="O483" s="1">
        <v>83996.9</v>
      </c>
      <c r="P483" s="1">
        <v>52161</v>
      </c>
      <c r="Q483" s="1">
        <v>81220</v>
      </c>
      <c r="R483" s="1">
        <v>0</v>
      </c>
    </row>
    <row r="484" spans="1:18">
      <c r="A484" s="3">
        <v>45892.083356249997</v>
      </c>
      <c r="B484" s="1">
        <v>359266</v>
      </c>
      <c r="C484" s="1">
        <v>59949</v>
      </c>
      <c r="D484" s="1">
        <v>38211.9</v>
      </c>
      <c r="E484" s="1">
        <v>0</v>
      </c>
      <c r="F484" s="1">
        <v>400751</v>
      </c>
      <c r="G484" s="1">
        <v>49838.1</v>
      </c>
      <c r="H484" s="1">
        <v>368760</v>
      </c>
      <c r="I484" s="1">
        <v>565756</v>
      </c>
      <c r="J484" s="1">
        <v>48601.7</v>
      </c>
      <c r="K484" s="1">
        <v>88130.2</v>
      </c>
      <c r="L484" s="1">
        <v>90879.1</v>
      </c>
      <c r="M484" s="1">
        <v>61678.8</v>
      </c>
      <c r="N484" s="1">
        <v>78139.899999999994</v>
      </c>
      <c r="O484" s="1">
        <v>84014.8</v>
      </c>
      <c r="P484" s="1">
        <v>52161</v>
      </c>
      <c r="Q484" s="1">
        <v>81220</v>
      </c>
      <c r="R484" s="1">
        <v>0</v>
      </c>
    </row>
    <row r="485" spans="1:18">
      <c r="A485" s="3">
        <v>45892.125022974535</v>
      </c>
      <c r="B485" s="1">
        <v>359970</v>
      </c>
      <c r="C485" s="1">
        <v>60135</v>
      </c>
      <c r="D485" s="1">
        <v>38225.699999999997</v>
      </c>
      <c r="E485" s="1">
        <v>0</v>
      </c>
      <c r="F485" s="1">
        <v>400773</v>
      </c>
      <c r="G485" s="1">
        <v>49895.5</v>
      </c>
      <c r="H485" s="1">
        <v>368771</v>
      </c>
      <c r="I485" s="1">
        <v>565970</v>
      </c>
      <c r="J485" s="1">
        <v>48611.9</v>
      </c>
      <c r="K485" s="1">
        <v>88133</v>
      </c>
      <c r="L485" s="1">
        <v>90901.7</v>
      </c>
      <c r="M485" s="1">
        <v>61719.9</v>
      </c>
      <c r="N485" s="1">
        <v>78194.899999999994</v>
      </c>
      <c r="O485" s="1">
        <v>84031.5</v>
      </c>
      <c r="P485" s="1">
        <v>52161</v>
      </c>
      <c r="Q485" s="1">
        <v>81220</v>
      </c>
      <c r="R485" s="1">
        <v>0</v>
      </c>
    </row>
    <row r="486" spans="1:18">
      <c r="A486" s="3">
        <v>45892.166689699072</v>
      </c>
      <c r="B486" s="1">
        <v>360676</v>
      </c>
      <c r="C486" s="1">
        <v>60322</v>
      </c>
      <c r="D486" s="1">
        <v>38240.6</v>
      </c>
      <c r="E486" s="1">
        <v>0</v>
      </c>
      <c r="F486" s="1">
        <v>400795</v>
      </c>
      <c r="G486" s="1">
        <v>49952.1</v>
      </c>
      <c r="H486" s="1">
        <v>368782</v>
      </c>
      <c r="I486" s="1">
        <v>566185</v>
      </c>
      <c r="J486" s="1">
        <v>48621.8</v>
      </c>
      <c r="K486" s="1">
        <v>88135.9</v>
      </c>
      <c r="L486" s="1">
        <v>90922.9</v>
      </c>
      <c r="M486" s="1">
        <v>61762.8</v>
      </c>
      <c r="N486" s="1">
        <v>78249.899999999994</v>
      </c>
      <c r="O486" s="1">
        <v>84047.9</v>
      </c>
      <c r="P486" s="1">
        <v>52161</v>
      </c>
      <c r="Q486" s="1">
        <v>81220</v>
      </c>
      <c r="R486" s="1">
        <v>0</v>
      </c>
    </row>
    <row r="487" spans="1:18">
      <c r="A487" s="3">
        <v>45892.208356423609</v>
      </c>
      <c r="B487" s="1">
        <v>361376</v>
      </c>
      <c r="C487" s="1">
        <v>60508</v>
      </c>
      <c r="D487" s="1">
        <v>38254.699999999997</v>
      </c>
      <c r="E487" s="1">
        <v>0</v>
      </c>
      <c r="F487" s="1">
        <v>400817</v>
      </c>
      <c r="G487" s="1">
        <v>50006.1</v>
      </c>
      <c r="H487" s="1">
        <v>368792</v>
      </c>
      <c r="I487" s="1">
        <v>566396</v>
      </c>
      <c r="J487" s="1">
        <v>48631.6</v>
      </c>
      <c r="K487" s="1">
        <v>88139.1</v>
      </c>
      <c r="L487" s="1">
        <v>90943.9</v>
      </c>
      <c r="M487" s="1">
        <v>61806.400000000001</v>
      </c>
      <c r="N487" s="1">
        <v>78306.5</v>
      </c>
      <c r="O487" s="1">
        <v>84065.3</v>
      </c>
      <c r="P487" s="1">
        <v>52161</v>
      </c>
      <c r="Q487" s="1">
        <v>81220</v>
      </c>
      <c r="R487" s="1">
        <v>0</v>
      </c>
    </row>
    <row r="488" spans="1:18">
      <c r="A488" s="3">
        <v>45892.250023148146</v>
      </c>
      <c r="B488" s="1">
        <v>362073</v>
      </c>
      <c r="C488" s="1">
        <v>60695</v>
      </c>
      <c r="D488" s="1">
        <v>38268.199999999997</v>
      </c>
      <c r="E488" s="1">
        <v>0</v>
      </c>
      <c r="F488" s="1">
        <v>400838</v>
      </c>
      <c r="G488" s="1">
        <v>50060.3</v>
      </c>
      <c r="H488" s="1">
        <v>368803</v>
      </c>
      <c r="I488" s="1">
        <v>566608</v>
      </c>
      <c r="J488" s="1">
        <v>48641.4</v>
      </c>
      <c r="K488" s="1">
        <v>88141.9</v>
      </c>
      <c r="L488" s="1">
        <v>90963.9</v>
      </c>
      <c r="M488" s="1">
        <v>61848</v>
      </c>
      <c r="N488" s="1">
        <v>78361.7</v>
      </c>
      <c r="O488" s="1">
        <v>84082.4</v>
      </c>
      <c r="P488" s="1">
        <v>52161</v>
      </c>
      <c r="Q488" s="1">
        <v>81220</v>
      </c>
      <c r="R488" s="1">
        <v>0</v>
      </c>
    </row>
    <row r="489" spans="1:18">
      <c r="A489" s="3">
        <v>45892.291689872683</v>
      </c>
      <c r="B489" s="1">
        <v>362775</v>
      </c>
      <c r="C489" s="1">
        <v>60886</v>
      </c>
      <c r="D489" s="1">
        <v>38282.6</v>
      </c>
      <c r="E489" s="1">
        <v>0</v>
      </c>
      <c r="F489" s="1">
        <v>400860</v>
      </c>
      <c r="G489" s="1">
        <v>50113.5</v>
      </c>
      <c r="H489" s="1">
        <v>368815</v>
      </c>
      <c r="I489" s="1">
        <v>566823</v>
      </c>
      <c r="J489" s="1">
        <v>48651.1</v>
      </c>
      <c r="K489" s="1">
        <v>88143.7</v>
      </c>
      <c r="L489" s="1">
        <v>90985.600000000006</v>
      </c>
      <c r="M489" s="1">
        <v>61887.7</v>
      </c>
      <c r="N489" s="1">
        <v>78416.5</v>
      </c>
      <c r="O489" s="1">
        <v>84097.8</v>
      </c>
      <c r="P489" s="1">
        <v>52161</v>
      </c>
      <c r="Q489" s="1">
        <v>81220</v>
      </c>
      <c r="R489" s="1">
        <v>0</v>
      </c>
    </row>
    <row r="490" spans="1:18">
      <c r="A490" s="3">
        <v>45892.333356597221</v>
      </c>
      <c r="B490" s="1">
        <v>363484</v>
      </c>
      <c r="C490" s="1">
        <v>61084</v>
      </c>
      <c r="D490" s="1">
        <v>38296.5</v>
      </c>
      <c r="E490" s="1">
        <v>0</v>
      </c>
      <c r="F490" s="1">
        <v>400884</v>
      </c>
      <c r="G490" s="1">
        <v>50165</v>
      </c>
      <c r="H490" s="1">
        <v>368826</v>
      </c>
      <c r="I490" s="1">
        <v>567042</v>
      </c>
      <c r="J490" s="1">
        <v>48661.4</v>
      </c>
      <c r="K490" s="1">
        <v>88144</v>
      </c>
      <c r="L490" s="1">
        <v>91006.8</v>
      </c>
      <c r="M490" s="1">
        <v>61928.3</v>
      </c>
      <c r="N490" s="1">
        <v>78469.3</v>
      </c>
      <c r="O490" s="1">
        <v>84114.4</v>
      </c>
      <c r="P490" s="1">
        <v>52162</v>
      </c>
      <c r="Q490" s="1">
        <v>81223</v>
      </c>
      <c r="R490" s="1">
        <v>0</v>
      </c>
    </row>
    <row r="491" spans="1:18">
      <c r="A491" s="3">
        <v>45892.375023321758</v>
      </c>
      <c r="B491" s="1">
        <v>364201</v>
      </c>
      <c r="C491" s="1">
        <v>61285</v>
      </c>
      <c r="D491" s="1">
        <v>38310.699999999997</v>
      </c>
      <c r="E491" s="1">
        <v>0</v>
      </c>
      <c r="F491" s="1">
        <v>400909</v>
      </c>
      <c r="G491" s="1">
        <v>50213.9</v>
      </c>
      <c r="H491" s="1">
        <v>368836</v>
      </c>
      <c r="I491" s="1">
        <v>567267</v>
      </c>
      <c r="J491" s="1">
        <v>48671.7</v>
      </c>
      <c r="K491" s="1">
        <v>88144</v>
      </c>
      <c r="L491" s="1">
        <v>91026.7</v>
      </c>
      <c r="M491" s="1">
        <v>61968.9</v>
      </c>
      <c r="N491" s="1">
        <v>78521</v>
      </c>
      <c r="O491" s="1">
        <v>84132.1</v>
      </c>
      <c r="P491" s="1">
        <v>52165</v>
      </c>
      <c r="Q491" s="1">
        <v>81228</v>
      </c>
      <c r="R491" s="1">
        <v>0</v>
      </c>
    </row>
    <row r="492" spans="1:18">
      <c r="A492" s="3">
        <v>45892.416690046295</v>
      </c>
      <c r="B492" s="1">
        <v>364923</v>
      </c>
      <c r="C492" s="1">
        <v>61487</v>
      </c>
      <c r="D492" s="1">
        <v>38326.199999999997</v>
      </c>
      <c r="E492" s="1">
        <v>0</v>
      </c>
      <c r="F492" s="1">
        <v>400934</v>
      </c>
      <c r="G492" s="1">
        <v>50259.1</v>
      </c>
      <c r="H492" s="1">
        <v>368847</v>
      </c>
      <c r="I492" s="1">
        <v>567499</v>
      </c>
      <c r="J492" s="1">
        <v>48682.3</v>
      </c>
      <c r="K492" s="1">
        <v>88144</v>
      </c>
      <c r="L492" s="1">
        <v>91047.6</v>
      </c>
      <c r="M492" s="1">
        <v>62012.7</v>
      </c>
      <c r="N492" s="1">
        <v>78570.899999999994</v>
      </c>
      <c r="O492" s="1">
        <v>84150.3</v>
      </c>
      <c r="P492" s="1">
        <v>52171</v>
      </c>
      <c r="Q492" s="1">
        <v>81236</v>
      </c>
      <c r="R492" s="1">
        <v>0</v>
      </c>
    </row>
    <row r="493" spans="1:18">
      <c r="A493" s="3">
        <v>45892.458356770832</v>
      </c>
      <c r="B493" s="1">
        <v>365689</v>
      </c>
      <c r="C493" s="1">
        <v>61698</v>
      </c>
      <c r="D493" s="1">
        <v>38347.5</v>
      </c>
      <c r="E493" s="1">
        <v>0</v>
      </c>
      <c r="F493" s="1">
        <v>400960</v>
      </c>
      <c r="G493" s="1">
        <v>50303</v>
      </c>
      <c r="H493" s="1">
        <v>368858</v>
      </c>
      <c r="I493" s="1">
        <v>567762</v>
      </c>
      <c r="J493" s="1">
        <v>48693.5</v>
      </c>
      <c r="K493" s="1">
        <v>88144</v>
      </c>
      <c r="L493" s="1">
        <v>91072.5</v>
      </c>
      <c r="M493" s="1">
        <v>62054.7</v>
      </c>
      <c r="N493" s="1">
        <v>78618.8</v>
      </c>
      <c r="O493" s="1">
        <v>84168.7</v>
      </c>
      <c r="P493" s="1">
        <v>52180</v>
      </c>
      <c r="Q493" s="1">
        <v>81251</v>
      </c>
      <c r="R493" s="1">
        <v>0</v>
      </c>
    </row>
    <row r="494" spans="1:18">
      <c r="A494" s="3">
        <v>45892.50002349537</v>
      </c>
      <c r="B494" s="1">
        <v>366467</v>
      </c>
      <c r="C494" s="1">
        <v>61920</v>
      </c>
      <c r="D494" s="1">
        <v>38364.800000000003</v>
      </c>
      <c r="E494" s="1">
        <v>0</v>
      </c>
      <c r="F494" s="1">
        <v>400988</v>
      </c>
      <c r="G494" s="1">
        <v>50338.8</v>
      </c>
      <c r="H494" s="1">
        <v>368868</v>
      </c>
      <c r="I494" s="1">
        <v>568037</v>
      </c>
      <c r="J494" s="1">
        <v>48705</v>
      </c>
      <c r="K494" s="1">
        <v>88144</v>
      </c>
      <c r="L494" s="1">
        <v>91097.8</v>
      </c>
      <c r="M494" s="1">
        <v>62098.5</v>
      </c>
      <c r="N494" s="1">
        <v>78664.800000000003</v>
      </c>
      <c r="O494" s="1">
        <v>84186.6</v>
      </c>
      <c r="P494" s="1">
        <v>52195</v>
      </c>
      <c r="Q494" s="1">
        <v>81273</v>
      </c>
      <c r="R494" s="1">
        <v>0</v>
      </c>
    </row>
    <row r="495" spans="1:18">
      <c r="A495" s="3">
        <v>45892.541690219907</v>
      </c>
      <c r="B495" s="1">
        <v>367274</v>
      </c>
      <c r="C495" s="1">
        <v>62150</v>
      </c>
      <c r="D495" s="1">
        <v>38384.699999999997</v>
      </c>
      <c r="E495" s="1">
        <v>0</v>
      </c>
      <c r="F495" s="1">
        <v>401016</v>
      </c>
      <c r="G495" s="1">
        <v>50374.3</v>
      </c>
      <c r="H495" s="1">
        <v>368879</v>
      </c>
      <c r="I495" s="1">
        <v>568329</v>
      </c>
      <c r="J495" s="1">
        <v>48717</v>
      </c>
      <c r="K495" s="1">
        <v>88144</v>
      </c>
      <c r="L495" s="1">
        <v>91126.3</v>
      </c>
      <c r="M495" s="1">
        <v>62145.3</v>
      </c>
      <c r="N495" s="1">
        <v>78711.199999999997</v>
      </c>
      <c r="O495" s="1">
        <v>84203.7</v>
      </c>
      <c r="P495" s="1">
        <v>52210</v>
      </c>
      <c r="Q495" s="1">
        <v>81297</v>
      </c>
      <c r="R495" s="1">
        <v>0</v>
      </c>
    </row>
    <row r="496" spans="1:18">
      <c r="A496" s="3">
        <v>45892.583356944444</v>
      </c>
      <c r="B496" s="1">
        <v>368105</v>
      </c>
      <c r="C496" s="1">
        <v>62387</v>
      </c>
      <c r="D496" s="1">
        <v>38405</v>
      </c>
      <c r="E496" s="1">
        <v>0</v>
      </c>
      <c r="F496" s="1">
        <v>401045</v>
      </c>
      <c r="G496" s="1">
        <v>50415.3</v>
      </c>
      <c r="H496" s="1">
        <v>368891</v>
      </c>
      <c r="I496" s="1">
        <v>568627</v>
      </c>
      <c r="J496" s="1">
        <v>48729.1</v>
      </c>
      <c r="K496" s="1">
        <v>88144</v>
      </c>
      <c r="L496" s="1">
        <v>91155.9</v>
      </c>
      <c r="M496" s="1">
        <v>62190.9</v>
      </c>
      <c r="N496" s="1">
        <v>78755.199999999997</v>
      </c>
      <c r="O496" s="1">
        <v>84221.7</v>
      </c>
      <c r="P496" s="1">
        <v>52226</v>
      </c>
      <c r="Q496" s="1">
        <v>81321</v>
      </c>
      <c r="R496" s="1">
        <v>0</v>
      </c>
    </row>
    <row r="497" spans="1:18">
      <c r="A497" s="3">
        <v>45892.625023668981</v>
      </c>
      <c r="B497" s="1">
        <v>368983</v>
      </c>
      <c r="C497" s="1">
        <v>62630</v>
      </c>
      <c r="D497" s="1">
        <v>38437.199999999997</v>
      </c>
      <c r="E497" s="1">
        <v>0</v>
      </c>
      <c r="F497" s="1">
        <v>401074</v>
      </c>
      <c r="G497" s="1">
        <v>50461.3</v>
      </c>
      <c r="H497" s="1">
        <v>368903</v>
      </c>
      <c r="I497" s="1">
        <v>568944</v>
      </c>
      <c r="J497" s="1">
        <v>48741.4</v>
      </c>
      <c r="K497" s="1">
        <v>88144</v>
      </c>
      <c r="L497" s="1">
        <v>91185</v>
      </c>
      <c r="M497" s="1">
        <v>62240.6</v>
      </c>
      <c r="N497" s="1">
        <v>78797.399999999994</v>
      </c>
      <c r="O497" s="1">
        <v>84240.5</v>
      </c>
      <c r="P497" s="1">
        <v>52241</v>
      </c>
      <c r="Q497" s="1">
        <v>81342</v>
      </c>
      <c r="R497" s="1">
        <v>0</v>
      </c>
    </row>
    <row r="498" spans="1:18">
      <c r="A498" s="3">
        <v>45892.666690393518</v>
      </c>
      <c r="B498" s="1">
        <v>369890</v>
      </c>
      <c r="C498" s="1">
        <v>62888</v>
      </c>
      <c r="D498" s="1">
        <v>38467.5</v>
      </c>
      <c r="E498" s="1">
        <v>0</v>
      </c>
      <c r="F498" s="1">
        <v>401104</v>
      </c>
      <c r="G498" s="1">
        <v>50514.5</v>
      </c>
      <c r="H498" s="1">
        <v>368914</v>
      </c>
      <c r="I498" s="1">
        <v>569262</v>
      </c>
      <c r="J498" s="1">
        <v>48753.5</v>
      </c>
      <c r="K498" s="1">
        <v>88144</v>
      </c>
      <c r="L498" s="1">
        <v>91213.1</v>
      </c>
      <c r="M498" s="1">
        <v>62287.5</v>
      </c>
      <c r="N498" s="1">
        <v>78843.3</v>
      </c>
      <c r="O498" s="1">
        <v>84258.7</v>
      </c>
      <c r="P498" s="1">
        <v>52252</v>
      </c>
      <c r="Q498" s="1">
        <v>81360</v>
      </c>
      <c r="R498" s="1">
        <v>0</v>
      </c>
    </row>
    <row r="499" spans="1:18">
      <c r="A499" s="3">
        <v>45892.708357118056</v>
      </c>
      <c r="B499" s="1">
        <v>370799</v>
      </c>
      <c r="C499" s="1">
        <v>63144</v>
      </c>
      <c r="D499" s="1">
        <v>38494</v>
      </c>
      <c r="E499" s="1">
        <v>0</v>
      </c>
      <c r="F499" s="1">
        <v>401133</v>
      </c>
      <c r="G499" s="1">
        <v>50572.1</v>
      </c>
      <c r="H499" s="1">
        <v>368925</v>
      </c>
      <c r="I499" s="1">
        <v>569575</v>
      </c>
      <c r="J499" s="1">
        <v>48766.6</v>
      </c>
      <c r="K499" s="1">
        <v>88144</v>
      </c>
      <c r="L499" s="1">
        <v>91237.9</v>
      </c>
      <c r="M499" s="1">
        <v>62336.2</v>
      </c>
      <c r="N499" s="1">
        <v>78894</v>
      </c>
      <c r="O499" s="1">
        <v>84278.5</v>
      </c>
      <c r="P499" s="1">
        <v>52261</v>
      </c>
      <c r="Q499" s="1">
        <v>81374</v>
      </c>
      <c r="R499" s="1">
        <v>0</v>
      </c>
    </row>
    <row r="500" spans="1:18">
      <c r="A500" s="3">
        <v>45892.750023842593</v>
      </c>
      <c r="B500" s="1">
        <v>371698</v>
      </c>
      <c r="C500" s="1">
        <v>63403</v>
      </c>
      <c r="D500" s="1">
        <v>38515.599999999999</v>
      </c>
      <c r="E500" s="1">
        <v>0</v>
      </c>
      <c r="F500" s="1">
        <v>401165</v>
      </c>
      <c r="G500" s="1">
        <v>50633.5</v>
      </c>
      <c r="H500" s="1">
        <v>368937</v>
      </c>
      <c r="I500" s="1">
        <v>569873</v>
      </c>
      <c r="J500" s="1">
        <v>48778.1</v>
      </c>
      <c r="K500" s="1">
        <v>88145.5</v>
      </c>
      <c r="L500" s="1">
        <v>91260.5</v>
      </c>
      <c r="M500" s="1">
        <v>62381.9</v>
      </c>
      <c r="N500" s="1">
        <v>78947.3</v>
      </c>
      <c r="O500" s="1">
        <v>84296.5</v>
      </c>
      <c r="P500" s="1">
        <v>52266</v>
      </c>
      <c r="Q500" s="1">
        <v>81381</v>
      </c>
      <c r="R500" s="1">
        <v>0</v>
      </c>
    </row>
    <row r="501" spans="1:18">
      <c r="A501" s="3">
        <v>45892.79169056713</v>
      </c>
      <c r="B501" s="1">
        <v>372550</v>
      </c>
      <c r="C501" s="1">
        <v>63648</v>
      </c>
      <c r="D501" s="1">
        <v>38534.199999999997</v>
      </c>
      <c r="E501" s="1">
        <v>0</v>
      </c>
      <c r="F501" s="1">
        <v>401195</v>
      </c>
      <c r="G501" s="1">
        <v>50701.7</v>
      </c>
      <c r="H501" s="1">
        <v>368948</v>
      </c>
      <c r="I501" s="1">
        <v>570144</v>
      </c>
      <c r="J501" s="1">
        <v>48789.1</v>
      </c>
      <c r="K501" s="1">
        <v>88148.800000000003</v>
      </c>
      <c r="L501" s="1">
        <v>91282.4</v>
      </c>
      <c r="M501" s="1">
        <v>62425</v>
      </c>
      <c r="N501" s="1">
        <v>79003.199999999997</v>
      </c>
      <c r="O501" s="1">
        <v>84312.2</v>
      </c>
      <c r="P501" s="1">
        <v>52266</v>
      </c>
      <c r="Q501" s="1">
        <v>81382</v>
      </c>
      <c r="R501" s="1">
        <v>0</v>
      </c>
    </row>
    <row r="502" spans="1:18">
      <c r="A502" s="3">
        <v>45892.833357291667</v>
      </c>
      <c r="B502" s="1">
        <v>373375</v>
      </c>
      <c r="C502" s="1">
        <v>63890</v>
      </c>
      <c r="D502" s="1">
        <v>38550.300000000003</v>
      </c>
      <c r="E502" s="1">
        <v>0</v>
      </c>
      <c r="F502" s="1">
        <v>401225</v>
      </c>
      <c r="G502" s="1">
        <v>50770.2</v>
      </c>
      <c r="H502" s="1">
        <v>368960</v>
      </c>
      <c r="I502" s="1">
        <v>570388</v>
      </c>
      <c r="J502" s="1">
        <v>48799.7</v>
      </c>
      <c r="K502" s="1">
        <v>88152</v>
      </c>
      <c r="L502" s="1">
        <v>91305.7</v>
      </c>
      <c r="M502" s="1">
        <v>62470.1</v>
      </c>
      <c r="N502" s="1">
        <v>79059.399999999994</v>
      </c>
      <c r="O502" s="1">
        <v>84329.600000000006</v>
      </c>
      <c r="P502" s="1">
        <v>52266</v>
      </c>
      <c r="Q502" s="1">
        <v>81382</v>
      </c>
      <c r="R502" s="1">
        <v>0</v>
      </c>
    </row>
    <row r="503" spans="1:18">
      <c r="A503" s="3">
        <v>45892.875024016204</v>
      </c>
      <c r="B503" s="1">
        <v>374161</v>
      </c>
      <c r="C503" s="1">
        <v>64116</v>
      </c>
      <c r="D503" s="1">
        <v>38565.5</v>
      </c>
      <c r="E503" s="1">
        <v>0</v>
      </c>
      <c r="F503" s="1">
        <v>401251</v>
      </c>
      <c r="G503" s="1">
        <v>50835.9</v>
      </c>
      <c r="H503" s="1">
        <v>368971</v>
      </c>
      <c r="I503" s="1">
        <v>570617</v>
      </c>
      <c r="J503" s="1">
        <v>48810.2</v>
      </c>
      <c r="K503" s="1">
        <v>88155</v>
      </c>
      <c r="L503" s="1">
        <v>91329.2</v>
      </c>
      <c r="M503" s="1">
        <v>62514.400000000001</v>
      </c>
      <c r="N503" s="1">
        <v>79115.5</v>
      </c>
      <c r="O503" s="1">
        <v>84348.4</v>
      </c>
      <c r="P503" s="1">
        <v>52266</v>
      </c>
      <c r="Q503" s="1">
        <v>81382</v>
      </c>
      <c r="R503" s="1">
        <v>0</v>
      </c>
    </row>
    <row r="504" spans="1:18">
      <c r="A504" s="3">
        <v>45892.916690740742</v>
      </c>
      <c r="B504" s="1">
        <v>374943</v>
      </c>
      <c r="C504" s="1">
        <v>64328</v>
      </c>
      <c r="D504" s="1">
        <v>38580.699999999997</v>
      </c>
      <c r="E504" s="1">
        <v>0</v>
      </c>
      <c r="F504" s="1">
        <v>401278</v>
      </c>
      <c r="G504" s="1">
        <v>50895.3</v>
      </c>
      <c r="H504" s="1">
        <v>368982</v>
      </c>
      <c r="I504" s="1">
        <v>570856</v>
      </c>
      <c r="J504" s="1">
        <v>48820.3</v>
      </c>
      <c r="K504" s="1">
        <v>88158.1</v>
      </c>
      <c r="L504" s="1">
        <v>91360.8</v>
      </c>
      <c r="M504" s="1">
        <v>62559.4</v>
      </c>
      <c r="N504" s="1">
        <v>79171</v>
      </c>
      <c r="O504" s="1">
        <v>84367.8</v>
      </c>
      <c r="P504" s="1">
        <v>52266</v>
      </c>
      <c r="Q504" s="1">
        <v>81382</v>
      </c>
      <c r="R504" s="1">
        <v>0</v>
      </c>
    </row>
    <row r="505" spans="1:18">
      <c r="A505" s="3">
        <v>45892.958357465279</v>
      </c>
      <c r="B505" s="1">
        <v>375716</v>
      </c>
      <c r="C505" s="1">
        <v>64533</v>
      </c>
      <c r="D505" s="1">
        <v>38598.1</v>
      </c>
      <c r="E505" s="1">
        <v>0</v>
      </c>
      <c r="F505" s="1">
        <v>401305</v>
      </c>
      <c r="G505" s="1">
        <v>50953.2</v>
      </c>
      <c r="H505" s="1">
        <v>368993</v>
      </c>
      <c r="I505" s="1">
        <v>571093</v>
      </c>
      <c r="J505" s="1">
        <v>48830.6</v>
      </c>
      <c r="K505" s="1">
        <v>88161.3</v>
      </c>
      <c r="L505" s="1">
        <v>91391.4</v>
      </c>
      <c r="M505" s="1">
        <v>62603.9</v>
      </c>
      <c r="N505" s="1">
        <v>79228.7</v>
      </c>
      <c r="O505" s="1">
        <v>84385.4</v>
      </c>
      <c r="P505" s="1">
        <v>52266</v>
      </c>
      <c r="Q505" s="1">
        <v>81382</v>
      </c>
      <c r="R505" s="1">
        <v>0</v>
      </c>
    </row>
    <row r="506" spans="1:18">
      <c r="A506" s="3">
        <v>45893.000024189816</v>
      </c>
      <c r="B506" s="1">
        <v>376482</v>
      </c>
      <c r="C506" s="1">
        <v>64741</v>
      </c>
      <c r="D506" s="1">
        <v>38618</v>
      </c>
      <c r="E506" s="1">
        <v>0</v>
      </c>
      <c r="F506" s="1">
        <v>401329</v>
      </c>
      <c r="G506" s="1">
        <v>51011.7</v>
      </c>
      <c r="H506" s="1">
        <v>369004</v>
      </c>
      <c r="I506" s="1">
        <v>571325</v>
      </c>
      <c r="J506" s="1">
        <v>48840.800000000003</v>
      </c>
      <c r="K506" s="1">
        <v>88164.2</v>
      </c>
      <c r="L506" s="1">
        <v>91420.9</v>
      </c>
      <c r="M506" s="1">
        <v>62648.7</v>
      </c>
      <c r="N506" s="1">
        <v>79284.800000000003</v>
      </c>
      <c r="O506" s="1">
        <v>84402.6</v>
      </c>
      <c r="P506" s="1">
        <v>52266</v>
      </c>
      <c r="Q506" s="1">
        <v>81382</v>
      </c>
      <c r="R506" s="1">
        <v>0</v>
      </c>
    </row>
    <row r="507" spans="1:18">
      <c r="A507" s="3">
        <v>45893.041690914353</v>
      </c>
      <c r="B507" s="1">
        <v>377228</v>
      </c>
      <c r="C507" s="1">
        <v>64948</v>
      </c>
      <c r="D507" s="1">
        <v>38636.1</v>
      </c>
      <c r="E507" s="1">
        <v>0</v>
      </c>
      <c r="F507" s="1">
        <v>401353</v>
      </c>
      <c r="G507" s="1">
        <v>51071.4</v>
      </c>
      <c r="H507" s="1">
        <v>369015</v>
      </c>
      <c r="I507" s="1">
        <v>571543</v>
      </c>
      <c r="J507" s="1">
        <v>48850.7</v>
      </c>
      <c r="K507" s="1">
        <v>88167.2</v>
      </c>
      <c r="L507" s="1">
        <v>91450.2</v>
      </c>
      <c r="M507" s="1">
        <v>62690.8</v>
      </c>
      <c r="N507" s="1">
        <v>79340.800000000003</v>
      </c>
      <c r="O507" s="1">
        <v>84419.4</v>
      </c>
      <c r="P507" s="1">
        <v>52266</v>
      </c>
      <c r="Q507" s="1">
        <v>81382</v>
      </c>
      <c r="R507" s="1">
        <v>0</v>
      </c>
    </row>
    <row r="508" spans="1:18">
      <c r="A508" s="3">
        <v>45893.08335763889</v>
      </c>
      <c r="B508" s="1">
        <v>377956</v>
      </c>
      <c r="C508" s="1">
        <v>65150</v>
      </c>
      <c r="D508" s="1">
        <v>38652.400000000001</v>
      </c>
      <c r="E508" s="1">
        <v>0</v>
      </c>
      <c r="F508" s="1">
        <v>401376</v>
      </c>
      <c r="G508" s="1">
        <v>51130.2</v>
      </c>
      <c r="H508" s="1">
        <v>369025</v>
      </c>
      <c r="I508" s="1">
        <v>571755</v>
      </c>
      <c r="J508" s="1">
        <v>48860.6</v>
      </c>
      <c r="K508" s="1">
        <v>88170.1</v>
      </c>
      <c r="L508" s="1">
        <v>91475.9</v>
      </c>
      <c r="M508" s="1">
        <v>62731.6</v>
      </c>
      <c r="N508" s="1">
        <v>79396.5</v>
      </c>
      <c r="O508" s="1">
        <v>84437.2</v>
      </c>
      <c r="P508" s="1">
        <v>52266</v>
      </c>
      <c r="Q508" s="1">
        <v>81382</v>
      </c>
      <c r="R508" s="1">
        <v>0</v>
      </c>
    </row>
    <row r="509" spans="1:18">
      <c r="A509" s="3">
        <v>45893.125024363428</v>
      </c>
      <c r="B509" s="1">
        <v>378675</v>
      </c>
      <c r="C509" s="1">
        <v>65351</v>
      </c>
      <c r="D509" s="1">
        <v>38666.5</v>
      </c>
      <c r="E509" s="1">
        <v>0</v>
      </c>
      <c r="F509" s="1">
        <v>401398</v>
      </c>
      <c r="G509" s="1">
        <v>51188.5</v>
      </c>
      <c r="H509" s="1">
        <v>369037</v>
      </c>
      <c r="I509" s="1">
        <v>571970</v>
      </c>
      <c r="J509" s="1">
        <v>48870.400000000001</v>
      </c>
      <c r="K509" s="1">
        <v>88173</v>
      </c>
      <c r="L509" s="1">
        <v>91498</v>
      </c>
      <c r="M509" s="1">
        <v>62772.3</v>
      </c>
      <c r="N509" s="1">
        <v>79451.8</v>
      </c>
      <c r="O509" s="1">
        <v>84454.6</v>
      </c>
      <c r="P509" s="1">
        <v>52266</v>
      </c>
      <c r="Q509" s="1">
        <v>81382</v>
      </c>
      <c r="R509" s="1">
        <v>0</v>
      </c>
    </row>
    <row r="510" spans="1:18">
      <c r="A510" s="3">
        <v>45893.166691087965</v>
      </c>
      <c r="B510" s="1">
        <v>379386</v>
      </c>
      <c r="C510" s="1">
        <v>65547</v>
      </c>
      <c r="D510" s="1">
        <v>38679.4</v>
      </c>
      <c r="E510" s="1">
        <v>0</v>
      </c>
      <c r="F510" s="1">
        <v>401419</v>
      </c>
      <c r="G510" s="1">
        <v>51246.1</v>
      </c>
      <c r="H510" s="1">
        <v>369047</v>
      </c>
      <c r="I510" s="1">
        <v>572183</v>
      </c>
      <c r="J510" s="1">
        <v>48880</v>
      </c>
      <c r="K510" s="1">
        <v>88175.8</v>
      </c>
      <c r="L510" s="1">
        <v>91520.3</v>
      </c>
      <c r="M510" s="1">
        <v>62815.1</v>
      </c>
      <c r="N510" s="1">
        <v>79507.199999999997</v>
      </c>
      <c r="O510" s="1">
        <v>84471.3</v>
      </c>
      <c r="P510" s="1">
        <v>52266</v>
      </c>
      <c r="Q510" s="1">
        <v>81382</v>
      </c>
      <c r="R510" s="1">
        <v>0</v>
      </c>
    </row>
    <row r="511" spans="1:18">
      <c r="A511" s="3">
        <v>45893.208357812502</v>
      </c>
      <c r="B511" s="1">
        <v>380089</v>
      </c>
      <c r="C511" s="1">
        <v>65740</v>
      </c>
      <c r="D511" s="1">
        <v>38692.800000000003</v>
      </c>
      <c r="E511" s="1">
        <v>0</v>
      </c>
      <c r="F511" s="1">
        <v>401441</v>
      </c>
      <c r="G511" s="1">
        <v>51300.800000000003</v>
      </c>
      <c r="H511" s="1">
        <v>369058</v>
      </c>
      <c r="I511" s="1">
        <v>572396</v>
      </c>
      <c r="J511" s="1">
        <v>48889.599999999999</v>
      </c>
      <c r="K511" s="1">
        <v>88178.7</v>
      </c>
      <c r="L511" s="1">
        <v>91542.399999999994</v>
      </c>
      <c r="M511" s="1">
        <v>62855.5</v>
      </c>
      <c r="N511" s="1">
        <v>79562.5</v>
      </c>
      <c r="O511" s="1">
        <v>84489.1</v>
      </c>
      <c r="P511" s="1">
        <v>52266</v>
      </c>
      <c r="Q511" s="1">
        <v>81382</v>
      </c>
      <c r="R511" s="1">
        <v>0</v>
      </c>
    </row>
    <row r="512" spans="1:18">
      <c r="A512" s="3">
        <v>45893.250024537039</v>
      </c>
      <c r="B512" s="1">
        <v>380784</v>
      </c>
      <c r="C512" s="1">
        <v>65932</v>
      </c>
      <c r="D512" s="1">
        <v>38705.4</v>
      </c>
      <c r="E512" s="1">
        <v>0</v>
      </c>
      <c r="F512" s="1">
        <v>401461</v>
      </c>
      <c r="G512" s="1">
        <v>51354.9</v>
      </c>
      <c r="H512" s="1">
        <v>369069</v>
      </c>
      <c r="I512" s="1">
        <v>572603</v>
      </c>
      <c r="J512" s="1">
        <v>48899.199999999997</v>
      </c>
      <c r="K512" s="1">
        <v>88181.5</v>
      </c>
      <c r="L512" s="1">
        <v>91564.1</v>
      </c>
      <c r="M512" s="1">
        <v>62895</v>
      </c>
      <c r="N512" s="1">
        <v>79617.7</v>
      </c>
      <c r="O512" s="1">
        <v>84506.7</v>
      </c>
      <c r="P512" s="1">
        <v>52266</v>
      </c>
      <c r="Q512" s="1">
        <v>81382</v>
      </c>
      <c r="R512" s="1">
        <v>0</v>
      </c>
    </row>
    <row r="513" spans="1:18">
      <c r="A513" s="3">
        <v>45893.291691261576</v>
      </c>
      <c r="B513" s="1">
        <v>381469</v>
      </c>
      <c r="C513" s="1">
        <v>66125</v>
      </c>
      <c r="D513" s="1">
        <v>38718.6</v>
      </c>
      <c r="E513" s="1">
        <v>0</v>
      </c>
      <c r="F513" s="1">
        <v>401482</v>
      </c>
      <c r="G513" s="1">
        <v>51407.4</v>
      </c>
      <c r="H513" s="1">
        <v>369079</v>
      </c>
      <c r="I513" s="1">
        <v>572807</v>
      </c>
      <c r="J513" s="1">
        <v>48908.6</v>
      </c>
      <c r="K513" s="1">
        <v>88183.8</v>
      </c>
      <c r="L513" s="1">
        <v>91584.3</v>
      </c>
      <c r="M513" s="1">
        <v>62934.5</v>
      </c>
      <c r="N513" s="1">
        <v>79672.5</v>
      </c>
      <c r="O513" s="1">
        <v>84521.5</v>
      </c>
      <c r="P513" s="1">
        <v>52266</v>
      </c>
      <c r="Q513" s="1">
        <v>81382</v>
      </c>
      <c r="R513" s="1">
        <v>0</v>
      </c>
    </row>
    <row r="514" spans="1:18">
      <c r="A514" s="3">
        <v>45893.333357986114</v>
      </c>
      <c r="B514" s="1">
        <v>382164</v>
      </c>
      <c r="C514" s="1">
        <v>66325</v>
      </c>
      <c r="D514" s="1">
        <v>38731.800000000003</v>
      </c>
      <c r="E514" s="1">
        <v>0</v>
      </c>
      <c r="F514" s="1">
        <v>401504</v>
      </c>
      <c r="G514" s="1">
        <v>51458.400000000001</v>
      </c>
      <c r="H514" s="1">
        <v>369090</v>
      </c>
      <c r="I514" s="1">
        <v>573015</v>
      </c>
      <c r="J514" s="1">
        <v>48918.2</v>
      </c>
      <c r="K514" s="1">
        <v>88184.3</v>
      </c>
      <c r="L514" s="1">
        <v>91603.6</v>
      </c>
      <c r="M514" s="1">
        <v>62975.6</v>
      </c>
      <c r="N514" s="1">
        <v>79725.7</v>
      </c>
      <c r="O514" s="1">
        <v>84538.1</v>
      </c>
      <c r="P514" s="1">
        <v>52268</v>
      </c>
      <c r="Q514" s="1">
        <v>81384</v>
      </c>
      <c r="R514" s="1">
        <v>0</v>
      </c>
    </row>
    <row r="515" spans="1:18">
      <c r="A515" s="3">
        <v>45893.375024710651</v>
      </c>
      <c r="B515" s="1">
        <v>382874</v>
      </c>
      <c r="C515" s="1">
        <v>66526</v>
      </c>
      <c r="D515" s="1">
        <v>38745.199999999997</v>
      </c>
      <c r="E515" s="1">
        <v>0</v>
      </c>
      <c r="F515" s="1">
        <v>401527</v>
      </c>
      <c r="G515" s="1">
        <v>51508</v>
      </c>
      <c r="H515" s="1">
        <v>369101</v>
      </c>
      <c r="I515" s="1">
        <v>573234</v>
      </c>
      <c r="J515" s="1">
        <v>48928.2</v>
      </c>
      <c r="K515" s="1">
        <v>88184.4</v>
      </c>
      <c r="L515" s="1">
        <v>91622.5</v>
      </c>
      <c r="M515" s="1">
        <v>63018.6</v>
      </c>
      <c r="N515" s="1">
        <v>79777.7</v>
      </c>
      <c r="O515" s="1">
        <v>84556.2</v>
      </c>
      <c r="P515" s="1">
        <v>52270</v>
      </c>
      <c r="Q515" s="1">
        <v>81388</v>
      </c>
      <c r="R515" s="1">
        <v>0</v>
      </c>
    </row>
    <row r="516" spans="1:18">
      <c r="A516" s="3">
        <v>45893.416691435188</v>
      </c>
      <c r="B516" s="1">
        <v>383593</v>
      </c>
      <c r="C516" s="1">
        <v>66734</v>
      </c>
      <c r="D516" s="1">
        <v>38758.800000000003</v>
      </c>
      <c r="E516" s="1">
        <v>0</v>
      </c>
      <c r="F516" s="1">
        <v>401551</v>
      </c>
      <c r="G516" s="1">
        <v>51552.800000000003</v>
      </c>
      <c r="H516" s="1">
        <v>369113</v>
      </c>
      <c r="I516" s="1">
        <v>573466</v>
      </c>
      <c r="J516" s="1">
        <v>48938.6</v>
      </c>
      <c r="K516" s="1">
        <v>88184.4</v>
      </c>
      <c r="L516" s="1">
        <v>91641.7</v>
      </c>
      <c r="M516" s="1">
        <v>63059.9</v>
      </c>
      <c r="N516" s="1">
        <v>79828.5</v>
      </c>
      <c r="O516" s="1">
        <v>84573.8</v>
      </c>
      <c r="P516" s="1">
        <v>52277</v>
      </c>
      <c r="Q516" s="1">
        <v>81399</v>
      </c>
      <c r="R516" s="1">
        <v>0</v>
      </c>
    </row>
    <row r="517" spans="1:18">
      <c r="A517" s="3">
        <v>45893.458358159725</v>
      </c>
      <c r="B517" s="1">
        <v>384317</v>
      </c>
      <c r="C517" s="1">
        <v>66948</v>
      </c>
      <c r="D517" s="1">
        <v>38779.5</v>
      </c>
      <c r="E517" s="1">
        <v>0</v>
      </c>
      <c r="F517" s="1">
        <v>401577</v>
      </c>
      <c r="G517" s="1">
        <v>51589.599999999999</v>
      </c>
      <c r="H517" s="1">
        <v>369124</v>
      </c>
      <c r="I517" s="1">
        <v>573703</v>
      </c>
      <c r="J517" s="1">
        <v>48949.9</v>
      </c>
      <c r="K517" s="1">
        <v>88184.4</v>
      </c>
      <c r="L517" s="1">
        <v>91662.5</v>
      </c>
      <c r="M517" s="1">
        <v>63102.5</v>
      </c>
      <c r="N517" s="1">
        <v>79873.5</v>
      </c>
      <c r="O517" s="1">
        <v>84592</v>
      </c>
      <c r="P517" s="1">
        <v>52289</v>
      </c>
      <c r="Q517" s="1">
        <v>81417</v>
      </c>
      <c r="R517" s="1">
        <v>0</v>
      </c>
    </row>
    <row r="518" spans="1:18">
      <c r="A518" s="3">
        <v>45893.500024884263</v>
      </c>
      <c r="B518" s="1">
        <v>385045</v>
      </c>
      <c r="C518" s="1">
        <v>67166</v>
      </c>
      <c r="D518" s="1">
        <v>38797.9</v>
      </c>
      <c r="E518" s="1">
        <v>0</v>
      </c>
      <c r="F518" s="1">
        <v>401606</v>
      </c>
      <c r="G518" s="1">
        <v>51623.9</v>
      </c>
      <c r="H518" s="1">
        <v>369134</v>
      </c>
      <c r="I518" s="1">
        <v>573938</v>
      </c>
      <c r="J518" s="1">
        <v>48961.5</v>
      </c>
      <c r="K518" s="1">
        <v>88184.4</v>
      </c>
      <c r="L518" s="1">
        <v>91686.6</v>
      </c>
      <c r="M518" s="1">
        <v>63147.9</v>
      </c>
      <c r="N518" s="1">
        <v>79915.100000000006</v>
      </c>
      <c r="O518" s="1">
        <v>84610.3</v>
      </c>
      <c r="P518" s="1">
        <v>52303</v>
      </c>
      <c r="Q518" s="1">
        <v>81439</v>
      </c>
      <c r="R518" s="1">
        <v>0</v>
      </c>
    </row>
    <row r="519" spans="1:18">
      <c r="A519" s="3">
        <v>45893.5416916088</v>
      </c>
      <c r="B519" s="1">
        <v>385802</v>
      </c>
      <c r="C519" s="1">
        <v>67397</v>
      </c>
      <c r="D519" s="1">
        <v>38815.5</v>
      </c>
      <c r="E519" s="1">
        <v>0</v>
      </c>
      <c r="F519" s="1">
        <v>401641</v>
      </c>
      <c r="G519" s="1">
        <v>51660.6</v>
      </c>
      <c r="H519" s="1">
        <v>369145</v>
      </c>
      <c r="I519" s="1">
        <v>574184</v>
      </c>
      <c r="J519" s="1">
        <v>48973.3</v>
      </c>
      <c r="K519" s="1">
        <v>88184.4</v>
      </c>
      <c r="L519" s="1">
        <v>91714.6</v>
      </c>
      <c r="M519" s="1">
        <v>63192.6</v>
      </c>
      <c r="N519" s="1">
        <v>79954.5</v>
      </c>
      <c r="O519" s="1">
        <v>84628.1</v>
      </c>
      <c r="P519" s="1">
        <v>52319</v>
      </c>
      <c r="Q519" s="1">
        <v>81462</v>
      </c>
      <c r="R519" s="1">
        <v>0</v>
      </c>
    </row>
    <row r="520" spans="1:18">
      <c r="A520" s="3">
        <v>45893.583358333337</v>
      </c>
      <c r="B520" s="1">
        <v>386624</v>
      </c>
      <c r="C520" s="1">
        <v>67637</v>
      </c>
      <c r="D520" s="1">
        <v>38833.9</v>
      </c>
      <c r="E520" s="1">
        <v>0</v>
      </c>
      <c r="F520" s="1">
        <v>401676</v>
      </c>
      <c r="G520" s="1">
        <v>51707.6</v>
      </c>
      <c r="H520" s="1">
        <v>369157</v>
      </c>
      <c r="I520" s="1">
        <v>574461</v>
      </c>
      <c r="J520" s="1">
        <v>48985</v>
      </c>
      <c r="K520" s="1">
        <v>88184.4</v>
      </c>
      <c r="L520" s="1">
        <v>91745.4</v>
      </c>
      <c r="M520" s="1">
        <v>63242.6</v>
      </c>
      <c r="N520" s="1">
        <v>79994.5</v>
      </c>
      <c r="O520" s="1">
        <v>84646.1</v>
      </c>
      <c r="P520" s="1">
        <v>52334</v>
      </c>
      <c r="Q520" s="1">
        <v>81486</v>
      </c>
      <c r="R520" s="1">
        <v>0</v>
      </c>
    </row>
    <row r="521" spans="1:18">
      <c r="A521" s="3">
        <v>45893.625025057867</v>
      </c>
      <c r="B521" s="1">
        <v>387471</v>
      </c>
      <c r="C521" s="1">
        <v>67880</v>
      </c>
      <c r="D521" s="1">
        <v>38858.1</v>
      </c>
      <c r="E521" s="1">
        <v>0</v>
      </c>
      <c r="F521" s="1">
        <v>401712</v>
      </c>
      <c r="G521" s="1">
        <v>51758.3</v>
      </c>
      <c r="H521" s="1">
        <v>369168</v>
      </c>
      <c r="I521" s="1">
        <v>574750</v>
      </c>
      <c r="J521" s="1">
        <v>48997</v>
      </c>
      <c r="K521" s="1">
        <v>88184.4</v>
      </c>
      <c r="L521" s="1">
        <v>91773.5</v>
      </c>
      <c r="M521" s="1">
        <v>63289.1</v>
      </c>
      <c r="N521" s="1">
        <v>80036.399999999994</v>
      </c>
      <c r="O521" s="1">
        <v>84663.5</v>
      </c>
      <c r="P521" s="1">
        <v>52348</v>
      </c>
      <c r="Q521" s="1">
        <v>81507</v>
      </c>
      <c r="R521" s="1">
        <v>0</v>
      </c>
    </row>
    <row r="522" spans="1:18">
      <c r="A522" s="3">
        <v>45893.666691782404</v>
      </c>
      <c r="B522" s="1">
        <v>388355</v>
      </c>
      <c r="C522" s="1">
        <v>68132</v>
      </c>
      <c r="D522" s="1">
        <v>38881.699999999997</v>
      </c>
      <c r="E522" s="1">
        <v>0</v>
      </c>
      <c r="F522" s="1">
        <v>401749</v>
      </c>
      <c r="G522" s="1">
        <v>51818.400000000001</v>
      </c>
      <c r="H522" s="1">
        <v>369180</v>
      </c>
      <c r="I522" s="1">
        <v>575042</v>
      </c>
      <c r="J522" s="1">
        <v>49009.5</v>
      </c>
      <c r="K522" s="1">
        <v>88184.4</v>
      </c>
      <c r="L522" s="1">
        <v>91799.8</v>
      </c>
      <c r="M522" s="1">
        <v>63343.1</v>
      </c>
      <c r="N522" s="1">
        <v>80081.899999999994</v>
      </c>
      <c r="O522" s="1">
        <v>84681.3</v>
      </c>
      <c r="P522" s="1">
        <v>52360</v>
      </c>
      <c r="Q522" s="1">
        <v>81524</v>
      </c>
      <c r="R522" s="1">
        <v>0</v>
      </c>
    </row>
    <row r="523" spans="1:18">
      <c r="A523" s="3">
        <v>45893.708358506941</v>
      </c>
      <c r="B523" s="1">
        <v>389246</v>
      </c>
      <c r="C523" s="1">
        <v>68384</v>
      </c>
      <c r="D523" s="1">
        <v>38906.300000000003</v>
      </c>
      <c r="E523" s="1">
        <v>0</v>
      </c>
      <c r="F523" s="1">
        <v>401785</v>
      </c>
      <c r="G523" s="1">
        <v>51884.6</v>
      </c>
      <c r="H523" s="1">
        <v>369191</v>
      </c>
      <c r="I523" s="1">
        <v>575329</v>
      </c>
      <c r="J523" s="1">
        <v>49022.3</v>
      </c>
      <c r="K523" s="1">
        <v>88184.4</v>
      </c>
      <c r="L523" s="1">
        <v>91823.3</v>
      </c>
      <c r="M523" s="1">
        <v>63392.2</v>
      </c>
      <c r="N523" s="1">
        <v>80134.100000000006</v>
      </c>
      <c r="O523" s="1">
        <v>84699.9</v>
      </c>
      <c r="P523" s="1">
        <v>52366</v>
      </c>
      <c r="Q523" s="1">
        <v>81534</v>
      </c>
      <c r="R523" s="1">
        <v>0</v>
      </c>
    </row>
    <row r="524" spans="1:18">
      <c r="A524" s="3">
        <v>45893.750025231479</v>
      </c>
      <c r="B524" s="1">
        <v>390112</v>
      </c>
      <c r="C524" s="1">
        <v>68626</v>
      </c>
      <c r="D524" s="1">
        <v>38925.599999999999</v>
      </c>
      <c r="E524" s="1">
        <v>0</v>
      </c>
      <c r="F524" s="1">
        <v>401818</v>
      </c>
      <c r="G524" s="1">
        <v>51952.9</v>
      </c>
      <c r="H524" s="1">
        <v>369202</v>
      </c>
      <c r="I524" s="1">
        <v>575606</v>
      </c>
      <c r="J524" s="1">
        <v>49034.400000000001</v>
      </c>
      <c r="K524" s="1">
        <v>88186.4</v>
      </c>
      <c r="L524" s="1">
        <v>91845.8</v>
      </c>
      <c r="M524" s="1">
        <v>63437.8</v>
      </c>
      <c r="N524" s="1">
        <v>80188.100000000006</v>
      </c>
      <c r="O524" s="1">
        <v>84718</v>
      </c>
      <c r="P524" s="1">
        <v>52369</v>
      </c>
      <c r="Q524" s="1">
        <v>81539</v>
      </c>
      <c r="R524" s="1">
        <v>0</v>
      </c>
    </row>
    <row r="525" spans="1:18">
      <c r="A525" s="3">
        <v>45893.791691956016</v>
      </c>
      <c r="B525" s="1">
        <v>390959</v>
      </c>
      <c r="C525" s="1">
        <v>68861</v>
      </c>
      <c r="D525" s="1">
        <v>38943.1</v>
      </c>
      <c r="E525" s="1">
        <v>0</v>
      </c>
      <c r="F525" s="1">
        <v>401850</v>
      </c>
      <c r="G525" s="1">
        <v>52021.9</v>
      </c>
      <c r="H525" s="1">
        <v>369214</v>
      </c>
      <c r="I525" s="1">
        <v>575876</v>
      </c>
      <c r="J525" s="1">
        <v>49045.9</v>
      </c>
      <c r="K525" s="1">
        <v>88189.4</v>
      </c>
      <c r="L525" s="1">
        <v>91867.9</v>
      </c>
      <c r="M525" s="1">
        <v>63484.800000000003</v>
      </c>
      <c r="N525" s="1">
        <v>80244.2</v>
      </c>
      <c r="O525" s="1">
        <v>84733.5</v>
      </c>
      <c r="P525" s="1">
        <v>52369</v>
      </c>
      <c r="Q525" s="1">
        <v>81539</v>
      </c>
      <c r="R525" s="1">
        <v>0</v>
      </c>
    </row>
    <row r="526" spans="1:18">
      <c r="A526" s="3">
        <v>45893.833358680553</v>
      </c>
      <c r="B526" s="1">
        <v>391783</v>
      </c>
      <c r="C526" s="1">
        <v>69079</v>
      </c>
      <c r="D526" s="1">
        <v>38958.6</v>
      </c>
      <c r="E526" s="1">
        <v>0</v>
      </c>
      <c r="F526" s="1">
        <v>401880</v>
      </c>
      <c r="G526" s="1">
        <v>52090</v>
      </c>
      <c r="H526" s="1">
        <v>369225</v>
      </c>
      <c r="I526" s="1">
        <v>576145</v>
      </c>
      <c r="J526" s="1">
        <v>49056.5</v>
      </c>
      <c r="K526" s="1">
        <v>88192.4</v>
      </c>
      <c r="L526" s="1">
        <v>91890.2</v>
      </c>
      <c r="M526" s="1">
        <v>63529.5</v>
      </c>
      <c r="N526" s="1">
        <v>80300.600000000006</v>
      </c>
      <c r="O526" s="1">
        <v>84750.8</v>
      </c>
      <c r="P526" s="1">
        <v>52369</v>
      </c>
      <c r="Q526" s="1">
        <v>81539</v>
      </c>
      <c r="R526" s="1">
        <v>0</v>
      </c>
    </row>
    <row r="527" spans="1:18">
      <c r="A527" s="3">
        <v>45893.87502540509</v>
      </c>
      <c r="B527" s="1">
        <v>392584</v>
      </c>
      <c r="C527" s="1">
        <v>69289</v>
      </c>
      <c r="D527" s="1">
        <v>38973.4</v>
      </c>
      <c r="E527" s="1">
        <v>0</v>
      </c>
      <c r="F527" s="1">
        <v>401910</v>
      </c>
      <c r="G527" s="1">
        <v>52156.800000000003</v>
      </c>
      <c r="H527" s="1">
        <v>369236</v>
      </c>
      <c r="I527" s="1">
        <v>576398</v>
      </c>
      <c r="J527" s="1">
        <v>49066.6</v>
      </c>
      <c r="K527" s="1">
        <v>88195.5</v>
      </c>
      <c r="L527" s="1">
        <v>91920.8</v>
      </c>
      <c r="M527" s="1">
        <v>63571.6</v>
      </c>
      <c r="N527" s="1">
        <v>80356.5</v>
      </c>
      <c r="O527" s="1">
        <v>84768.4</v>
      </c>
      <c r="P527" s="1">
        <v>52369</v>
      </c>
      <c r="Q527" s="1">
        <v>81539</v>
      </c>
      <c r="R527" s="1">
        <v>0</v>
      </c>
    </row>
    <row r="528" spans="1:18">
      <c r="A528" s="3">
        <v>45893.916692129627</v>
      </c>
      <c r="B528" s="1">
        <v>393373</v>
      </c>
      <c r="C528" s="1">
        <v>69493</v>
      </c>
      <c r="D528" s="1">
        <v>38987.800000000003</v>
      </c>
      <c r="E528" s="1">
        <v>0</v>
      </c>
      <c r="F528" s="1">
        <v>401942</v>
      </c>
      <c r="G528" s="1">
        <v>52223.1</v>
      </c>
      <c r="H528" s="1">
        <v>369247</v>
      </c>
      <c r="I528" s="1">
        <v>576643</v>
      </c>
      <c r="J528" s="1">
        <v>49076.800000000003</v>
      </c>
      <c r="K528" s="1">
        <v>88198.7</v>
      </c>
      <c r="L528" s="1">
        <v>91950.7</v>
      </c>
      <c r="M528" s="1">
        <v>63614.7</v>
      </c>
      <c r="N528" s="1">
        <v>80412.3</v>
      </c>
      <c r="O528" s="1">
        <v>84787</v>
      </c>
      <c r="P528" s="1">
        <v>52369</v>
      </c>
      <c r="Q528" s="1">
        <v>81539</v>
      </c>
      <c r="R528" s="1">
        <v>0</v>
      </c>
    </row>
    <row r="529" spans="1:18">
      <c r="A529" s="3">
        <v>45893.958358854165</v>
      </c>
      <c r="B529" s="1">
        <v>394153</v>
      </c>
      <c r="C529" s="1">
        <v>69694</v>
      </c>
      <c r="D529" s="1">
        <v>39004.199999999997</v>
      </c>
      <c r="E529" s="1">
        <v>0</v>
      </c>
      <c r="F529" s="1">
        <v>401971</v>
      </c>
      <c r="G529" s="1">
        <v>52285</v>
      </c>
      <c r="H529" s="1">
        <v>369259</v>
      </c>
      <c r="I529" s="1">
        <v>576888</v>
      </c>
      <c r="J529" s="1">
        <v>49087</v>
      </c>
      <c r="K529" s="1">
        <v>88202.1</v>
      </c>
      <c r="L529" s="1">
        <v>91978.1</v>
      </c>
      <c r="M529" s="1">
        <v>63660.1</v>
      </c>
      <c r="N529" s="1">
        <v>80467.7</v>
      </c>
      <c r="O529" s="1">
        <v>84804.6</v>
      </c>
      <c r="P529" s="1">
        <v>52369</v>
      </c>
      <c r="Q529" s="1">
        <v>81539</v>
      </c>
      <c r="R529" s="1">
        <v>0</v>
      </c>
    </row>
    <row r="530" spans="1:18">
      <c r="A530" s="3">
        <v>45894.000025578702</v>
      </c>
      <c r="B530" s="1">
        <v>394916</v>
      </c>
      <c r="C530" s="1">
        <v>69894</v>
      </c>
      <c r="D530" s="1">
        <v>39021.199999999997</v>
      </c>
      <c r="E530" s="1">
        <v>0</v>
      </c>
      <c r="F530" s="1">
        <v>402000</v>
      </c>
      <c r="G530" s="1">
        <v>52345.8</v>
      </c>
      <c r="H530" s="1">
        <v>369270</v>
      </c>
      <c r="I530" s="1">
        <v>577121</v>
      </c>
      <c r="J530" s="1">
        <v>49096.9</v>
      </c>
      <c r="K530" s="1">
        <v>88205.2</v>
      </c>
      <c r="L530" s="1">
        <v>92004.3</v>
      </c>
      <c r="M530" s="1">
        <v>63705.2</v>
      </c>
      <c r="N530" s="1">
        <v>80523.100000000006</v>
      </c>
      <c r="O530" s="1">
        <v>84822.2</v>
      </c>
      <c r="P530" s="1">
        <v>52369</v>
      </c>
      <c r="Q530" s="1">
        <v>81539</v>
      </c>
      <c r="R530" s="1">
        <v>0</v>
      </c>
    </row>
    <row r="531" spans="1:18">
      <c r="A531" s="3">
        <v>45894.041692303239</v>
      </c>
      <c r="B531" s="1">
        <v>395655</v>
      </c>
      <c r="C531" s="1">
        <v>70092</v>
      </c>
      <c r="D531" s="1">
        <v>39035.5</v>
      </c>
      <c r="E531" s="1">
        <v>0</v>
      </c>
      <c r="F531" s="1">
        <v>402027</v>
      </c>
      <c r="G531" s="1">
        <v>52405.1</v>
      </c>
      <c r="H531" s="1">
        <v>369281</v>
      </c>
      <c r="I531" s="1">
        <v>577344</v>
      </c>
      <c r="J531" s="1">
        <v>49106.9</v>
      </c>
      <c r="K531" s="1">
        <v>88208.2</v>
      </c>
      <c r="L531" s="1">
        <v>92030.3</v>
      </c>
      <c r="M531" s="1">
        <v>63749.3</v>
      </c>
      <c r="N531" s="1">
        <v>80578.2</v>
      </c>
      <c r="O531" s="1">
        <v>84839.2</v>
      </c>
      <c r="P531" s="1">
        <v>52369</v>
      </c>
      <c r="Q531" s="1">
        <v>81539</v>
      </c>
      <c r="R531" s="1">
        <v>0</v>
      </c>
    </row>
    <row r="532" spans="1:18">
      <c r="A532" s="3">
        <v>45894.083359027776</v>
      </c>
      <c r="B532" s="1">
        <v>396391</v>
      </c>
      <c r="C532" s="1">
        <v>70294</v>
      </c>
      <c r="D532" s="1">
        <v>39050.300000000003</v>
      </c>
      <c r="E532" s="1">
        <v>0</v>
      </c>
      <c r="F532" s="1">
        <v>402052</v>
      </c>
      <c r="G532" s="1">
        <v>52464.1</v>
      </c>
      <c r="H532" s="1">
        <v>369292</v>
      </c>
      <c r="I532" s="1">
        <v>577564</v>
      </c>
      <c r="J532" s="1">
        <v>49116.7</v>
      </c>
      <c r="K532" s="1">
        <v>88211.1</v>
      </c>
      <c r="L532" s="1">
        <v>92055.9</v>
      </c>
      <c r="M532" s="1">
        <v>63790.5</v>
      </c>
      <c r="N532" s="1">
        <v>80633.100000000006</v>
      </c>
      <c r="O532" s="1">
        <v>84857.1</v>
      </c>
      <c r="P532" s="1">
        <v>52369</v>
      </c>
      <c r="Q532" s="1">
        <v>81539</v>
      </c>
      <c r="R532" s="1">
        <v>0</v>
      </c>
    </row>
    <row r="533" spans="1:18">
      <c r="A533" s="3">
        <v>45894.125025752313</v>
      </c>
      <c r="B533" s="1">
        <v>397108</v>
      </c>
      <c r="C533" s="1">
        <v>70492</v>
      </c>
      <c r="D533" s="1">
        <v>39064.1</v>
      </c>
      <c r="E533" s="1">
        <v>0</v>
      </c>
      <c r="F533" s="1">
        <v>402074</v>
      </c>
      <c r="G533" s="1">
        <v>52521.2</v>
      </c>
      <c r="H533" s="1">
        <v>369302</v>
      </c>
      <c r="I533" s="1">
        <v>577777</v>
      </c>
      <c r="J533" s="1">
        <v>49126.400000000001</v>
      </c>
      <c r="K533" s="1">
        <v>88214.1</v>
      </c>
      <c r="L533" s="1">
        <v>92081.4</v>
      </c>
      <c r="M533" s="1">
        <v>63831.3</v>
      </c>
      <c r="N533" s="1">
        <v>80687.899999999994</v>
      </c>
      <c r="O533" s="1">
        <v>84874.5</v>
      </c>
      <c r="P533" s="1">
        <v>52369</v>
      </c>
      <c r="Q533" s="1">
        <v>81539</v>
      </c>
      <c r="R533" s="1">
        <v>0</v>
      </c>
    </row>
    <row r="534" spans="1:18">
      <c r="A534" s="3">
        <v>45894.166692476851</v>
      </c>
      <c r="B534" s="1">
        <v>397814</v>
      </c>
      <c r="C534" s="1">
        <v>70686</v>
      </c>
      <c r="D534" s="1">
        <v>39077.300000000003</v>
      </c>
      <c r="E534" s="1">
        <v>0</v>
      </c>
      <c r="F534" s="1">
        <v>402096</v>
      </c>
      <c r="G534" s="1">
        <v>52578.3</v>
      </c>
      <c r="H534" s="1">
        <v>369313</v>
      </c>
      <c r="I534" s="1">
        <v>577985</v>
      </c>
      <c r="J534" s="1">
        <v>49136.1</v>
      </c>
      <c r="K534" s="1">
        <v>88217</v>
      </c>
      <c r="L534" s="1">
        <v>92106.1</v>
      </c>
      <c r="M534" s="1">
        <v>63871.5</v>
      </c>
      <c r="N534" s="1">
        <v>80742.7</v>
      </c>
      <c r="O534" s="1">
        <v>84892.3</v>
      </c>
      <c r="P534" s="1">
        <v>52369</v>
      </c>
      <c r="Q534" s="1">
        <v>81539</v>
      </c>
      <c r="R534" s="1">
        <v>0</v>
      </c>
    </row>
    <row r="535" spans="1:18">
      <c r="A535" s="3">
        <v>45894.208359201388</v>
      </c>
      <c r="B535" s="1">
        <v>398524</v>
      </c>
      <c r="C535" s="1">
        <v>70879</v>
      </c>
      <c r="D535" s="1">
        <v>39090.6</v>
      </c>
      <c r="E535" s="1">
        <v>0</v>
      </c>
      <c r="F535" s="1">
        <v>402118</v>
      </c>
      <c r="G535" s="1">
        <v>52634.400000000001</v>
      </c>
      <c r="H535" s="1">
        <v>369323</v>
      </c>
      <c r="I535" s="1">
        <v>578200</v>
      </c>
      <c r="J535" s="1">
        <v>49145.4</v>
      </c>
      <c r="K535" s="1">
        <v>88219.9</v>
      </c>
      <c r="L535" s="1">
        <v>92128</v>
      </c>
      <c r="M535" s="1">
        <v>63913.3</v>
      </c>
      <c r="N535" s="1">
        <v>80798.899999999994</v>
      </c>
      <c r="O535" s="1">
        <v>84910.1</v>
      </c>
      <c r="P535" s="1">
        <v>52369</v>
      </c>
      <c r="Q535" s="1">
        <v>81539</v>
      </c>
      <c r="R535" s="1">
        <v>0</v>
      </c>
    </row>
    <row r="536" spans="1:18">
      <c r="A536" s="3">
        <v>45894.250025925925</v>
      </c>
      <c r="B536" s="1">
        <v>399225</v>
      </c>
      <c r="C536" s="1">
        <v>71067</v>
      </c>
      <c r="D536" s="1">
        <v>39104.199999999997</v>
      </c>
      <c r="E536" s="1">
        <v>0</v>
      </c>
      <c r="F536" s="1">
        <v>402139</v>
      </c>
      <c r="G536" s="1">
        <v>52689.599999999999</v>
      </c>
      <c r="H536" s="1">
        <v>369335</v>
      </c>
      <c r="I536" s="1">
        <v>578412</v>
      </c>
      <c r="J536" s="1">
        <v>49156.1</v>
      </c>
      <c r="K536" s="1">
        <v>88222.7</v>
      </c>
      <c r="L536" s="1">
        <v>92148.800000000003</v>
      </c>
      <c r="M536" s="1">
        <v>63952.9</v>
      </c>
      <c r="N536" s="1">
        <v>80853</v>
      </c>
      <c r="O536" s="1">
        <v>84930</v>
      </c>
      <c r="P536" s="1">
        <v>52369</v>
      </c>
      <c r="Q536" s="1">
        <v>81539</v>
      </c>
      <c r="R536" s="1">
        <v>0</v>
      </c>
    </row>
    <row r="537" spans="1:18">
      <c r="A537" s="3">
        <v>45894.291692650462</v>
      </c>
      <c r="B537" s="1">
        <v>399935</v>
      </c>
      <c r="C537" s="1">
        <v>71263</v>
      </c>
      <c r="D537" s="1">
        <v>39117.300000000003</v>
      </c>
      <c r="E537" s="1">
        <v>0</v>
      </c>
      <c r="F537" s="1">
        <v>402162</v>
      </c>
      <c r="G537" s="1">
        <v>52744.7</v>
      </c>
      <c r="H537" s="1">
        <v>369345</v>
      </c>
      <c r="I537" s="1">
        <v>578624</v>
      </c>
      <c r="J537" s="1">
        <v>49166</v>
      </c>
      <c r="K537" s="1">
        <v>88224.9</v>
      </c>
      <c r="L537" s="1">
        <v>92170.2</v>
      </c>
      <c r="M537" s="1">
        <v>63992.5</v>
      </c>
      <c r="N537" s="1">
        <v>80906.5</v>
      </c>
      <c r="O537" s="1">
        <v>84950.7</v>
      </c>
      <c r="P537" s="1">
        <v>52370</v>
      </c>
      <c r="Q537" s="1">
        <v>81540</v>
      </c>
      <c r="R537" s="1">
        <v>0</v>
      </c>
    </row>
    <row r="538" spans="1:18">
      <c r="A538" s="3">
        <v>45894.333359374999</v>
      </c>
      <c r="B538" s="1">
        <v>400691</v>
      </c>
      <c r="C538" s="1">
        <v>71482</v>
      </c>
      <c r="D538" s="1">
        <v>39131.699999999997</v>
      </c>
      <c r="E538" s="1">
        <v>0</v>
      </c>
      <c r="F538" s="1">
        <v>402186</v>
      </c>
      <c r="G538" s="1">
        <v>52797</v>
      </c>
      <c r="H538" s="1">
        <v>369356</v>
      </c>
      <c r="I538" s="1">
        <v>578851</v>
      </c>
      <c r="J538" s="1">
        <v>49176.3</v>
      </c>
      <c r="K538" s="1">
        <v>88225.2</v>
      </c>
      <c r="L538" s="1">
        <v>92192.8</v>
      </c>
      <c r="M538" s="1">
        <v>64032.3</v>
      </c>
      <c r="N538" s="1">
        <v>80956.800000000003</v>
      </c>
      <c r="O538" s="1">
        <v>84974.2</v>
      </c>
      <c r="P538" s="1">
        <v>52372</v>
      </c>
      <c r="Q538" s="1">
        <v>81544</v>
      </c>
      <c r="R538" s="1">
        <v>0</v>
      </c>
    </row>
    <row r="539" spans="1:18">
      <c r="A539" s="3">
        <v>45894.375026099537</v>
      </c>
      <c r="B539" s="1">
        <v>401614</v>
      </c>
      <c r="C539" s="1">
        <v>71746</v>
      </c>
      <c r="D539" s="1">
        <v>39149.699999999997</v>
      </c>
      <c r="E539" s="1">
        <v>0</v>
      </c>
      <c r="F539" s="1">
        <v>402220</v>
      </c>
      <c r="G539" s="1">
        <v>52856.3</v>
      </c>
      <c r="H539" s="1">
        <v>369372</v>
      </c>
      <c r="I539" s="1">
        <v>579125</v>
      </c>
      <c r="J539" s="1">
        <v>49187</v>
      </c>
      <c r="K539" s="1">
        <v>88227.199999999997</v>
      </c>
      <c r="L539" s="1">
        <v>92222.7</v>
      </c>
      <c r="M539" s="1">
        <v>64086.400000000001</v>
      </c>
      <c r="N539" s="1">
        <v>81007.3</v>
      </c>
      <c r="O539" s="1">
        <v>85010.9</v>
      </c>
      <c r="P539" s="1">
        <v>52376</v>
      </c>
      <c r="Q539" s="1">
        <v>81551</v>
      </c>
      <c r="R539" s="1">
        <v>0</v>
      </c>
    </row>
    <row r="540" spans="1:18">
      <c r="A540" s="3">
        <v>45894.416692824074</v>
      </c>
      <c r="B540" s="1">
        <v>402839</v>
      </c>
      <c r="C540" s="1">
        <v>72088</v>
      </c>
      <c r="D540" s="1">
        <v>39178.1</v>
      </c>
      <c r="E540" s="1">
        <v>0</v>
      </c>
      <c r="F540" s="1">
        <v>402263</v>
      </c>
      <c r="G540" s="1">
        <v>52924.4</v>
      </c>
      <c r="H540" s="1">
        <v>369419</v>
      </c>
      <c r="I540" s="1">
        <v>579513</v>
      </c>
      <c r="J540" s="1">
        <v>49198.400000000001</v>
      </c>
      <c r="K540" s="1">
        <v>88233.1</v>
      </c>
      <c r="L540" s="1">
        <v>92254.1</v>
      </c>
      <c r="M540" s="1">
        <v>64145.9</v>
      </c>
      <c r="N540" s="1">
        <v>81058.5</v>
      </c>
      <c r="O540" s="1">
        <v>85066</v>
      </c>
      <c r="P540" s="1">
        <v>52381</v>
      </c>
      <c r="Q540" s="1">
        <v>81559</v>
      </c>
      <c r="R540" s="1">
        <v>0</v>
      </c>
    </row>
    <row r="541" spans="1:18">
      <c r="A541" s="3">
        <v>45894.458359548611</v>
      </c>
      <c r="B541" s="1">
        <v>404224</v>
      </c>
      <c r="C541" s="1">
        <v>72475</v>
      </c>
      <c r="D541" s="1">
        <v>39209.199999999997</v>
      </c>
      <c r="E541" s="1">
        <v>0</v>
      </c>
      <c r="F541" s="1">
        <v>402325</v>
      </c>
      <c r="G541" s="1">
        <v>53001.4</v>
      </c>
      <c r="H541" s="1">
        <v>369464</v>
      </c>
      <c r="I541" s="1">
        <v>579954</v>
      </c>
      <c r="J541" s="1">
        <v>49214.3</v>
      </c>
      <c r="K541" s="1">
        <v>88238.6</v>
      </c>
      <c r="L541" s="1">
        <v>92291.4</v>
      </c>
      <c r="M541" s="1">
        <v>64213.5</v>
      </c>
      <c r="N541" s="1">
        <v>81115</v>
      </c>
      <c r="O541" s="1">
        <v>85133.8</v>
      </c>
      <c r="P541" s="1">
        <v>52388</v>
      </c>
      <c r="Q541" s="1">
        <v>81570</v>
      </c>
      <c r="R541" s="1">
        <v>0</v>
      </c>
    </row>
    <row r="542" spans="1:18">
      <c r="A542" s="3">
        <v>45894.500026273148</v>
      </c>
      <c r="B542" s="1">
        <v>405637</v>
      </c>
      <c r="C542" s="1">
        <v>72863</v>
      </c>
      <c r="D542" s="1">
        <v>39245.199999999997</v>
      </c>
      <c r="E542" s="1">
        <v>0</v>
      </c>
      <c r="F542" s="1">
        <v>402390</v>
      </c>
      <c r="G542" s="1">
        <v>53080.2</v>
      </c>
      <c r="H542" s="1">
        <v>369508</v>
      </c>
      <c r="I542" s="1">
        <v>580425</v>
      </c>
      <c r="J542" s="1">
        <v>49228.7</v>
      </c>
      <c r="K542" s="1">
        <v>88239.9</v>
      </c>
      <c r="L542" s="1">
        <v>92331.7</v>
      </c>
      <c r="M542" s="1">
        <v>64276.4</v>
      </c>
      <c r="N542" s="1">
        <v>81167.5</v>
      </c>
      <c r="O542" s="1">
        <v>85197.8</v>
      </c>
      <c r="P542" s="1">
        <v>52402</v>
      </c>
      <c r="Q542" s="1">
        <v>81591</v>
      </c>
      <c r="R542" s="1">
        <v>0</v>
      </c>
    </row>
    <row r="543" spans="1:18">
      <c r="A543" s="3">
        <v>45894.541692997685</v>
      </c>
      <c r="B543" s="1">
        <v>407074</v>
      </c>
      <c r="C543" s="1">
        <v>73254</v>
      </c>
      <c r="D543" s="1">
        <v>39285.9</v>
      </c>
      <c r="E543" s="1">
        <v>0</v>
      </c>
      <c r="F543" s="1">
        <v>402454</v>
      </c>
      <c r="G543" s="1">
        <v>53169.1</v>
      </c>
      <c r="H543" s="1">
        <v>369531</v>
      </c>
      <c r="I543" s="1">
        <v>580911</v>
      </c>
      <c r="J543" s="1">
        <v>49241</v>
      </c>
      <c r="K543" s="1">
        <v>88240</v>
      </c>
      <c r="L543" s="1">
        <v>92379.6</v>
      </c>
      <c r="M543" s="1">
        <v>64337.3</v>
      </c>
      <c r="N543" s="1">
        <v>81217.399999999994</v>
      </c>
      <c r="O543" s="1">
        <v>85270.399999999994</v>
      </c>
      <c r="P543" s="1">
        <v>52417</v>
      </c>
      <c r="Q543" s="1">
        <v>81614</v>
      </c>
      <c r="R543" s="1">
        <v>0</v>
      </c>
    </row>
    <row r="544" spans="1:18">
      <c r="A544" s="3">
        <v>45894.583359722223</v>
      </c>
      <c r="B544" s="1">
        <v>408586</v>
      </c>
      <c r="C544" s="1">
        <v>73650</v>
      </c>
      <c r="D544" s="1">
        <v>39332.9</v>
      </c>
      <c r="E544" s="1">
        <v>0</v>
      </c>
      <c r="F544" s="1">
        <v>402519</v>
      </c>
      <c r="G544" s="1">
        <v>53262.3</v>
      </c>
      <c r="H544" s="1">
        <v>369565</v>
      </c>
      <c r="I544" s="1">
        <v>581413</v>
      </c>
      <c r="J544" s="1">
        <v>49252.9</v>
      </c>
      <c r="K544" s="1">
        <v>88240</v>
      </c>
      <c r="L544" s="1">
        <v>92436.5</v>
      </c>
      <c r="M544" s="1">
        <v>64398.8</v>
      </c>
      <c r="N544" s="1">
        <v>81266.8</v>
      </c>
      <c r="O544" s="1">
        <v>85345.7</v>
      </c>
      <c r="P544" s="1">
        <v>52432</v>
      </c>
      <c r="Q544" s="1">
        <v>81637</v>
      </c>
      <c r="R544" s="1">
        <v>0</v>
      </c>
    </row>
    <row r="545" spans="1:18">
      <c r="A545" s="3">
        <v>45894.62502644676</v>
      </c>
      <c r="B545" s="1">
        <v>410139</v>
      </c>
      <c r="C545" s="1">
        <v>74064</v>
      </c>
      <c r="D545" s="1">
        <v>39383.800000000003</v>
      </c>
      <c r="E545" s="1">
        <v>0</v>
      </c>
      <c r="F545" s="1">
        <v>402592</v>
      </c>
      <c r="G545" s="1">
        <v>53362.7</v>
      </c>
      <c r="H545" s="1">
        <v>369615</v>
      </c>
      <c r="I545" s="1">
        <v>581917</v>
      </c>
      <c r="J545" s="1">
        <v>49264.9</v>
      </c>
      <c r="K545" s="1">
        <v>88240</v>
      </c>
      <c r="L545" s="1">
        <v>92500.800000000003</v>
      </c>
      <c r="M545" s="1">
        <v>64455.7</v>
      </c>
      <c r="N545" s="1">
        <v>81319.100000000006</v>
      </c>
      <c r="O545" s="1">
        <v>85404.2</v>
      </c>
      <c r="P545" s="1">
        <v>52446</v>
      </c>
      <c r="Q545" s="1">
        <v>81658</v>
      </c>
      <c r="R545" s="1">
        <v>0</v>
      </c>
    </row>
    <row r="546" spans="1:18">
      <c r="A546" s="3">
        <v>45894.666693171297</v>
      </c>
      <c r="B546" s="1">
        <v>411673</v>
      </c>
      <c r="C546" s="1">
        <v>74482</v>
      </c>
      <c r="D546" s="1">
        <v>39430.300000000003</v>
      </c>
      <c r="E546" s="1">
        <v>0</v>
      </c>
      <c r="F546" s="1">
        <v>402661</v>
      </c>
      <c r="G546" s="1">
        <v>53474.3</v>
      </c>
      <c r="H546" s="1">
        <v>369662</v>
      </c>
      <c r="I546" s="1">
        <v>582420</v>
      </c>
      <c r="J546" s="1">
        <v>49278.5</v>
      </c>
      <c r="K546" s="1">
        <v>88240.1</v>
      </c>
      <c r="L546" s="1">
        <v>92560</v>
      </c>
      <c r="M546" s="1">
        <v>64521.4</v>
      </c>
      <c r="N546" s="1">
        <v>81369.5</v>
      </c>
      <c r="O546" s="1">
        <v>85440.8</v>
      </c>
      <c r="P546" s="1">
        <v>52458</v>
      </c>
      <c r="Q546" s="1">
        <v>81675</v>
      </c>
      <c r="R546" s="1">
        <v>0</v>
      </c>
    </row>
    <row r="547" spans="1:18">
      <c r="A547" s="3">
        <v>45894.708359895834</v>
      </c>
      <c r="B547" s="1">
        <v>413135</v>
      </c>
      <c r="C547" s="1">
        <v>74881</v>
      </c>
      <c r="D547" s="1">
        <v>39476.5</v>
      </c>
      <c r="E547" s="1">
        <v>0</v>
      </c>
      <c r="F547" s="1">
        <v>402720</v>
      </c>
      <c r="G547" s="1">
        <v>53589.1</v>
      </c>
      <c r="H547" s="1">
        <v>369708</v>
      </c>
      <c r="I547" s="1">
        <v>582894</v>
      </c>
      <c r="J547" s="1">
        <v>49290.7</v>
      </c>
      <c r="K547" s="1">
        <v>88244.6</v>
      </c>
      <c r="L547" s="1">
        <v>92612.6</v>
      </c>
      <c r="M547" s="1">
        <v>64580.3</v>
      </c>
      <c r="N547" s="1">
        <v>81422.100000000006</v>
      </c>
      <c r="O547" s="1">
        <v>85475.6</v>
      </c>
      <c r="P547" s="1">
        <v>52466</v>
      </c>
      <c r="Q547" s="1">
        <v>81688</v>
      </c>
      <c r="R547" s="1">
        <v>0</v>
      </c>
    </row>
    <row r="548" spans="1:18">
      <c r="A548" s="3">
        <v>45894.750026620372</v>
      </c>
      <c r="B548" s="1">
        <v>414403</v>
      </c>
      <c r="C548" s="1">
        <v>75234</v>
      </c>
      <c r="D548" s="1">
        <v>39514.400000000001</v>
      </c>
      <c r="E548" s="1">
        <v>0</v>
      </c>
      <c r="F548" s="1">
        <v>402773</v>
      </c>
      <c r="G548" s="1">
        <v>53686.2</v>
      </c>
      <c r="H548" s="1">
        <v>369725</v>
      </c>
      <c r="I548" s="1">
        <v>583328</v>
      </c>
      <c r="J548" s="1">
        <v>49302.8</v>
      </c>
      <c r="K548" s="1">
        <v>88247</v>
      </c>
      <c r="L548" s="1">
        <v>92655</v>
      </c>
      <c r="M548" s="1">
        <v>64627.7</v>
      </c>
      <c r="N548" s="1">
        <v>81477.5</v>
      </c>
      <c r="O548" s="1">
        <v>85508.3</v>
      </c>
      <c r="P548" s="1">
        <v>52470</v>
      </c>
      <c r="Q548" s="1">
        <v>81695</v>
      </c>
      <c r="R548" s="1">
        <v>0</v>
      </c>
    </row>
    <row r="549" spans="1:18">
      <c r="A549" s="3">
        <v>45894.791693344909</v>
      </c>
      <c r="B549" s="1">
        <v>415476</v>
      </c>
      <c r="C549" s="1">
        <v>75521</v>
      </c>
      <c r="D549" s="1">
        <v>39543.300000000003</v>
      </c>
      <c r="E549" s="1">
        <v>0</v>
      </c>
      <c r="F549" s="1">
        <v>402817</v>
      </c>
      <c r="G549" s="1">
        <v>53764.7</v>
      </c>
      <c r="H549" s="1">
        <v>369738</v>
      </c>
      <c r="I549" s="1">
        <v>583700</v>
      </c>
      <c r="J549" s="1">
        <v>49314.3</v>
      </c>
      <c r="K549" s="1">
        <v>88249.4</v>
      </c>
      <c r="L549" s="1">
        <v>92689.4</v>
      </c>
      <c r="M549" s="1">
        <v>64673.3</v>
      </c>
      <c r="N549" s="1">
        <v>81534.3</v>
      </c>
      <c r="O549" s="1">
        <v>85534.8</v>
      </c>
      <c r="P549" s="1">
        <v>52471</v>
      </c>
      <c r="Q549" s="1">
        <v>81695</v>
      </c>
      <c r="R549" s="1">
        <v>0</v>
      </c>
    </row>
    <row r="550" spans="1:18">
      <c r="A550" s="3">
        <v>45894.833360069446</v>
      </c>
      <c r="B550" s="1">
        <v>416439</v>
      </c>
      <c r="C550" s="1">
        <v>75785</v>
      </c>
      <c r="D550" s="1">
        <v>39566.1</v>
      </c>
      <c r="E550" s="1">
        <v>0</v>
      </c>
      <c r="F550" s="1">
        <v>402851</v>
      </c>
      <c r="G550" s="1">
        <v>53840.4</v>
      </c>
      <c r="H550" s="1">
        <v>369749</v>
      </c>
      <c r="I550" s="1">
        <v>584023</v>
      </c>
      <c r="J550" s="1">
        <v>49325.1</v>
      </c>
      <c r="K550" s="1">
        <v>88252.1</v>
      </c>
      <c r="L550" s="1">
        <v>92721.5</v>
      </c>
      <c r="M550" s="1">
        <v>64717.8</v>
      </c>
      <c r="N550" s="1">
        <v>81591.399999999994</v>
      </c>
      <c r="O550" s="1">
        <v>85555.6</v>
      </c>
      <c r="P550" s="1">
        <v>52471</v>
      </c>
      <c r="Q550" s="1">
        <v>81695</v>
      </c>
      <c r="R550" s="1">
        <v>0</v>
      </c>
    </row>
    <row r="551" spans="1:18">
      <c r="A551" s="3">
        <v>45894.875026793983</v>
      </c>
      <c r="B551" s="1">
        <v>417332</v>
      </c>
      <c r="C551" s="1">
        <v>76044</v>
      </c>
      <c r="D551" s="1">
        <v>39585.199999999997</v>
      </c>
      <c r="E551" s="1">
        <v>0</v>
      </c>
      <c r="F551" s="1">
        <v>402882</v>
      </c>
      <c r="G551" s="1">
        <v>53905.9</v>
      </c>
      <c r="H551" s="1">
        <v>369761</v>
      </c>
      <c r="I551" s="1">
        <v>584308</v>
      </c>
      <c r="J551" s="1">
        <v>49336</v>
      </c>
      <c r="K551" s="1">
        <v>88255.2</v>
      </c>
      <c r="L551" s="1">
        <v>92751.6</v>
      </c>
      <c r="M551" s="1">
        <v>64757.5</v>
      </c>
      <c r="N551" s="1">
        <v>81647.5</v>
      </c>
      <c r="O551" s="1">
        <v>85575</v>
      </c>
      <c r="P551" s="1">
        <v>52471</v>
      </c>
      <c r="Q551" s="1">
        <v>81695</v>
      </c>
      <c r="R551" s="1">
        <v>0</v>
      </c>
    </row>
    <row r="552" spans="1:18">
      <c r="A552" s="3">
        <v>45894.91669351852</v>
      </c>
      <c r="B552" s="1">
        <v>418183</v>
      </c>
      <c r="C552" s="1">
        <v>76281</v>
      </c>
      <c r="D552" s="1">
        <v>39603.4</v>
      </c>
      <c r="E552" s="1">
        <v>0</v>
      </c>
      <c r="F552" s="1">
        <v>402915</v>
      </c>
      <c r="G552" s="1">
        <v>53968.4</v>
      </c>
      <c r="H552" s="1">
        <v>369772</v>
      </c>
      <c r="I552" s="1">
        <v>584577</v>
      </c>
      <c r="J552" s="1">
        <v>49346.7</v>
      </c>
      <c r="K552" s="1">
        <v>88257.8</v>
      </c>
      <c r="L552" s="1">
        <v>92783.1</v>
      </c>
      <c r="M552" s="1">
        <v>64799.4</v>
      </c>
      <c r="N552" s="1">
        <v>81703.7</v>
      </c>
      <c r="O552" s="1">
        <v>85594.7</v>
      </c>
      <c r="P552" s="1">
        <v>52471</v>
      </c>
      <c r="Q552" s="1">
        <v>81695</v>
      </c>
      <c r="R552" s="1">
        <v>0</v>
      </c>
    </row>
    <row r="553" spans="1:18">
      <c r="A553" s="3">
        <v>45894.958360243058</v>
      </c>
      <c r="B553" s="1">
        <v>419014</v>
      </c>
      <c r="C553" s="1">
        <v>76511</v>
      </c>
      <c r="D553" s="1">
        <v>39620.300000000003</v>
      </c>
      <c r="E553" s="1">
        <v>0</v>
      </c>
      <c r="F553" s="1">
        <v>402947</v>
      </c>
      <c r="G553" s="1">
        <v>54031.3</v>
      </c>
      <c r="H553" s="1">
        <v>369784</v>
      </c>
      <c r="I553" s="1">
        <v>584835</v>
      </c>
      <c r="J553" s="1">
        <v>49357.3</v>
      </c>
      <c r="K553" s="1">
        <v>88260.5</v>
      </c>
      <c r="L553" s="1">
        <v>92815.4</v>
      </c>
      <c r="M553" s="1">
        <v>64841</v>
      </c>
      <c r="N553" s="1">
        <v>81759.5</v>
      </c>
      <c r="O553" s="1">
        <v>85612.3</v>
      </c>
      <c r="P553" s="1">
        <v>52471</v>
      </c>
      <c r="Q553" s="1">
        <v>81695</v>
      </c>
      <c r="R553" s="1">
        <v>0</v>
      </c>
    </row>
    <row r="554" spans="1:18">
      <c r="A554" s="3">
        <v>45895.000026967595</v>
      </c>
      <c r="B554" s="1">
        <v>419826</v>
      </c>
      <c r="C554" s="1">
        <v>76728</v>
      </c>
      <c r="D554" s="1">
        <v>39636.400000000001</v>
      </c>
      <c r="E554" s="1">
        <v>0</v>
      </c>
      <c r="F554" s="1">
        <v>402980</v>
      </c>
      <c r="G554" s="1">
        <v>54092.6</v>
      </c>
      <c r="H554" s="1">
        <v>369795</v>
      </c>
      <c r="I554" s="1">
        <v>585090</v>
      </c>
      <c r="J554" s="1">
        <v>49367.9</v>
      </c>
      <c r="K554" s="1">
        <v>88263.2</v>
      </c>
      <c r="L554" s="1">
        <v>92847.5</v>
      </c>
      <c r="M554" s="1">
        <v>64883.199999999997</v>
      </c>
      <c r="N554" s="1">
        <v>81815.5</v>
      </c>
      <c r="O554" s="1">
        <v>85630.6</v>
      </c>
      <c r="P554" s="1">
        <v>52471</v>
      </c>
      <c r="Q554" s="1">
        <v>81695</v>
      </c>
      <c r="R554" s="1">
        <v>0</v>
      </c>
    </row>
    <row r="555" spans="1:18">
      <c r="A555" s="3">
        <v>45895.041693692132</v>
      </c>
      <c r="B555" s="1">
        <v>420616</v>
      </c>
      <c r="C555" s="1">
        <v>76940</v>
      </c>
      <c r="D555" s="1">
        <v>39650.300000000003</v>
      </c>
      <c r="E555" s="1">
        <v>0</v>
      </c>
      <c r="F555" s="1">
        <v>403010</v>
      </c>
      <c r="G555" s="1">
        <v>54152.7</v>
      </c>
      <c r="H555" s="1">
        <v>369807</v>
      </c>
      <c r="I555" s="1">
        <v>585339</v>
      </c>
      <c r="J555" s="1">
        <v>49378.2</v>
      </c>
      <c r="K555" s="1">
        <v>88265.9</v>
      </c>
      <c r="L555" s="1">
        <v>92879.3</v>
      </c>
      <c r="M555" s="1">
        <v>64925</v>
      </c>
      <c r="N555" s="1">
        <v>81870.399999999994</v>
      </c>
      <c r="O555" s="1">
        <v>85647.3</v>
      </c>
      <c r="P555" s="1">
        <v>52471</v>
      </c>
      <c r="Q555" s="1">
        <v>81695</v>
      </c>
      <c r="R555" s="1">
        <v>0</v>
      </c>
    </row>
    <row r="556" spans="1:18">
      <c r="A556" s="3">
        <v>45895.083360416669</v>
      </c>
      <c r="B556" s="1">
        <v>421382</v>
      </c>
      <c r="C556" s="1">
        <v>77147</v>
      </c>
      <c r="D556" s="1">
        <v>39664.5</v>
      </c>
      <c r="E556" s="1">
        <v>0</v>
      </c>
      <c r="F556" s="1">
        <v>403033</v>
      </c>
      <c r="G556" s="1">
        <v>54213.2</v>
      </c>
      <c r="H556" s="1">
        <v>369818</v>
      </c>
      <c r="I556" s="1">
        <v>585583</v>
      </c>
      <c r="J556" s="1">
        <v>49388.7</v>
      </c>
      <c r="K556" s="1">
        <v>88268.5</v>
      </c>
      <c r="L556" s="1">
        <v>92904.1</v>
      </c>
      <c r="M556" s="1">
        <v>64964.6</v>
      </c>
      <c r="N556" s="1">
        <v>81925.399999999994</v>
      </c>
      <c r="O556" s="1">
        <v>85664.8</v>
      </c>
      <c r="P556" s="1">
        <v>52471</v>
      </c>
      <c r="Q556" s="1">
        <v>81695</v>
      </c>
      <c r="R556" s="1">
        <v>0</v>
      </c>
    </row>
    <row r="557" spans="1:18">
      <c r="A557" s="3">
        <v>45895.125027141206</v>
      </c>
      <c r="B557" s="1">
        <v>422119</v>
      </c>
      <c r="C557" s="1">
        <v>77351</v>
      </c>
      <c r="D557" s="1">
        <v>39677.699999999997</v>
      </c>
      <c r="E557" s="1">
        <v>0</v>
      </c>
      <c r="F557" s="1">
        <v>403054</v>
      </c>
      <c r="G557" s="1">
        <v>54271.6</v>
      </c>
      <c r="H557" s="1">
        <v>369828</v>
      </c>
      <c r="I557" s="1">
        <v>585813</v>
      </c>
      <c r="J557" s="1">
        <v>49399</v>
      </c>
      <c r="K557" s="1">
        <v>88271.2</v>
      </c>
      <c r="L557" s="1">
        <v>92927.9</v>
      </c>
      <c r="M557" s="1">
        <v>65003.199999999997</v>
      </c>
      <c r="N557" s="1">
        <v>81980.100000000006</v>
      </c>
      <c r="O557" s="1">
        <v>85681.8</v>
      </c>
      <c r="P557" s="1">
        <v>52471</v>
      </c>
      <c r="Q557" s="1">
        <v>81695</v>
      </c>
      <c r="R557" s="1">
        <v>0</v>
      </c>
    </row>
    <row r="558" spans="1:18">
      <c r="A558" s="3">
        <v>45895.166693865744</v>
      </c>
      <c r="B558" s="1">
        <v>422846</v>
      </c>
      <c r="C558" s="1">
        <v>77548</v>
      </c>
      <c r="D558" s="1">
        <v>39691.1</v>
      </c>
      <c r="E558" s="1">
        <v>0</v>
      </c>
      <c r="F558" s="1">
        <v>403075</v>
      </c>
      <c r="G558" s="1">
        <v>54328.7</v>
      </c>
      <c r="H558" s="1">
        <v>369839</v>
      </c>
      <c r="I558" s="1">
        <v>586038</v>
      </c>
      <c r="J558" s="1">
        <v>49409</v>
      </c>
      <c r="K558" s="1">
        <v>88273.9</v>
      </c>
      <c r="L558" s="1">
        <v>92951.6</v>
      </c>
      <c r="M558" s="1">
        <v>65043.7</v>
      </c>
      <c r="N558" s="1">
        <v>82035.100000000006</v>
      </c>
      <c r="O558" s="1">
        <v>85699.5</v>
      </c>
      <c r="P558" s="1">
        <v>52471</v>
      </c>
      <c r="Q558" s="1">
        <v>81695</v>
      </c>
      <c r="R558" s="1">
        <v>0</v>
      </c>
    </row>
    <row r="559" spans="1:18">
      <c r="A559" s="3">
        <v>45895.208360590281</v>
      </c>
      <c r="B559" s="1">
        <v>423576</v>
      </c>
      <c r="C559" s="1">
        <v>77744</v>
      </c>
      <c r="D559" s="1">
        <v>39704.9</v>
      </c>
      <c r="E559" s="1">
        <v>0</v>
      </c>
      <c r="F559" s="1">
        <v>403095</v>
      </c>
      <c r="G559" s="1">
        <v>54384.800000000003</v>
      </c>
      <c r="H559" s="1">
        <v>369850</v>
      </c>
      <c r="I559" s="1">
        <v>586262</v>
      </c>
      <c r="J559" s="1">
        <v>49419.199999999997</v>
      </c>
      <c r="K559" s="1">
        <v>88277</v>
      </c>
      <c r="L559" s="1">
        <v>92974.5</v>
      </c>
      <c r="M559" s="1">
        <v>65086.8</v>
      </c>
      <c r="N559" s="1">
        <v>82093.899999999994</v>
      </c>
      <c r="O559" s="1">
        <v>85717.2</v>
      </c>
      <c r="P559" s="1">
        <v>52471</v>
      </c>
      <c r="Q559" s="1">
        <v>81695</v>
      </c>
      <c r="R559" s="1">
        <v>0</v>
      </c>
    </row>
    <row r="560" spans="1:18">
      <c r="A560" s="3">
        <v>45895.250027314818</v>
      </c>
      <c r="B560" s="1">
        <v>424290</v>
      </c>
      <c r="C560" s="1">
        <v>77933</v>
      </c>
      <c r="D560" s="1">
        <v>39718.199999999997</v>
      </c>
      <c r="E560" s="1">
        <v>0</v>
      </c>
      <c r="F560" s="1">
        <v>403116</v>
      </c>
      <c r="G560" s="1">
        <v>54440</v>
      </c>
      <c r="H560" s="1">
        <v>369861</v>
      </c>
      <c r="I560" s="1">
        <v>586489</v>
      </c>
      <c r="J560" s="1">
        <v>49429.3</v>
      </c>
      <c r="K560" s="1">
        <v>88280</v>
      </c>
      <c r="L560" s="1">
        <v>92996.4</v>
      </c>
      <c r="M560" s="1">
        <v>65124.3</v>
      </c>
      <c r="N560" s="1">
        <v>82148.5</v>
      </c>
      <c r="O560" s="1">
        <v>85736.2</v>
      </c>
      <c r="P560" s="1">
        <v>52471</v>
      </c>
      <c r="Q560" s="1">
        <v>81695</v>
      </c>
      <c r="R560" s="1">
        <v>0</v>
      </c>
    </row>
    <row r="561" spans="1:18">
      <c r="A561" s="3">
        <v>45895.291694039355</v>
      </c>
      <c r="B561" s="1">
        <v>425008</v>
      </c>
      <c r="C561" s="1">
        <v>78128</v>
      </c>
      <c r="D561" s="1">
        <v>39731.699999999997</v>
      </c>
      <c r="E561" s="1">
        <v>0</v>
      </c>
      <c r="F561" s="1">
        <v>403137</v>
      </c>
      <c r="G561" s="1">
        <v>54494.3</v>
      </c>
      <c r="H561" s="1">
        <v>369871</v>
      </c>
      <c r="I561" s="1">
        <v>586716</v>
      </c>
      <c r="J561" s="1">
        <v>49438.9</v>
      </c>
      <c r="K561" s="1">
        <v>88282.2</v>
      </c>
      <c r="L561" s="1">
        <v>93018.7</v>
      </c>
      <c r="M561" s="1">
        <v>65161.5</v>
      </c>
      <c r="N561" s="1">
        <v>82202.7</v>
      </c>
      <c r="O561" s="1">
        <v>85755.5</v>
      </c>
      <c r="P561" s="1">
        <v>52471</v>
      </c>
      <c r="Q561" s="1">
        <v>81696</v>
      </c>
      <c r="R561" s="1">
        <v>0</v>
      </c>
    </row>
    <row r="562" spans="1:18">
      <c r="A562" s="3">
        <v>45895.333360763892</v>
      </c>
      <c r="B562" s="1">
        <v>425777</v>
      </c>
      <c r="C562" s="1">
        <v>78334</v>
      </c>
      <c r="D562" s="1">
        <v>39745.699999999997</v>
      </c>
      <c r="E562" s="1">
        <v>0</v>
      </c>
      <c r="F562" s="1">
        <v>403164</v>
      </c>
      <c r="G562" s="1">
        <v>54547.3</v>
      </c>
      <c r="H562" s="1">
        <v>369883</v>
      </c>
      <c r="I562" s="1">
        <v>586958</v>
      </c>
      <c r="J562" s="1">
        <v>49450.6</v>
      </c>
      <c r="K562" s="1">
        <v>88282.8</v>
      </c>
      <c r="L562" s="1">
        <v>93042.9</v>
      </c>
      <c r="M562" s="1">
        <v>65199.4</v>
      </c>
      <c r="N562" s="1">
        <v>82254.100000000006</v>
      </c>
      <c r="O562" s="1">
        <v>85783.9</v>
      </c>
      <c r="P562" s="1">
        <v>52472</v>
      </c>
      <c r="Q562" s="1">
        <v>81698</v>
      </c>
      <c r="R562" s="1">
        <v>0</v>
      </c>
    </row>
    <row r="563" spans="1:18">
      <c r="A563" s="3">
        <v>45895.375027488422</v>
      </c>
      <c r="B563" s="1">
        <v>426696</v>
      </c>
      <c r="C563" s="1">
        <v>78584</v>
      </c>
      <c r="D563" s="1">
        <v>39764.5</v>
      </c>
      <c r="E563" s="1">
        <v>0</v>
      </c>
      <c r="F563" s="1">
        <v>403195</v>
      </c>
      <c r="G563" s="1">
        <v>54601.1</v>
      </c>
      <c r="H563" s="1">
        <v>369894</v>
      </c>
      <c r="I563" s="1">
        <v>587260</v>
      </c>
      <c r="J563" s="1">
        <v>49462.6</v>
      </c>
      <c r="K563" s="1">
        <v>88282.9</v>
      </c>
      <c r="L563" s="1">
        <v>93074.6</v>
      </c>
      <c r="M563" s="1">
        <v>65245.4</v>
      </c>
      <c r="N563" s="1">
        <v>82303.5</v>
      </c>
      <c r="O563" s="1">
        <v>85821.9</v>
      </c>
      <c r="P563" s="1">
        <v>52477</v>
      </c>
      <c r="Q563" s="1">
        <v>81708</v>
      </c>
      <c r="R563" s="1">
        <v>0</v>
      </c>
    </row>
    <row r="564" spans="1:18">
      <c r="A564" s="3">
        <v>45895.41669421296</v>
      </c>
      <c r="B564" s="1">
        <v>427879</v>
      </c>
      <c r="C564" s="1">
        <v>78916</v>
      </c>
      <c r="D564" s="1">
        <v>39793.1</v>
      </c>
      <c r="E564" s="1">
        <v>0</v>
      </c>
      <c r="F564" s="1">
        <v>403234</v>
      </c>
      <c r="G564" s="1">
        <v>54663.6</v>
      </c>
      <c r="H564" s="1">
        <v>369938</v>
      </c>
      <c r="I564" s="1">
        <v>587635</v>
      </c>
      <c r="J564" s="1">
        <v>49474.400000000001</v>
      </c>
      <c r="K564" s="1">
        <v>88282.9</v>
      </c>
      <c r="L564" s="1">
        <v>93111.6</v>
      </c>
      <c r="M564" s="1">
        <v>65296.6</v>
      </c>
      <c r="N564" s="1">
        <v>82351.5</v>
      </c>
      <c r="O564" s="1">
        <v>85877.8</v>
      </c>
      <c r="P564" s="1">
        <v>52487</v>
      </c>
      <c r="Q564" s="1">
        <v>81723</v>
      </c>
      <c r="R564" s="1">
        <v>0</v>
      </c>
    </row>
    <row r="565" spans="1:18">
      <c r="A565" s="3">
        <v>45895.458360937497</v>
      </c>
      <c r="B565" s="1">
        <v>429187</v>
      </c>
      <c r="C565" s="1">
        <v>79280</v>
      </c>
      <c r="D565" s="1">
        <v>39826.800000000003</v>
      </c>
      <c r="E565" s="1">
        <v>0</v>
      </c>
      <c r="F565" s="1">
        <v>403283</v>
      </c>
      <c r="G565" s="1">
        <v>54745.9</v>
      </c>
      <c r="H565" s="1">
        <v>369985</v>
      </c>
      <c r="I565" s="1">
        <v>588052</v>
      </c>
      <c r="J565" s="1">
        <v>49489.599999999999</v>
      </c>
      <c r="K565" s="1">
        <v>88283</v>
      </c>
      <c r="L565" s="1">
        <v>93153.9</v>
      </c>
      <c r="M565" s="1">
        <v>65344.5</v>
      </c>
      <c r="N565" s="1">
        <v>82403.199999999997</v>
      </c>
      <c r="O565" s="1">
        <v>85948.5</v>
      </c>
      <c r="P565" s="1">
        <v>52500</v>
      </c>
      <c r="Q565" s="1">
        <v>81742</v>
      </c>
      <c r="R565" s="1">
        <v>0</v>
      </c>
    </row>
    <row r="566" spans="1:18">
      <c r="A566" s="3">
        <v>45895.500027662034</v>
      </c>
      <c r="B566" s="1">
        <v>430576</v>
      </c>
      <c r="C566" s="1">
        <v>79668</v>
      </c>
      <c r="D566" s="1">
        <v>39863.4</v>
      </c>
      <c r="E566" s="1">
        <v>0</v>
      </c>
      <c r="F566" s="1">
        <v>403342</v>
      </c>
      <c r="G566" s="1">
        <v>54846.8</v>
      </c>
      <c r="H566" s="1">
        <v>370032</v>
      </c>
      <c r="I566" s="1">
        <v>588498</v>
      </c>
      <c r="J566" s="1">
        <v>49505.8</v>
      </c>
      <c r="K566" s="1">
        <v>88283</v>
      </c>
      <c r="L566" s="1">
        <v>93193.9</v>
      </c>
      <c r="M566" s="1">
        <v>65399.1</v>
      </c>
      <c r="N566" s="1">
        <v>82451.399999999994</v>
      </c>
      <c r="O566" s="1">
        <v>86014.1</v>
      </c>
      <c r="P566" s="1">
        <v>52514</v>
      </c>
      <c r="Q566" s="1">
        <v>81764</v>
      </c>
      <c r="R566" s="1">
        <v>0</v>
      </c>
    </row>
    <row r="567" spans="1:18">
      <c r="A567" s="3">
        <v>45895.541694386571</v>
      </c>
      <c r="B567" s="1">
        <v>432014</v>
      </c>
      <c r="C567" s="1">
        <v>80060</v>
      </c>
      <c r="D567" s="1">
        <v>39905.5</v>
      </c>
      <c r="E567" s="1">
        <v>0</v>
      </c>
      <c r="F567" s="1">
        <v>403402</v>
      </c>
      <c r="G567" s="1">
        <v>54946.7</v>
      </c>
      <c r="H567" s="1">
        <v>370066</v>
      </c>
      <c r="I567" s="1">
        <v>588985</v>
      </c>
      <c r="J567" s="1">
        <v>49520.800000000003</v>
      </c>
      <c r="K567" s="1">
        <v>88283.199999999997</v>
      </c>
      <c r="L567" s="1">
        <v>93236.1</v>
      </c>
      <c r="M567" s="1">
        <v>65456.4</v>
      </c>
      <c r="N567" s="1">
        <v>82502.7</v>
      </c>
      <c r="O567" s="1">
        <v>86082.5</v>
      </c>
      <c r="P567" s="1">
        <v>52529</v>
      </c>
      <c r="Q567" s="1">
        <v>81787</v>
      </c>
      <c r="R567" s="1">
        <v>0</v>
      </c>
    </row>
    <row r="568" spans="1:18">
      <c r="A568" s="3">
        <v>45895.583361111108</v>
      </c>
      <c r="B568" s="1">
        <v>433531</v>
      </c>
      <c r="C568" s="1">
        <v>80459</v>
      </c>
      <c r="D568" s="1">
        <v>39956</v>
      </c>
      <c r="E568" s="1">
        <v>0</v>
      </c>
      <c r="F568" s="1">
        <v>403472</v>
      </c>
      <c r="G568" s="1">
        <v>55062.5</v>
      </c>
      <c r="H568" s="1">
        <v>370111</v>
      </c>
      <c r="I568" s="1">
        <v>589483</v>
      </c>
      <c r="J568" s="1">
        <v>49536.3</v>
      </c>
      <c r="K568" s="1">
        <v>88283.199999999997</v>
      </c>
      <c r="L568" s="1">
        <v>93283.4</v>
      </c>
      <c r="M568" s="1">
        <v>65512.2</v>
      </c>
      <c r="N568" s="1">
        <v>82550</v>
      </c>
      <c r="O568" s="1">
        <v>86158.8</v>
      </c>
      <c r="P568" s="1">
        <v>52544</v>
      </c>
      <c r="Q568" s="1">
        <v>81810</v>
      </c>
      <c r="R568" s="1">
        <v>0</v>
      </c>
    </row>
    <row r="569" spans="1:18">
      <c r="A569" s="3">
        <v>45895.625027835646</v>
      </c>
      <c r="B569" s="1">
        <v>435082</v>
      </c>
      <c r="C569" s="1">
        <v>80882</v>
      </c>
      <c r="D569" s="1">
        <v>40006.400000000001</v>
      </c>
      <c r="E569" s="1">
        <v>0</v>
      </c>
      <c r="F569" s="1">
        <v>403537</v>
      </c>
      <c r="G569" s="1">
        <v>55190.8</v>
      </c>
      <c r="H569" s="1">
        <v>370155</v>
      </c>
      <c r="I569" s="1">
        <v>589986</v>
      </c>
      <c r="J569" s="1">
        <v>49551.4</v>
      </c>
      <c r="K569" s="1">
        <v>88283.3</v>
      </c>
      <c r="L569" s="1">
        <v>93334.3</v>
      </c>
      <c r="M569" s="1">
        <v>65578.7</v>
      </c>
      <c r="N569" s="1">
        <v>82598.399999999994</v>
      </c>
      <c r="O569" s="1">
        <v>86211.6</v>
      </c>
      <c r="P569" s="1">
        <v>52559</v>
      </c>
      <c r="Q569" s="1">
        <v>81832</v>
      </c>
      <c r="R569" s="1">
        <v>0</v>
      </c>
    </row>
    <row r="570" spans="1:18">
      <c r="A570" s="3">
        <v>45895.666694560183</v>
      </c>
      <c r="B570" s="1">
        <v>436615</v>
      </c>
      <c r="C570" s="1">
        <v>81311</v>
      </c>
      <c r="D570" s="1">
        <v>40055.5</v>
      </c>
      <c r="E570" s="1">
        <v>0</v>
      </c>
      <c r="F570" s="1">
        <v>403602</v>
      </c>
      <c r="G570" s="1">
        <v>55320.800000000003</v>
      </c>
      <c r="H570" s="1">
        <v>370194</v>
      </c>
      <c r="I570" s="1">
        <v>590490</v>
      </c>
      <c r="J570" s="1">
        <v>49564.6</v>
      </c>
      <c r="K570" s="1">
        <v>88287.1</v>
      </c>
      <c r="L570" s="1">
        <v>93384.5</v>
      </c>
      <c r="M570" s="1">
        <v>65640</v>
      </c>
      <c r="N570" s="1">
        <v>82653.399999999994</v>
      </c>
      <c r="O570" s="1">
        <v>86241.4</v>
      </c>
      <c r="P570" s="1">
        <v>52567</v>
      </c>
      <c r="Q570" s="1">
        <v>81845</v>
      </c>
      <c r="R570" s="1">
        <v>0</v>
      </c>
    </row>
    <row r="571" spans="1:18">
      <c r="A571" s="3">
        <v>45895.70836128472</v>
      </c>
      <c r="B571" s="1">
        <v>438033</v>
      </c>
      <c r="C571" s="1">
        <v>81697</v>
      </c>
      <c r="D571" s="1">
        <v>40097.800000000003</v>
      </c>
      <c r="E571" s="1">
        <v>0</v>
      </c>
      <c r="F571" s="1">
        <v>403654</v>
      </c>
      <c r="G571" s="1">
        <v>55460</v>
      </c>
      <c r="H571" s="1">
        <v>370236</v>
      </c>
      <c r="I571" s="1">
        <v>590954</v>
      </c>
      <c r="J571" s="1">
        <v>49575.6</v>
      </c>
      <c r="K571" s="1">
        <v>88294.7</v>
      </c>
      <c r="L571" s="1">
        <v>93426.6</v>
      </c>
      <c r="M571" s="1">
        <v>65696.399999999994</v>
      </c>
      <c r="N571" s="1">
        <v>82710.600000000006</v>
      </c>
      <c r="O571" s="1">
        <v>86265.9</v>
      </c>
      <c r="P571" s="1">
        <v>52570</v>
      </c>
      <c r="Q571" s="1">
        <v>81848</v>
      </c>
      <c r="R571" s="1">
        <v>0</v>
      </c>
    </row>
    <row r="572" spans="1:18">
      <c r="A572" s="3">
        <v>45895.750028009257</v>
      </c>
      <c r="B572" s="1">
        <v>439287</v>
      </c>
      <c r="C572" s="1">
        <v>82062</v>
      </c>
      <c r="D572" s="1">
        <v>40133.599999999999</v>
      </c>
      <c r="E572" s="1">
        <v>0</v>
      </c>
      <c r="F572" s="1">
        <v>403698</v>
      </c>
      <c r="G572" s="1">
        <v>55566.1</v>
      </c>
      <c r="H572" s="1">
        <v>370256</v>
      </c>
      <c r="I572" s="1">
        <v>591368</v>
      </c>
      <c r="J572" s="1">
        <v>49586.6</v>
      </c>
      <c r="K572" s="1">
        <v>88297.8</v>
      </c>
      <c r="L572" s="1">
        <v>93466.9</v>
      </c>
      <c r="M572" s="1">
        <v>65744.800000000003</v>
      </c>
      <c r="N572" s="1">
        <v>82767.100000000006</v>
      </c>
      <c r="O572" s="1">
        <v>86290.2</v>
      </c>
      <c r="P572" s="1">
        <v>52573</v>
      </c>
      <c r="Q572" s="1">
        <v>81853</v>
      </c>
      <c r="R572" s="1">
        <v>0</v>
      </c>
    </row>
    <row r="573" spans="1:18">
      <c r="A573" s="3">
        <v>45895.791694733794</v>
      </c>
      <c r="B573" s="1">
        <v>440385</v>
      </c>
      <c r="C573" s="1">
        <v>82365</v>
      </c>
      <c r="D573" s="1">
        <v>40162.400000000001</v>
      </c>
      <c r="E573" s="1">
        <v>0</v>
      </c>
      <c r="F573" s="1">
        <v>403730</v>
      </c>
      <c r="G573" s="1">
        <v>55656.9</v>
      </c>
      <c r="H573" s="1">
        <v>370274</v>
      </c>
      <c r="I573" s="1">
        <v>591740</v>
      </c>
      <c r="J573" s="1">
        <v>49597.4</v>
      </c>
      <c r="K573" s="1">
        <v>88301.6</v>
      </c>
      <c r="L573" s="1">
        <v>93502.7</v>
      </c>
      <c r="M573" s="1">
        <v>65790</v>
      </c>
      <c r="N573" s="1">
        <v>82824.100000000006</v>
      </c>
      <c r="O573" s="1">
        <v>86310.7</v>
      </c>
      <c r="P573" s="1">
        <v>52573</v>
      </c>
      <c r="Q573" s="1">
        <v>81854</v>
      </c>
      <c r="R573" s="1">
        <v>0</v>
      </c>
    </row>
    <row r="574" spans="1:18">
      <c r="A574" s="3">
        <v>45895.833361458332</v>
      </c>
      <c r="B574" s="1">
        <v>441399</v>
      </c>
      <c r="C574" s="1">
        <v>82645</v>
      </c>
      <c r="D574" s="1">
        <v>40182.300000000003</v>
      </c>
      <c r="E574" s="1">
        <v>0</v>
      </c>
      <c r="F574" s="1">
        <v>403754</v>
      </c>
      <c r="G574" s="1">
        <v>55742.400000000001</v>
      </c>
      <c r="H574" s="1">
        <v>370288</v>
      </c>
      <c r="I574" s="1">
        <v>592097</v>
      </c>
      <c r="J574" s="1">
        <v>49608</v>
      </c>
      <c r="K574" s="1">
        <v>88305.5</v>
      </c>
      <c r="L574" s="1">
        <v>93532.6</v>
      </c>
      <c r="M574" s="1">
        <v>65833.100000000006</v>
      </c>
      <c r="N574" s="1">
        <v>82881.399999999994</v>
      </c>
      <c r="O574" s="1">
        <v>86334</v>
      </c>
      <c r="P574" s="1">
        <v>52573</v>
      </c>
      <c r="Q574" s="1">
        <v>81854</v>
      </c>
      <c r="R574" s="1">
        <v>0</v>
      </c>
    </row>
    <row r="575" spans="1:18">
      <c r="A575" s="3">
        <v>45895.875028182869</v>
      </c>
      <c r="B575" s="1">
        <v>442332</v>
      </c>
      <c r="C575" s="1">
        <v>82902</v>
      </c>
      <c r="D575" s="1">
        <v>40202.199999999997</v>
      </c>
      <c r="E575" s="1">
        <v>0</v>
      </c>
      <c r="F575" s="1">
        <v>403776</v>
      </c>
      <c r="G575" s="1">
        <v>55819.4</v>
      </c>
      <c r="H575" s="1">
        <v>370300</v>
      </c>
      <c r="I575" s="1">
        <v>592414</v>
      </c>
      <c r="J575" s="1">
        <v>49618.5</v>
      </c>
      <c r="K575" s="1">
        <v>88309.4</v>
      </c>
      <c r="L575" s="1">
        <v>93560.9</v>
      </c>
      <c r="M575" s="1">
        <v>65874.3</v>
      </c>
      <c r="N575" s="1">
        <v>82938.2</v>
      </c>
      <c r="O575" s="1">
        <v>86358</v>
      </c>
      <c r="P575" s="1">
        <v>52573</v>
      </c>
      <c r="Q575" s="1">
        <v>81854</v>
      </c>
      <c r="R575" s="1">
        <v>0</v>
      </c>
    </row>
    <row r="576" spans="1:18">
      <c r="A576" s="3">
        <v>45895.916694907406</v>
      </c>
      <c r="B576" s="1">
        <v>443202</v>
      </c>
      <c r="C576" s="1">
        <v>83139</v>
      </c>
      <c r="D576" s="1">
        <v>40221.4</v>
      </c>
      <c r="E576" s="1">
        <v>0</v>
      </c>
      <c r="F576" s="1">
        <v>403796</v>
      </c>
      <c r="G576" s="1">
        <v>55899.5</v>
      </c>
      <c r="H576" s="1">
        <v>370312</v>
      </c>
      <c r="I576" s="1">
        <v>592701</v>
      </c>
      <c r="J576" s="1">
        <v>49628.800000000003</v>
      </c>
      <c r="K576" s="1">
        <v>88313.3</v>
      </c>
      <c r="L576" s="1">
        <v>93586.4</v>
      </c>
      <c r="M576" s="1">
        <v>65913.100000000006</v>
      </c>
      <c r="N576" s="1">
        <v>82993.8</v>
      </c>
      <c r="O576" s="1">
        <v>86381.4</v>
      </c>
      <c r="P576" s="1">
        <v>52573</v>
      </c>
      <c r="Q576" s="1">
        <v>81854</v>
      </c>
      <c r="R576" s="1">
        <v>0</v>
      </c>
    </row>
    <row r="577" spans="1:18">
      <c r="A577" s="3">
        <v>45895.958361631943</v>
      </c>
      <c r="B577" s="1">
        <v>443999</v>
      </c>
      <c r="C577" s="1">
        <v>83340</v>
      </c>
      <c r="D577" s="1">
        <v>40237.4</v>
      </c>
      <c r="E577" s="1">
        <v>0</v>
      </c>
      <c r="F577" s="1">
        <v>403815</v>
      </c>
      <c r="G577" s="1">
        <v>55970.2</v>
      </c>
      <c r="H577" s="1">
        <v>370323</v>
      </c>
      <c r="I577" s="1">
        <v>592976</v>
      </c>
      <c r="J577" s="1">
        <v>49638.6</v>
      </c>
      <c r="K577" s="1">
        <v>88316.800000000003</v>
      </c>
      <c r="L577" s="1">
        <v>93613.1</v>
      </c>
      <c r="M577" s="1">
        <v>65950.8</v>
      </c>
      <c r="N577" s="1">
        <v>83048.600000000006</v>
      </c>
      <c r="O577" s="1">
        <v>86399.7</v>
      </c>
      <c r="P577" s="1">
        <v>52573</v>
      </c>
      <c r="Q577" s="1">
        <v>81854</v>
      </c>
      <c r="R577" s="1">
        <v>0</v>
      </c>
    </row>
    <row r="578" spans="1:18">
      <c r="A578" s="3">
        <v>45896.00002835648</v>
      </c>
      <c r="B578" s="1">
        <v>444769</v>
      </c>
      <c r="C578" s="1">
        <v>83534</v>
      </c>
      <c r="D578" s="1">
        <v>40254.400000000001</v>
      </c>
      <c r="E578" s="1">
        <v>0</v>
      </c>
      <c r="F578" s="1">
        <v>403834</v>
      </c>
      <c r="G578" s="1">
        <v>56037.599999999999</v>
      </c>
      <c r="H578" s="1">
        <v>370334</v>
      </c>
      <c r="I578" s="1">
        <v>593236</v>
      </c>
      <c r="J578" s="1">
        <v>49648.4</v>
      </c>
      <c r="K578" s="1">
        <v>88320.2</v>
      </c>
      <c r="L578" s="1">
        <v>93640.5</v>
      </c>
      <c r="M578" s="1">
        <v>65987.5</v>
      </c>
      <c r="N578" s="1">
        <v>83103.100000000006</v>
      </c>
      <c r="O578" s="1">
        <v>86417.9</v>
      </c>
      <c r="P578" s="1">
        <v>52573</v>
      </c>
      <c r="Q578" s="1">
        <v>81854</v>
      </c>
      <c r="R578" s="1">
        <v>0</v>
      </c>
    </row>
    <row r="579" spans="1:18">
      <c r="A579" s="3">
        <v>45896.041695081018</v>
      </c>
      <c r="B579" s="1">
        <v>445522</v>
      </c>
      <c r="C579" s="1">
        <v>83728</v>
      </c>
      <c r="D579" s="1">
        <v>40271.199999999997</v>
      </c>
      <c r="E579" s="1">
        <v>0</v>
      </c>
      <c r="F579" s="1">
        <v>403853</v>
      </c>
      <c r="G579" s="1">
        <v>56100.9</v>
      </c>
      <c r="H579" s="1">
        <v>370346</v>
      </c>
      <c r="I579" s="1">
        <v>593488</v>
      </c>
      <c r="J579" s="1">
        <v>49658</v>
      </c>
      <c r="K579" s="1">
        <v>88323.6</v>
      </c>
      <c r="L579" s="1">
        <v>93664.3</v>
      </c>
      <c r="M579" s="1">
        <v>66024</v>
      </c>
      <c r="N579" s="1">
        <v>83157.899999999994</v>
      </c>
      <c r="O579" s="1">
        <v>86433.9</v>
      </c>
      <c r="P579" s="1">
        <v>52573</v>
      </c>
      <c r="Q579" s="1">
        <v>81854</v>
      </c>
      <c r="R579" s="1">
        <v>0</v>
      </c>
    </row>
    <row r="580" spans="1:18">
      <c r="A580" s="3">
        <v>45896.083361805555</v>
      </c>
      <c r="B580" s="1">
        <v>446256</v>
      </c>
      <c r="C580" s="1">
        <v>83917</v>
      </c>
      <c r="D580" s="1">
        <v>40286.300000000003</v>
      </c>
      <c r="E580" s="1">
        <v>0</v>
      </c>
      <c r="F580" s="1">
        <v>403871</v>
      </c>
      <c r="G580" s="1">
        <v>56164.5</v>
      </c>
      <c r="H580" s="1">
        <v>370357</v>
      </c>
      <c r="I580" s="1">
        <v>593731</v>
      </c>
      <c r="J580" s="1">
        <v>49667.5</v>
      </c>
      <c r="K580" s="1">
        <v>88327</v>
      </c>
      <c r="L580" s="1">
        <v>93687</v>
      </c>
      <c r="M580" s="1">
        <v>66060.3</v>
      </c>
      <c r="N580" s="1">
        <v>83212.399999999994</v>
      </c>
      <c r="O580" s="1">
        <v>86451.199999999997</v>
      </c>
      <c r="P580" s="1">
        <v>52573</v>
      </c>
      <c r="Q580" s="1">
        <v>81854</v>
      </c>
      <c r="R580" s="1">
        <v>0</v>
      </c>
    </row>
    <row r="581" spans="1:18">
      <c r="A581" s="3">
        <v>45896.125028530092</v>
      </c>
      <c r="B581" s="1">
        <v>446988</v>
      </c>
      <c r="C581" s="1">
        <v>84103</v>
      </c>
      <c r="D581" s="1">
        <v>40300.699999999997</v>
      </c>
      <c r="E581" s="1">
        <v>0</v>
      </c>
      <c r="F581" s="1">
        <v>403889</v>
      </c>
      <c r="G581" s="1">
        <v>56224.7</v>
      </c>
      <c r="H581" s="1">
        <v>370368</v>
      </c>
      <c r="I581" s="1">
        <v>593976</v>
      </c>
      <c r="J581" s="1">
        <v>49677.2</v>
      </c>
      <c r="K581" s="1">
        <v>88330.5</v>
      </c>
      <c r="L581" s="1">
        <v>93709.4</v>
      </c>
      <c r="M581" s="1">
        <v>66098.7</v>
      </c>
      <c r="N581" s="1">
        <v>83267.399999999994</v>
      </c>
      <c r="O581" s="1">
        <v>86468</v>
      </c>
      <c r="P581" s="1">
        <v>52573</v>
      </c>
      <c r="Q581" s="1">
        <v>81854</v>
      </c>
      <c r="R581" s="1">
        <v>0</v>
      </c>
    </row>
    <row r="582" spans="1:18">
      <c r="A582" s="3">
        <v>45896.166695254629</v>
      </c>
      <c r="B582" s="1">
        <v>447719</v>
      </c>
      <c r="C582" s="1">
        <v>84292</v>
      </c>
      <c r="D582" s="1">
        <v>40315.5</v>
      </c>
      <c r="E582" s="1">
        <v>0</v>
      </c>
      <c r="F582" s="1">
        <v>403908</v>
      </c>
      <c r="G582" s="1">
        <v>56282</v>
      </c>
      <c r="H582" s="1">
        <v>370380</v>
      </c>
      <c r="I582" s="1">
        <v>594219</v>
      </c>
      <c r="J582" s="1">
        <v>49686.7</v>
      </c>
      <c r="K582" s="1">
        <v>88334</v>
      </c>
      <c r="L582" s="1">
        <v>93731.8</v>
      </c>
      <c r="M582" s="1">
        <v>66138.2</v>
      </c>
      <c r="N582" s="1">
        <v>83321.899999999994</v>
      </c>
      <c r="O582" s="1">
        <v>86485.2</v>
      </c>
      <c r="P582" s="1">
        <v>52573</v>
      </c>
      <c r="Q582" s="1">
        <v>81854</v>
      </c>
      <c r="R582" s="1">
        <v>0</v>
      </c>
    </row>
    <row r="583" spans="1:18">
      <c r="A583" s="3">
        <v>45896.208361979167</v>
      </c>
      <c r="B583" s="1">
        <v>448448</v>
      </c>
      <c r="C583" s="1">
        <v>84482</v>
      </c>
      <c r="D583" s="1">
        <v>40329.1</v>
      </c>
      <c r="E583" s="1">
        <v>0</v>
      </c>
      <c r="F583" s="1">
        <v>403926</v>
      </c>
      <c r="G583" s="1">
        <v>56339.1</v>
      </c>
      <c r="H583" s="1">
        <v>370391</v>
      </c>
      <c r="I583" s="1">
        <v>594459</v>
      </c>
      <c r="J583" s="1">
        <v>49696.3</v>
      </c>
      <c r="K583" s="1">
        <v>88337.5</v>
      </c>
      <c r="L583" s="1">
        <v>93754</v>
      </c>
      <c r="M583" s="1">
        <v>66178.100000000006</v>
      </c>
      <c r="N583" s="1">
        <v>83377.5</v>
      </c>
      <c r="O583" s="1">
        <v>86502.8</v>
      </c>
      <c r="P583" s="1">
        <v>52573</v>
      </c>
      <c r="Q583" s="1">
        <v>81854</v>
      </c>
      <c r="R583" s="1">
        <v>0</v>
      </c>
    </row>
    <row r="584" spans="1:18">
      <c r="A584" s="3">
        <v>45896.250028703704</v>
      </c>
      <c r="B584" s="1">
        <v>449170</v>
      </c>
      <c r="C584" s="1">
        <v>84671</v>
      </c>
      <c r="D584" s="1">
        <v>40342.400000000001</v>
      </c>
      <c r="E584" s="1">
        <v>0</v>
      </c>
      <c r="F584" s="1">
        <v>403945</v>
      </c>
      <c r="G584" s="1">
        <v>56396.4</v>
      </c>
      <c r="H584" s="1">
        <v>370402</v>
      </c>
      <c r="I584" s="1">
        <v>594692</v>
      </c>
      <c r="J584" s="1">
        <v>49706.1</v>
      </c>
      <c r="K584" s="1">
        <v>88341</v>
      </c>
      <c r="L584" s="1">
        <v>93775.4</v>
      </c>
      <c r="M584" s="1">
        <v>66215.8</v>
      </c>
      <c r="N584" s="1">
        <v>83433</v>
      </c>
      <c r="O584" s="1">
        <v>86523.3</v>
      </c>
      <c r="P584" s="1">
        <v>52573</v>
      </c>
      <c r="Q584" s="1">
        <v>81854</v>
      </c>
      <c r="R584" s="1">
        <v>0</v>
      </c>
    </row>
    <row r="585" spans="1:18">
      <c r="A585" s="3">
        <v>45896.291695428241</v>
      </c>
      <c r="B585" s="1">
        <v>449879</v>
      </c>
      <c r="C585" s="1">
        <v>84862</v>
      </c>
      <c r="D585" s="1">
        <v>40355.5</v>
      </c>
      <c r="E585" s="1">
        <v>0</v>
      </c>
      <c r="F585" s="1">
        <v>403962</v>
      </c>
      <c r="G585" s="1">
        <v>56451.5</v>
      </c>
      <c r="H585" s="1">
        <v>370414</v>
      </c>
      <c r="I585" s="1">
        <v>594918</v>
      </c>
      <c r="J585" s="1">
        <v>49715.3</v>
      </c>
      <c r="K585" s="1">
        <v>88344.6</v>
      </c>
      <c r="L585" s="1">
        <v>93795.9</v>
      </c>
      <c r="M585" s="1">
        <v>66252.600000000006</v>
      </c>
      <c r="N585" s="1">
        <v>83487.899999999994</v>
      </c>
      <c r="O585" s="1">
        <v>86542.1</v>
      </c>
      <c r="P585" s="1">
        <v>52573</v>
      </c>
      <c r="Q585" s="1">
        <v>81854</v>
      </c>
      <c r="R585" s="1">
        <v>0</v>
      </c>
    </row>
    <row r="586" spans="1:18">
      <c r="A586" s="3">
        <v>45896.333362152778</v>
      </c>
      <c r="B586" s="1">
        <v>450603</v>
      </c>
      <c r="C586" s="1">
        <v>85060</v>
      </c>
      <c r="D586" s="1">
        <v>40368.300000000003</v>
      </c>
      <c r="E586" s="1">
        <v>0</v>
      </c>
      <c r="F586" s="1">
        <v>403979</v>
      </c>
      <c r="G586" s="1">
        <v>56505.1</v>
      </c>
      <c r="H586" s="1">
        <v>370425</v>
      </c>
      <c r="I586" s="1">
        <v>595146</v>
      </c>
      <c r="J586" s="1">
        <v>49724.5</v>
      </c>
      <c r="K586" s="1">
        <v>88347.6</v>
      </c>
      <c r="L586" s="1">
        <v>93816.4</v>
      </c>
      <c r="M586" s="1">
        <v>66288.100000000006</v>
      </c>
      <c r="N586" s="1">
        <v>83542.100000000006</v>
      </c>
      <c r="O586" s="1">
        <v>86567.7</v>
      </c>
      <c r="P586" s="1">
        <v>52574</v>
      </c>
      <c r="Q586" s="1">
        <v>81855</v>
      </c>
      <c r="R586" s="1">
        <v>0</v>
      </c>
    </row>
    <row r="587" spans="1:18">
      <c r="A587" s="3">
        <v>45896.375028877315</v>
      </c>
      <c r="B587" s="1">
        <v>451448</v>
      </c>
      <c r="C587" s="1">
        <v>85291</v>
      </c>
      <c r="D587" s="1">
        <v>40385.4</v>
      </c>
      <c r="E587" s="1">
        <v>0</v>
      </c>
      <c r="F587" s="1">
        <v>404002</v>
      </c>
      <c r="G587" s="1">
        <v>56565.1</v>
      </c>
      <c r="H587" s="1">
        <v>370436</v>
      </c>
      <c r="I587" s="1">
        <v>595405</v>
      </c>
      <c r="J587" s="1">
        <v>49733.7</v>
      </c>
      <c r="K587" s="1">
        <v>88353.600000000006</v>
      </c>
      <c r="L587" s="1">
        <v>93843.4</v>
      </c>
      <c r="M587" s="1">
        <v>66331</v>
      </c>
      <c r="N587" s="1">
        <v>83598.100000000006</v>
      </c>
      <c r="O587" s="1">
        <v>86604.4</v>
      </c>
      <c r="P587" s="1">
        <v>52574</v>
      </c>
      <c r="Q587" s="1">
        <v>81856</v>
      </c>
      <c r="R587" s="1">
        <v>0</v>
      </c>
    </row>
    <row r="588" spans="1:18">
      <c r="A588" s="3">
        <v>45896.416695601853</v>
      </c>
      <c r="B588" s="1">
        <v>452517</v>
      </c>
      <c r="C588" s="1">
        <v>85582</v>
      </c>
      <c r="D588" s="1">
        <v>40407.4</v>
      </c>
      <c r="E588" s="1">
        <v>0</v>
      </c>
      <c r="F588" s="1">
        <v>404041</v>
      </c>
      <c r="G588" s="1">
        <v>56633.2</v>
      </c>
      <c r="H588" s="1">
        <v>370473</v>
      </c>
      <c r="I588" s="1">
        <v>595733</v>
      </c>
      <c r="J588" s="1">
        <v>49743.6</v>
      </c>
      <c r="K588" s="1">
        <v>88359.4</v>
      </c>
      <c r="L588" s="1">
        <v>93876.6</v>
      </c>
      <c r="M588" s="1">
        <v>66376</v>
      </c>
      <c r="N588" s="1">
        <v>83653.5</v>
      </c>
      <c r="O588" s="1">
        <v>86653.6</v>
      </c>
      <c r="P588" s="1">
        <v>52576</v>
      </c>
      <c r="Q588" s="1">
        <v>81859</v>
      </c>
      <c r="R588" s="1">
        <v>0</v>
      </c>
    </row>
    <row r="589" spans="1:18">
      <c r="A589" s="3">
        <v>45896.45836232639</v>
      </c>
      <c r="B589" s="1">
        <v>453763</v>
      </c>
      <c r="C589" s="1">
        <v>85928</v>
      </c>
      <c r="D589" s="1">
        <v>40431.800000000003</v>
      </c>
      <c r="E589" s="1">
        <v>0</v>
      </c>
      <c r="F589" s="1">
        <v>404092</v>
      </c>
      <c r="G589" s="1">
        <v>56721.1</v>
      </c>
      <c r="H589" s="1">
        <v>370507</v>
      </c>
      <c r="I589" s="1">
        <v>596131</v>
      </c>
      <c r="J589" s="1">
        <v>49755.7</v>
      </c>
      <c r="K589" s="1">
        <v>88361</v>
      </c>
      <c r="L589" s="1">
        <v>93908.5</v>
      </c>
      <c r="M589" s="1">
        <v>66421.8</v>
      </c>
      <c r="N589" s="1">
        <v>83706.399999999994</v>
      </c>
      <c r="O589" s="1">
        <v>86722.3</v>
      </c>
      <c r="P589" s="1">
        <v>52583</v>
      </c>
      <c r="Q589" s="1">
        <v>81869</v>
      </c>
      <c r="R589" s="1">
        <v>0</v>
      </c>
    </row>
    <row r="590" spans="1:18">
      <c r="A590" s="3">
        <v>45896.500029050927</v>
      </c>
      <c r="B590" s="1">
        <v>455064</v>
      </c>
      <c r="C590" s="1">
        <v>86275</v>
      </c>
      <c r="D590" s="1">
        <v>40462.400000000001</v>
      </c>
      <c r="E590" s="1">
        <v>0</v>
      </c>
      <c r="F590" s="1">
        <v>404145</v>
      </c>
      <c r="G590" s="1">
        <v>56817.5</v>
      </c>
      <c r="H590" s="1">
        <v>370546</v>
      </c>
      <c r="I590" s="1">
        <v>596547</v>
      </c>
      <c r="J590" s="1">
        <v>49769.599999999999</v>
      </c>
      <c r="K590" s="1">
        <v>88362.1</v>
      </c>
      <c r="L590" s="1">
        <v>93949.8</v>
      </c>
      <c r="M590" s="1">
        <v>66474.8</v>
      </c>
      <c r="N590" s="1">
        <v>83756.7</v>
      </c>
      <c r="O590" s="1">
        <v>86791.7</v>
      </c>
      <c r="P590" s="1">
        <v>52592</v>
      </c>
      <c r="Q590" s="1">
        <v>81883</v>
      </c>
      <c r="R590" s="1">
        <v>0</v>
      </c>
    </row>
    <row r="591" spans="1:18">
      <c r="A591" s="3">
        <v>45896.541695775464</v>
      </c>
      <c r="B591" s="1">
        <v>456376</v>
      </c>
      <c r="C591" s="1">
        <v>86628</v>
      </c>
      <c r="D591" s="1">
        <v>40490.9</v>
      </c>
      <c r="E591" s="1">
        <v>0</v>
      </c>
      <c r="F591" s="1">
        <v>404199</v>
      </c>
      <c r="G591" s="1">
        <v>56914.3</v>
      </c>
      <c r="H591" s="1">
        <v>370571</v>
      </c>
      <c r="I591" s="1">
        <v>596979</v>
      </c>
      <c r="J591" s="1">
        <v>49783.199999999997</v>
      </c>
      <c r="K591" s="1">
        <v>88363.4</v>
      </c>
      <c r="L591" s="1">
        <v>94000.8</v>
      </c>
      <c r="M591" s="1">
        <v>66522.5</v>
      </c>
      <c r="N591" s="1">
        <v>83806.7</v>
      </c>
      <c r="O591" s="1">
        <v>86861.7</v>
      </c>
      <c r="P591" s="1">
        <v>52602</v>
      </c>
      <c r="Q591" s="1">
        <v>81898</v>
      </c>
      <c r="R591" s="1">
        <v>0</v>
      </c>
    </row>
    <row r="592" spans="1:18">
      <c r="A592" s="3">
        <v>45896.583362500001</v>
      </c>
      <c r="B592" s="1">
        <v>457772</v>
      </c>
      <c r="C592" s="1">
        <v>86999</v>
      </c>
      <c r="D592" s="1">
        <v>40524</v>
      </c>
      <c r="E592" s="1">
        <v>0</v>
      </c>
      <c r="F592" s="1">
        <v>404256</v>
      </c>
      <c r="G592" s="1">
        <v>57027.7</v>
      </c>
      <c r="H592" s="1">
        <v>370582</v>
      </c>
      <c r="I592" s="1">
        <v>597445</v>
      </c>
      <c r="J592" s="1">
        <v>49797</v>
      </c>
      <c r="K592" s="1">
        <v>88365.1</v>
      </c>
      <c r="L592" s="1">
        <v>94052.5</v>
      </c>
      <c r="M592" s="1">
        <v>66581.8</v>
      </c>
      <c r="N592" s="1">
        <v>83857.100000000006</v>
      </c>
      <c r="O592" s="1">
        <v>86935.4</v>
      </c>
      <c r="P592" s="1">
        <v>52613</v>
      </c>
      <c r="Q592" s="1">
        <v>81915</v>
      </c>
      <c r="R592" s="1">
        <v>0</v>
      </c>
    </row>
    <row r="593" spans="1:18">
      <c r="A593" s="3">
        <v>45896.625029224539</v>
      </c>
      <c r="B593" s="1">
        <v>459207</v>
      </c>
      <c r="C593" s="1">
        <v>87386</v>
      </c>
      <c r="D593" s="1">
        <v>40564.400000000001</v>
      </c>
      <c r="E593" s="1">
        <v>0</v>
      </c>
      <c r="F593" s="1">
        <v>404311</v>
      </c>
      <c r="G593" s="1">
        <v>57153.5</v>
      </c>
      <c r="H593" s="1">
        <v>370593</v>
      </c>
      <c r="I593" s="1">
        <v>597926</v>
      </c>
      <c r="J593" s="1">
        <v>49811.199999999997</v>
      </c>
      <c r="K593" s="1">
        <v>88369.2</v>
      </c>
      <c r="L593" s="1">
        <v>94102.3</v>
      </c>
      <c r="M593" s="1">
        <v>66641.100000000006</v>
      </c>
      <c r="N593" s="1">
        <v>83911.3</v>
      </c>
      <c r="O593" s="1">
        <v>86989.7</v>
      </c>
      <c r="P593" s="1">
        <v>52620</v>
      </c>
      <c r="Q593" s="1">
        <v>81926</v>
      </c>
      <c r="R593" s="1">
        <v>0</v>
      </c>
    </row>
    <row r="594" spans="1:18">
      <c r="A594" s="3">
        <v>45896.666695949076</v>
      </c>
      <c r="B594" s="1">
        <v>460593</v>
      </c>
      <c r="C594" s="1">
        <v>87785</v>
      </c>
      <c r="D594" s="1">
        <v>40601.699999999997</v>
      </c>
      <c r="E594" s="1">
        <v>0</v>
      </c>
      <c r="F594" s="1">
        <v>404365</v>
      </c>
      <c r="G594" s="1">
        <v>57272.6</v>
      </c>
      <c r="H594" s="1">
        <v>370604</v>
      </c>
      <c r="I594" s="1">
        <v>598402</v>
      </c>
      <c r="J594" s="1">
        <v>49823.5</v>
      </c>
      <c r="K594" s="1">
        <v>88371.3</v>
      </c>
      <c r="L594" s="1">
        <v>94145.9</v>
      </c>
      <c r="M594" s="1">
        <v>66696.7</v>
      </c>
      <c r="N594" s="1">
        <v>83964.6</v>
      </c>
      <c r="O594" s="1">
        <v>87016.3</v>
      </c>
      <c r="P594" s="1">
        <v>52627</v>
      </c>
      <c r="Q594" s="1">
        <v>81937</v>
      </c>
      <c r="R594" s="1">
        <v>0</v>
      </c>
    </row>
    <row r="595" spans="1:18">
      <c r="A595" s="3">
        <v>45896.708362673613</v>
      </c>
      <c r="B595" s="1">
        <v>461916</v>
      </c>
      <c r="C595" s="1">
        <v>88163</v>
      </c>
      <c r="D595" s="1">
        <v>40636.800000000003</v>
      </c>
      <c r="E595" s="1">
        <v>0</v>
      </c>
      <c r="F595" s="1">
        <v>404414</v>
      </c>
      <c r="G595" s="1">
        <v>57378.2</v>
      </c>
      <c r="H595" s="1">
        <v>370616</v>
      </c>
      <c r="I595" s="1">
        <v>598866</v>
      </c>
      <c r="J595" s="1">
        <v>49835.5</v>
      </c>
      <c r="K595" s="1">
        <v>88373.3</v>
      </c>
      <c r="L595" s="1">
        <v>94188.1</v>
      </c>
      <c r="M595" s="1">
        <v>66746.7</v>
      </c>
      <c r="N595" s="1">
        <v>84016.2</v>
      </c>
      <c r="O595" s="1">
        <v>87043.1</v>
      </c>
      <c r="P595" s="1">
        <v>52634</v>
      </c>
      <c r="Q595" s="1">
        <v>81948</v>
      </c>
      <c r="R595" s="1">
        <v>0</v>
      </c>
    </row>
    <row r="596" spans="1:18">
      <c r="A596" s="3">
        <v>45896.75002939815</v>
      </c>
      <c r="B596" s="1">
        <v>463135</v>
      </c>
      <c r="C596" s="1">
        <v>88512</v>
      </c>
      <c r="D596" s="1">
        <v>40665.699999999997</v>
      </c>
      <c r="E596" s="1">
        <v>0</v>
      </c>
      <c r="F596" s="1">
        <v>404453</v>
      </c>
      <c r="G596" s="1">
        <v>57474.9</v>
      </c>
      <c r="H596" s="1">
        <v>370628</v>
      </c>
      <c r="I596" s="1">
        <v>599300</v>
      </c>
      <c r="J596" s="1">
        <v>49848.2</v>
      </c>
      <c r="K596" s="1">
        <v>88374.2</v>
      </c>
      <c r="L596" s="1">
        <v>94222.7</v>
      </c>
      <c r="M596" s="1">
        <v>66793.899999999994</v>
      </c>
      <c r="N596" s="1">
        <v>84069.8</v>
      </c>
      <c r="O596" s="1">
        <v>87069.9</v>
      </c>
      <c r="P596" s="1">
        <v>52638</v>
      </c>
      <c r="Q596" s="1">
        <v>81954</v>
      </c>
      <c r="R596" s="1">
        <v>0</v>
      </c>
    </row>
    <row r="597" spans="1:18">
      <c r="A597" s="3">
        <v>45896.791696122687</v>
      </c>
      <c r="B597" s="1">
        <v>464202</v>
      </c>
      <c r="C597" s="1">
        <v>88800</v>
      </c>
      <c r="D597" s="1">
        <v>40682.5</v>
      </c>
      <c r="E597" s="1">
        <v>0</v>
      </c>
      <c r="F597" s="1">
        <v>404487</v>
      </c>
      <c r="G597" s="1">
        <v>57563</v>
      </c>
      <c r="H597" s="1">
        <v>370639</v>
      </c>
      <c r="I597" s="1">
        <v>599693</v>
      </c>
      <c r="J597" s="1">
        <v>49861.1</v>
      </c>
      <c r="K597" s="1">
        <v>88377.600000000006</v>
      </c>
      <c r="L597" s="1">
        <v>94247.8</v>
      </c>
      <c r="M597" s="1">
        <v>66836.5</v>
      </c>
      <c r="N597" s="1">
        <v>84125.3</v>
      </c>
      <c r="O597" s="1">
        <v>87092.7</v>
      </c>
      <c r="P597" s="1">
        <v>52639</v>
      </c>
      <c r="Q597" s="1">
        <v>81955</v>
      </c>
      <c r="R597" s="1">
        <v>0</v>
      </c>
    </row>
    <row r="598" spans="1:18">
      <c r="A598" s="3">
        <v>45896.833362847225</v>
      </c>
      <c r="B598" s="1">
        <v>465163</v>
      </c>
      <c r="C598" s="1">
        <v>89060</v>
      </c>
      <c r="D598" s="1">
        <v>40698.5</v>
      </c>
      <c r="E598" s="1">
        <v>0</v>
      </c>
      <c r="F598" s="1">
        <v>404514</v>
      </c>
      <c r="G598" s="1">
        <v>57642.2</v>
      </c>
      <c r="H598" s="1">
        <v>370650</v>
      </c>
      <c r="I598" s="1">
        <v>600034</v>
      </c>
      <c r="J598" s="1">
        <v>49872.1</v>
      </c>
      <c r="K598" s="1">
        <v>88381.3</v>
      </c>
      <c r="L598" s="1">
        <v>94271.6</v>
      </c>
      <c r="M598" s="1">
        <v>66877.899999999994</v>
      </c>
      <c r="N598" s="1">
        <v>84181.5</v>
      </c>
      <c r="O598" s="1">
        <v>87116.9</v>
      </c>
      <c r="P598" s="1">
        <v>52639</v>
      </c>
      <c r="Q598" s="1">
        <v>81955</v>
      </c>
      <c r="R598" s="1">
        <v>0</v>
      </c>
    </row>
    <row r="599" spans="1:18">
      <c r="A599" s="3">
        <v>45896.875029571762</v>
      </c>
      <c r="B599" s="1">
        <v>466044</v>
      </c>
      <c r="C599" s="1">
        <v>89297</v>
      </c>
      <c r="D599" s="1">
        <v>40713.5</v>
      </c>
      <c r="E599" s="1">
        <v>0</v>
      </c>
      <c r="F599" s="1">
        <v>404539</v>
      </c>
      <c r="G599" s="1">
        <v>57715.9</v>
      </c>
      <c r="H599" s="1">
        <v>370662</v>
      </c>
      <c r="I599" s="1">
        <v>600337</v>
      </c>
      <c r="J599" s="1">
        <v>49882.2</v>
      </c>
      <c r="K599" s="1">
        <v>88384.9</v>
      </c>
      <c r="L599" s="1">
        <v>94294.6</v>
      </c>
      <c r="M599" s="1">
        <v>66919.3</v>
      </c>
      <c r="N599" s="1">
        <v>84237.9</v>
      </c>
      <c r="O599" s="1">
        <v>87138.4</v>
      </c>
      <c r="P599" s="1">
        <v>52639</v>
      </c>
      <c r="Q599" s="1">
        <v>81955</v>
      </c>
      <c r="R599" s="1">
        <v>0</v>
      </c>
    </row>
    <row r="600" spans="1:18">
      <c r="A600" s="3">
        <v>45896.916696296299</v>
      </c>
      <c r="B600" s="1">
        <v>466909</v>
      </c>
      <c r="C600" s="1">
        <v>89532</v>
      </c>
      <c r="D600" s="1">
        <v>40729.300000000003</v>
      </c>
      <c r="E600" s="1">
        <v>0</v>
      </c>
      <c r="F600" s="1">
        <v>404563</v>
      </c>
      <c r="G600" s="1">
        <v>57788.9</v>
      </c>
      <c r="H600" s="1">
        <v>370673</v>
      </c>
      <c r="I600" s="1">
        <v>600625</v>
      </c>
      <c r="J600" s="1">
        <v>49892.1</v>
      </c>
      <c r="K600" s="1">
        <v>88388.6</v>
      </c>
      <c r="L600" s="1">
        <v>94318.9</v>
      </c>
      <c r="M600" s="1">
        <v>66963.5</v>
      </c>
      <c r="N600" s="1">
        <v>84294.1</v>
      </c>
      <c r="O600" s="1">
        <v>87160</v>
      </c>
      <c r="P600" s="1">
        <v>52639</v>
      </c>
      <c r="Q600" s="1">
        <v>81955</v>
      </c>
      <c r="R600" s="1">
        <v>0</v>
      </c>
    </row>
    <row r="601" spans="1:18">
      <c r="A601" s="3">
        <v>45896.958363020836</v>
      </c>
      <c r="B601" s="1">
        <v>467741</v>
      </c>
      <c r="C601" s="1">
        <v>89752</v>
      </c>
      <c r="D601" s="1">
        <v>40743.4</v>
      </c>
      <c r="E601" s="1">
        <v>0</v>
      </c>
      <c r="F601" s="1">
        <v>404587</v>
      </c>
      <c r="G601" s="1">
        <v>57862.9</v>
      </c>
      <c r="H601" s="1">
        <v>370684</v>
      </c>
      <c r="I601" s="1">
        <v>600904</v>
      </c>
      <c r="J601" s="1">
        <v>49902.1</v>
      </c>
      <c r="K601" s="1">
        <v>88392.1</v>
      </c>
      <c r="L601" s="1">
        <v>94343.6</v>
      </c>
      <c r="M601" s="1">
        <v>67001.5</v>
      </c>
      <c r="N601" s="1">
        <v>84351.5</v>
      </c>
      <c r="O601" s="1">
        <v>87179.4</v>
      </c>
      <c r="P601" s="1">
        <v>52639</v>
      </c>
      <c r="Q601" s="1">
        <v>81955</v>
      </c>
      <c r="R601" s="1">
        <v>0</v>
      </c>
    </row>
    <row r="602" spans="1:18">
      <c r="A602" s="3">
        <v>45897.000029745373</v>
      </c>
      <c r="B602" s="1">
        <v>468533</v>
      </c>
      <c r="C602" s="1">
        <v>89961</v>
      </c>
      <c r="D602" s="1">
        <v>40756.800000000003</v>
      </c>
      <c r="E602" s="1">
        <v>0</v>
      </c>
      <c r="F602" s="1">
        <v>404608</v>
      </c>
      <c r="G602" s="1">
        <v>57930.6</v>
      </c>
      <c r="H602" s="1">
        <v>370696</v>
      </c>
      <c r="I602" s="1">
        <v>601168</v>
      </c>
      <c r="J602" s="1">
        <v>49912</v>
      </c>
      <c r="K602" s="1">
        <v>88395.5</v>
      </c>
      <c r="L602" s="1">
        <v>94367.9</v>
      </c>
      <c r="M602" s="1">
        <v>67038.3</v>
      </c>
      <c r="N602" s="1">
        <v>84406.9</v>
      </c>
      <c r="O602" s="1">
        <v>87198.399999999994</v>
      </c>
      <c r="P602" s="1">
        <v>52639</v>
      </c>
      <c r="Q602" s="1">
        <v>81955</v>
      </c>
      <c r="R602" s="1">
        <v>0</v>
      </c>
    </row>
    <row r="603" spans="1:18">
      <c r="A603" s="3">
        <v>45897.041696469911</v>
      </c>
      <c r="B603" s="1">
        <v>469289</v>
      </c>
      <c r="C603" s="1">
        <v>90161</v>
      </c>
      <c r="D603" s="1">
        <v>40770.6</v>
      </c>
      <c r="E603" s="1">
        <v>0</v>
      </c>
      <c r="F603" s="1">
        <v>404629</v>
      </c>
      <c r="G603" s="1">
        <v>57993.9</v>
      </c>
      <c r="H603" s="1">
        <v>370707</v>
      </c>
      <c r="I603" s="1">
        <v>601417</v>
      </c>
      <c r="J603" s="1">
        <v>49921.599999999999</v>
      </c>
      <c r="K603" s="1">
        <v>88398.9</v>
      </c>
      <c r="L603" s="1">
        <v>94391.2</v>
      </c>
      <c r="M603" s="1">
        <v>67075.100000000006</v>
      </c>
      <c r="N603" s="1">
        <v>84462.3</v>
      </c>
      <c r="O603" s="1">
        <v>87216.4</v>
      </c>
      <c r="P603" s="1">
        <v>52639</v>
      </c>
      <c r="Q603" s="1">
        <v>81955</v>
      </c>
      <c r="R603" s="1">
        <v>0</v>
      </c>
    </row>
    <row r="604" spans="1:18">
      <c r="A604" s="3">
        <v>45897.083363194448</v>
      </c>
      <c r="B604" s="1">
        <v>470019</v>
      </c>
      <c r="C604" s="1">
        <v>90353</v>
      </c>
      <c r="D604" s="1">
        <v>40783.199999999997</v>
      </c>
      <c r="E604" s="1">
        <v>0</v>
      </c>
      <c r="F604" s="1">
        <v>404649</v>
      </c>
      <c r="G604" s="1">
        <v>58051.3</v>
      </c>
      <c r="H604" s="1">
        <v>370718</v>
      </c>
      <c r="I604" s="1">
        <v>601654</v>
      </c>
      <c r="J604" s="1">
        <v>49931.1</v>
      </c>
      <c r="K604" s="1">
        <v>88402.3</v>
      </c>
      <c r="L604" s="1">
        <v>94414</v>
      </c>
      <c r="M604" s="1">
        <v>67114.600000000006</v>
      </c>
      <c r="N604" s="1">
        <v>84517.5</v>
      </c>
      <c r="O604" s="1">
        <v>87236</v>
      </c>
      <c r="P604" s="1">
        <v>52639</v>
      </c>
      <c r="Q604" s="1">
        <v>81955</v>
      </c>
      <c r="R604" s="1">
        <v>0</v>
      </c>
    </row>
    <row r="605" spans="1:18">
      <c r="A605" s="3">
        <v>45897.125029918985</v>
      </c>
      <c r="B605" s="1">
        <v>470739</v>
      </c>
      <c r="C605" s="1">
        <v>90544</v>
      </c>
      <c r="D605" s="1">
        <v>40796.6</v>
      </c>
      <c r="E605" s="1">
        <v>0</v>
      </c>
      <c r="F605" s="1">
        <v>404670</v>
      </c>
      <c r="G605" s="1">
        <v>58107.7</v>
      </c>
      <c r="H605" s="1">
        <v>370729</v>
      </c>
      <c r="I605" s="1">
        <v>601883</v>
      </c>
      <c r="J605" s="1">
        <v>49940.7</v>
      </c>
      <c r="K605" s="1">
        <v>88405.6</v>
      </c>
      <c r="L605" s="1">
        <v>94438.7</v>
      </c>
      <c r="M605" s="1">
        <v>67153.100000000006</v>
      </c>
      <c r="N605" s="1">
        <v>84571.7</v>
      </c>
      <c r="O605" s="1">
        <v>87254.5</v>
      </c>
      <c r="P605" s="1">
        <v>52639</v>
      </c>
      <c r="Q605" s="1">
        <v>81955</v>
      </c>
      <c r="R605" s="1">
        <v>0</v>
      </c>
    </row>
    <row r="606" spans="1:18">
      <c r="A606" s="3">
        <v>45897.166696643515</v>
      </c>
      <c r="B606" s="1">
        <v>471452</v>
      </c>
      <c r="C606" s="1">
        <v>90730</v>
      </c>
      <c r="D606" s="1">
        <v>40809.9</v>
      </c>
      <c r="E606" s="1">
        <v>0</v>
      </c>
      <c r="F606" s="1">
        <v>404691</v>
      </c>
      <c r="G606" s="1">
        <v>58163.5</v>
      </c>
      <c r="H606" s="1">
        <v>370740</v>
      </c>
      <c r="I606" s="1">
        <v>602110</v>
      </c>
      <c r="J606" s="1">
        <v>49950.1</v>
      </c>
      <c r="K606" s="1">
        <v>88409</v>
      </c>
      <c r="L606" s="1">
        <v>94463.6</v>
      </c>
      <c r="M606" s="1">
        <v>67190.5</v>
      </c>
      <c r="N606" s="1">
        <v>84625.9</v>
      </c>
      <c r="O606" s="1">
        <v>87273.3</v>
      </c>
      <c r="P606" s="1">
        <v>52639</v>
      </c>
      <c r="Q606" s="1">
        <v>81955</v>
      </c>
      <c r="R606" s="1">
        <v>0</v>
      </c>
    </row>
    <row r="607" spans="1:18">
      <c r="A607" s="3">
        <v>45897.208363368052</v>
      </c>
      <c r="B607" s="1">
        <v>472162</v>
      </c>
      <c r="C607" s="1">
        <v>90915</v>
      </c>
      <c r="D607" s="1">
        <v>40823</v>
      </c>
      <c r="E607" s="1">
        <v>0</v>
      </c>
      <c r="F607" s="1">
        <v>404711</v>
      </c>
      <c r="G607" s="1">
        <v>58218.400000000001</v>
      </c>
      <c r="H607" s="1">
        <v>370751</v>
      </c>
      <c r="I607" s="1">
        <v>602335</v>
      </c>
      <c r="J607" s="1">
        <v>49959.5</v>
      </c>
      <c r="K607" s="1">
        <v>88412.800000000003</v>
      </c>
      <c r="L607" s="1">
        <v>94487.1</v>
      </c>
      <c r="M607" s="1">
        <v>67229</v>
      </c>
      <c r="N607" s="1">
        <v>84681.4</v>
      </c>
      <c r="O607" s="1">
        <v>87293.3</v>
      </c>
      <c r="P607" s="1">
        <v>52639</v>
      </c>
      <c r="Q607" s="1">
        <v>81955</v>
      </c>
      <c r="R607" s="1">
        <v>0</v>
      </c>
    </row>
    <row r="608" spans="1:18">
      <c r="A608" s="3">
        <v>45897.250030092589</v>
      </c>
      <c r="B608" s="1">
        <v>472861</v>
      </c>
      <c r="C608" s="1">
        <v>91097</v>
      </c>
      <c r="D608" s="1">
        <v>40836.699999999997</v>
      </c>
      <c r="E608" s="1">
        <v>0</v>
      </c>
      <c r="F608" s="1">
        <v>404730</v>
      </c>
      <c r="G608" s="1">
        <v>58272.800000000003</v>
      </c>
      <c r="H608" s="1">
        <v>370763</v>
      </c>
      <c r="I608" s="1">
        <v>602557</v>
      </c>
      <c r="J608" s="1">
        <v>49968.7</v>
      </c>
      <c r="K608" s="1">
        <v>88416.2</v>
      </c>
      <c r="L608" s="1">
        <v>94508.1</v>
      </c>
      <c r="M608" s="1">
        <v>67266.600000000006</v>
      </c>
      <c r="N608" s="1">
        <v>84736</v>
      </c>
      <c r="O608" s="1">
        <v>87313.8</v>
      </c>
      <c r="P608" s="1">
        <v>52639</v>
      </c>
      <c r="Q608" s="1">
        <v>81955</v>
      </c>
      <c r="R608" s="1">
        <v>0</v>
      </c>
    </row>
    <row r="609" spans="1:18">
      <c r="A609" s="3">
        <v>45897.291696817127</v>
      </c>
      <c r="B609" s="1">
        <v>473560</v>
      </c>
      <c r="C609" s="1">
        <v>91280</v>
      </c>
      <c r="D609" s="1">
        <v>40849.699999999997</v>
      </c>
      <c r="E609" s="1">
        <v>0</v>
      </c>
      <c r="F609" s="1">
        <v>404748</v>
      </c>
      <c r="G609" s="1">
        <v>58325.599999999999</v>
      </c>
      <c r="H609" s="1">
        <v>370773</v>
      </c>
      <c r="I609" s="1">
        <v>602785</v>
      </c>
      <c r="J609" s="1">
        <v>49977.8</v>
      </c>
      <c r="K609" s="1">
        <v>88418.7</v>
      </c>
      <c r="L609" s="1">
        <v>94528.4</v>
      </c>
      <c r="M609" s="1">
        <v>67301.3</v>
      </c>
      <c r="N609" s="1">
        <v>84790</v>
      </c>
      <c r="O609" s="1">
        <v>87334.2</v>
      </c>
      <c r="P609" s="1">
        <v>52639</v>
      </c>
      <c r="Q609" s="1">
        <v>81956</v>
      </c>
      <c r="R609" s="1">
        <v>0</v>
      </c>
    </row>
    <row r="610" spans="1:18">
      <c r="A610" s="3">
        <v>45897.333363541664</v>
      </c>
      <c r="B610" s="1">
        <v>474284</v>
      </c>
      <c r="C610" s="1">
        <v>91479</v>
      </c>
      <c r="D610" s="1">
        <v>40863.5</v>
      </c>
      <c r="E610" s="1">
        <v>0</v>
      </c>
      <c r="F610" s="1">
        <v>404767</v>
      </c>
      <c r="G610" s="1">
        <v>58375.8</v>
      </c>
      <c r="H610" s="1">
        <v>370784</v>
      </c>
      <c r="I610" s="1">
        <v>603020</v>
      </c>
      <c r="J610" s="1">
        <v>49986.3</v>
      </c>
      <c r="K610" s="1">
        <v>88419.4</v>
      </c>
      <c r="L610" s="1">
        <v>94550.8</v>
      </c>
      <c r="M610" s="1">
        <v>67336.5</v>
      </c>
      <c r="N610" s="1">
        <v>84841.4</v>
      </c>
      <c r="O610" s="1">
        <v>87358.7</v>
      </c>
      <c r="P610" s="1">
        <v>52641</v>
      </c>
      <c r="Q610" s="1">
        <v>81959</v>
      </c>
      <c r="R610" s="1">
        <v>0</v>
      </c>
    </row>
    <row r="611" spans="1:18">
      <c r="A611" s="3">
        <v>45897.375030266201</v>
      </c>
      <c r="B611" s="1">
        <v>475149</v>
      </c>
      <c r="C611" s="1">
        <v>91715</v>
      </c>
      <c r="D611" s="1">
        <v>40878.5</v>
      </c>
      <c r="E611" s="1">
        <v>0</v>
      </c>
      <c r="F611" s="1">
        <v>404792</v>
      </c>
      <c r="G611" s="1">
        <v>58428.6</v>
      </c>
      <c r="H611" s="1">
        <v>370795</v>
      </c>
      <c r="I611" s="1">
        <v>603307</v>
      </c>
      <c r="J611" s="1">
        <v>49995.8</v>
      </c>
      <c r="K611" s="1">
        <v>88419.4</v>
      </c>
      <c r="L611" s="1">
        <v>94579.8</v>
      </c>
      <c r="M611" s="1">
        <v>67380.100000000006</v>
      </c>
      <c r="N611" s="1">
        <v>84890.2</v>
      </c>
      <c r="O611" s="1">
        <v>87397.3</v>
      </c>
      <c r="P611" s="1">
        <v>52646</v>
      </c>
      <c r="Q611" s="1">
        <v>81969</v>
      </c>
      <c r="R611" s="1">
        <v>0</v>
      </c>
    </row>
    <row r="612" spans="1:18">
      <c r="A612" s="3">
        <v>45897.416696990738</v>
      </c>
      <c r="B612" s="1">
        <v>476231</v>
      </c>
      <c r="C612" s="1">
        <v>92013</v>
      </c>
      <c r="D612" s="1">
        <v>40901.5</v>
      </c>
      <c r="E612" s="1">
        <v>0</v>
      </c>
      <c r="F612" s="1">
        <v>404827</v>
      </c>
      <c r="G612" s="1">
        <v>58491.9</v>
      </c>
      <c r="H612" s="1">
        <v>370806</v>
      </c>
      <c r="I612" s="1">
        <v>603677</v>
      </c>
      <c r="J612" s="1">
        <v>50000.6</v>
      </c>
      <c r="K612" s="1">
        <v>88422.6</v>
      </c>
      <c r="L612" s="1">
        <v>94611.6</v>
      </c>
      <c r="M612" s="1">
        <v>67425.600000000006</v>
      </c>
      <c r="N612" s="1">
        <v>84942.1</v>
      </c>
      <c r="O612" s="1">
        <v>87452.6</v>
      </c>
      <c r="P612" s="1">
        <v>52652</v>
      </c>
      <c r="Q612" s="1">
        <v>81977</v>
      </c>
      <c r="R612" s="1">
        <v>0</v>
      </c>
    </row>
    <row r="613" spans="1:18">
      <c r="A613" s="3">
        <v>45897.458363715275</v>
      </c>
      <c r="B613" s="1">
        <v>477479</v>
      </c>
      <c r="C613" s="1">
        <v>92350</v>
      </c>
      <c r="D613" s="1">
        <v>40932.699999999997</v>
      </c>
      <c r="E613" s="1">
        <v>0</v>
      </c>
      <c r="F613" s="1">
        <v>404877</v>
      </c>
      <c r="G613" s="1">
        <v>58582.9</v>
      </c>
      <c r="H613" s="1">
        <v>370830</v>
      </c>
      <c r="I613" s="1">
        <v>604081</v>
      </c>
      <c r="J613" s="1">
        <v>50006.5</v>
      </c>
      <c r="K613" s="1">
        <v>88423.5</v>
      </c>
      <c r="L613" s="1">
        <v>94644</v>
      </c>
      <c r="M613" s="1">
        <v>67478.7</v>
      </c>
      <c r="N613" s="1">
        <v>84992.4</v>
      </c>
      <c r="O613" s="1">
        <v>87525.1</v>
      </c>
      <c r="P613" s="1">
        <v>52662</v>
      </c>
      <c r="Q613" s="1">
        <v>81993</v>
      </c>
      <c r="R613" s="1">
        <v>0</v>
      </c>
    </row>
    <row r="614" spans="1:18">
      <c r="A614" s="3">
        <v>45897.500030439813</v>
      </c>
      <c r="B614" s="1">
        <v>478756</v>
      </c>
      <c r="C614" s="1">
        <v>92719</v>
      </c>
      <c r="D614" s="1">
        <v>40963.300000000003</v>
      </c>
      <c r="E614" s="1">
        <v>0</v>
      </c>
      <c r="F614" s="1">
        <v>404927</v>
      </c>
      <c r="G614" s="1">
        <v>58671.5</v>
      </c>
      <c r="H614" s="1">
        <v>370844</v>
      </c>
      <c r="I614" s="1">
        <v>604507</v>
      </c>
      <c r="J614" s="1">
        <v>50012.6</v>
      </c>
      <c r="K614" s="1">
        <v>88423.6</v>
      </c>
      <c r="L614" s="1">
        <v>94681.3</v>
      </c>
      <c r="M614" s="1">
        <v>67530.8</v>
      </c>
      <c r="N614" s="1">
        <v>85037.5</v>
      </c>
      <c r="O614" s="1">
        <v>87592.8</v>
      </c>
      <c r="P614" s="1">
        <v>52676</v>
      </c>
      <c r="Q614" s="1">
        <v>82014</v>
      </c>
      <c r="R614" s="1">
        <v>0</v>
      </c>
    </row>
    <row r="615" spans="1:18">
      <c r="A615" s="3">
        <v>45897.54169716435</v>
      </c>
      <c r="B615" s="1">
        <v>480070</v>
      </c>
      <c r="C615" s="1">
        <v>93091</v>
      </c>
      <c r="D615" s="1">
        <v>40995</v>
      </c>
      <c r="E615" s="1">
        <v>0</v>
      </c>
      <c r="F615" s="1">
        <v>404987</v>
      </c>
      <c r="G615" s="1">
        <v>58763.199999999997</v>
      </c>
      <c r="H615" s="1">
        <v>370858</v>
      </c>
      <c r="I615" s="1">
        <v>604943</v>
      </c>
      <c r="J615" s="1">
        <v>50023.4</v>
      </c>
      <c r="K615" s="1">
        <v>88423.6</v>
      </c>
      <c r="L615" s="1">
        <v>94723.5</v>
      </c>
      <c r="M615" s="1">
        <v>67584.899999999994</v>
      </c>
      <c r="N615" s="1">
        <v>85084.3</v>
      </c>
      <c r="O615" s="1">
        <v>87659.199999999997</v>
      </c>
      <c r="P615" s="1">
        <v>52686</v>
      </c>
      <c r="Q615" s="1">
        <v>82031</v>
      </c>
      <c r="R615" s="1">
        <v>0</v>
      </c>
    </row>
    <row r="616" spans="1:18">
      <c r="A616" s="3">
        <v>45897.583363888887</v>
      </c>
      <c r="B616" s="1">
        <v>481468</v>
      </c>
      <c r="C616" s="1">
        <v>93495</v>
      </c>
      <c r="D616" s="1">
        <v>41036.400000000001</v>
      </c>
      <c r="E616" s="1">
        <v>0</v>
      </c>
      <c r="F616" s="1">
        <v>405045</v>
      </c>
      <c r="G616" s="1">
        <v>58859.3</v>
      </c>
      <c r="H616" s="1">
        <v>370874</v>
      </c>
      <c r="I616" s="1">
        <v>605399</v>
      </c>
      <c r="J616" s="1">
        <v>50034.9</v>
      </c>
      <c r="K616" s="1">
        <v>88423.8</v>
      </c>
      <c r="L616" s="1">
        <v>94773.1</v>
      </c>
      <c r="M616" s="1">
        <v>67641.399999999994</v>
      </c>
      <c r="N616" s="1">
        <v>85128.2</v>
      </c>
      <c r="O616" s="1">
        <v>87733.6</v>
      </c>
      <c r="P616" s="1">
        <v>52700</v>
      </c>
      <c r="Q616" s="1">
        <v>82051</v>
      </c>
      <c r="R616" s="1">
        <v>0</v>
      </c>
    </row>
    <row r="617" spans="1:18">
      <c r="A617" s="3">
        <v>45897.625030613424</v>
      </c>
      <c r="B617" s="1">
        <v>482914</v>
      </c>
      <c r="C617" s="1">
        <v>93920</v>
      </c>
      <c r="D617" s="1">
        <v>41078.199999999997</v>
      </c>
      <c r="E617" s="1">
        <v>0</v>
      </c>
      <c r="F617" s="1">
        <v>405108</v>
      </c>
      <c r="G617" s="1">
        <v>58969.8</v>
      </c>
      <c r="H617" s="1">
        <v>370886</v>
      </c>
      <c r="I617" s="1">
        <v>605880</v>
      </c>
      <c r="J617" s="1">
        <v>50047</v>
      </c>
      <c r="K617" s="1">
        <v>88423.8</v>
      </c>
      <c r="L617" s="1">
        <v>94820.2</v>
      </c>
      <c r="M617" s="1">
        <v>67699.3</v>
      </c>
      <c r="N617" s="1">
        <v>85172.5</v>
      </c>
      <c r="O617" s="1">
        <v>87786.3</v>
      </c>
      <c r="P617" s="1">
        <v>52714</v>
      </c>
      <c r="Q617" s="1">
        <v>82073</v>
      </c>
      <c r="R617" s="1">
        <v>0</v>
      </c>
    </row>
    <row r="618" spans="1:18">
      <c r="A618" s="3">
        <v>45897.666697337962</v>
      </c>
      <c r="B618" s="1">
        <v>484306</v>
      </c>
      <c r="C618" s="1">
        <v>94316</v>
      </c>
      <c r="D618" s="1">
        <v>41119</v>
      </c>
      <c r="E618" s="1">
        <v>0</v>
      </c>
      <c r="F618" s="1">
        <v>405167</v>
      </c>
      <c r="G618" s="1">
        <v>59074.7</v>
      </c>
      <c r="H618" s="1">
        <v>370897</v>
      </c>
      <c r="I618" s="1">
        <v>606345</v>
      </c>
      <c r="J618" s="1">
        <v>50060.7</v>
      </c>
      <c r="K618" s="1">
        <v>88423.8</v>
      </c>
      <c r="L618" s="1">
        <v>94874</v>
      </c>
      <c r="M618" s="1">
        <v>67756.399999999994</v>
      </c>
      <c r="N618" s="1">
        <v>85220.9</v>
      </c>
      <c r="O618" s="1">
        <v>87817.2</v>
      </c>
      <c r="P618" s="1">
        <v>52726</v>
      </c>
      <c r="Q618" s="1">
        <v>82091</v>
      </c>
      <c r="R618" s="1">
        <v>0</v>
      </c>
    </row>
    <row r="619" spans="1:18">
      <c r="A619" s="3">
        <v>45897.708364062499</v>
      </c>
      <c r="B619" s="1">
        <v>485643</v>
      </c>
      <c r="C619" s="1">
        <v>94689</v>
      </c>
      <c r="D619" s="1">
        <v>41156</v>
      </c>
      <c r="E619" s="1">
        <v>0</v>
      </c>
      <c r="F619" s="1">
        <v>405222</v>
      </c>
      <c r="G619" s="1">
        <v>59178.6</v>
      </c>
      <c r="H619" s="1">
        <v>370911</v>
      </c>
      <c r="I619" s="1">
        <v>606800</v>
      </c>
      <c r="J619" s="1">
        <v>50071.7</v>
      </c>
      <c r="K619" s="1">
        <v>88426.9</v>
      </c>
      <c r="L619" s="1">
        <v>94925.9</v>
      </c>
      <c r="M619" s="1">
        <v>67809.899999999994</v>
      </c>
      <c r="N619" s="1">
        <v>85271.8</v>
      </c>
      <c r="O619" s="1">
        <v>87846.3</v>
      </c>
      <c r="P619" s="1">
        <v>52735</v>
      </c>
      <c r="Q619" s="1">
        <v>82105</v>
      </c>
      <c r="R619" s="1">
        <v>0</v>
      </c>
    </row>
    <row r="620" spans="1:18">
      <c r="A620" s="3">
        <v>45897.750030787036</v>
      </c>
      <c r="B620" s="1">
        <v>486869</v>
      </c>
      <c r="C620" s="1">
        <v>95032</v>
      </c>
      <c r="D620" s="1">
        <v>41185.199999999997</v>
      </c>
      <c r="E620" s="1">
        <v>0</v>
      </c>
      <c r="F620" s="1">
        <v>405264</v>
      </c>
      <c r="G620" s="1">
        <v>59277.7</v>
      </c>
      <c r="H620" s="1">
        <v>370936</v>
      </c>
      <c r="I620" s="1">
        <v>607207</v>
      </c>
      <c r="J620" s="1">
        <v>50080.9</v>
      </c>
      <c r="K620" s="1">
        <v>88430.8</v>
      </c>
      <c r="L620" s="1">
        <v>94973.8</v>
      </c>
      <c r="M620" s="1">
        <v>67860.899999999994</v>
      </c>
      <c r="N620" s="1">
        <v>85327.1</v>
      </c>
      <c r="O620" s="1">
        <v>87874.7</v>
      </c>
      <c r="P620" s="1">
        <v>52739</v>
      </c>
      <c r="Q620" s="1">
        <v>82111</v>
      </c>
      <c r="R620" s="1">
        <v>0</v>
      </c>
    </row>
    <row r="621" spans="1:18">
      <c r="A621" s="3">
        <v>45897.791697511573</v>
      </c>
      <c r="B621" s="1">
        <v>487943</v>
      </c>
      <c r="C621" s="1">
        <v>95323</v>
      </c>
      <c r="D621" s="1">
        <v>41204.5</v>
      </c>
      <c r="E621" s="1">
        <v>0</v>
      </c>
      <c r="F621" s="1">
        <v>405295</v>
      </c>
      <c r="G621" s="1">
        <v>59365.2</v>
      </c>
      <c r="H621" s="1">
        <v>370957</v>
      </c>
      <c r="I621" s="1">
        <v>607580</v>
      </c>
      <c r="J621" s="1">
        <v>50089.2</v>
      </c>
      <c r="K621" s="1">
        <v>88434.5</v>
      </c>
      <c r="L621" s="1">
        <v>95013.2</v>
      </c>
      <c r="M621" s="1">
        <v>67909.899999999994</v>
      </c>
      <c r="N621" s="1">
        <v>85381.9</v>
      </c>
      <c r="O621" s="1">
        <v>87899.5</v>
      </c>
      <c r="P621" s="1">
        <v>52740</v>
      </c>
      <c r="Q621" s="1">
        <v>82112</v>
      </c>
      <c r="R621" s="1">
        <v>0</v>
      </c>
    </row>
    <row r="622" spans="1:18">
      <c r="A622" s="3">
        <v>45897.83336423611</v>
      </c>
      <c r="B622" s="1">
        <v>488879</v>
      </c>
      <c r="C622" s="1">
        <v>95576</v>
      </c>
      <c r="D622" s="1">
        <v>41222.1</v>
      </c>
      <c r="E622" s="1">
        <v>0</v>
      </c>
      <c r="F622" s="1">
        <v>405320</v>
      </c>
      <c r="G622" s="1">
        <v>59440.9</v>
      </c>
      <c r="H622" s="1">
        <v>370970</v>
      </c>
      <c r="I622" s="1">
        <v>607901</v>
      </c>
      <c r="J622" s="1">
        <v>50096.800000000003</v>
      </c>
      <c r="K622" s="1">
        <v>88438.3</v>
      </c>
      <c r="L622" s="1">
        <v>95047.4</v>
      </c>
      <c r="M622" s="1">
        <v>67953.899999999994</v>
      </c>
      <c r="N622" s="1">
        <v>85436.4</v>
      </c>
      <c r="O622" s="1">
        <v>87924.9</v>
      </c>
      <c r="P622" s="1">
        <v>52740</v>
      </c>
      <c r="Q622" s="1">
        <v>82112</v>
      </c>
      <c r="R622" s="1">
        <v>0</v>
      </c>
    </row>
    <row r="623" spans="1:18">
      <c r="A623" s="3">
        <v>45897.875030960648</v>
      </c>
      <c r="B623" s="1">
        <v>489722</v>
      </c>
      <c r="C623" s="1">
        <v>95798</v>
      </c>
      <c r="D623" s="1">
        <v>41241.800000000003</v>
      </c>
      <c r="E623" s="1">
        <v>0</v>
      </c>
      <c r="F623" s="1">
        <v>405343</v>
      </c>
      <c r="G623" s="1">
        <v>59511.199999999997</v>
      </c>
      <c r="H623" s="1">
        <v>370983</v>
      </c>
      <c r="I623" s="1">
        <v>608176</v>
      </c>
      <c r="J623" s="1">
        <v>50104.1</v>
      </c>
      <c r="K623" s="1">
        <v>88441.8</v>
      </c>
      <c r="L623" s="1">
        <v>95075.8</v>
      </c>
      <c r="M623" s="1">
        <v>67997.399999999994</v>
      </c>
      <c r="N623" s="1">
        <v>85490.9</v>
      </c>
      <c r="O623" s="1">
        <v>87951.3</v>
      </c>
      <c r="P623" s="1">
        <v>52740</v>
      </c>
      <c r="Q623" s="1">
        <v>82112</v>
      </c>
      <c r="R623" s="1">
        <v>0</v>
      </c>
    </row>
    <row r="624" spans="1:18">
      <c r="A624" s="3">
        <v>45897.916697685185</v>
      </c>
      <c r="B624" s="1">
        <v>490515</v>
      </c>
      <c r="C624" s="1">
        <v>96004</v>
      </c>
      <c r="D624" s="1">
        <v>41259.1</v>
      </c>
      <c r="E624" s="1">
        <v>0</v>
      </c>
      <c r="F624" s="1">
        <v>405366</v>
      </c>
      <c r="G624" s="1">
        <v>59577.5</v>
      </c>
      <c r="H624" s="1">
        <v>370996</v>
      </c>
      <c r="I624" s="1">
        <v>608435</v>
      </c>
      <c r="J624" s="1">
        <v>50110.8</v>
      </c>
      <c r="K624" s="1">
        <v>88445.2</v>
      </c>
      <c r="L624" s="1">
        <v>95099.1</v>
      </c>
      <c r="M624" s="1">
        <v>68041.3</v>
      </c>
      <c r="N624" s="1">
        <v>85545.1</v>
      </c>
      <c r="O624" s="1">
        <v>87976.2</v>
      </c>
      <c r="P624" s="1">
        <v>52740</v>
      </c>
      <c r="Q624" s="1">
        <v>82112</v>
      </c>
      <c r="R624" s="1">
        <v>0</v>
      </c>
    </row>
    <row r="625" spans="1:18">
      <c r="A625" s="3">
        <v>45897.958364409722</v>
      </c>
      <c r="B625" s="1">
        <v>491301</v>
      </c>
      <c r="C625" s="1">
        <v>96204</v>
      </c>
      <c r="D625" s="1">
        <v>41276.5</v>
      </c>
      <c r="E625" s="1">
        <v>0</v>
      </c>
      <c r="F625" s="1">
        <v>405389</v>
      </c>
      <c r="G625" s="1">
        <v>59642.2</v>
      </c>
      <c r="H625" s="1">
        <v>371008</v>
      </c>
      <c r="I625" s="1">
        <v>608700</v>
      </c>
      <c r="J625" s="1">
        <v>50117.4</v>
      </c>
      <c r="K625" s="1">
        <v>88448.5</v>
      </c>
      <c r="L625" s="1">
        <v>95123.6</v>
      </c>
      <c r="M625" s="1">
        <v>68083.199999999997</v>
      </c>
      <c r="N625" s="1">
        <v>85601.4</v>
      </c>
      <c r="O625" s="1">
        <v>87997.5</v>
      </c>
      <c r="P625" s="1">
        <v>52740</v>
      </c>
      <c r="Q625" s="1">
        <v>82112</v>
      </c>
      <c r="R625" s="1">
        <v>0</v>
      </c>
    </row>
    <row r="626" spans="1:18">
      <c r="A626" s="3">
        <v>45898.000031134259</v>
      </c>
      <c r="B626" s="1">
        <v>492059</v>
      </c>
      <c r="C626" s="1">
        <v>96395</v>
      </c>
      <c r="D626" s="1">
        <v>41291.199999999997</v>
      </c>
      <c r="E626" s="1">
        <v>0</v>
      </c>
      <c r="F626" s="1">
        <v>405410</v>
      </c>
      <c r="G626" s="1">
        <v>59709.7</v>
      </c>
      <c r="H626" s="1">
        <v>371020</v>
      </c>
      <c r="I626" s="1">
        <v>608956</v>
      </c>
      <c r="J626" s="1">
        <v>50123.7</v>
      </c>
      <c r="K626" s="1">
        <v>88451.8</v>
      </c>
      <c r="L626" s="1">
        <v>95146.4</v>
      </c>
      <c r="M626" s="1">
        <v>68121.100000000006</v>
      </c>
      <c r="N626" s="1">
        <v>85655.1</v>
      </c>
      <c r="O626" s="1">
        <v>88017.5</v>
      </c>
      <c r="P626" s="1">
        <v>52740</v>
      </c>
      <c r="Q626" s="1">
        <v>82112</v>
      </c>
      <c r="R626" s="1">
        <v>0</v>
      </c>
    </row>
    <row r="627" spans="1:18">
      <c r="A627" s="3">
        <v>45898.041697858796</v>
      </c>
      <c r="B627" s="1">
        <v>492796</v>
      </c>
      <c r="C627" s="1">
        <v>96581</v>
      </c>
      <c r="D627" s="1">
        <v>41305.9</v>
      </c>
      <c r="E627" s="1">
        <v>0</v>
      </c>
      <c r="F627" s="1">
        <v>405431</v>
      </c>
      <c r="G627" s="1">
        <v>59777.7</v>
      </c>
      <c r="H627" s="1">
        <v>371033</v>
      </c>
      <c r="I627" s="1">
        <v>609197</v>
      </c>
      <c r="J627" s="1">
        <v>50129.7</v>
      </c>
      <c r="K627" s="1">
        <v>88455.1</v>
      </c>
      <c r="L627" s="1">
        <v>95170.5</v>
      </c>
      <c r="M627" s="1">
        <v>68158.3</v>
      </c>
      <c r="N627" s="1">
        <v>85708.800000000003</v>
      </c>
      <c r="O627" s="1">
        <v>88036.5</v>
      </c>
      <c r="P627" s="1">
        <v>52740</v>
      </c>
      <c r="Q627" s="1">
        <v>82112</v>
      </c>
      <c r="R627" s="1">
        <v>0</v>
      </c>
    </row>
    <row r="628" spans="1:18">
      <c r="A628" s="3">
        <v>45898.083364583334</v>
      </c>
      <c r="B628" s="1">
        <v>493508</v>
      </c>
      <c r="C628" s="1">
        <v>96758</v>
      </c>
      <c r="D628" s="1">
        <v>41319.800000000003</v>
      </c>
      <c r="E628" s="1">
        <v>0</v>
      </c>
      <c r="F628" s="1">
        <v>405451</v>
      </c>
      <c r="G628" s="1">
        <v>59841.2</v>
      </c>
      <c r="H628" s="1">
        <v>371045</v>
      </c>
      <c r="I628" s="1">
        <v>609431</v>
      </c>
      <c r="J628" s="1">
        <v>50135.9</v>
      </c>
      <c r="K628" s="1">
        <v>88458.4</v>
      </c>
      <c r="L628" s="1">
        <v>95193.3</v>
      </c>
      <c r="M628" s="1">
        <v>68195.100000000006</v>
      </c>
      <c r="N628" s="1">
        <v>85762.3</v>
      </c>
      <c r="O628" s="1">
        <v>88056.4</v>
      </c>
      <c r="P628" s="1">
        <v>52740</v>
      </c>
      <c r="Q628" s="1">
        <v>82112</v>
      </c>
      <c r="R628" s="1">
        <v>0</v>
      </c>
    </row>
    <row r="629" spans="1:18">
      <c r="A629" s="3">
        <v>45898.125031307871</v>
      </c>
      <c r="B629" s="1">
        <v>494209</v>
      </c>
      <c r="C629" s="1">
        <v>96930</v>
      </c>
      <c r="D629" s="1">
        <v>41333.9</v>
      </c>
      <c r="E629" s="1">
        <v>0</v>
      </c>
      <c r="F629" s="1">
        <v>405471</v>
      </c>
      <c r="G629" s="1">
        <v>59902.9</v>
      </c>
      <c r="H629" s="1">
        <v>371057</v>
      </c>
      <c r="I629" s="1">
        <v>609662</v>
      </c>
      <c r="J629" s="1">
        <v>50142</v>
      </c>
      <c r="K629" s="1">
        <v>88461.6</v>
      </c>
      <c r="L629" s="1">
        <v>95215.4</v>
      </c>
      <c r="M629" s="1">
        <v>68231.899999999994</v>
      </c>
      <c r="N629" s="1">
        <v>85816</v>
      </c>
      <c r="O629" s="1">
        <v>88075.8</v>
      </c>
      <c r="P629" s="1">
        <v>52740</v>
      </c>
      <c r="Q629" s="1">
        <v>82112</v>
      </c>
      <c r="R629" s="1">
        <v>0</v>
      </c>
    </row>
    <row r="630" spans="1:18">
      <c r="A630" s="3">
        <v>45898.166698032408</v>
      </c>
      <c r="B630" s="1">
        <v>494889</v>
      </c>
      <c r="C630" s="1">
        <v>97099</v>
      </c>
      <c r="D630" s="1">
        <v>41348.5</v>
      </c>
      <c r="E630" s="1">
        <v>0</v>
      </c>
      <c r="F630" s="1">
        <v>405490</v>
      </c>
      <c r="G630" s="1">
        <v>59964.800000000003</v>
      </c>
      <c r="H630" s="1">
        <v>371068</v>
      </c>
      <c r="I630" s="1">
        <v>609877</v>
      </c>
      <c r="J630" s="1">
        <v>50147.7</v>
      </c>
      <c r="K630" s="1">
        <v>88464.8</v>
      </c>
      <c r="L630" s="1">
        <v>95237.2</v>
      </c>
      <c r="M630" s="1">
        <v>68268.3</v>
      </c>
      <c r="N630" s="1">
        <v>85869.5</v>
      </c>
      <c r="O630" s="1">
        <v>88094.9</v>
      </c>
      <c r="P630" s="1">
        <v>52740</v>
      </c>
      <c r="Q630" s="1">
        <v>82112</v>
      </c>
      <c r="R630" s="1">
        <v>0</v>
      </c>
    </row>
    <row r="631" spans="1:18">
      <c r="A631" s="3">
        <v>45898.208364756945</v>
      </c>
      <c r="B631" s="1">
        <v>495562</v>
      </c>
      <c r="C631" s="1">
        <v>97265</v>
      </c>
      <c r="D631" s="1">
        <v>41362.1</v>
      </c>
      <c r="E631" s="1">
        <v>0</v>
      </c>
      <c r="F631" s="1">
        <v>405510</v>
      </c>
      <c r="G631" s="1">
        <v>60025</v>
      </c>
      <c r="H631" s="1">
        <v>371080</v>
      </c>
      <c r="I631" s="1">
        <v>610087</v>
      </c>
      <c r="J631" s="1">
        <v>50153.599999999999</v>
      </c>
      <c r="K631" s="1">
        <v>88467.9</v>
      </c>
      <c r="L631" s="1">
        <v>95258.7</v>
      </c>
      <c r="M631" s="1">
        <v>68304.100000000006</v>
      </c>
      <c r="N631" s="1">
        <v>85925.6</v>
      </c>
      <c r="O631" s="1">
        <v>88115</v>
      </c>
      <c r="P631" s="1">
        <v>52740</v>
      </c>
      <c r="Q631" s="1">
        <v>82112</v>
      </c>
      <c r="R631" s="1">
        <v>0</v>
      </c>
    </row>
    <row r="632" spans="1:18">
      <c r="A632" s="3">
        <v>45898.250031481482</v>
      </c>
      <c r="B632" s="1">
        <v>496234</v>
      </c>
      <c r="C632" s="1">
        <v>97434</v>
      </c>
      <c r="D632" s="1">
        <v>41376.1</v>
      </c>
      <c r="E632" s="1">
        <v>0</v>
      </c>
      <c r="F632" s="1">
        <v>405529</v>
      </c>
      <c r="G632" s="1">
        <v>60084.6</v>
      </c>
      <c r="H632" s="1">
        <v>371092</v>
      </c>
      <c r="I632" s="1">
        <v>610296</v>
      </c>
      <c r="J632" s="1">
        <v>50159.5</v>
      </c>
      <c r="K632" s="1">
        <v>88471.4</v>
      </c>
      <c r="L632" s="1">
        <v>95280.3</v>
      </c>
      <c r="M632" s="1">
        <v>68339.7</v>
      </c>
      <c r="N632" s="1">
        <v>85979.4</v>
      </c>
      <c r="O632" s="1">
        <v>88136.1</v>
      </c>
      <c r="P632" s="1">
        <v>52740</v>
      </c>
      <c r="Q632" s="1">
        <v>82112</v>
      </c>
      <c r="R632" s="1">
        <v>0</v>
      </c>
    </row>
    <row r="633" spans="1:18">
      <c r="A633" s="3">
        <v>45898.29169820602</v>
      </c>
      <c r="B633" s="1">
        <v>496907</v>
      </c>
      <c r="C633" s="1">
        <v>97605</v>
      </c>
      <c r="D633" s="1">
        <v>41390.199999999997</v>
      </c>
      <c r="E633" s="1">
        <v>0</v>
      </c>
      <c r="F633" s="1">
        <v>405548</v>
      </c>
      <c r="G633" s="1">
        <v>60143.199999999997</v>
      </c>
      <c r="H633" s="1">
        <v>371104</v>
      </c>
      <c r="I633" s="1">
        <v>610506</v>
      </c>
      <c r="J633" s="1">
        <v>50165.2</v>
      </c>
      <c r="K633" s="1">
        <v>88474.1</v>
      </c>
      <c r="L633" s="1">
        <v>95301.3</v>
      </c>
      <c r="M633" s="1">
        <v>68375.600000000006</v>
      </c>
      <c r="N633" s="1">
        <v>86032.6</v>
      </c>
      <c r="O633" s="1">
        <v>88157.4</v>
      </c>
      <c r="P633" s="1">
        <v>52740</v>
      </c>
      <c r="Q633" s="1">
        <v>82113</v>
      </c>
      <c r="R633" s="1">
        <v>0</v>
      </c>
    </row>
    <row r="634" spans="1:18">
      <c r="A634" s="3">
        <v>45898.333364930557</v>
      </c>
      <c r="B634" s="1">
        <v>497621</v>
      </c>
      <c r="C634" s="1">
        <v>97789</v>
      </c>
      <c r="D634" s="1">
        <v>41404.400000000001</v>
      </c>
      <c r="E634" s="1">
        <v>0</v>
      </c>
      <c r="F634" s="1">
        <v>405568</v>
      </c>
      <c r="G634" s="1">
        <v>60200.5</v>
      </c>
      <c r="H634" s="1">
        <v>371117</v>
      </c>
      <c r="I634" s="1">
        <v>610736</v>
      </c>
      <c r="J634" s="1">
        <v>50171.4</v>
      </c>
      <c r="K634" s="1">
        <v>88475.1</v>
      </c>
      <c r="L634" s="1">
        <v>95323.1</v>
      </c>
      <c r="M634" s="1">
        <v>68413</v>
      </c>
      <c r="N634" s="1">
        <v>86083.6</v>
      </c>
      <c r="O634" s="1">
        <v>88184.3</v>
      </c>
      <c r="P634" s="1">
        <v>52742</v>
      </c>
      <c r="Q634" s="1">
        <v>82116</v>
      </c>
      <c r="R634" s="1">
        <v>0</v>
      </c>
    </row>
    <row r="635" spans="1:18">
      <c r="A635" s="3">
        <v>45898.375031655094</v>
      </c>
      <c r="B635" s="1">
        <v>498460</v>
      </c>
      <c r="C635" s="1">
        <v>98007</v>
      </c>
      <c r="D635" s="1">
        <v>41422</v>
      </c>
      <c r="E635" s="1">
        <v>0</v>
      </c>
      <c r="F635" s="1">
        <v>405599</v>
      </c>
      <c r="G635" s="1">
        <v>60256.1</v>
      </c>
      <c r="H635" s="1">
        <v>371129</v>
      </c>
      <c r="I635" s="1">
        <v>611005</v>
      </c>
      <c r="J635" s="1">
        <v>50178.3</v>
      </c>
      <c r="K635" s="1">
        <v>88475.4</v>
      </c>
      <c r="L635" s="1">
        <v>95350.1</v>
      </c>
      <c r="M635" s="1">
        <v>68456.7</v>
      </c>
      <c r="N635" s="1">
        <v>86131.4</v>
      </c>
      <c r="O635" s="1">
        <v>88232.1</v>
      </c>
      <c r="P635" s="1">
        <v>52747</v>
      </c>
      <c r="Q635" s="1">
        <v>82125</v>
      </c>
      <c r="R635" s="1">
        <v>0</v>
      </c>
    </row>
    <row r="636" spans="1:18">
      <c r="A636" s="3">
        <v>45898.416698379631</v>
      </c>
      <c r="B636" s="1">
        <v>499526</v>
      </c>
      <c r="C636" s="1">
        <v>98281</v>
      </c>
      <c r="D636" s="1">
        <v>41448.300000000003</v>
      </c>
      <c r="E636" s="1">
        <v>0</v>
      </c>
      <c r="F636" s="1">
        <v>405640</v>
      </c>
      <c r="G636" s="1">
        <v>60329.7</v>
      </c>
      <c r="H636" s="1">
        <v>371141</v>
      </c>
      <c r="I636" s="1">
        <v>611370</v>
      </c>
      <c r="J636" s="1">
        <v>50185.1</v>
      </c>
      <c r="K636" s="1">
        <v>88476.9</v>
      </c>
      <c r="L636" s="1">
        <v>95379.5</v>
      </c>
      <c r="M636" s="1">
        <v>68502.899999999994</v>
      </c>
      <c r="N636" s="1">
        <v>86181.5</v>
      </c>
      <c r="O636" s="1">
        <v>88290.2</v>
      </c>
      <c r="P636" s="1">
        <v>52756</v>
      </c>
      <c r="Q636" s="1">
        <v>82138</v>
      </c>
      <c r="R636" s="1">
        <v>0</v>
      </c>
    </row>
    <row r="637" spans="1:18">
      <c r="A637" s="3">
        <v>45898.458365104168</v>
      </c>
      <c r="B637" s="1">
        <v>500750</v>
      </c>
      <c r="C637" s="1">
        <v>98612</v>
      </c>
      <c r="D637" s="1">
        <v>41481.199999999997</v>
      </c>
      <c r="E637" s="1">
        <v>0</v>
      </c>
      <c r="F637" s="1">
        <v>405705</v>
      </c>
      <c r="G637" s="1">
        <v>60414.7</v>
      </c>
      <c r="H637" s="1">
        <v>371154</v>
      </c>
      <c r="I637" s="1">
        <v>611783</v>
      </c>
      <c r="J637" s="1">
        <v>50193.7</v>
      </c>
      <c r="K637" s="1">
        <v>88478</v>
      </c>
      <c r="L637" s="1">
        <v>95408.5</v>
      </c>
      <c r="M637" s="1">
        <v>68548.600000000006</v>
      </c>
      <c r="N637" s="1">
        <v>86234.2</v>
      </c>
      <c r="O637" s="1">
        <v>88355.6</v>
      </c>
      <c r="P637" s="1">
        <v>52765</v>
      </c>
      <c r="Q637" s="1">
        <v>82153</v>
      </c>
      <c r="R637" s="1">
        <v>0</v>
      </c>
    </row>
    <row r="638" spans="1:18">
      <c r="A638" s="3">
        <v>45898.500031828706</v>
      </c>
      <c r="B638" s="1">
        <v>502017</v>
      </c>
      <c r="C638" s="1">
        <v>98959</v>
      </c>
      <c r="D638" s="1">
        <v>41515.599999999999</v>
      </c>
      <c r="E638" s="1">
        <v>0</v>
      </c>
      <c r="F638" s="1">
        <v>405776</v>
      </c>
      <c r="G638" s="1">
        <v>60495.3</v>
      </c>
      <c r="H638" s="1">
        <v>371167</v>
      </c>
      <c r="I638" s="1">
        <v>612217</v>
      </c>
      <c r="J638" s="1">
        <v>50203.1</v>
      </c>
      <c r="K638" s="1">
        <v>88479</v>
      </c>
      <c r="L638" s="1">
        <v>95442</v>
      </c>
      <c r="M638" s="1">
        <v>68596.600000000006</v>
      </c>
      <c r="N638" s="1">
        <v>86287.9</v>
      </c>
      <c r="O638" s="1">
        <v>88418.8</v>
      </c>
      <c r="P638" s="1">
        <v>52780</v>
      </c>
      <c r="Q638" s="1">
        <v>82175</v>
      </c>
      <c r="R638" s="1">
        <v>0</v>
      </c>
    </row>
    <row r="639" spans="1:18">
      <c r="A639" s="3">
        <v>45898.541698553243</v>
      </c>
      <c r="B639" s="1">
        <v>503314</v>
      </c>
      <c r="C639" s="1">
        <v>99311</v>
      </c>
      <c r="D639" s="1">
        <v>41553.5</v>
      </c>
      <c r="E639" s="1">
        <v>0</v>
      </c>
      <c r="F639" s="1">
        <v>405840</v>
      </c>
      <c r="G639" s="1">
        <v>60576.4</v>
      </c>
      <c r="H639" s="1">
        <v>371179</v>
      </c>
      <c r="I639" s="1">
        <v>612673</v>
      </c>
      <c r="J639" s="1">
        <v>50213.4</v>
      </c>
      <c r="K639" s="1">
        <v>88479.4</v>
      </c>
      <c r="L639" s="1">
        <v>95477.2</v>
      </c>
      <c r="M639" s="1">
        <v>68646.8</v>
      </c>
      <c r="N639" s="1">
        <v>86339.3</v>
      </c>
      <c r="O639" s="1">
        <v>88491.3</v>
      </c>
      <c r="P639" s="1">
        <v>52795</v>
      </c>
      <c r="Q639" s="1">
        <v>82199</v>
      </c>
      <c r="R639" s="1">
        <v>0</v>
      </c>
    </row>
    <row r="640" spans="1:18">
      <c r="A640" s="3">
        <v>45898.58336527778</v>
      </c>
      <c r="B640" s="1">
        <v>504660</v>
      </c>
      <c r="C640" s="1">
        <v>99677</v>
      </c>
      <c r="D640" s="1">
        <v>41592.699999999997</v>
      </c>
      <c r="E640" s="1">
        <v>0</v>
      </c>
      <c r="F640" s="1">
        <v>405896</v>
      </c>
      <c r="G640" s="1">
        <v>60671.3</v>
      </c>
      <c r="H640" s="1">
        <v>371194</v>
      </c>
      <c r="I640" s="1">
        <v>613144</v>
      </c>
      <c r="J640" s="1">
        <v>50223.199999999997</v>
      </c>
      <c r="K640" s="1">
        <v>88481.7</v>
      </c>
      <c r="L640" s="1">
        <v>95515.5</v>
      </c>
      <c r="M640" s="1">
        <v>68695.3</v>
      </c>
      <c r="N640" s="1">
        <v>86390.8</v>
      </c>
      <c r="O640" s="1">
        <v>88563.4</v>
      </c>
      <c r="P640" s="1">
        <v>52808</v>
      </c>
      <c r="Q640" s="1">
        <v>82217</v>
      </c>
      <c r="R640" s="1">
        <v>0</v>
      </c>
    </row>
    <row r="641" spans="1:18">
      <c r="A641" s="3">
        <v>45898.625032002317</v>
      </c>
      <c r="B641" s="1">
        <v>506049</v>
      </c>
      <c r="C641" s="1">
        <v>100064</v>
      </c>
      <c r="D641" s="1">
        <v>41635.9</v>
      </c>
      <c r="E641" s="1">
        <v>0</v>
      </c>
      <c r="F641" s="1">
        <v>405951</v>
      </c>
      <c r="G641" s="1">
        <v>60771.5</v>
      </c>
      <c r="H641" s="1">
        <v>371219</v>
      </c>
      <c r="I641" s="1">
        <v>613629</v>
      </c>
      <c r="J641" s="1">
        <v>50234.1</v>
      </c>
      <c r="K641" s="1">
        <v>88482.2</v>
      </c>
      <c r="L641" s="1">
        <v>95559</v>
      </c>
      <c r="M641" s="1">
        <v>68745.899999999994</v>
      </c>
      <c r="N641" s="1">
        <v>86441.600000000006</v>
      </c>
      <c r="O641" s="1">
        <v>88623.3</v>
      </c>
      <c r="P641" s="1">
        <v>52821</v>
      </c>
      <c r="Q641" s="1">
        <v>82238</v>
      </c>
      <c r="R641" s="1">
        <v>0</v>
      </c>
    </row>
    <row r="642" spans="1:18">
      <c r="A642" s="3">
        <v>45898.666698726855</v>
      </c>
      <c r="B642" s="1">
        <v>507409</v>
      </c>
      <c r="C642" s="1">
        <v>100448</v>
      </c>
      <c r="D642" s="1">
        <v>41675.9</v>
      </c>
      <c r="E642" s="1">
        <v>0</v>
      </c>
      <c r="F642" s="1">
        <v>406003</v>
      </c>
      <c r="G642" s="1">
        <v>60880.3</v>
      </c>
      <c r="H642" s="1">
        <v>371244</v>
      </c>
      <c r="I642" s="1">
        <v>614098</v>
      </c>
      <c r="J642" s="1">
        <v>50245.599999999999</v>
      </c>
      <c r="K642" s="1">
        <v>88482.8</v>
      </c>
      <c r="L642" s="1">
        <v>95603.8</v>
      </c>
      <c r="M642" s="1">
        <v>68798.3</v>
      </c>
      <c r="N642" s="1">
        <v>86492.800000000003</v>
      </c>
      <c r="O642" s="1">
        <v>88657.9</v>
      </c>
      <c r="P642" s="1">
        <v>52832</v>
      </c>
      <c r="Q642" s="1">
        <v>82254</v>
      </c>
      <c r="R642" s="1">
        <v>0</v>
      </c>
    </row>
    <row r="643" spans="1:18">
      <c r="A643" s="3">
        <v>45898.708365451392</v>
      </c>
      <c r="B643" s="1">
        <v>508721</v>
      </c>
      <c r="C643" s="1">
        <v>100823</v>
      </c>
      <c r="D643" s="1">
        <v>41712.300000000003</v>
      </c>
      <c r="E643" s="1">
        <v>0</v>
      </c>
      <c r="F643" s="1">
        <v>406053</v>
      </c>
      <c r="G643" s="1">
        <v>60982.400000000001</v>
      </c>
      <c r="H643" s="1">
        <v>371269</v>
      </c>
      <c r="I643" s="1">
        <v>614545</v>
      </c>
      <c r="J643" s="1">
        <v>50256</v>
      </c>
      <c r="K643" s="1">
        <v>88486.6</v>
      </c>
      <c r="L643" s="1">
        <v>95644.800000000003</v>
      </c>
      <c r="M643" s="1">
        <v>68849.100000000006</v>
      </c>
      <c r="N643" s="1">
        <v>86545.3</v>
      </c>
      <c r="O643" s="1">
        <v>88693.6</v>
      </c>
      <c r="P643" s="1">
        <v>52840</v>
      </c>
      <c r="Q643" s="1">
        <v>82267</v>
      </c>
      <c r="R643" s="1">
        <v>0</v>
      </c>
    </row>
    <row r="644" spans="1:18">
      <c r="A644" s="3">
        <v>45898.750032175929</v>
      </c>
      <c r="B644" s="1">
        <v>509905</v>
      </c>
      <c r="C644" s="1">
        <v>101169</v>
      </c>
      <c r="D644" s="1">
        <v>41739.199999999997</v>
      </c>
      <c r="E644" s="1">
        <v>0</v>
      </c>
      <c r="F644" s="1">
        <v>406096</v>
      </c>
      <c r="G644" s="1">
        <v>61071.8</v>
      </c>
      <c r="H644" s="1">
        <v>371282</v>
      </c>
      <c r="I644" s="1">
        <v>614955</v>
      </c>
      <c r="J644" s="1">
        <v>50265.3</v>
      </c>
      <c r="K644" s="1">
        <v>88490</v>
      </c>
      <c r="L644" s="1">
        <v>95677.7</v>
      </c>
      <c r="M644" s="1">
        <v>68895.199999999997</v>
      </c>
      <c r="N644" s="1">
        <v>86600.7</v>
      </c>
      <c r="O644" s="1">
        <v>88725.2</v>
      </c>
      <c r="P644" s="1">
        <v>52844</v>
      </c>
      <c r="Q644" s="1">
        <v>82273</v>
      </c>
      <c r="R644" s="1">
        <v>0</v>
      </c>
    </row>
    <row r="645" spans="1:18">
      <c r="A645" s="3">
        <v>45898.791698900466</v>
      </c>
      <c r="B645" s="1">
        <v>510942</v>
      </c>
      <c r="C645" s="1">
        <v>101461</v>
      </c>
      <c r="D645" s="1">
        <v>41758.9</v>
      </c>
      <c r="E645" s="1">
        <v>0</v>
      </c>
      <c r="F645" s="1">
        <v>406129</v>
      </c>
      <c r="G645" s="1">
        <v>61155.7</v>
      </c>
      <c r="H645" s="1">
        <v>371295</v>
      </c>
      <c r="I645" s="1">
        <v>615315</v>
      </c>
      <c r="J645" s="1">
        <v>50273.8</v>
      </c>
      <c r="K645" s="1">
        <v>88493.4</v>
      </c>
      <c r="L645" s="1">
        <v>95702</v>
      </c>
      <c r="M645" s="1">
        <v>68941</v>
      </c>
      <c r="N645" s="1">
        <v>86657.7</v>
      </c>
      <c r="O645" s="1">
        <v>88751.8</v>
      </c>
      <c r="P645" s="1">
        <v>52844</v>
      </c>
      <c r="Q645" s="1">
        <v>82273</v>
      </c>
      <c r="R645" s="1">
        <v>0</v>
      </c>
    </row>
    <row r="646" spans="1:18">
      <c r="A646" s="3">
        <v>45898.833365625003</v>
      </c>
      <c r="B646" s="1">
        <v>511863</v>
      </c>
      <c r="C646" s="1">
        <v>101708</v>
      </c>
      <c r="D646" s="1">
        <v>41777.199999999997</v>
      </c>
      <c r="E646" s="1">
        <v>0</v>
      </c>
      <c r="F646" s="1">
        <v>406157</v>
      </c>
      <c r="G646" s="1">
        <v>61234.5</v>
      </c>
      <c r="H646" s="1">
        <v>371307</v>
      </c>
      <c r="I646" s="1">
        <v>615626</v>
      </c>
      <c r="J646" s="1">
        <v>50282.1</v>
      </c>
      <c r="K646" s="1">
        <v>88497.1</v>
      </c>
      <c r="L646" s="1">
        <v>95725.5</v>
      </c>
      <c r="M646" s="1">
        <v>68983.399999999994</v>
      </c>
      <c r="N646" s="1">
        <v>86715.199999999997</v>
      </c>
      <c r="O646" s="1">
        <v>88778.7</v>
      </c>
      <c r="P646" s="1">
        <v>52844</v>
      </c>
      <c r="Q646" s="1">
        <v>82273</v>
      </c>
      <c r="R646" s="1">
        <v>0</v>
      </c>
    </row>
    <row r="647" spans="1:18">
      <c r="A647" s="3">
        <v>45898.875032349541</v>
      </c>
      <c r="B647" s="1">
        <v>512704</v>
      </c>
      <c r="C647" s="1">
        <v>101926</v>
      </c>
      <c r="D647" s="1">
        <v>41794.1</v>
      </c>
      <c r="E647" s="1">
        <v>0</v>
      </c>
      <c r="F647" s="1">
        <v>406184</v>
      </c>
      <c r="G647" s="1">
        <v>61304.4</v>
      </c>
      <c r="H647" s="1">
        <v>371321</v>
      </c>
      <c r="I647" s="1">
        <v>615902</v>
      </c>
      <c r="J647" s="1">
        <v>50290.3</v>
      </c>
      <c r="K647" s="1">
        <v>88500.800000000003</v>
      </c>
      <c r="L647" s="1">
        <v>95746.9</v>
      </c>
      <c r="M647" s="1">
        <v>69025.899999999994</v>
      </c>
      <c r="N647" s="1">
        <v>86772.800000000003</v>
      </c>
      <c r="O647" s="1">
        <v>88806.3</v>
      </c>
      <c r="P647" s="1">
        <v>52844</v>
      </c>
      <c r="Q647" s="1">
        <v>82273</v>
      </c>
      <c r="R647" s="1">
        <v>0</v>
      </c>
    </row>
    <row r="648" spans="1:18">
      <c r="A648" s="3">
        <v>45898.91669907407</v>
      </c>
      <c r="B648" s="1">
        <v>513488</v>
      </c>
      <c r="C648" s="1">
        <v>102130</v>
      </c>
      <c r="D648" s="1">
        <v>41810.5</v>
      </c>
      <c r="E648" s="1">
        <v>0</v>
      </c>
      <c r="F648" s="1">
        <v>406210</v>
      </c>
      <c r="G648" s="1">
        <v>61365.9</v>
      </c>
      <c r="H648" s="1">
        <v>371334</v>
      </c>
      <c r="I648" s="1">
        <v>616153</v>
      </c>
      <c r="J648" s="1">
        <v>50297.599999999999</v>
      </c>
      <c r="K648" s="1">
        <v>88504.4</v>
      </c>
      <c r="L648" s="1">
        <v>95768.2</v>
      </c>
      <c r="M648" s="1">
        <v>69066.8</v>
      </c>
      <c r="N648" s="1">
        <v>86829.3</v>
      </c>
      <c r="O648" s="1">
        <v>88831.7</v>
      </c>
      <c r="P648" s="1">
        <v>52844</v>
      </c>
      <c r="Q648" s="1">
        <v>82273</v>
      </c>
      <c r="R648" s="1">
        <v>0</v>
      </c>
    </row>
    <row r="649" spans="1:18">
      <c r="A649" s="3">
        <v>45898.958365798608</v>
      </c>
      <c r="B649" s="1">
        <v>514244</v>
      </c>
      <c r="C649" s="1">
        <v>102331</v>
      </c>
      <c r="D649" s="1">
        <v>41825.4</v>
      </c>
      <c r="E649" s="1">
        <v>0</v>
      </c>
      <c r="F649" s="1">
        <v>406236</v>
      </c>
      <c r="G649" s="1">
        <v>61423</v>
      </c>
      <c r="H649" s="1">
        <v>371346</v>
      </c>
      <c r="I649" s="1">
        <v>616391</v>
      </c>
      <c r="J649" s="1">
        <v>50304.4</v>
      </c>
      <c r="K649" s="1">
        <v>88508</v>
      </c>
      <c r="L649" s="1">
        <v>95789</v>
      </c>
      <c r="M649" s="1">
        <v>69108.5</v>
      </c>
      <c r="N649" s="1">
        <v>86885.3</v>
      </c>
      <c r="O649" s="1">
        <v>88852.800000000003</v>
      </c>
      <c r="P649" s="1">
        <v>52844</v>
      </c>
      <c r="Q649" s="1">
        <v>82273</v>
      </c>
      <c r="R649" s="1">
        <v>0</v>
      </c>
    </row>
    <row r="650" spans="1:18">
      <c r="A650" s="3">
        <v>45899.000032523145</v>
      </c>
      <c r="B650" s="1">
        <v>514984</v>
      </c>
      <c r="C650" s="1">
        <v>102527</v>
      </c>
      <c r="D650" s="1">
        <v>41838.699999999997</v>
      </c>
      <c r="E650" s="1">
        <v>0</v>
      </c>
      <c r="F650" s="1">
        <v>406260</v>
      </c>
      <c r="G650" s="1">
        <v>61479.4</v>
      </c>
      <c r="H650" s="1">
        <v>371359</v>
      </c>
      <c r="I650" s="1">
        <v>616627</v>
      </c>
      <c r="J650" s="1">
        <v>50311.1</v>
      </c>
      <c r="K650" s="1">
        <v>88511.4</v>
      </c>
      <c r="L650" s="1">
        <v>95811.1</v>
      </c>
      <c r="M650" s="1">
        <v>69148.800000000003</v>
      </c>
      <c r="N650" s="1">
        <v>86940.800000000003</v>
      </c>
      <c r="O650" s="1">
        <v>88874.1</v>
      </c>
      <c r="P650" s="1">
        <v>52844</v>
      </c>
      <c r="Q650" s="1">
        <v>82273</v>
      </c>
      <c r="R650" s="1">
        <v>0</v>
      </c>
    </row>
    <row r="651" spans="1:18">
      <c r="A651" s="3">
        <v>45899.041699247682</v>
      </c>
      <c r="B651" s="1">
        <v>515698</v>
      </c>
      <c r="C651" s="1">
        <v>102715</v>
      </c>
      <c r="D651" s="1">
        <v>41852.800000000003</v>
      </c>
      <c r="E651" s="1">
        <v>0</v>
      </c>
      <c r="F651" s="1">
        <v>406281</v>
      </c>
      <c r="G651" s="1">
        <v>61534.400000000001</v>
      </c>
      <c r="H651" s="1">
        <v>371371</v>
      </c>
      <c r="I651" s="1">
        <v>616851</v>
      </c>
      <c r="J651" s="1">
        <v>50317.8</v>
      </c>
      <c r="K651" s="1">
        <v>88514.9</v>
      </c>
      <c r="L651" s="1">
        <v>95834.4</v>
      </c>
      <c r="M651" s="1">
        <v>69187</v>
      </c>
      <c r="N651" s="1">
        <v>86997.2</v>
      </c>
      <c r="O651" s="1">
        <v>88893</v>
      </c>
      <c r="P651" s="1">
        <v>52844</v>
      </c>
      <c r="Q651" s="1">
        <v>82273</v>
      </c>
      <c r="R651" s="1">
        <v>0</v>
      </c>
    </row>
    <row r="652" spans="1:18">
      <c r="A652" s="3">
        <v>45899.083365972219</v>
      </c>
      <c r="B652" s="1">
        <v>516400</v>
      </c>
      <c r="C652" s="1">
        <v>102899</v>
      </c>
      <c r="D652" s="1">
        <v>41866.6</v>
      </c>
      <c r="E652" s="1">
        <v>0</v>
      </c>
      <c r="F652" s="1">
        <v>406301</v>
      </c>
      <c r="G652" s="1">
        <v>61589.1</v>
      </c>
      <c r="H652" s="1">
        <v>371383</v>
      </c>
      <c r="I652" s="1">
        <v>617071</v>
      </c>
      <c r="J652" s="1">
        <v>50324.3</v>
      </c>
      <c r="K652" s="1">
        <v>88518.6</v>
      </c>
      <c r="L652" s="1">
        <v>95857.2</v>
      </c>
      <c r="M652" s="1">
        <v>69223.8</v>
      </c>
      <c r="N652" s="1">
        <v>87052.6</v>
      </c>
      <c r="O652" s="1">
        <v>88913.9</v>
      </c>
      <c r="P652" s="1">
        <v>52844</v>
      </c>
      <c r="Q652" s="1">
        <v>82273</v>
      </c>
      <c r="R652" s="1">
        <v>0</v>
      </c>
    </row>
    <row r="653" spans="1:18">
      <c r="A653" s="3">
        <v>45899.125032696757</v>
      </c>
      <c r="B653" s="1">
        <v>517090</v>
      </c>
      <c r="C653" s="1">
        <v>103082</v>
      </c>
      <c r="D653" s="1">
        <v>41880.6</v>
      </c>
      <c r="E653" s="1">
        <v>0</v>
      </c>
      <c r="F653" s="1">
        <v>406320</v>
      </c>
      <c r="G653" s="1">
        <v>61643</v>
      </c>
      <c r="H653" s="1">
        <v>371396</v>
      </c>
      <c r="I653" s="1">
        <v>617281</v>
      </c>
      <c r="J653" s="1">
        <v>50331</v>
      </c>
      <c r="K653" s="1">
        <v>88522.5</v>
      </c>
      <c r="L653" s="1">
        <v>95880.6</v>
      </c>
      <c r="M653" s="1">
        <v>69261.100000000006</v>
      </c>
      <c r="N653" s="1">
        <v>87107.5</v>
      </c>
      <c r="O653" s="1">
        <v>88935.4</v>
      </c>
      <c r="P653" s="1">
        <v>52844</v>
      </c>
      <c r="Q653" s="1">
        <v>82273</v>
      </c>
      <c r="R653" s="1">
        <v>0</v>
      </c>
    </row>
    <row r="654" spans="1:18">
      <c r="A654" s="3">
        <v>45899.166699421294</v>
      </c>
      <c r="B654" s="1">
        <v>517773</v>
      </c>
      <c r="C654" s="1">
        <v>103263</v>
      </c>
      <c r="D654" s="1">
        <v>41894.300000000003</v>
      </c>
      <c r="E654" s="1">
        <v>0</v>
      </c>
      <c r="F654" s="1">
        <v>406338</v>
      </c>
      <c r="G654" s="1">
        <v>61695.3</v>
      </c>
      <c r="H654" s="1">
        <v>371408</v>
      </c>
      <c r="I654" s="1">
        <v>617492</v>
      </c>
      <c r="J654" s="1">
        <v>50337.2</v>
      </c>
      <c r="K654" s="1">
        <v>88526.399999999994</v>
      </c>
      <c r="L654" s="1">
        <v>95903</v>
      </c>
      <c r="M654" s="1">
        <v>69297.899999999994</v>
      </c>
      <c r="N654" s="1">
        <v>87162.3</v>
      </c>
      <c r="O654" s="1">
        <v>88956.1</v>
      </c>
      <c r="P654" s="1">
        <v>52844</v>
      </c>
      <c r="Q654" s="1">
        <v>82273</v>
      </c>
      <c r="R654" s="1">
        <v>0</v>
      </c>
    </row>
    <row r="655" spans="1:18">
      <c r="A655" s="3">
        <v>45899.208366145831</v>
      </c>
      <c r="B655" s="1">
        <v>518446</v>
      </c>
      <c r="C655" s="1">
        <v>103443</v>
      </c>
      <c r="D655" s="1">
        <v>41907.599999999999</v>
      </c>
      <c r="E655" s="1">
        <v>0</v>
      </c>
      <c r="F655" s="1">
        <v>406356</v>
      </c>
      <c r="G655" s="1">
        <v>61747.4</v>
      </c>
      <c r="H655" s="1">
        <v>371420</v>
      </c>
      <c r="I655" s="1">
        <v>617697</v>
      </c>
      <c r="J655" s="1">
        <v>50343.5</v>
      </c>
      <c r="K655" s="1">
        <v>88529.8</v>
      </c>
      <c r="L655" s="1">
        <v>95924.6</v>
      </c>
      <c r="M655" s="1">
        <v>69334.5</v>
      </c>
      <c r="N655" s="1">
        <v>87217.8</v>
      </c>
      <c r="O655" s="1">
        <v>88976.9</v>
      </c>
      <c r="P655" s="1">
        <v>52844</v>
      </c>
      <c r="Q655" s="1">
        <v>82273</v>
      </c>
      <c r="R655" s="1">
        <v>0</v>
      </c>
    </row>
    <row r="656" spans="1:18">
      <c r="A656" s="3">
        <v>45899.250032870368</v>
      </c>
      <c r="B656" s="1">
        <v>519115</v>
      </c>
      <c r="C656" s="1">
        <v>103625</v>
      </c>
      <c r="D656" s="1">
        <v>41921.699999999997</v>
      </c>
      <c r="E656" s="1">
        <v>0</v>
      </c>
      <c r="F656" s="1">
        <v>406374</v>
      </c>
      <c r="G656" s="1">
        <v>61799.4</v>
      </c>
      <c r="H656" s="1">
        <v>371432</v>
      </c>
      <c r="I656" s="1">
        <v>617899</v>
      </c>
      <c r="J656" s="1">
        <v>50349.3</v>
      </c>
      <c r="K656" s="1">
        <v>88533.1</v>
      </c>
      <c r="L656" s="1">
        <v>95944.3</v>
      </c>
      <c r="M656" s="1">
        <v>69371.8</v>
      </c>
      <c r="N656" s="1">
        <v>87272.8</v>
      </c>
      <c r="O656" s="1">
        <v>88996.7</v>
      </c>
      <c r="P656" s="1">
        <v>52844</v>
      </c>
      <c r="Q656" s="1">
        <v>82273</v>
      </c>
      <c r="R656" s="1">
        <v>0</v>
      </c>
    </row>
    <row r="657" spans="1:18">
      <c r="A657" s="3">
        <v>45899.291699594905</v>
      </c>
      <c r="B657" s="1">
        <v>519789</v>
      </c>
      <c r="C657" s="1">
        <v>103807</v>
      </c>
      <c r="D657" s="1">
        <v>41935.5</v>
      </c>
      <c r="E657" s="1">
        <v>0</v>
      </c>
      <c r="F657" s="1">
        <v>406393</v>
      </c>
      <c r="G657" s="1">
        <v>61850</v>
      </c>
      <c r="H657" s="1">
        <v>371444</v>
      </c>
      <c r="I657" s="1">
        <v>618109</v>
      </c>
      <c r="J657" s="1">
        <v>50355.6</v>
      </c>
      <c r="K657" s="1">
        <v>88535.3</v>
      </c>
      <c r="L657" s="1">
        <v>95963.5</v>
      </c>
      <c r="M657" s="1">
        <v>69411</v>
      </c>
      <c r="N657" s="1">
        <v>87326.9</v>
      </c>
      <c r="O657" s="1">
        <v>89014.7</v>
      </c>
      <c r="P657" s="1">
        <v>52845</v>
      </c>
      <c r="Q657" s="1">
        <v>82274</v>
      </c>
      <c r="R657" s="1">
        <v>0</v>
      </c>
    </row>
    <row r="658" spans="1:18">
      <c r="A658" s="3">
        <v>45899.333366319443</v>
      </c>
      <c r="B658" s="1">
        <v>520464</v>
      </c>
      <c r="C658" s="1">
        <v>103990</v>
      </c>
      <c r="D658" s="1">
        <v>41949.599999999999</v>
      </c>
      <c r="E658" s="1">
        <v>0</v>
      </c>
      <c r="F658" s="1">
        <v>406413</v>
      </c>
      <c r="G658" s="1">
        <v>61898</v>
      </c>
      <c r="H658" s="1">
        <v>371456</v>
      </c>
      <c r="I658" s="1">
        <v>618323</v>
      </c>
      <c r="J658" s="1">
        <v>50362.1</v>
      </c>
      <c r="K658" s="1">
        <v>88535.8</v>
      </c>
      <c r="L658" s="1">
        <v>95982.6</v>
      </c>
      <c r="M658" s="1">
        <v>69448.2</v>
      </c>
      <c r="N658" s="1">
        <v>87378.5</v>
      </c>
      <c r="O658" s="1">
        <v>89034.6</v>
      </c>
      <c r="P658" s="1">
        <v>52847</v>
      </c>
      <c r="Q658" s="1">
        <v>82278</v>
      </c>
      <c r="R658" s="1">
        <v>0</v>
      </c>
    </row>
    <row r="659" spans="1:18">
      <c r="A659" s="3">
        <v>45899.37503304398</v>
      </c>
      <c r="B659" s="1">
        <v>521158</v>
      </c>
      <c r="C659" s="1">
        <v>104176</v>
      </c>
      <c r="D659" s="1">
        <v>41963.4</v>
      </c>
      <c r="E659" s="1">
        <v>0</v>
      </c>
      <c r="F659" s="1">
        <v>406435</v>
      </c>
      <c r="G659" s="1">
        <v>61939.4</v>
      </c>
      <c r="H659" s="1">
        <v>371468</v>
      </c>
      <c r="I659" s="1">
        <v>618550</v>
      </c>
      <c r="J659" s="1">
        <v>50368.800000000003</v>
      </c>
      <c r="K659" s="1">
        <v>88535.8</v>
      </c>
      <c r="L659" s="1">
        <v>96003.8</v>
      </c>
      <c r="M659" s="1">
        <v>69488.600000000006</v>
      </c>
      <c r="N659" s="1">
        <v>87427.7</v>
      </c>
      <c r="O659" s="1">
        <v>89056.3</v>
      </c>
      <c r="P659" s="1">
        <v>52852</v>
      </c>
      <c r="Q659" s="1">
        <v>82286</v>
      </c>
      <c r="R659" s="1">
        <v>0</v>
      </c>
    </row>
    <row r="660" spans="1:18">
      <c r="A660" s="3">
        <v>45899.416699768517</v>
      </c>
      <c r="B660" s="1">
        <v>521857</v>
      </c>
      <c r="C660" s="1">
        <v>104367</v>
      </c>
      <c r="D660" s="1">
        <v>41978.6</v>
      </c>
      <c r="E660" s="1">
        <v>0</v>
      </c>
      <c r="F660" s="1">
        <v>406458</v>
      </c>
      <c r="G660" s="1">
        <v>61973</v>
      </c>
      <c r="H660" s="1">
        <v>371481</v>
      </c>
      <c r="I660" s="1">
        <v>618789</v>
      </c>
      <c r="J660" s="1">
        <v>50375.7</v>
      </c>
      <c r="K660" s="1">
        <v>88535.8</v>
      </c>
      <c r="L660" s="1">
        <v>96024.7</v>
      </c>
      <c r="M660" s="1">
        <v>69532.3</v>
      </c>
      <c r="N660" s="1">
        <v>87473.9</v>
      </c>
      <c r="O660" s="1">
        <v>89077.5</v>
      </c>
      <c r="P660" s="1">
        <v>52861</v>
      </c>
      <c r="Q660" s="1">
        <v>82300</v>
      </c>
      <c r="R660" s="1">
        <v>0</v>
      </c>
    </row>
    <row r="661" spans="1:18">
      <c r="A661" s="3">
        <v>45899.458366493054</v>
      </c>
      <c r="B661" s="1">
        <v>522568</v>
      </c>
      <c r="C661" s="1">
        <v>104567</v>
      </c>
      <c r="D661" s="1">
        <v>41995.3</v>
      </c>
      <c r="E661" s="1">
        <v>0</v>
      </c>
      <c r="F661" s="1">
        <v>406481</v>
      </c>
      <c r="G661" s="1">
        <v>62002.7</v>
      </c>
      <c r="H661" s="1">
        <v>371493</v>
      </c>
      <c r="I661" s="1">
        <v>619041</v>
      </c>
      <c r="J661" s="1">
        <v>50382.5</v>
      </c>
      <c r="K661" s="1">
        <v>88535.8</v>
      </c>
      <c r="L661" s="1">
        <v>96045.5</v>
      </c>
      <c r="M661" s="1">
        <v>69575.8</v>
      </c>
      <c r="N661" s="1">
        <v>87517.4</v>
      </c>
      <c r="O661" s="1">
        <v>89098.8</v>
      </c>
      <c r="P661" s="1">
        <v>52873</v>
      </c>
      <c r="Q661" s="1">
        <v>82320</v>
      </c>
      <c r="R661" s="1">
        <v>0</v>
      </c>
    </row>
    <row r="662" spans="1:18">
      <c r="A662" s="3">
        <v>45899.500033217591</v>
      </c>
      <c r="B662" s="1">
        <v>523295</v>
      </c>
      <c r="C662" s="1">
        <v>104771</v>
      </c>
      <c r="D662" s="1">
        <v>42011.5</v>
      </c>
      <c r="E662" s="1">
        <v>0</v>
      </c>
      <c r="F662" s="1">
        <v>406510</v>
      </c>
      <c r="G662" s="1">
        <v>62033.599999999999</v>
      </c>
      <c r="H662" s="1">
        <v>371510</v>
      </c>
      <c r="I662" s="1">
        <v>619294</v>
      </c>
      <c r="J662" s="1">
        <v>50389.9</v>
      </c>
      <c r="K662" s="1">
        <v>88535.8</v>
      </c>
      <c r="L662" s="1">
        <v>96066.5</v>
      </c>
      <c r="M662" s="1">
        <v>69620</v>
      </c>
      <c r="N662" s="1">
        <v>87559.2</v>
      </c>
      <c r="O662" s="1">
        <v>89119.9</v>
      </c>
      <c r="P662" s="1">
        <v>52888</v>
      </c>
      <c r="Q662" s="1">
        <v>82342</v>
      </c>
      <c r="R662" s="1">
        <v>0</v>
      </c>
    </row>
    <row r="663" spans="1:18">
      <c r="A663" s="3">
        <v>45899.541699942129</v>
      </c>
      <c r="B663" s="1">
        <v>524065</v>
      </c>
      <c r="C663" s="1">
        <v>104990</v>
      </c>
      <c r="D663" s="1">
        <v>42032.5</v>
      </c>
      <c r="E663" s="1">
        <v>0</v>
      </c>
      <c r="F663" s="1">
        <v>406541</v>
      </c>
      <c r="G663" s="1">
        <v>62063.9</v>
      </c>
      <c r="H663" s="1">
        <v>371546</v>
      </c>
      <c r="I663" s="1">
        <v>619553</v>
      </c>
      <c r="J663" s="1">
        <v>50397.9</v>
      </c>
      <c r="K663" s="1">
        <v>88535.8</v>
      </c>
      <c r="L663" s="1">
        <v>96087.9</v>
      </c>
      <c r="M663" s="1">
        <v>69663.7</v>
      </c>
      <c r="N663" s="1">
        <v>87599.8</v>
      </c>
      <c r="O663" s="1">
        <v>89138.8</v>
      </c>
      <c r="P663" s="1">
        <v>52904</v>
      </c>
      <c r="Q663" s="1">
        <v>82366</v>
      </c>
      <c r="R663" s="1">
        <v>0</v>
      </c>
    </row>
    <row r="664" spans="1:18">
      <c r="A664" s="3">
        <v>45899.583366666666</v>
      </c>
      <c r="B664" s="1">
        <v>524881</v>
      </c>
      <c r="C664" s="1">
        <v>105216</v>
      </c>
      <c r="D664" s="1">
        <v>42054.6</v>
      </c>
      <c r="E664" s="1">
        <v>0</v>
      </c>
      <c r="F664" s="1">
        <v>406575</v>
      </c>
      <c r="G664" s="1">
        <v>62099.1</v>
      </c>
      <c r="H664" s="1">
        <v>371581</v>
      </c>
      <c r="I664" s="1">
        <v>619831</v>
      </c>
      <c r="J664" s="1">
        <v>50406.3</v>
      </c>
      <c r="K664" s="1">
        <v>88535.8</v>
      </c>
      <c r="L664" s="1">
        <v>96113.3</v>
      </c>
      <c r="M664" s="1">
        <v>69707.3</v>
      </c>
      <c r="N664" s="1">
        <v>87641.3</v>
      </c>
      <c r="O664" s="1">
        <v>89160.1</v>
      </c>
      <c r="P664" s="1">
        <v>52918</v>
      </c>
      <c r="Q664" s="1">
        <v>82388</v>
      </c>
      <c r="R664" s="1">
        <v>0</v>
      </c>
    </row>
    <row r="665" spans="1:18">
      <c r="A665" s="3">
        <v>45899.625033391203</v>
      </c>
      <c r="B665" s="1">
        <v>525725</v>
      </c>
      <c r="C665" s="1">
        <v>105450</v>
      </c>
      <c r="D665" s="1">
        <v>42077</v>
      </c>
      <c r="E665" s="1">
        <v>0</v>
      </c>
      <c r="F665" s="1">
        <v>406611</v>
      </c>
      <c r="G665" s="1">
        <v>62134.2</v>
      </c>
      <c r="H665" s="1">
        <v>371615</v>
      </c>
      <c r="I665" s="1">
        <v>620115</v>
      </c>
      <c r="J665" s="1">
        <v>50415.199999999997</v>
      </c>
      <c r="K665" s="1">
        <v>88535.8</v>
      </c>
      <c r="L665" s="1">
        <v>96144.5</v>
      </c>
      <c r="M665" s="1">
        <v>69751.7</v>
      </c>
      <c r="N665" s="1">
        <v>87683.6</v>
      </c>
      <c r="O665" s="1">
        <v>89182</v>
      </c>
      <c r="P665" s="1">
        <v>52933</v>
      </c>
      <c r="Q665" s="1">
        <v>82410</v>
      </c>
      <c r="R665" s="1">
        <v>0</v>
      </c>
    </row>
    <row r="666" spans="1:18">
      <c r="A666" s="3">
        <v>45899.66670011574</v>
      </c>
      <c r="B666" s="1">
        <v>526603</v>
      </c>
      <c r="C666" s="1">
        <v>105684</v>
      </c>
      <c r="D666" s="1">
        <v>42100.4</v>
      </c>
      <c r="E666" s="1">
        <v>0</v>
      </c>
      <c r="F666" s="1">
        <v>406644</v>
      </c>
      <c r="G666" s="1">
        <v>62183.9</v>
      </c>
      <c r="H666" s="1">
        <v>371649</v>
      </c>
      <c r="I666" s="1">
        <v>620407</v>
      </c>
      <c r="J666" s="1">
        <v>50424.6</v>
      </c>
      <c r="K666" s="1">
        <v>88536.1</v>
      </c>
      <c r="L666" s="1">
        <v>96173.5</v>
      </c>
      <c r="M666" s="1">
        <v>69796.7</v>
      </c>
      <c r="N666" s="1">
        <v>87730.8</v>
      </c>
      <c r="O666" s="1">
        <v>89202.4</v>
      </c>
      <c r="P666" s="1">
        <v>52943</v>
      </c>
      <c r="Q666" s="1">
        <v>82425</v>
      </c>
      <c r="R666" s="1">
        <v>0</v>
      </c>
    </row>
    <row r="667" spans="1:18">
      <c r="A667" s="3">
        <v>45899.708366840277</v>
      </c>
      <c r="B667" s="1">
        <v>527464</v>
      </c>
      <c r="C667" s="1">
        <v>105905</v>
      </c>
      <c r="D667" s="1">
        <v>42123.7</v>
      </c>
      <c r="E667" s="1">
        <v>0</v>
      </c>
      <c r="F667" s="1">
        <v>406673</v>
      </c>
      <c r="G667" s="1">
        <v>62247.199999999997</v>
      </c>
      <c r="H667" s="1">
        <v>371672</v>
      </c>
      <c r="I667" s="1">
        <v>620697</v>
      </c>
      <c r="J667" s="1">
        <v>50433</v>
      </c>
      <c r="K667" s="1">
        <v>88537.7</v>
      </c>
      <c r="L667" s="1">
        <v>96196</v>
      </c>
      <c r="M667" s="1">
        <v>69839.5</v>
      </c>
      <c r="N667" s="1">
        <v>87784</v>
      </c>
      <c r="O667" s="1">
        <v>89223.5</v>
      </c>
      <c r="P667" s="1">
        <v>52946</v>
      </c>
      <c r="Q667" s="1">
        <v>82430</v>
      </c>
      <c r="R667" s="1">
        <v>0</v>
      </c>
    </row>
    <row r="668" spans="1:18">
      <c r="A668" s="3">
        <v>45899.750033564815</v>
      </c>
      <c r="B668" s="1">
        <v>528276</v>
      </c>
      <c r="C668" s="1">
        <v>106109</v>
      </c>
      <c r="D668" s="1">
        <v>42141.9</v>
      </c>
      <c r="E668" s="1">
        <v>0</v>
      </c>
      <c r="F668" s="1">
        <v>406700</v>
      </c>
      <c r="G668" s="1">
        <v>62310.1</v>
      </c>
      <c r="H668" s="1">
        <v>371684</v>
      </c>
      <c r="I668" s="1">
        <v>620975</v>
      </c>
      <c r="J668" s="1">
        <v>50440.6</v>
      </c>
      <c r="K668" s="1">
        <v>88541.7</v>
      </c>
      <c r="L668" s="1">
        <v>96218.3</v>
      </c>
      <c r="M668" s="1">
        <v>69881.3</v>
      </c>
      <c r="N668" s="1">
        <v>87840.1</v>
      </c>
      <c r="O668" s="1">
        <v>89244.4</v>
      </c>
      <c r="P668" s="1">
        <v>52946</v>
      </c>
      <c r="Q668" s="1">
        <v>82430</v>
      </c>
      <c r="R668" s="1">
        <v>0</v>
      </c>
    </row>
    <row r="669" spans="1:18">
      <c r="A669" s="3">
        <v>45899.791700289352</v>
      </c>
      <c r="B669" s="1">
        <v>529048</v>
      </c>
      <c r="C669" s="1">
        <v>106312</v>
      </c>
      <c r="D669" s="1">
        <v>42157.4</v>
      </c>
      <c r="E669" s="1">
        <v>0</v>
      </c>
      <c r="F669" s="1">
        <v>406724</v>
      </c>
      <c r="G669" s="1">
        <v>62369.2</v>
      </c>
      <c r="H669" s="1">
        <v>371697</v>
      </c>
      <c r="I669" s="1">
        <v>621230</v>
      </c>
      <c r="J669" s="1">
        <v>50448</v>
      </c>
      <c r="K669" s="1">
        <v>88545.8</v>
      </c>
      <c r="L669" s="1">
        <v>96239.3</v>
      </c>
      <c r="M669" s="1">
        <v>69920.5</v>
      </c>
      <c r="N669" s="1">
        <v>87896.1</v>
      </c>
      <c r="O669" s="1">
        <v>89263.7</v>
      </c>
      <c r="P669" s="1">
        <v>52946</v>
      </c>
      <c r="Q669" s="1">
        <v>82430</v>
      </c>
      <c r="R669" s="1">
        <v>0</v>
      </c>
    </row>
    <row r="670" spans="1:18">
      <c r="A670" s="3">
        <v>45899.833367013889</v>
      </c>
      <c r="B670" s="1">
        <v>529809</v>
      </c>
      <c r="C670" s="1">
        <v>106515</v>
      </c>
      <c r="D670" s="1">
        <v>42175.5</v>
      </c>
      <c r="E670" s="1">
        <v>0</v>
      </c>
      <c r="F670" s="1">
        <v>406746</v>
      </c>
      <c r="G670" s="1">
        <v>62426.7</v>
      </c>
      <c r="H670" s="1">
        <v>371709</v>
      </c>
      <c r="I670" s="1">
        <v>621473</v>
      </c>
      <c r="J670" s="1">
        <v>50456</v>
      </c>
      <c r="K670" s="1">
        <v>88550</v>
      </c>
      <c r="L670" s="1">
        <v>96261.3</v>
      </c>
      <c r="M670" s="1">
        <v>69959.399999999994</v>
      </c>
      <c r="N670" s="1">
        <v>87952.6</v>
      </c>
      <c r="O670" s="1">
        <v>89283.9</v>
      </c>
      <c r="P670" s="1">
        <v>52946</v>
      </c>
      <c r="Q670" s="1">
        <v>82430</v>
      </c>
      <c r="R670" s="1">
        <v>0</v>
      </c>
    </row>
    <row r="671" spans="1:18">
      <c r="A671" s="3">
        <v>45899.875033738426</v>
      </c>
      <c r="B671" s="1">
        <v>530556</v>
      </c>
      <c r="C671" s="1">
        <v>106712</v>
      </c>
      <c r="D671" s="1">
        <v>42192.800000000003</v>
      </c>
      <c r="E671" s="1">
        <v>0</v>
      </c>
      <c r="F671" s="1">
        <v>406769</v>
      </c>
      <c r="G671" s="1">
        <v>62480</v>
      </c>
      <c r="H671" s="1">
        <v>371722</v>
      </c>
      <c r="I671" s="1">
        <v>621714</v>
      </c>
      <c r="J671" s="1">
        <v>50463.3</v>
      </c>
      <c r="K671" s="1">
        <v>88553.8</v>
      </c>
      <c r="L671" s="1">
        <v>96283.3</v>
      </c>
      <c r="M671" s="1">
        <v>69999.100000000006</v>
      </c>
      <c r="N671" s="1">
        <v>88008.5</v>
      </c>
      <c r="O671" s="1">
        <v>89304.6</v>
      </c>
      <c r="P671" s="1">
        <v>52946</v>
      </c>
      <c r="Q671" s="1">
        <v>82430</v>
      </c>
      <c r="R671" s="1">
        <v>0</v>
      </c>
    </row>
    <row r="672" spans="1:18">
      <c r="A672" s="3">
        <v>45899.916700462963</v>
      </c>
      <c r="B672" s="1">
        <v>531303</v>
      </c>
      <c r="C672" s="1">
        <v>106907</v>
      </c>
      <c r="D672" s="1">
        <v>42209.2</v>
      </c>
      <c r="E672" s="1">
        <v>0</v>
      </c>
      <c r="F672" s="1">
        <v>406791</v>
      </c>
      <c r="G672" s="1">
        <v>62533.5</v>
      </c>
      <c r="H672" s="1">
        <v>371735</v>
      </c>
      <c r="I672" s="1">
        <v>621955</v>
      </c>
      <c r="J672" s="1">
        <v>50470.3</v>
      </c>
      <c r="K672" s="1">
        <v>88557.5</v>
      </c>
      <c r="L672" s="1">
        <v>96305.5</v>
      </c>
      <c r="M672" s="1">
        <v>70044.100000000006</v>
      </c>
      <c r="N672" s="1">
        <v>88064.6</v>
      </c>
      <c r="O672" s="1">
        <v>89325.7</v>
      </c>
      <c r="P672" s="1">
        <v>52946</v>
      </c>
      <c r="Q672" s="1">
        <v>82430</v>
      </c>
      <c r="R672" s="1">
        <v>0</v>
      </c>
    </row>
    <row r="673" spans="1:18">
      <c r="A673" s="3">
        <v>45899.958367187501</v>
      </c>
      <c r="B673" s="1">
        <v>532038</v>
      </c>
      <c r="C673" s="1">
        <v>107097</v>
      </c>
      <c r="D673" s="1">
        <v>42225.4</v>
      </c>
      <c r="E673" s="1">
        <v>0</v>
      </c>
      <c r="F673" s="1">
        <v>406812</v>
      </c>
      <c r="G673" s="1">
        <v>62587</v>
      </c>
      <c r="H673" s="1">
        <v>371748</v>
      </c>
      <c r="I673" s="1">
        <v>622192</v>
      </c>
      <c r="J673" s="1">
        <v>50477.3</v>
      </c>
      <c r="K673" s="1">
        <v>88561.2</v>
      </c>
      <c r="L673" s="1">
        <v>96327.5</v>
      </c>
      <c r="M673" s="1">
        <v>70086.600000000006</v>
      </c>
      <c r="N673" s="1">
        <v>88119.9</v>
      </c>
      <c r="O673" s="1">
        <v>89345.5</v>
      </c>
      <c r="P673" s="1">
        <v>52946</v>
      </c>
      <c r="Q673" s="1">
        <v>82430</v>
      </c>
      <c r="R673" s="1">
        <v>0</v>
      </c>
    </row>
    <row r="674" spans="1:18">
      <c r="A674" s="3">
        <v>45900.000033912038</v>
      </c>
      <c r="B674" s="1">
        <v>532760</v>
      </c>
      <c r="C674" s="1">
        <v>107287</v>
      </c>
      <c r="D674" s="1">
        <v>42241</v>
      </c>
      <c r="E674" s="1">
        <v>0</v>
      </c>
      <c r="F674" s="1">
        <v>406834</v>
      </c>
      <c r="G674" s="1">
        <v>62643.5</v>
      </c>
      <c r="H674" s="1">
        <v>371761</v>
      </c>
      <c r="I674" s="1">
        <v>622420</v>
      </c>
      <c r="J674" s="1">
        <v>50484</v>
      </c>
      <c r="K674" s="1">
        <v>88565</v>
      </c>
      <c r="L674" s="1">
        <v>96349.8</v>
      </c>
      <c r="M674" s="1">
        <v>70125.399999999994</v>
      </c>
      <c r="N674" s="1">
        <v>88175.5</v>
      </c>
      <c r="O674" s="1">
        <v>89364.9</v>
      </c>
      <c r="P674" s="1">
        <v>52946</v>
      </c>
      <c r="Q674" s="1">
        <v>82430</v>
      </c>
      <c r="R674" s="1">
        <v>0</v>
      </c>
    </row>
    <row r="675" spans="1:18">
      <c r="A675" s="3">
        <v>45900.041700636575</v>
      </c>
      <c r="B675" s="1">
        <v>533479</v>
      </c>
      <c r="C675" s="1">
        <v>107477</v>
      </c>
      <c r="D675" s="1">
        <v>42256.1</v>
      </c>
      <c r="E675" s="1">
        <v>0</v>
      </c>
      <c r="F675" s="1">
        <v>406856</v>
      </c>
      <c r="G675" s="1">
        <v>62698.5</v>
      </c>
      <c r="H675" s="1">
        <v>371773</v>
      </c>
      <c r="I675" s="1">
        <v>622648</v>
      </c>
      <c r="J675" s="1">
        <v>50490.8</v>
      </c>
      <c r="K675" s="1">
        <v>88568.6</v>
      </c>
      <c r="L675" s="1">
        <v>96371.8</v>
      </c>
      <c r="M675" s="1">
        <v>70164.100000000006</v>
      </c>
      <c r="N675" s="1">
        <v>88231.2</v>
      </c>
      <c r="O675" s="1">
        <v>89383.2</v>
      </c>
      <c r="P675" s="1">
        <v>52946</v>
      </c>
      <c r="Q675" s="1">
        <v>82430</v>
      </c>
      <c r="R675" s="1">
        <v>0</v>
      </c>
    </row>
    <row r="676" spans="1:18">
      <c r="A676" s="3">
        <v>45900.083367361112</v>
      </c>
      <c r="B676" s="1">
        <v>534179</v>
      </c>
      <c r="C676" s="1">
        <v>107663</v>
      </c>
      <c r="D676" s="1">
        <v>42270.7</v>
      </c>
      <c r="E676" s="1">
        <v>0</v>
      </c>
      <c r="F676" s="1">
        <v>406877</v>
      </c>
      <c r="G676" s="1">
        <v>62751.6</v>
      </c>
      <c r="H676" s="1">
        <v>371785</v>
      </c>
      <c r="I676" s="1">
        <v>622866</v>
      </c>
      <c r="J676" s="1">
        <v>50497.3</v>
      </c>
      <c r="K676" s="1">
        <v>88572.2</v>
      </c>
      <c r="L676" s="1">
        <v>96393.600000000006</v>
      </c>
      <c r="M676" s="1">
        <v>70202.7</v>
      </c>
      <c r="N676" s="1">
        <v>88286.5</v>
      </c>
      <c r="O676" s="1">
        <v>89402.2</v>
      </c>
      <c r="P676" s="1">
        <v>52946</v>
      </c>
      <c r="Q676" s="1">
        <v>82430</v>
      </c>
      <c r="R676" s="1">
        <v>0</v>
      </c>
    </row>
    <row r="677" spans="1:18">
      <c r="A677" s="3">
        <v>45900.12503408565</v>
      </c>
      <c r="B677" s="1">
        <v>534877</v>
      </c>
      <c r="C677" s="1">
        <v>107844</v>
      </c>
      <c r="D677" s="1">
        <v>42287.199999999997</v>
      </c>
      <c r="E677" s="1">
        <v>0</v>
      </c>
      <c r="F677" s="1">
        <v>406898</v>
      </c>
      <c r="G677" s="1">
        <v>62803.5</v>
      </c>
      <c r="H677" s="1">
        <v>371797</v>
      </c>
      <c r="I677" s="1">
        <v>623081</v>
      </c>
      <c r="J677" s="1">
        <v>50503.6</v>
      </c>
      <c r="K677" s="1">
        <v>88575.7</v>
      </c>
      <c r="L677" s="1">
        <v>96418</v>
      </c>
      <c r="M677" s="1">
        <v>70242.7</v>
      </c>
      <c r="N677" s="1">
        <v>88341.5</v>
      </c>
      <c r="O677" s="1">
        <v>89422</v>
      </c>
      <c r="P677" s="1">
        <v>52946</v>
      </c>
      <c r="Q677" s="1">
        <v>82430</v>
      </c>
      <c r="R677" s="1">
        <v>0</v>
      </c>
    </row>
    <row r="678" spans="1:18">
      <c r="A678" s="3">
        <v>45900.166700810187</v>
      </c>
      <c r="B678" s="1">
        <v>535561</v>
      </c>
      <c r="C678" s="1">
        <v>108018</v>
      </c>
      <c r="D678" s="1">
        <v>42301.7</v>
      </c>
      <c r="E678" s="1">
        <v>0</v>
      </c>
      <c r="F678" s="1">
        <v>406919</v>
      </c>
      <c r="G678" s="1">
        <v>62854.9</v>
      </c>
      <c r="H678" s="1">
        <v>371810</v>
      </c>
      <c r="I678" s="1">
        <v>623294</v>
      </c>
      <c r="J678" s="1">
        <v>50510.2</v>
      </c>
      <c r="K678" s="1">
        <v>88579.199999999997</v>
      </c>
      <c r="L678" s="1">
        <v>96443.7</v>
      </c>
      <c r="M678" s="1">
        <v>70282.5</v>
      </c>
      <c r="N678" s="1">
        <v>88396.7</v>
      </c>
      <c r="O678" s="1">
        <v>89441</v>
      </c>
      <c r="P678" s="1">
        <v>52946</v>
      </c>
      <c r="Q678" s="1">
        <v>82430</v>
      </c>
      <c r="R678" s="1">
        <v>0</v>
      </c>
    </row>
    <row r="679" spans="1:18">
      <c r="A679" s="3">
        <v>45900.208367534724</v>
      </c>
      <c r="B679" s="1">
        <v>536233</v>
      </c>
      <c r="C679" s="1">
        <v>108186</v>
      </c>
      <c r="D679" s="1">
        <v>42315.9</v>
      </c>
      <c r="E679" s="1">
        <v>0</v>
      </c>
      <c r="F679" s="1">
        <v>406939</v>
      </c>
      <c r="G679" s="1">
        <v>62906</v>
      </c>
      <c r="H679" s="1">
        <v>371821</v>
      </c>
      <c r="I679" s="1">
        <v>623509</v>
      </c>
      <c r="J679" s="1">
        <v>50516.2</v>
      </c>
      <c r="K679" s="1">
        <v>88582.6</v>
      </c>
      <c r="L679" s="1">
        <v>96464.9</v>
      </c>
      <c r="M679" s="1">
        <v>70319.7</v>
      </c>
      <c r="N679" s="1">
        <v>88451.8</v>
      </c>
      <c r="O679" s="1">
        <v>89460.5</v>
      </c>
      <c r="P679" s="1">
        <v>52946</v>
      </c>
      <c r="Q679" s="1">
        <v>82430</v>
      </c>
      <c r="R679" s="1">
        <v>0</v>
      </c>
    </row>
    <row r="680" spans="1:18">
      <c r="A680" s="3">
        <v>45900.250034259261</v>
      </c>
      <c r="B680" s="1">
        <v>536898</v>
      </c>
      <c r="C680" s="1">
        <v>108354</v>
      </c>
      <c r="D680" s="1">
        <v>42330.1</v>
      </c>
      <c r="E680" s="1">
        <v>0</v>
      </c>
      <c r="F680" s="1">
        <v>406959</v>
      </c>
      <c r="G680" s="1">
        <v>62956.2</v>
      </c>
      <c r="H680" s="1">
        <v>371834</v>
      </c>
      <c r="I680" s="1">
        <v>623722</v>
      </c>
      <c r="J680" s="1">
        <v>50522.400000000001</v>
      </c>
      <c r="K680" s="1">
        <v>88585.9</v>
      </c>
      <c r="L680" s="1">
        <v>96485.8</v>
      </c>
      <c r="M680" s="1">
        <v>70356.3</v>
      </c>
      <c r="N680" s="1">
        <v>88506.8</v>
      </c>
      <c r="O680" s="1">
        <v>89479.5</v>
      </c>
      <c r="P680" s="1">
        <v>52946</v>
      </c>
      <c r="Q680" s="1">
        <v>82430</v>
      </c>
      <c r="R680" s="1">
        <v>0</v>
      </c>
    </row>
    <row r="681" spans="1:18">
      <c r="A681" s="3">
        <v>45900.291700983798</v>
      </c>
      <c r="B681" s="1">
        <v>537552</v>
      </c>
      <c r="C681" s="1">
        <v>108521</v>
      </c>
      <c r="D681" s="1">
        <v>42344.9</v>
      </c>
      <c r="E681" s="1">
        <v>0</v>
      </c>
      <c r="F681" s="1">
        <v>406980</v>
      </c>
      <c r="G681" s="1">
        <v>63005.2</v>
      </c>
      <c r="H681" s="1">
        <v>371846</v>
      </c>
      <c r="I681" s="1">
        <v>623928</v>
      </c>
      <c r="J681" s="1">
        <v>50528.4</v>
      </c>
      <c r="K681" s="1">
        <v>88588.800000000003</v>
      </c>
      <c r="L681" s="1">
        <v>96506.9</v>
      </c>
      <c r="M681" s="1">
        <v>70392.399999999994</v>
      </c>
      <c r="N681" s="1">
        <v>88560.9</v>
      </c>
      <c r="O681" s="1">
        <v>89495.7</v>
      </c>
      <c r="P681" s="1">
        <v>52946</v>
      </c>
      <c r="Q681" s="1">
        <v>82431</v>
      </c>
      <c r="R681" s="1">
        <v>0</v>
      </c>
    </row>
    <row r="682" spans="1:18">
      <c r="A682" s="3">
        <v>45900.333367708336</v>
      </c>
      <c r="B682" s="1">
        <v>538229</v>
      </c>
      <c r="C682" s="1">
        <v>108696</v>
      </c>
      <c r="D682" s="1">
        <v>42358.5</v>
      </c>
      <c r="E682" s="1">
        <v>0</v>
      </c>
      <c r="F682" s="1">
        <v>407001</v>
      </c>
      <c r="G682" s="1">
        <v>63052.4</v>
      </c>
      <c r="H682" s="1">
        <v>371858</v>
      </c>
      <c r="I682" s="1">
        <v>624150</v>
      </c>
      <c r="J682" s="1">
        <v>50535</v>
      </c>
      <c r="K682" s="1">
        <v>88589.5</v>
      </c>
      <c r="L682" s="1">
        <v>96528</v>
      </c>
      <c r="M682" s="1">
        <v>70429.100000000006</v>
      </c>
      <c r="N682" s="1">
        <v>88612.5</v>
      </c>
      <c r="O682" s="1">
        <v>89514.6</v>
      </c>
      <c r="P682" s="1">
        <v>52947</v>
      </c>
      <c r="Q682" s="1">
        <v>82434</v>
      </c>
      <c r="R682" s="1">
        <v>0</v>
      </c>
    </row>
    <row r="683" spans="1:18">
      <c r="A683" s="3">
        <v>45900.375034432873</v>
      </c>
      <c r="B683" s="1">
        <v>538909</v>
      </c>
      <c r="C683" s="1">
        <v>108872</v>
      </c>
      <c r="D683" s="1">
        <v>42372.1</v>
      </c>
      <c r="E683" s="1">
        <v>0</v>
      </c>
      <c r="F683" s="1">
        <v>407023</v>
      </c>
      <c r="G683" s="1">
        <v>63091.6</v>
      </c>
      <c r="H683" s="1">
        <v>371870</v>
      </c>
      <c r="I683" s="1">
        <v>624378</v>
      </c>
      <c r="J683" s="1">
        <v>50541.599999999999</v>
      </c>
      <c r="K683" s="1">
        <v>88589.5</v>
      </c>
      <c r="L683" s="1">
        <v>96549</v>
      </c>
      <c r="M683" s="1">
        <v>70468.100000000006</v>
      </c>
      <c r="N683" s="1">
        <v>88661.7</v>
      </c>
      <c r="O683" s="1">
        <v>89533.5</v>
      </c>
      <c r="P683" s="1">
        <v>52952</v>
      </c>
      <c r="Q683" s="1">
        <v>82442</v>
      </c>
      <c r="R683" s="1">
        <v>0</v>
      </c>
    </row>
    <row r="684" spans="1:18">
      <c r="A684" s="3">
        <v>45900.41670115741</v>
      </c>
      <c r="B684" s="1">
        <v>539590</v>
      </c>
      <c r="C684" s="1">
        <v>109053</v>
      </c>
      <c r="D684" s="1">
        <v>42386.1</v>
      </c>
      <c r="E684" s="1">
        <v>0</v>
      </c>
      <c r="F684" s="1">
        <v>407046</v>
      </c>
      <c r="G684" s="1">
        <v>63121.8</v>
      </c>
      <c r="H684" s="1">
        <v>371882</v>
      </c>
      <c r="I684" s="1">
        <v>624622</v>
      </c>
      <c r="J684" s="1">
        <v>50548.6</v>
      </c>
      <c r="K684" s="1">
        <v>88589.5</v>
      </c>
      <c r="L684" s="1">
        <v>96570.1</v>
      </c>
      <c r="M684" s="1">
        <v>70508.899999999994</v>
      </c>
      <c r="N684" s="1">
        <v>88707.4</v>
      </c>
      <c r="O684" s="1">
        <v>89551.5</v>
      </c>
      <c r="P684" s="1">
        <v>52962</v>
      </c>
      <c r="Q684" s="1">
        <v>82457</v>
      </c>
      <c r="R684" s="1">
        <v>0</v>
      </c>
    </row>
    <row r="685" spans="1:18">
      <c r="A685" s="3">
        <v>45900.458367881947</v>
      </c>
      <c r="B685" s="1">
        <v>540280</v>
      </c>
      <c r="C685" s="1">
        <v>109235</v>
      </c>
      <c r="D685" s="1">
        <v>42403.4</v>
      </c>
      <c r="E685" s="1">
        <v>0</v>
      </c>
      <c r="F685" s="1">
        <v>407070</v>
      </c>
      <c r="G685" s="1">
        <v>63146.9</v>
      </c>
      <c r="H685" s="1">
        <v>371894</v>
      </c>
      <c r="I685" s="1">
        <v>624872</v>
      </c>
      <c r="J685" s="1">
        <v>50555.7</v>
      </c>
      <c r="K685" s="1">
        <v>88589.5</v>
      </c>
      <c r="L685" s="1">
        <v>96597</v>
      </c>
      <c r="M685" s="1">
        <v>70549.600000000006</v>
      </c>
      <c r="N685" s="1">
        <v>88750.1</v>
      </c>
      <c r="O685" s="1">
        <v>89571.199999999997</v>
      </c>
      <c r="P685" s="1">
        <v>52975</v>
      </c>
      <c r="Q685" s="1">
        <v>82476</v>
      </c>
      <c r="R685" s="1">
        <v>0</v>
      </c>
    </row>
    <row r="686" spans="1:18">
      <c r="A686" s="3">
        <v>45900.500034606484</v>
      </c>
      <c r="B686" s="1">
        <v>540973</v>
      </c>
      <c r="C686" s="1">
        <v>109420</v>
      </c>
      <c r="D686" s="1">
        <v>42422.6</v>
      </c>
      <c r="E686" s="1">
        <v>0</v>
      </c>
      <c r="F686" s="1">
        <v>407097</v>
      </c>
      <c r="G686" s="1">
        <v>63168.3</v>
      </c>
      <c r="H686" s="1">
        <v>371907</v>
      </c>
      <c r="I686" s="1">
        <v>625127</v>
      </c>
      <c r="J686" s="1">
        <v>50562.9</v>
      </c>
      <c r="K686" s="1">
        <v>88589.5</v>
      </c>
      <c r="L686" s="1">
        <v>96622.1</v>
      </c>
      <c r="M686" s="1">
        <v>70590.899999999994</v>
      </c>
      <c r="N686" s="1">
        <v>88791.5</v>
      </c>
      <c r="O686" s="1">
        <v>89590.7</v>
      </c>
      <c r="P686" s="1">
        <v>52990</v>
      </c>
      <c r="Q686" s="1">
        <v>82500</v>
      </c>
      <c r="R686" s="1">
        <v>0</v>
      </c>
    </row>
    <row r="687" spans="1:18">
      <c r="A687" s="3">
        <v>45900.541701331022</v>
      </c>
      <c r="B687" s="1">
        <v>541700</v>
      </c>
      <c r="C687" s="1">
        <v>109614</v>
      </c>
      <c r="D687" s="1">
        <v>42443.7</v>
      </c>
      <c r="E687" s="1">
        <v>0</v>
      </c>
      <c r="F687" s="1">
        <v>407124</v>
      </c>
      <c r="G687" s="1">
        <v>63188.9</v>
      </c>
      <c r="H687" s="1">
        <v>371919</v>
      </c>
      <c r="I687" s="1">
        <v>625402</v>
      </c>
      <c r="J687" s="1">
        <v>50570.6</v>
      </c>
      <c r="K687" s="1">
        <v>88589.5</v>
      </c>
      <c r="L687" s="1">
        <v>96651</v>
      </c>
      <c r="M687" s="1">
        <v>70633.7</v>
      </c>
      <c r="N687" s="1">
        <v>88831.5</v>
      </c>
      <c r="O687" s="1">
        <v>89608.4</v>
      </c>
      <c r="P687" s="1">
        <v>53006</v>
      </c>
      <c r="Q687" s="1">
        <v>82524</v>
      </c>
      <c r="R687" s="1">
        <v>0</v>
      </c>
    </row>
    <row r="688" spans="1:18">
      <c r="A688" s="3">
        <v>45900.583368055559</v>
      </c>
      <c r="B688" s="1">
        <v>542478</v>
      </c>
      <c r="C688" s="1">
        <v>109819</v>
      </c>
      <c r="D688" s="1">
        <v>42466.8</v>
      </c>
      <c r="E688" s="1">
        <v>0</v>
      </c>
      <c r="F688" s="1">
        <v>407155</v>
      </c>
      <c r="G688" s="1">
        <v>63215.6</v>
      </c>
      <c r="H688" s="1">
        <v>371932</v>
      </c>
      <c r="I688" s="1">
        <v>625695</v>
      </c>
      <c r="J688" s="1">
        <v>50578.7</v>
      </c>
      <c r="K688" s="1">
        <v>88589.5</v>
      </c>
      <c r="L688" s="1">
        <v>96683.6</v>
      </c>
      <c r="M688" s="1">
        <v>70675.600000000006</v>
      </c>
      <c r="N688" s="1">
        <v>88872.1</v>
      </c>
      <c r="O688" s="1">
        <v>89627.199999999997</v>
      </c>
      <c r="P688" s="1">
        <v>53021</v>
      </c>
      <c r="Q688" s="1">
        <v>82547</v>
      </c>
      <c r="R688" s="1">
        <v>0</v>
      </c>
    </row>
    <row r="689" spans="1:18">
      <c r="A689" s="3">
        <v>45900.625034780096</v>
      </c>
      <c r="B689" s="1">
        <v>543301</v>
      </c>
      <c r="C689" s="1">
        <v>110044</v>
      </c>
      <c r="D689" s="1">
        <v>42489</v>
      </c>
      <c r="E689" s="1">
        <v>0</v>
      </c>
      <c r="F689" s="1">
        <v>407187</v>
      </c>
      <c r="G689" s="1">
        <v>63259.1</v>
      </c>
      <c r="H689" s="1">
        <v>371949</v>
      </c>
      <c r="I689" s="1">
        <v>625980</v>
      </c>
      <c r="J689" s="1">
        <v>50586.9</v>
      </c>
      <c r="K689" s="1">
        <v>88589.5</v>
      </c>
      <c r="L689" s="1">
        <v>96710.8</v>
      </c>
      <c r="M689" s="1">
        <v>70718.8</v>
      </c>
      <c r="N689" s="1">
        <v>88919</v>
      </c>
      <c r="O689" s="1">
        <v>89646.9</v>
      </c>
      <c r="P689" s="1">
        <v>53029</v>
      </c>
      <c r="Q689" s="1">
        <v>82559</v>
      </c>
      <c r="R689" s="1">
        <v>0</v>
      </c>
    </row>
    <row r="690" spans="1:18">
      <c r="A690" s="3">
        <v>45900.666701504633</v>
      </c>
      <c r="B690" s="1">
        <v>544152</v>
      </c>
      <c r="C690" s="1">
        <v>110270</v>
      </c>
      <c r="D690" s="1">
        <v>42516.1</v>
      </c>
      <c r="E690" s="1">
        <v>0</v>
      </c>
      <c r="F690" s="1">
        <v>407217</v>
      </c>
      <c r="G690" s="1">
        <v>63309.2</v>
      </c>
      <c r="H690" s="1">
        <v>371966</v>
      </c>
      <c r="I690" s="1">
        <v>626270</v>
      </c>
      <c r="J690" s="1">
        <v>50594.7</v>
      </c>
      <c r="K690" s="1">
        <v>88589.5</v>
      </c>
      <c r="L690" s="1">
        <v>96739.5</v>
      </c>
      <c r="M690" s="1">
        <v>70764.600000000006</v>
      </c>
      <c r="N690" s="1">
        <v>88967.4</v>
      </c>
      <c r="O690" s="1">
        <v>89667.7</v>
      </c>
      <c r="P690" s="1">
        <v>53035</v>
      </c>
      <c r="Q690" s="1">
        <v>82569</v>
      </c>
      <c r="R690" s="1">
        <v>0</v>
      </c>
    </row>
    <row r="691" spans="1:18">
      <c r="A691" s="3">
        <v>45900.708368229163</v>
      </c>
      <c r="B691" s="1">
        <v>544974</v>
      </c>
      <c r="C691" s="1">
        <v>110486</v>
      </c>
      <c r="D691" s="1">
        <v>42538.1</v>
      </c>
      <c r="E691" s="1">
        <v>0</v>
      </c>
      <c r="F691" s="1">
        <v>407245</v>
      </c>
      <c r="G691" s="1">
        <v>63356.5</v>
      </c>
      <c r="H691" s="1">
        <v>371981</v>
      </c>
      <c r="I691" s="1">
        <v>626553</v>
      </c>
      <c r="J691" s="1">
        <v>50602.3</v>
      </c>
      <c r="K691" s="1">
        <v>88589.9</v>
      </c>
      <c r="L691" s="1">
        <v>96768.7</v>
      </c>
      <c r="M691" s="1">
        <v>70810.2</v>
      </c>
      <c r="N691" s="1">
        <v>89016.7</v>
      </c>
      <c r="O691" s="1">
        <v>89687</v>
      </c>
      <c r="P691" s="1">
        <v>53041</v>
      </c>
      <c r="Q691" s="1">
        <v>82579</v>
      </c>
      <c r="R691" s="1">
        <v>0</v>
      </c>
    </row>
    <row r="692" spans="1:18">
      <c r="A692" s="3">
        <v>45900.7500349537</v>
      </c>
      <c r="B692" s="1">
        <v>545759</v>
      </c>
      <c r="C692" s="1">
        <v>110683</v>
      </c>
      <c r="D692" s="1">
        <v>42555.1</v>
      </c>
      <c r="E692" s="1">
        <v>0</v>
      </c>
      <c r="F692" s="1">
        <v>407268</v>
      </c>
      <c r="G692" s="1">
        <v>63414.3</v>
      </c>
      <c r="H692" s="1">
        <v>371998</v>
      </c>
      <c r="I692" s="1">
        <v>626819</v>
      </c>
      <c r="J692" s="1">
        <v>50609.3</v>
      </c>
      <c r="K692" s="1">
        <v>88593.1</v>
      </c>
      <c r="L692" s="1">
        <v>96792.7</v>
      </c>
      <c r="M692" s="1">
        <v>70853.2</v>
      </c>
      <c r="N692" s="1">
        <v>89070.7</v>
      </c>
      <c r="O692" s="1">
        <v>89705.3</v>
      </c>
      <c r="P692" s="1">
        <v>53042</v>
      </c>
      <c r="Q692" s="1">
        <v>82579</v>
      </c>
      <c r="R692" s="1">
        <v>0</v>
      </c>
    </row>
    <row r="693" spans="1:18">
      <c r="A693" s="3">
        <v>45900.791701678238</v>
      </c>
      <c r="B693" s="1">
        <v>546511</v>
      </c>
      <c r="C693" s="1">
        <v>110873</v>
      </c>
      <c r="D693" s="1">
        <v>42571.199999999997</v>
      </c>
      <c r="E693" s="1">
        <v>0</v>
      </c>
      <c r="F693" s="1">
        <v>407291</v>
      </c>
      <c r="G693" s="1">
        <v>63468.5</v>
      </c>
      <c r="H693" s="1">
        <v>372011</v>
      </c>
      <c r="I693" s="1">
        <v>627075</v>
      </c>
      <c r="J693" s="1">
        <v>50616</v>
      </c>
      <c r="K693" s="1">
        <v>88596.800000000003</v>
      </c>
      <c r="L693" s="1">
        <v>96814.399999999994</v>
      </c>
      <c r="M693" s="1">
        <v>70894</v>
      </c>
      <c r="N693" s="1">
        <v>89125.2</v>
      </c>
      <c r="O693" s="1">
        <v>89721.600000000006</v>
      </c>
      <c r="P693" s="1">
        <v>53042</v>
      </c>
      <c r="Q693" s="1">
        <v>82579</v>
      </c>
      <c r="R693" s="1">
        <v>0</v>
      </c>
    </row>
    <row r="694" spans="1:18">
      <c r="A694" s="3">
        <v>45900.833368402775</v>
      </c>
      <c r="B694" s="1">
        <v>547248</v>
      </c>
      <c r="C694" s="1">
        <v>111059</v>
      </c>
      <c r="D694" s="1">
        <v>42587</v>
      </c>
      <c r="E694" s="1">
        <v>0</v>
      </c>
      <c r="F694" s="1">
        <v>407314</v>
      </c>
      <c r="G694" s="1">
        <v>63524.4</v>
      </c>
      <c r="H694" s="1">
        <v>372024</v>
      </c>
      <c r="I694" s="1">
        <v>627321</v>
      </c>
      <c r="J694" s="1">
        <v>50622.7</v>
      </c>
      <c r="K694" s="1">
        <v>88600.3</v>
      </c>
      <c r="L694" s="1">
        <v>96836.5</v>
      </c>
      <c r="M694" s="1">
        <v>70932.7</v>
      </c>
      <c r="N694" s="1">
        <v>89180</v>
      </c>
      <c r="O694" s="1">
        <v>89741.3</v>
      </c>
      <c r="P694" s="1">
        <v>53042</v>
      </c>
      <c r="Q694" s="1">
        <v>82579</v>
      </c>
      <c r="R694" s="1">
        <v>0</v>
      </c>
    </row>
    <row r="695" spans="1:18">
      <c r="A695" s="3">
        <v>45900.875035127312</v>
      </c>
      <c r="B695" s="1">
        <v>547976</v>
      </c>
      <c r="C695" s="1">
        <v>111242</v>
      </c>
      <c r="D695" s="1">
        <v>42604.4</v>
      </c>
      <c r="E695" s="1">
        <v>0</v>
      </c>
      <c r="F695" s="1">
        <v>407339</v>
      </c>
      <c r="G695" s="1">
        <v>63579.9</v>
      </c>
      <c r="H695" s="1">
        <v>372036</v>
      </c>
      <c r="I695" s="1">
        <v>627560</v>
      </c>
      <c r="J695" s="1">
        <v>50629.2</v>
      </c>
      <c r="K695" s="1">
        <v>88603.8</v>
      </c>
      <c r="L695" s="1">
        <v>96858.8</v>
      </c>
      <c r="M695" s="1">
        <v>70969.3</v>
      </c>
      <c r="N695" s="1">
        <v>89234.7</v>
      </c>
      <c r="O695" s="1">
        <v>89760.4</v>
      </c>
      <c r="P695" s="1">
        <v>53042</v>
      </c>
      <c r="Q695" s="1">
        <v>82579</v>
      </c>
      <c r="R695" s="1">
        <v>0</v>
      </c>
    </row>
    <row r="696" spans="1:18">
      <c r="A696" s="3">
        <v>45900.916701851849</v>
      </c>
      <c r="B696" s="1">
        <v>548705</v>
      </c>
      <c r="C696" s="1">
        <v>111429</v>
      </c>
      <c r="D696" s="1">
        <v>42623.5</v>
      </c>
      <c r="E696" s="1">
        <v>0</v>
      </c>
      <c r="F696" s="1">
        <v>407366</v>
      </c>
      <c r="G696" s="1">
        <v>63635.1</v>
      </c>
      <c r="H696" s="1">
        <v>372049</v>
      </c>
      <c r="I696" s="1">
        <v>627791</v>
      </c>
      <c r="J696" s="1">
        <v>50635.6</v>
      </c>
      <c r="K696" s="1">
        <v>88607.5</v>
      </c>
      <c r="L696" s="1">
        <v>96881.600000000006</v>
      </c>
      <c r="M696" s="1">
        <v>71007</v>
      </c>
      <c r="N696" s="1">
        <v>89290</v>
      </c>
      <c r="O696" s="1">
        <v>89779.3</v>
      </c>
      <c r="P696" s="1">
        <v>53042</v>
      </c>
      <c r="Q696" s="1">
        <v>82579</v>
      </c>
      <c r="R696" s="1">
        <v>0</v>
      </c>
    </row>
    <row r="697" spans="1:18">
      <c r="A697" s="3">
        <v>45900.958368576386</v>
      </c>
      <c r="B697" s="1">
        <v>549427</v>
      </c>
      <c r="C697" s="1">
        <v>111610</v>
      </c>
      <c r="D697" s="1">
        <v>42640.5</v>
      </c>
      <c r="E697" s="1">
        <v>0</v>
      </c>
      <c r="F697" s="1">
        <v>407390</v>
      </c>
      <c r="G697" s="1">
        <v>63690.8</v>
      </c>
      <c r="H697" s="1">
        <v>372061</v>
      </c>
      <c r="I697" s="1">
        <v>628021</v>
      </c>
      <c r="J697" s="1">
        <v>50642.400000000001</v>
      </c>
      <c r="K697" s="1">
        <v>88611.1</v>
      </c>
      <c r="L697" s="1">
        <v>96905.1</v>
      </c>
      <c r="M697" s="1">
        <v>71045.399999999994</v>
      </c>
      <c r="N697" s="1">
        <v>89345</v>
      </c>
      <c r="O697" s="1">
        <v>89799.1</v>
      </c>
      <c r="P697" s="1">
        <v>53042</v>
      </c>
      <c r="Q697" s="1">
        <v>82579</v>
      </c>
      <c r="R697" s="1">
        <v>0</v>
      </c>
    </row>
    <row r="698" spans="1:18">
      <c r="A698" s="3">
        <v>45901.000035300924</v>
      </c>
      <c r="B698" s="1">
        <v>550147</v>
      </c>
      <c r="C698" s="1">
        <v>111792</v>
      </c>
      <c r="D698" s="1">
        <v>42657</v>
      </c>
      <c r="E698" s="1">
        <v>0</v>
      </c>
      <c r="F698" s="1">
        <v>407414</v>
      </c>
      <c r="G698" s="1">
        <v>63747.1</v>
      </c>
      <c r="H698" s="1">
        <v>372074</v>
      </c>
      <c r="I698" s="1">
        <v>628249</v>
      </c>
      <c r="J698" s="1">
        <v>50648.800000000003</v>
      </c>
      <c r="K698" s="1">
        <v>88615.2</v>
      </c>
      <c r="L698" s="1">
        <v>96928.9</v>
      </c>
      <c r="M698" s="1">
        <v>71086</v>
      </c>
      <c r="N698" s="1">
        <v>89399.3</v>
      </c>
      <c r="O698" s="1">
        <v>89818.4</v>
      </c>
      <c r="P698" s="1">
        <v>53042</v>
      </c>
      <c r="Q698" s="1">
        <v>82579</v>
      </c>
      <c r="R698" s="1">
        <v>0</v>
      </c>
    </row>
    <row r="699" spans="1:18">
      <c r="A699" s="3">
        <v>45901.041702025461</v>
      </c>
      <c r="B699" s="1">
        <v>550856</v>
      </c>
      <c r="C699" s="1">
        <v>111969</v>
      </c>
      <c r="D699" s="1">
        <v>42675.9</v>
      </c>
      <c r="E699" s="1">
        <v>0</v>
      </c>
      <c r="F699" s="1">
        <v>407438</v>
      </c>
      <c r="G699" s="1">
        <v>63801.8</v>
      </c>
      <c r="H699" s="1">
        <v>372087</v>
      </c>
      <c r="I699" s="1">
        <v>628474</v>
      </c>
      <c r="J699" s="1">
        <v>50655.5</v>
      </c>
      <c r="K699" s="1">
        <v>88618.7</v>
      </c>
      <c r="L699" s="1">
        <v>96952.6</v>
      </c>
      <c r="M699" s="1">
        <v>71124.600000000006</v>
      </c>
      <c r="N699" s="1">
        <v>89454.399999999994</v>
      </c>
      <c r="O699" s="1">
        <v>89835.9</v>
      </c>
      <c r="P699" s="1">
        <v>53042</v>
      </c>
      <c r="Q699" s="1">
        <v>82579</v>
      </c>
      <c r="R699" s="1">
        <v>0</v>
      </c>
    </row>
    <row r="700" spans="1:18">
      <c r="A700" s="3">
        <v>45901.083368749998</v>
      </c>
      <c r="B700" s="1">
        <v>551532</v>
      </c>
      <c r="C700" s="1">
        <v>112129</v>
      </c>
      <c r="D700" s="1">
        <v>42691.4</v>
      </c>
      <c r="E700" s="1">
        <v>0</v>
      </c>
      <c r="F700" s="1">
        <v>407460</v>
      </c>
      <c r="G700" s="1">
        <v>63855.8</v>
      </c>
      <c r="H700" s="1">
        <v>372099</v>
      </c>
      <c r="I700" s="1">
        <v>628690</v>
      </c>
      <c r="J700" s="1">
        <v>50661.9</v>
      </c>
      <c r="K700" s="1">
        <v>88622.3</v>
      </c>
      <c r="L700" s="1">
        <v>96976.1</v>
      </c>
      <c r="M700" s="1">
        <v>71161.8</v>
      </c>
      <c r="N700" s="1">
        <v>89508.9</v>
      </c>
      <c r="O700" s="1">
        <v>89856.3</v>
      </c>
      <c r="P700" s="1">
        <v>53042</v>
      </c>
      <c r="Q700" s="1">
        <v>82579</v>
      </c>
      <c r="R700" s="1">
        <v>0</v>
      </c>
    </row>
    <row r="701" spans="1:18">
      <c r="A701" s="3">
        <v>45901.125035474535</v>
      </c>
      <c r="B701" s="1">
        <v>552210</v>
      </c>
      <c r="C701" s="1">
        <v>112303</v>
      </c>
      <c r="D701" s="1">
        <v>42705.2</v>
      </c>
      <c r="E701" s="1">
        <v>0</v>
      </c>
      <c r="F701" s="1">
        <v>407482</v>
      </c>
      <c r="G701" s="1">
        <v>63906.400000000001</v>
      </c>
      <c r="H701" s="1">
        <v>372111</v>
      </c>
      <c r="I701" s="1">
        <v>628903</v>
      </c>
      <c r="J701" s="1">
        <v>50668</v>
      </c>
      <c r="K701" s="1">
        <v>88625.7</v>
      </c>
      <c r="L701" s="1">
        <v>96999</v>
      </c>
      <c r="M701" s="1">
        <v>71199.399999999994</v>
      </c>
      <c r="N701" s="1">
        <v>89563.5</v>
      </c>
      <c r="O701" s="1">
        <v>89874.9</v>
      </c>
      <c r="P701" s="1">
        <v>53042</v>
      </c>
      <c r="Q701" s="1">
        <v>82579</v>
      </c>
      <c r="R701" s="1">
        <v>0</v>
      </c>
    </row>
    <row r="702" spans="1:18">
      <c r="A702" s="3">
        <v>45901.166702199072</v>
      </c>
      <c r="B702" s="1">
        <v>552891</v>
      </c>
      <c r="C702" s="1">
        <v>112480</v>
      </c>
      <c r="D702" s="1">
        <v>42719.8</v>
      </c>
      <c r="E702" s="1">
        <v>0</v>
      </c>
      <c r="F702" s="1">
        <v>407503</v>
      </c>
      <c r="G702" s="1">
        <v>63957.9</v>
      </c>
      <c r="H702" s="1">
        <v>372124</v>
      </c>
      <c r="I702" s="1">
        <v>629116</v>
      </c>
      <c r="J702" s="1">
        <v>50674.400000000001</v>
      </c>
      <c r="K702" s="1">
        <v>88629.2</v>
      </c>
      <c r="L702" s="1">
        <v>97020.7</v>
      </c>
      <c r="M702" s="1">
        <v>71236.399999999994</v>
      </c>
      <c r="N702" s="1">
        <v>89618.4</v>
      </c>
      <c r="O702" s="1">
        <v>89894.399999999994</v>
      </c>
      <c r="P702" s="1">
        <v>53042</v>
      </c>
      <c r="Q702" s="1">
        <v>82579</v>
      </c>
      <c r="R702" s="1">
        <v>0</v>
      </c>
    </row>
    <row r="703" spans="1:18">
      <c r="A703" s="3">
        <v>45901.20836892361</v>
      </c>
      <c r="B703" s="1">
        <v>553566</v>
      </c>
      <c r="C703" s="1">
        <v>112657</v>
      </c>
      <c r="D703" s="1">
        <v>42734.2</v>
      </c>
      <c r="E703" s="1">
        <v>0</v>
      </c>
      <c r="F703" s="1">
        <v>407523</v>
      </c>
      <c r="G703" s="1">
        <v>64008.7</v>
      </c>
      <c r="H703" s="1">
        <v>372136</v>
      </c>
      <c r="I703" s="1">
        <v>629324</v>
      </c>
      <c r="J703" s="1">
        <v>50680.3</v>
      </c>
      <c r="K703" s="1">
        <v>88632.6</v>
      </c>
      <c r="L703" s="1">
        <v>97040.4</v>
      </c>
      <c r="M703" s="1">
        <v>71274.3</v>
      </c>
      <c r="N703" s="1">
        <v>89673.2</v>
      </c>
      <c r="O703" s="1">
        <v>89913.9</v>
      </c>
      <c r="P703" s="1">
        <v>53042</v>
      </c>
      <c r="Q703" s="1">
        <v>82579</v>
      </c>
      <c r="R703" s="1">
        <v>0</v>
      </c>
    </row>
    <row r="704" spans="1:18">
      <c r="A704" s="3">
        <v>45901.250035648147</v>
      </c>
      <c r="B704" s="1">
        <v>554244</v>
      </c>
      <c r="C704" s="1">
        <v>112834</v>
      </c>
      <c r="D704" s="1">
        <v>42750.7</v>
      </c>
      <c r="E704" s="1">
        <v>0</v>
      </c>
      <c r="F704" s="1">
        <v>407544</v>
      </c>
      <c r="G704" s="1">
        <v>64059.4</v>
      </c>
      <c r="H704" s="1">
        <v>372148</v>
      </c>
      <c r="I704" s="1">
        <v>629535</v>
      </c>
      <c r="J704" s="1">
        <v>50686.400000000001</v>
      </c>
      <c r="K704" s="1">
        <v>88636.1</v>
      </c>
      <c r="L704" s="1">
        <v>97059.5</v>
      </c>
      <c r="M704" s="1">
        <v>71312.800000000003</v>
      </c>
      <c r="N704" s="1">
        <v>89727.7</v>
      </c>
      <c r="O704" s="1">
        <v>89934.2</v>
      </c>
      <c r="P704" s="1">
        <v>53042</v>
      </c>
      <c r="Q704" s="1">
        <v>82579</v>
      </c>
      <c r="R704" s="1">
        <v>0</v>
      </c>
    </row>
    <row r="705" spans="1:18">
      <c r="A705" s="3">
        <v>45901.291702372684</v>
      </c>
      <c r="B705" s="1">
        <v>554934</v>
      </c>
      <c r="C705" s="1">
        <v>113015</v>
      </c>
      <c r="D705" s="1">
        <v>42767</v>
      </c>
      <c r="E705" s="1">
        <v>0</v>
      </c>
      <c r="F705" s="1">
        <v>407564</v>
      </c>
      <c r="G705" s="1">
        <v>64109.2</v>
      </c>
      <c r="H705" s="1">
        <v>372161</v>
      </c>
      <c r="I705" s="1">
        <v>629749</v>
      </c>
      <c r="J705" s="1">
        <v>50692.4</v>
      </c>
      <c r="K705" s="1">
        <v>88639.1</v>
      </c>
      <c r="L705" s="1">
        <v>97081.3</v>
      </c>
      <c r="M705" s="1">
        <v>71349.2</v>
      </c>
      <c r="N705" s="1">
        <v>89782.2</v>
      </c>
      <c r="O705" s="1">
        <v>89956.1</v>
      </c>
      <c r="P705" s="1">
        <v>53042</v>
      </c>
      <c r="Q705" s="1">
        <v>82580</v>
      </c>
      <c r="R705" s="1">
        <v>0</v>
      </c>
    </row>
    <row r="706" spans="1:18">
      <c r="A706" s="3">
        <v>45901.333369097221</v>
      </c>
      <c r="B706" s="1">
        <v>555664</v>
      </c>
      <c r="C706" s="1">
        <v>113208</v>
      </c>
      <c r="D706" s="1">
        <v>42784.7</v>
      </c>
      <c r="E706" s="1">
        <v>0</v>
      </c>
      <c r="F706" s="1">
        <v>407585</v>
      </c>
      <c r="G706" s="1">
        <v>64158.7</v>
      </c>
      <c r="H706" s="1">
        <v>372173</v>
      </c>
      <c r="I706" s="1">
        <v>629979</v>
      </c>
      <c r="J706" s="1">
        <v>50698.7</v>
      </c>
      <c r="K706" s="1">
        <v>88640.3</v>
      </c>
      <c r="L706" s="1">
        <v>97105.4</v>
      </c>
      <c r="M706" s="1">
        <v>71386.3</v>
      </c>
      <c r="N706" s="1">
        <v>89833.600000000006</v>
      </c>
      <c r="O706" s="1">
        <v>89981.1</v>
      </c>
      <c r="P706" s="1">
        <v>53043</v>
      </c>
      <c r="Q706" s="1">
        <v>82583</v>
      </c>
      <c r="R706" s="1">
        <v>0</v>
      </c>
    </row>
    <row r="707" spans="1:18">
      <c r="A707" s="3">
        <v>45901.375035821759</v>
      </c>
      <c r="B707" s="1">
        <v>556539</v>
      </c>
      <c r="C707" s="1">
        <v>113451</v>
      </c>
      <c r="D707" s="1">
        <v>42804.4</v>
      </c>
      <c r="E707" s="1">
        <v>0</v>
      </c>
      <c r="F707" s="1">
        <v>407613</v>
      </c>
      <c r="G707" s="1">
        <v>64208.2</v>
      </c>
      <c r="H707" s="1">
        <v>372185</v>
      </c>
      <c r="I707" s="1">
        <v>630257</v>
      </c>
      <c r="J707" s="1">
        <v>50705.5</v>
      </c>
      <c r="K707" s="1">
        <v>88640.6</v>
      </c>
      <c r="L707" s="1">
        <v>97136.5</v>
      </c>
      <c r="M707" s="1">
        <v>71435.8</v>
      </c>
      <c r="N707" s="1">
        <v>89883.8</v>
      </c>
      <c r="O707" s="1">
        <v>90016.5</v>
      </c>
      <c r="P707" s="1">
        <v>53049</v>
      </c>
      <c r="Q707" s="1">
        <v>82593</v>
      </c>
      <c r="R707" s="1">
        <v>0</v>
      </c>
    </row>
    <row r="708" spans="1:18">
      <c r="A708" s="3">
        <v>45901.416702546296</v>
      </c>
      <c r="B708" s="1">
        <v>557664</v>
      </c>
      <c r="C708" s="1">
        <v>113790</v>
      </c>
      <c r="D708" s="1">
        <v>42831.6</v>
      </c>
      <c r="E708" s="1">
        <v>0</v>
      </c>
      <c r="F708" s="1">
        <v>407647</v>
      </c>
      <c r="G708" s="1">
        <v>64268</v>
      </c>
      <c r="H708" s="1">
        <v>372200</v>
      </c>
      <c r="I708" s="1">
        <v>630611</v>
      </c>
      <c r="J708" s="1">
        <v>50712.6</v>
      </c>
      <c r="K708" s="1">
        <v>88641.1</v>
      </c>
      <c r="L708" s="1">
        <v>97178.2</v>
      </c>
      <c r="M708" s="1">
        <v>71492</v>
      </c>
      <c r="N708" s="1">
        <v>89935.4</v>
      </c>
      <c r="O708" s="1">
        <v>90068.5</v>
      </c>
      <c r="P708" s="1">
        <v>53059</v>
      </c>
      <c r="Q708" s="1">
        <v>82608</v>
      </c>
      <c r="R708" s="1">
        <v>0</v>
      </c>
    </row>
    <row r="709" spans="1:18">
      <c r="A709" s="3">
        <v>45901.458369270833</v>
      </c>
      <c r="B709" s="1">
        <v>558982</v>
      </c>
      <c r="C709" s="1">
        <v>114163</v>
      </c>
      <c r="D709" s="1">
        <v>42863.3</v>
      </c>
      <c r="E709" s="1">
        <v>0</v>
      </c>
      <c r="F709" s="1">
        <v>407702</v>
      </c>
      <c r="G709" s="1">
        <v>64344.7</v>
      </c>
      <c r="H709" s="1">
        <v>372217</v>
      </c>
      <c r="I709" s="1">
        <v>631041</v>
      </c>
      <c r="J709" s="1">
        <v>50724.6</v>
      </c>
      <c r="K709" s="1">
        <v>88641.1</v>
      </c>
      <c r="L709" s="1">
        <v>97227.7</v>
      </c>
      <c r="M709" s="1">
        <v>71555.3</v>
      </c>
      <c r="N709" s="1">
        <v>89985.600000000006</v>
      </c>
      <c r="O709" s="1">
        <v>90138</v>
      </c>
      <c r="P709" s="1">
        <v>53072</v>
      </c>
      <c r="Q709" s="1">
        <v>82628</v>
      </c>
      <c r="R709" s="1">
        <v>0</v>
      </c>
    </row>
    <row r="710" spans="1:18">
      <c r="A710" s="3">
        <v>45901.50003599537</v>
      </c>
      <c r="B710" s="1">
        <v>560331</v>
      </c>
      <c r="C710" s="1">
        <v>114540</v>
      </c>
      <c r="D710" s="1">
        <v>42901.9</v>
      </c>
      <c r="E710" s="1">
        <v>0</v>
      </c>
      <c r="F710" s="1">
        <v>407755</v>
      </c>
      <c r="G710" s="1">
        <v>64426.3</v>
      </c>
      <c r="H710" s="1">
        <v>372234</v>
      </c>
      <c r="I710" s="1">
        <v>631501</v>
      </c>
      <c r="J710" s="1">
        <v>50737.9</v>
      </c>
      <c r="K710" s="1">
        <v>88641.1</v>
      </c>
      <c r="L710" s="1">
        <v>97272.1</v>
      </c>
      <c r="M710" s="1">
        <v>71618.100000000006</v>
      </c>
      <c r="N710" s="1">
        <v>90036.2</v>
      </c>
      <c r="O710" s="1">
        <v>90205.4</v>
      </c>
      <c r="P710" s="1">
        <v>53087</v>
      </c>
      <c r="Q710" s="1">
        <v>82651</v>
      </c>
      <c r="R710" s="1">
        <v>0</v>
      </c>
    </row>
    <row r="711" spans="1:18">
      <c r="A711" s="3">
        <v>45901.541702719907</v>
      </c>
      <c r="B711" s="1">
        <v>561717</v>
      </c>
      <c r="C711" s="1">
        <v>114921</v>
      </c>
      <c r="D711" s="1">
        <v>42946.8</v>
      </c>
      <c r="E711" s="1">
        <v>0</v>
      </c>
      <c r="F711" s="1">
        <v>407811</v>
      </c>
      <c r="G711" s="1">
        <v>64507</v>
      </c>
      <c r="H711" s="1">
        <v>372248</v>
      </c>
      <c r="I711" s="1">
        <v>631984</v>
      </c>
      <c r="J711" s="1">
        <v>50749.599999999999</v>
      </c>
      <c r="K711" s="1">
        <v>88641.3</v>
      </c>
      <c r="L711" s="1">
        <v>97318.5</v>
      </c>
      <c r="M711" s="1">
        <v>71682.100000000006</v>
      </c>
      <c r="N711" s="1">
        <v>90085.9</v>
      </c>
      <c r="O711" s="1">
        <v>90274.9</v>
      </c>
      <c r="P711" s="1">
        <v>53103</v>
      </c>
      <c r="Q711" s="1">
        <v>82676</v>
      </c>
      <c r="R711" s="1">
        <v>0</v>
      </c>
    </row>
    <row r="712" spans="1:18">
      <c r="A712" s="3">
        <v>45901.583369444445</v>
      </c>
      <c r="B712" s="1">
        <v>563175</v>
      </c>
      <c r="C712" s="1">
        <v>115312</v>
      </c>
      <c r="D712" s="1">
        <v>42991.9</v>
      </c>
      <c r="E712" s="1">
        <v>0</v>
      </c>
      <c r="F712" s="1">
        <v>407864</v>
      </c>
      <c r="G712" s="1">
        <v>64601</v>
      </c>
      <c r="H712" s="1">
        <v>372294</v>
      </c>
      <c r="I712" s="1">
        <v>632465</v>
      </c>
      <c r="J712" s="1">
        <v>50760.800000000003</v>
      </c>
      <c r="K712" s="1">
        <v>88641.3</v>
      </c>
      <c r="L712" s="1">
        <v>97371.1</v>
      </c>
      <c r="M712" s="1">
        <v>71755.399999999994</v>
      </c>
      <c r="N712" s="1">
        <v>90130.6</v>
      </c>
      <c r="O712" s="1">
        <v>90348.2</v>
      </c>
      <c r="P712" s="1">
        <v>53120</v>
      </c>
      <c r="Q712" s="1">
        <v>82700</v>
      </c>
      <c r="R712" s="1">
        <v>0</v>
      </c>
    </row>
    <row r="713" spans="1:18">
      <c r="A713" s="3">
        <v>45901.625036168982</v>
      </c>
      <c r="B713" s="1">
        <v>564639</v>
      </c>
      <c r="C713" s="1">
        <v>115729</v>
      </c>
      <c r="D713" s="1">
        <v>43029.3</v>
      </c>
      <c r="E713" s="1">
        <v>0</v>
      </c>
      <c r="F713" s="1">
        <v>407917</v>
      </c>
      <c r="G713" s="1">
        <v>64706.8</v>
      </c>
      <c r="H713" s="1">
        <v>372317</v>
      </c>
      <c r="I713" s="1">
        <v>632947</v>
      </c>
      <c r="J713" s="1">
        <v>50775.6</v>
      </c>
      <c r="K713" s="1">
        <v>88642.4</v>
      </c>
      <c r="L713" s="1">
        <v>97423.1</v>
      </c>
      <c r="M713" s="1">
        <v>71835.199999999997</v>
      </c>
      <c r="N713" s="1">
        <v>90179.5</v>
      </c>
      <c r="O713" s="1">
        <v>90405.1</v>
      </c>
      <c r="P713" s="1">
        <v>53133</v>
      </c>
      <c r="Q713" s="1">
        <v>82721</v>
      </c>
      <c r="R713" s="1">
        <v>0</v>
      </c>
    </row>
    <row r="714" spans="1:18">
      <c r="A714" s="3">
        <v>45901.666702893519</v>
      </c>
      <c r="B714" s="1">
        <v>566055</v>
      </c>
      <c r="C714" s="1">
        <v>116141</v>
      </c>
      <c r="D714" s="1">
        <v>43064.800000000003</v>
      </c>
      <c r="E714" s="1">
        <v>0</v>
      </c>
      <c r="F714" s="1">
        <v>407968</v>
      </c>
      <c r="G714" s="1">
        <v>64807.1</v>
      </c>
      <c r="H714" s="1">
        <v>372332</v>
      </c>
      <c r="I714" s="1">
        <v>633438</v>
      </c>
      <c r="J714" s="1">
        <v>50792</v>
      </c>
      <c r="K714" s="1">
        <v>88642.4</v>
      </c>
      <c r="L714" s="1">
        <v>97472.9</v>
      </c>
      <c r="M714" s="1">
        <v>71904.899999999994</v>
      </c>
      <c r="N714" s="1">
        <v>90229.8</v>
      </c>
      <c r="O714" s="1">
        <v>90435.4</v>
      </c>
      <c r="P714" s="1">
        <v>53145</v>
      </c>
      <c r="Q714" s="1">
        <v>82739</v>
      </c>
      <c r="R714" s="1">
        <v>0</v>
      </c>
    </row>
    <row r="715" spans="1:18">
      <c r="A715" s="3">
        <v>45901.708369618056</v>
      </c>
      <c r="B715" s="1">
        <v>567393</v>
      </c>
      <c r="C715" s="1">
        <v>116525</v>
      </c>
      <c r="D715" s="1">
        <v>43097.3</v>
      </c>
      <c r="E715" s="1">
        <v>0</v>
      </c>
      <c r="F715" s="1">
        <v>408015</v>
      </c>
      <c r="G715" s="1">
        <v>64909.3</v>
      </c>
      <c r="H715" s="1">
        <v>372345</v>
      </c>
      <c r="I715" s="1">
        <v>633910</v>
      </c>
      <c r="J715" s="1">
        <v>50803.199999999997</v>
      </c>
      <c r="K715" s="1">
        <v>88646.2</v>
      </c>
      <c r="L715" s="1">
        <v>97523.9</v>
      </c>
      <c r="M715" s="1">
        <v>71961.2</v>
      </c>
      <c r="N715" s="1">
        <v>90281.9</v>
      </c>
      <c r="O715" s="1">
        <v>90463.6</v>
      </c>
      <c r="P715" s="1">
        <v>53154</v>
      </c>
      <c r="Q715" s="1">
        <v>82752</v>
      </c>
      <c r="R715" s="1">
        <v>0</v>
      </c>
    </row>
    <row r="716" spans="1:18">
      <c r="A716" s="3">
        <v>45901.750036342593</v>
      </c>
      <c r="B716" s="1">
        <v>568588</v>
      </c>
      <c r="C716" s="1">
        <v>116867</v>
      </c>
      <c r="D716" s="1">
        <v>43123.4</v>
      </c>
      <c r="E716" s="1">
        <v>0</v>
      </c>
      <c r="F716" s="1">
        <v>408057</v>
      </c>
      <c r="G716" s="1">
        <v>64999</v>
      </c>
      <c r="H716" s="1">
        <v>372359</v>
      </c>
      <c r="I716" s="1">
        <v>634323</v>
      </c>
      <c r="J716" s="1">
        <v>50811.1</v>
      </c>
      <c r="K716" s="1">
        <v>88651.3</v>
      </c>
      <c r="L716" s="1">
        <v>97567.1</v>
      </c>
      <c r="M716" s="1">
        <v>72011.3</v>
      </c>
      <c r="N716" s="1">
        <v>90337.5</v>
      </c>
      <c r="O716" s="1">
        <v>90490.2</v>
      </c>
      <c r="P716" s="1">
        <v>53158</v>
      </c>
      <c r="Q716" s="1">
        <v>82759</v>
      </c>
      <c r="R716" s="1">
        <v>0</v>
      </c>
    </row>
    <row r="717" spans="1:18">
      <c r="A717" s="3">
        <v>45901.791703067131</v>
      </c>
      <c r="B717" s="1">
        <v>569623</v>
      </c>
      <c r="C717" s="1">
        <v>117160</v>
      </c>
      <c r="D717" s="1">
        <v>43144.5</v>
      </c>
      <c r="E717" s="1">
        <v>0</v>
      </c>
      <c r="F717" s="1">
        <v>408091</v>
      </c>
      <c r="G717" s="1">
        <v>65079.5</v>
      </c>
      <c r="H717" s="1">
        <v>372378</v>
      </c>
      <c r="I717" s="1">
        <v>634676</v>
      </c>
      <c r="J717" s="1">
        <v>50818.8</v>
      </c>
      <c r="K717" s="1">
        <v>88656.5</v>
      </c>
      <c r="L717" s="1">
        <v>97598.5</v>
      </c>
      <c r="M717" s="1">
        <v>72057.5</v>
      </c>
      <c r="N717" s="1">
        <v>90394.1</v>
      </c>
      <c r="O717" s="1">
        <v>90512</v>
      </c>
      <c r="P717" s="1">
        <v>53158</v>
      </c>
      <c r="Q717" s="1">
        <v>82759</v>
      </c>
      <c r="R717" s="1">
        <v>0</v>
      </c>
    </row>
    <row r="718" spans="1:18">
      <c r="A718" s="3">
        <v>45901.833369791668</v>
      </c>
      <c r="B718" s="1">
        <v>570571</v>
      </c>
      <c r="C718" s="1">
        <v>117414</v>
      </c>
      <c r="D718" s="1">
        <v>43165.7</v>
      </c>
      <c r="E718" s="1">
        <v>0</v>
      </c>
      <c r="F718" s="1">
        <v>408121</v>
      </c>
      <c r="G718" s="1">
        <v>65160.7</v>
      </c>
      <c r="H718" s="1">
        <v>372395</v>
      </c>
      <c r="I718" s="1">
        <v>634993</v>
      </c>
      <c r="J718" s="1">
        <v>50825.7</v>
      </c>
      <c r="K718" s="1">
        <v>88661.7</v>
      </c>
      <c r="L718" s="1">
        <v>97627.8</v>
      </c>
      <c r="M718" s="1">
        <v>72100.2</v>
      </c>
      <c r="N718" s="1">
        <v>90451.1</v>
      </c>
      <c r="O718" s="1">
        <v>90535.3</v>
      </c>
      <c r="P718" s="1">
        <v>53158</v>
      </c>
      <c r="Q718" s="1">
        <v>82759</v>
      </c>
      <c r="R718" s="1">
        <v>0</v>
      </c>
    </row>
    <row r="719" spans="1:18">
      <c r="A719" s="3">
        <v>45901.875036516205</v>
      </c>
      <c r="B719" s="1">
        <v>571459</v>
      </c>
      <c r="C719" s="1">
        <v>117644</v>
      </c>
      <c r="D719" s="1">
        <v>43187.1</v>
      </c>
      <c r="E719" s="1">
        <v>0</v>
      </c>
      <c r="F719" s="1">
        <v>408147</v>
      </c>
      <c r="G719" s="1">
        <v>65235.1</v>
      </c>
      <c r="H719" s="1">
        <v>372412</v>
      </c>
      <c r="I719" s="1">
        <v>635282</v>
      </c>
      <c r="J719" s="1">
        <v>50833.2</v>
      </c>
      <c r="K719" s="1">
        <v>88667</v>
      </c>
      <c r="L719" s="1">
        <v>97661.3</v>
      </c>
      <c r="M719" s="1">
        <v>72141.7</v>
      </c>
      <c r="N719" s="1">
        <v>90507.5</v>
      </c>
      <c r="O719" s="1">
        <v>90559.1</v>
      </c>
      <c r="P719" s="1">
        <v>53158</v>
      </c>
      <c r="Q719" s="1">
        <v>82759</v>
      </c>
      <c r="R719" s="1">
        <v>0</v>
      </c>
    </row>
    <row r="720" spans="1:18">
      <c r="A720" s="3">
        <v>45901.916703240742</v>
      </c>
      <c r="B720" s="1">
        <v>572307</v>
      </c>
      <c r="C720" s="1">
        <v>117872</v>
      </c>
      <c r="D720" s="1">
        <v>43208.5</v>
      </c>
      <c r="E720" s="1">
        <v>0</v>
      </c>
      <c r="F720" s="1">
        <v>408172</v>
      </c>
      <c r="G720" s="1">
        <v>65304.6</v>
      </c>
      <c r="H720" s="1">
        <v>372429</v>
      </c>
      <c r="I720" s="1">
        <v>635550</v>
      </c>
      <c r="J720" s="1">
        <v>50840.6</v>
      </c>
      <c r="K720" s="1">
        <v>88671.9</v>
      </c>
      <c r="L720" s="1">
        <v>97690.4</v>
      </c>
      <c r="M720" s="1">
        <v>72181.2</v>
      </c>
      <c r="N720" s="1">
        <v>90563.9</v>
      </c>
      <c r="O720" s="1">
        <v>90582.3</v>
      </c>
      <c r="P720" s="1">
        <v>53158</v>
      </c>
      <c r="Q720" s="1">
        <v>82759</v>
      </c>
      <c r="R720" s="1">
        <v>0</v>
      </c>
    </row>
    <row r="721" spans="1:22">
      <c r="A721" s="3">
        <v>45901.958369965279</v>
      </c>
      <c r="B721" s="1">
        <v>573127</v>
      </c>
      <c r="C721" s="1">
        <v>118093</v>
      </c>
      <c r="D721" s="1">
        <v>43227.9</v>
      </c>
      <c r="E721" s="1">
        <v>0</v>
      </c>
      <c r="F721" s="1">
        <v>408196</v>
      </c>
      <c r="G721" s="1">
        <v>65369.7</v>
      </c>
      <c r="H721" s="1">
        <v>372445</v>
      </c>
      <c r="I721" s="1">
        <v>635813</v>
      </c>
      <c r="J721" s="1">
        <v>50847.4</v>
      </c>
      <c r="K721" s="1">
        <v>88676.5</v>
      </c>
      <c r="L721" s="1">
        <v>97717.4</v>
      </c>
      <c r="M721" s="1">
        <v>72223.399999999994</v>
      </c>
      <c r="N721" s="1">
        <v>90619.9</v>
      </c>
      <c r="O721" s="1">
        <v>90602</v>
      </c>
      <c r="P721" s="1">
        <v>53158</v>
      </c>
      <c r="Q721" s="1">
        <v>82759</v>
      </c>
      <c r="R721" s="1">
        <v>0</v>
      </c>
    </row>
    <row r="722" spans="1:22">
      <c r="A722" s="3">
        <v>45902.000036689817</v>
      </c>
      <c r="B722" s="1">
        <v>573911</v>
      </c>
      <c r="C722" s="1">
        <v>118299</v>
      </c>
      <c r="D722" s="1">
        <v>43246.400000000001</v>
      </c>
      <c r="E722" s="1">
        <v>0</v>
      </c>
      <c r="F722" s="1">
        <v>408219</v>
      </c>
      <c r="G722" s="1">
        <v>65429.7</v>
      </c>
      <c r="H722" s="1">
        <v>372458</v>
      </c>
      <c r="I722" s="1">
        <v>636070</v>
      </c>
      <c r="J722" s="1">
        <v>50854.400000000001</v>
      </c>
      <c r="K722" s="1">
        <v>88681</v>
      </c>
      <c r="L722" s="1">
        <v>97744.2</v>
      </c>
      <c r="M722" s="1">
        <v>72263.3</v>
      </c>
      <c r="N722" s="1">
        <v>90675.1</v>
      </c>
      <c r="O722" s="1">
        <v>90621.1</v>
      </c>
      <c r="P722" s="1">
        <v>53158</v>
      </c>
      <c r="Q722" s="1">
        <v>82759</v>
      </c>
      <c r="R722" s="1">
        <v>0</v>
      </c>
    </row>
    <row r="723" spans="1:22">
      <c r="A723" s="3">
        <v>45902.041703414354</v>
      </c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10"/>
      <c r="T723" s="10"/>
      <c r="U723" s="10"/>
      <c r="V723" s="10"/>
    </row>
    <row r="724" spans="1:22">
      <c r="A724" s="3">
        <v>45902.083370138891</v>
      </c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10"/>
      <c r="T724" s="10"/>
      <c r="U724" s="10"/>
      <c r="V724" s="10"/>
    </row>
    <row r="725" spans="1:22">
      <c r="A725" s="3">
        <v>45902.125036863428</v>
      </c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10"/>
      <c r="T725" s="10"/>
      <c r="U725" s="10"/>
      <c r="V725" s="10"/>
    </row>
    <row r="726" spans="1:22">
      <c r="A726" s="3">
        <v>45902.166703587965</v>
      </c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10"/>
      <c r="T726" s="10"/>
      <c r="U726" s="10"/>
      <c r="V726" s="10"/>
    </row>
    <row r="727" spans="1:22">
      <c r="A727" s="3">
        <v>45902.208370312503</v>
      </c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10"/>
      <c r="T727" s="10"/>
      <c r="U727" s="10"/>
      <c r="V727" s="10"/>
    </row>
    <row r="728" spans="1:22">
      <c r="A728" s="3">
        <v>45902.25003703704</v>
      </c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10"/>
      <c r="T728" s="10"/>
      <c r="U728" s="10"/>
      <c r="V728" s="10"/>
    </row>
    <row r="729" spans="1:22">
      <c r="A729" s="3">
        <v>45902.291703761577</v>
      </c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10"/>
      <c r="T729" s="10"/>
      <c r="U729" s="10"/>
      <c r="V729" s="10"/>
    </row>
    <row r="730" spans="1:22">
      <c r="A730" s="3">
        <v>45902.333370486114</v>
      </c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10"/>
      <c r="T730" s="10"/>
      <c r="U730" s="10"/>
      <c r="V730" s="10"/>
    </row>
    <row r="731" spans="1:22">
      <c r="A731" s="3">
        <v>45902.375037210651</v>
      </c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10"/>
      <c r="T731" s="10"/>
      <c r="U731" s="10"/>
      <c r="V731" s="10"/>
    </row>
    <row r="732" spans="1:22">
      <c r="A732" s="3">
        <v>45902.416703935189</v>
      </c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10"/>
      <c r="T732" s="10"/>
      <c r="U732" s="10"/>
      <c r="V732" s="10"/>
    </row>
    <row r="733" spans="1:22">
      <c r="A733" s="3">
        <v>45902.458370659719</v>
      </c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10"/>
      <c r="T733" s="10"/>
      <c r="U733" s="10"/>
      <c r="V733" s="10"/>
    </row>
    <row r="734" spans="1:22">
      <c r="A734" s="3">
        <v>45902.500037384256</v>
      </c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10"/>
      <c r="T734" s="10"/>
      <c r="U734" s="10"/>
      <c r="V734" s="10"/>
    </row>
    <row r="735" spans="1:22">
      <c r="A735" s="3">
        <v>45902.541704108793</v>
      </c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10"/>
      <c r="T735" s="10"/>
      <c r="U735" s="10"/>
      <c r="V735" s="10"/>
    </row>
    <row r="736" spans="1:22">
      <c r="A736" s="3">
        <v>45902.58337083333</v>
      </c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10"/>
      <c r="T736" s="10"/>
      <c r="U736" s="10"/>
      <c r="V736" s="10"/>
    </row>
    <row r="737" spans="1:22">
      <c r="A737" s="3">
        <v>45902.625037557867</v>
      </c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10"/>
      <c r="T737" s="10"/>
      <c r="U737" s="10"/>
      <c r="V737" s="10"/>
    </row>
    <row r="738" spans="1:22">
      <c r="A738" s="3">
        <v>45902.666704282405</v>
      </c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10"/>
      <c r="T738" s="10"/>
      <c r="U738" s="10"/>
      <c r="V738" s="10"/>
    </row>
    <row r="739" spans="1:22">
      <c r="A739" s="3">
        <v>45902.708371006942</v>
      </c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10"/>
      <c r="T739" s="10"/>
      <c r="U739" s="10"/>
      <c r="V739" s="10"/>
    </row>
    <row r="740" spans="1:22">
      <c r="A740" s="3">
        <v>45902.750037731479</v>
      </c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10"/>
      <c r="T740" s="10"/>
      <c r="U740" s="10"/>
      <c r="V740" s="10"/>
    </row>
    <row r="741" spans="1:22">
      <c r="A741" s="3">
        <v>45902.791704456016</v>
      </c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10"/>
      <c r="T741" s="10"/>
      <c r="U741" s="10"/>
      <c r="V741" s="10"/>
    </row>
    <row r="742" spans="1:22">
      <c r="A742" s="3">
        <v>45902.833371180554</v>
      </c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10"/>
      <c r="T742" s="10"/>
      <c r="U742" s="10"/>
      <c r="V742" s="10"/>
    </row>
    <row r="743" spans="1:22">
      <c r="A743" s="3">
        <v>45902.875037905091</v>
      </c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10"/>
      <c r="T743" s="10"/>
      <c r="U743" s="10"/>
      <c r="V743" s="10"/>
    </row>
    <row r="744" spans="1:22">
      <c r="A744" s="3">
        <v>45902.916704629628</v>
      </c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10"/>
      <c r="T744" s="10"/>
      <c r="U744" s="10"/>
      <c r="V744" s="10"/>
    </row>
    <row r="745" spans="1:22">
      <c r="A745" s="3">
        <v>45902.958371354165</v>
      </c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10"/>
      <c r="T745" s="10"/>
      <c r="U745" s="10"/>
      <c r="V745" s="10"/>
    </row>
    <row r="746" spans="1:22">
      <c r="A746" s="3">
        <v>45903.000038078702</v>
      </c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10"/>
      <c r="T746" s="10"/>
      <c r="U746" s="10"/>
      <c r="V746" s="10"/>
    </row>
    <row r="747" spans="1:22">
      <c r="A747" s="3">
        <v>45903.04170480324</v>
      </c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10"/>
      <c r="T747" s="10"/>
      <c r="U747" s="10"/>
      <c r="V747" s="10"/>
    </row>
    <row r="748" spans="1:22">
      <c r="A748" s="3">
        <v>45903.083371527777</v>
      </c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10"/>
      <c r="T748" s="10"/>
      <c r="U748" s="10"/>
      <c r="V748" s="10"/>
    </row>
    <row r="749" spans="1:22">
      <c r="A749" s="3">
        <v>45903.125038252314</v>
      </c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10"/>
      <c r="T749" s="10"/>
      <c r="U749" s="10"/>
      <c r="V749" s="10"/>
    </row>
    <row r="750" spans="1:22">
      <c r="A750" s="3">
        <v>45903.166704976851</v>
      </c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10"/>
      <c r="T750" s="10"/>
      <c r="U750" s="10"/>
      <c r="V750" s="10"/>
    </row>
    <row r="751" spans="1:22">
      <c r="A751" s="3">
        <v>45903.208371701388</v>
      </c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10"/>
      <c r="T751" s="10"/>
      <c r="U751" s="10"/>
      <c r="V751" s="10"/>
    </row>
    <row r="752" spans="1:22">
      <c r="A752" s="3">
        <v>45903.250038425926</v>
      </c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10"/>
      <c r="T752" s="10"/>
      <c r="U752" s="10"/>
      <c r="V752" s="10"/>
    </row>
    <row r="753" spans="1:22">
      <c r="A753" s="3">
        <v>45903.291705150463</v>
      </c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10"/>
      <c r="T753" s="10"/>
      <c r="U753" s="10"/>
      <c r="V753" s="10"/>
    </row>
    <row r="754" spans="1:22">
      <c r="A754" s="3">
        <v>45903.333371875</v>
      </c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10"/>
      <c r="T754" s="10"/>
      <c r="U754" s="10"/>
      <c r="V754" s="10"/>
    </row>
    <row r="755" spans="1:22">
      <c r="A755" s="3">
        <v>45903.375038599537</v>
      </c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10"/>
      <c r="T755" s="10"/>
      <c r="U755" s="10"/>
      <c r="V755" s="10"/>
    </row>
    <row r="756" spans="1:22">
      <c r="A756" s="3">
        <v>45903.416705324074</v>
      </c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10"/>
      <c r="T756" s="10"/>
      <c r="U756" s="10"/>
      <c r="V756" s="10"/>
    </row>
    <row r="757" spans="1:22">
      <c r="A757" s="3">
        <v>45903.458372048612</v>
      </c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10"/>
      <c r="T757" s="10"/>
      <c r="U757" s="10"/>
      <c r="V757" s="10"/>
    </row>
    <row r="758" spans="1:22">
      <c r="A758" s="3">
        <v>45903.500038773149</v>
      </c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10"/>
      <c r="T758" s="10"/>
      <c r="U758" s="10"/>
      <c r="V758" s="10"/>
    </row>
    <row r="759" spans="1:22">
      <c r="A759" s="3">
        <v>45903.541705497686</v>
      </c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10"/>
      <c r="T759" s="10"/>
      <c r="U759" s="10"/>
      <c r="V759" s="10"/>
    </row>
    <row r="760" spans="1:22">
      <c r="A760" s="3">
        <v>45903.583372222223</v>
      </c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10"/>
      <c r="T760" s="10"/>
      <c r="U760" s="10"/>
      <c r="V760" s="10"/>
    </row>
    <row r="761" spans="1:22">
      <c r="A761" s="3">
        <v>45903.62503894676</v>
      </c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10"/>
      <c r="T761" s="10"/>
      <c r="U761" s="10"/>
      <c r="V761" s="10"/>
    </row>
    <row r="762" spans="1:22">
      <c r="A762" s="3">
        <v>45903.666705671298</v>
      </c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10"/>
      <c r="T762" s="10"/>
      <c r="U762" s="10"/>
      <c r="V762" s="10"/>
    </row>
    <row r="763" spans="1:22">
      <c r="A763" s="3">
        <v>45903.708372395835</v>
      </c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10"/>
      <c r="T763" s="10"/>
      <c r="U763" s="10"/>
      <c r="V763" s="10"/>
    </row>
    <row r="764" spans="1:22">
      <c r="A764" s="3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10"/>
      <c r="T764" s="10"/>
      <c r="U764" s="10"/>
      <c r="V764" s="10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84E08-586C-41A0-9485-D649656FD862}">
  <dimension ref="A1:R736"/>
  <sheetViews>
    <sheetView tabSelected="1" workbookViewId="0">
      <pane xSplit="1" ySplit="1" topLeftCell="B710" activePane="bottomRight" state="frozen"/>
      <selection pane="topRight" activeCell="B1" sqref="B1"/>
      <selection pane="bottomLeft" activeCell="A2" sqref="A2"/>
      <selection pane="bottomRight" activeCell="G391" sqref="G391"/>
    </sheetView>
  </sheetViews>
  <sheetFormatPr defaultRowHeight="18.75"/>
  <cols>
    <col min="1" max="1" width="15.875" bestFit="1" customWidth="1"/>
  </cols>
  <sheetData>
    <row r="1" spans="1:18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37</v>
      </c>
      <c r="P1" s="1" t="s">
        <v>38</v>
      </c>
      <c r="Q1" s="1" t="s">
        <v>39</v>
      </c>
      <c r="R1" s="1" t="s">
        <v>40</v>
      </c>
    </row>
    <row r="2" spans="1:18">
      <c r="A2" s="4">
        <v>45872</v>
      </c>
      <c r="B2">
        <f>電力量!B3-電力量!B2</f>
        <v>723</v>
      </c>
      <c r="C2">
        <f>電力量!C3-電力量!C2</f>
        <v>187</v>
      </c>
      <c r="D2">
        <f>電力量!D3-電力量!D2</f>
        <v>17.700000000000728</v>
      </c>
      <c r="E2">
        <f>電力量!E3-電力量!E2</f>
        <v>0</v>
      </c>
      <c r="F2">
        <f>電力量!F3-電力量!F2</f>
        <v>15</v>
      </c>
      <c r="G2">
        <f>電力量!G3-電力量!G2</f>
        <v>51.5</v>
      </c>
      <c r="H2">
        <f>電力量!H3-電力量!H2</f>
        <v>11</v>
      </c>
      <c r="I2">
        <f>電力量!I3-電力量!I2</f>
        <v>231</v>
      </c>
      <c r="J2">
        <f>電力量!J3-電力量!J2</f>
        <v>9.5</v>
      </c>
      <c r="K2">
        <f>電力量!K3-電力量!K2</f>
        <v>4.3000000000029104</v>
      </c>
      <c r="L2">
        <f>電力量!L3-電力量!L2</f>
        <v>25.100000000005821</v>
      </c>
      <c r="M2">
        <f>電力量!M3-電力量!M2</f>
        <v>44.5</v>
      </c>
      <c r="N2">
        <f>電力量!N3-電力量!N2</f>
        <v>54.599999999998545</v>
      </c>
      <c r="O2">
        <f>電力量!O3-電力量!O2</f>
        <v>19.599999999991269</v>
      </c>
      <c r="P2">
        <f>電力量!P3-電力量!P2</f>
        <v>0</v>
      </c>
      <c r="Q2">
        <f>電力量!Q3-電力量!Q2</f>
        <v>0</v>
      </c>
      <c r="R2">
        <f>電力量!R3-電力量!R2</f>
        <v>0</v>
      </c>
    </row>
    <row r="3" spans="1:18">
      <c r="A3" s="4">
        <f t="shared" ref="A3" si="0">A2+(1/24)</f>
        <v>45872.041666666664</v>
      </c>
      <c r="B3">
        <f>電力量!B4-電力量!B3</f>
        <v>692</v>
      </c>
      <c r="C3">
        <f>電力量!C4-電力量!C3</f>
        <v>174</v>
      </c>
      <c r="D3">
        <f>電力量!D4-電力量!D3</f>
        <v>16</v>
      </c>
      <c r="E3">
        <f>電力量!E4-電力量!E3</f>
        <v>0</v>
      </c>
      <c r="F3">
        <f>電力量!F4-電力量!F3</f>
        <v>14</v>
      </c>
      <c r="G3">
        <f>電力量!G4-電力量!G3</f>
        <v>51.30000000000291</v>
      </c>
      <c r="H3">
        <f>電力量!H4-電力量!H3</f>
        <v>12</v>
      </c>
      <c r="I3">
        <f>電力量!I4-電力量!I3</f>
        <v>217</v>
      </c>
      <c r="J3">
        <f>電力量!J4-電力量!J3</f>
        <v>9.1999999999970896</v>
      </c>
      <c r="K3">
        <f>電力量!K4-電力量!K3</f>
        <v>4.3999999999941792</v>
      </c>
      <c r="L3">
        <f>電力量!L4-電力量!L3</f>
        <v>23.69999999999709</v>
      </c>
      <c r="M3">
        <f>電力量!M4-電力量!M3</f>
        <v>43.599999999998545</v>
      </c>
      <c r="N3">
        <f>電力量!N4-電力量!N3</f>
        <v>54.599999999998545</v>
      </c>
      <c r="O3">
        <f>電力量!O4-電力量!O3</f>
        <v>21.100000000005821</v>
      </c>
      <c r="P3">
        <f>電力量!P4-電力量!P3</f>
        <v>0</v>
      </c>
      <c r="Q3">
        <f>電力量!Q4-電力量!Q3</f>
        <v>0</v>
      </c>
      <c r="R3">
        <f>電力量!R4-電力量!R3</f>
        <v>0</v>
      </c>
    </row>
    <row r="4" spans="1:18">
      <c r="A4" s="4">
        <f t="shared" ref="A4" si="1">A2+(2/24)</f>
        <v>45872.083333333336</v>
      </c>
      <c r="B4">
        <f>電力量!B5-電力量!B4</f>
        <v>672</v>
      </c>
      <c r="C4">
        <f>電力量!C5-電力量!C4</f>
        <v>170</v>
      </c>
      <c r="D4">
        <f>電力量!D5-電力量!D4</f>
        <v>13</v>
      </c>
      <c r="E4">
        <f>電力量!E5-電力量!E4</f>
        <v>0</v>
      </c>
      <c r="F4">
        <f>電力量!F5-電力量!F4</f>
        <v>15</v>
      </c>
      <c r="G4">
        <f>電力量!G5-電力量!G4</f>
        <v>50.399999999997817</v>
      </c>
      <c r="H4">
        <f>電力量!H5-電力量!H4</f>
        <v>11</v>
      </c>
      <c r="I4">
        <f>電力量!I5-電力量!I4</f>
        <v>210</v>
      </c>
      <c r="J4">
        <f>電力量!J5-電力量!J4</f>
        <v>9.3000000000029104</v>
      </c>
      <c r="K4">
        <f>電力量!K5-電力量!K4</f>
        <v>4.3999999999941792</v>
      </c>
      <c r="L4">
        <f>電力量!L5-電力量!L4</f>
        <v>22.899999999994179</v>
      </c>
      <c r="M4">
        <f>電力量!M5-電力量!M4</f>
        <v>42.900000000001455</v>
      </c>
      <c r="N4">
        <f>電力量!N5-電力量!N4</f>
        <v>54.5</v>
      </c>
      <c r="O4">
        <f>電力量!O5-電力量!O4</f>
        <v>20.80000000000291</v>
      </c>
      <c r="P4">
        <f>電力量!P5-電力量!P4</f>
        <v>0</v>
      </c>
      <c r="Q4">
        <f>電力量!Q5-電力量!Q4</f>
        <v>0</v>
      </c>
      <c r="R4">
        <f>電力量!R5-電力量!R4</f>
        <v>0</v>
      </c>
    </row>
    <row r="5" spans="1:18">
      <c r="A5" s="4">
        <f t="shared" ref="A5" si="2">A2+(3/24)</f>
        <v>45872.125</v>
      </c>
      <c r="B5">
        <f>電力量!B6-電力量!B5</f>
        <v>662</v>
      </c>
      <c r="C5">
        <f>電力量!C6-電力量!C5</f>
        <v>162</v>
      </c>
      <c r="D5">
        <f>電力量!D6-電力量!D5</f>
        <v>13.200000000000728</v>
      </c>
      <c r="E5">
        <f>電力量!E6-電力量!E5</f>
        <v>0</v>
      </c>
      <c r="F5">
        <f>電力量!F6-電力量!F5</f>
        <v>15</v>
      </c>
      <c r="G5">
        <f>電力量!G6-電力量!G5</f>
        <v>49.700000000000728</v>
      </c>
      <c r="H5">
        <f>電力量!H6-電力量!H5</f>
        <v>12</v>
      </c>
      <c r="I5">
        <f>電力量!I6-電力量!I5</f>
        <v>209</v>
      </c>
      <c r="J5">
        <f>電力量!J6-電力量!J5</f>
        <v>8.8000000000029104</v>
      </c>
      <c r="K5">
        <f>電力量!K6-電力量!K5</f>
        <v>4.9000000000087311</v>
      </c>
      <c r="L5">
        <f>電力量!L6-電力量!L5</f>
        <v>20.900000000008731</v>
      </c>
      <c r="M5">
        <f>電力量!M6-電力量!M5</f>
        <v>43.299999999995634</v>
      </c>
      <c r="N5">
        <f>電力量!N6-電力量!N5</f>
        <v>54.600000000005821</v>
      </c>
      <c r="O5">
        <f>電力量!O6-電力量!O5</f>
        <v>21</v>
      </c>
      <c r="P5">
        <f>電力量!P6-電力量!P5</f>
        <v>0</v>
      </c>
      <c r="Q5">
        <f>電力量!Q6-電力量!Q5</f>
        <v>0</v>
      </c>
      <c r="R5">
        <f>電力量!R6-電力量!R5</f>
        <v>0</v>
      </c>
    </row>
    <row r="6" spans="1:18">
      <c r="A6" s="4">
        <f t="shared" ref="A6" si="3">A2+(4/24)</f>
        <v>45872.166666666664</v>
      </c>
      <c r="B6">
        <f>電力量!B7-電力量!B6</f>
        <v>652</v>
      </c>
      <c r="C6">
        <f>電力量!C7-電力量!C6</f>
        <v>159</v>
      </c>
      <c r="D6">
        <f>電力量!D7-電力量!D6</f>
        <v>13.099999999998545</v>
      </c>
      <c r="E6">
        <f>電力量!E7-電力量!E6</f>
        <v>0</v>
      </c>
      <c r="F6">
        <f>電力量!F7-電力量!F6</f>
        <v>15</v>
      </c>
      <c r="G6">
        <f>電力量!G7-電力量!G6</f>
        <v>49.900000000001455</v>
      </c>
      <c r="H6">
        <f>電力量!H7-電力量!H6</f>
        <v>11</v>
      </c>
      <c r="I6">
        <f>電力量!I7-電力量!I6</f>
        <v>205</v>
      </c>
      <c r="J6">
        <f>電力量!J7-電力量!J6</f>
        <v>8.0999999999985448</v>
      </c>
      <c r="K6">
        <f>電力量!K7-電力量!K6</f>
        <v>4.5</v>
      </c>
      <c r="L6">
        <f>電力量!L7-電力量!L6</f>
        <v>19.799999999988358</v>
      </c>
      <c r="M6">
        <f>電力量!M7-電力量!M6</f>
        <v>42.100000000005821</v>
      </c>
      <c r="N6">
        <f>電力量!N7-電力量!N6</f>
        <v>54.599999999998545</v>
      </c>
      <c r="O6">
        <f>電力量!O7-電力量!O6</f>
        <v>22.19999999999709</v>
      </c>
      <c r="P6">
        <f>電力量!P7-電力量!P6</f>
        <v>0</v>
      </c>
      <c r="Q6">
        <f>電力量!Q7-電力量!Q6</f>
        <v>0</v>
      </c>
      <c r="R6">
        <f>電力量!R7-電力量!R6</f>
        <v>0</v>
      </c>
    </row>
    <row r="7" spans="1:18">
      <c r="A7" s="4">
        <f t="shared" ref="A7" si="4">A2+(5/24)</f>
        <v>45872.208333333336</v>
      </c>
      <c r="B7">
        <f>電力量!B8-電力量!B7</f>
        <v>627</v>
      </c>
      <c r="C7">
        <f>電力量!C8-電力量!C7</f>
        <v>155</v>
      </c>
      <c r="D7">
        <f>電力量!D8-電力量!D7</f>
        <v>12.600000000002183</v>
      </c>
      <c r="E7">
        <f>電力量!E8-電力量!E7</f>
        <v>0</v>
      </c>
      <c r="F7">
        <f>電力量!F8-電力量!F7</f>
        <v>13</v>
      </c>
      <c r="G7">
        <f>電力量!G8-電力量!G7</f>
        <v>47.899999999997817</v>
      </c>
      <c r="H7">
        <f>電力量!H8-電力量!H7</f>
        <v>13</v>
      </c>
      <c r="I7">
        <f>電力量!I8-電力量!I7</f>
        <v>195</v>
      </c>
      <c r="J7">
        <f>電力量!J8-電力量!J7</f>
        <v>8</v>
      </c>
      <c r="K7">
        <f>電力量!K8-電力量!K7</f>
        <v>3.8999999999941792</v>
      </c>
      <c r="L7">
        <f>電力量!L8-電力量!L7</f>
        <v>17.900000000008731</v>
      </c>
      <c r="M7">
        <f>電力量!M8-電力量!M7</f>
        <v>41.299999999995634</v>
      </c>
      <c r="N7">
        <f>電力量!N8-電力量!N7</f>
        <v>54.5</v>
      </c>
      <c r="O7">
        <f>電力量!O8-電力量!O7</f>
        <v>19.599999999991269</v>
      </c>
      <c r="P7">
        <f>電力量!P8-電力量!P7</f>
        <v>0</v>
      </c>
      <c r="Q7">
        <f>電力量!Q8-電力量!Q7</f>
        <v>0</v>
      </c>
      <c r="R7">
        <f>電力量!R8-電力量!R7</f>
        <v>0</v>
      </c>
    </row>
    <row r="8" spans="1:18">
      <c r="A8" s="4">
        <f t="shared" ref="A8" si="5">A2+(6/24)</f>
        <v>45872.25</v>
      </c>
      <c r="B8">
        <f>電力量!B9-電力量!B8</f>
        <v>638</v>
      </c>
      <c r="C8">
        <f>電力量!C9-電力量!C8</f>
        <v>159</v>
      </c>
      <c r="D8">
        <f>電力量!D9-電力量!D8</f>
        <v>13.099999999998545</v>
      </c>
      <c r="E8">
        <f>電力量!E9-電力量!E8</f>
        <v>0</v>
      </c>
      <c r="F8">
        <f>電力量!F9-電力量!F8</f>
        <v>14</v>
      </c>
      <c r="G8">
        <f>電力量!G9-電力量!G8</f>
        <v>47.799999999999272</v>
      </c>
      <c r="H8">
        <f>電力量!H9-電力量!H8</f>
        <v>11</v>
      </c>
      <c r="I8">
        <f>電力量!I9-電力量!I8</f>
        <v>202</v>
      </c>
      <c r="J8">
        <f>電力量!J9-電力量!J8</f>
        <v>9.2999999999956344</v>
      </c>
      <c r="K8">
        <f>電力量!K9-電力量!K8</f>
        <v>2.6000000000058208</v>
      </c>
      <c r="L8">
        <f>電力量!L9-電力量!L8</f>
        <v>19</v>
      </c>
      <c r="M8">
        <f>電力量!M9-電力量!M8</f>
        <v>42.30000000000291</v>
      </c>
      <c r="N8">
        <f>電力量!N9-電力量!N8</f>
        <v>52.599999999998545</v>
      </c>
      <c r="O8">
        <f>電力量!O9-電力量!O8</f>
        <v>18</v>
      </c>
      <c r="P8">
        <f>電力量!P9-電力量!P8</f>
        <v>1</v>
      </c>
      <c r="Q8">
        <f>電力量!Q9-電力量!Q8</f>
        <v>1</v>
      </c>
      <c r="R8">
        <f>電力量!R9-電力量!R8</f>
        <v>0</v>
      </c>
    </row>
    <row r="9" spans="1:18">
      <c r="A9" s="4">
        <f t="shared" ref="A9" si="6">A2+(7/24)</f>
        <v>45872.291666666664</v>
      </c>
      <c r="B9">
        <f>電力量!B10-電力量!B9</f>
        <v>661</v>
      </c>
      <c r="C9">
        <f>電力量!C10-電力量!C9</f>
        <v>165</v>
      </c>
      <c r="D9">
        <f>電力量!D10-電力量!D9</f>
        <v>12.900000000001455</v>
      </c>
      <c r="E9">
        <f>電力量!E10-電力量!E9</f>
        <v>0</v>
      </c>
      <c r="F9">
        <f>電力量!F10-電力量!F9</f>
        <v>14</v>
      </c>
      <c r="G9">
        <f>電力量!G10-電力量!G9</f>
        <v>46.900000000001455</v>
      </c>
      <c r="H9">
        <f>電力量!H10-電力量!H9</f>
        <v>10</v>
      </c>
      <c r="I9">
        <f>電力量!I10-電力量!I9</f>
        <v>218</v>
      </c>
      <c r="J9">
        <f>電力量!J10-電力量!J9</f>
        <v>9.9000000000014552</v>
      </c>
      <c r="K9">
        <f>電力量!K10-電力量!K9</f>
        <v>0.30000000000291038</v>
      </c>
      <c r="L9">
        <f>電力量!L10-電力量!L9</f>
        <v>18.899999999994179</v>
      </c>
      <c r="M9">
        <f>電力量!M10-電力量!M9</f>
        <v>44.299999999995634</v>
      </c>
      <c r="N9">
        <f>電力量!N10-電力量!N9</f>
        <v>50.099999999998545</v>
      </c>
      <c r="O9">
        <f>電力量!O10-電力量!O9</f>
        <v>20</v>
      </c>
      <c r="P9">
        <f>電力量!P10-電力量!P9</f>
        <v>1</v>
      </c>
      <c r="Q9">
        <f>電力量!Q10-電力量!Q9</f>
        <v>4</v>
      </c>
      <c r="R9">
        <f>電力量!R10-電力量!R9</f>
        <v>0</v>
      </c>
    </row>
    <row r="10" spans="1:18">
      <c r="A10" s="4">
        <f t="shared" ref="A10" si="7">A2+(8/24)</f>
        <v>45872.333333333336</v>
      </c>
      <c r="B10">
        <f>電力量!B11-電力量!B10</f>
        <v>682</v>
      </c>
      <c r="C10">
        <f>電力量!C11-電力量!C10</f>
        <v>182</v>
      </c>
      <c r="D10">
        <f>電力量!D11-電力量!D10</f>
        <v>12.700000000000728</v>
      </c>
      <c r="E10">
        <f>電力量!E11-電力量!E10</f>
        <v>0</v>
      </c>
      <c r="F10">
        <f>電力量!F11-電力量!F10</f>
        <v>15</v>
      </c>
      <c r="G10">
        <f>電力量!G11-電力量!G10</f>
        <v>41.900000000001455</v>
      </c>
      <c r="H10">
        <f>電力量!H11-電力量!H10</f>
        <v>11</v>
      </c>
      <c r="I10">
        <f>電力量!I11-電力量!I10</f>
        <v>229</v>
      </c>
      <c r="J10">
        <f>電力量!J11-電力量!J10</f>
        <v>9.8000000000029104</v>
      </c>
      <c r="K10">
        <f>電力量!K11-電力量!K10</f>
        <v>0</v>
      </c>
      <c r="L10">
        <f>電力量!L11-電力量!L10</f>
        <v>19.100000000005821</v>
      </c>
      <c r="M10">
        <f>電力量!M11-電力量!M10</f>
        <v>43.30000000000291</v>
      </c>
      <c r="N10">
        <f>電力量!N11-電力量!N10</f>
        <v>50</v>
      </c>
      <c r="O10">
        <f>電力量!O11-電力量!O10</f>
        <v>21.200000000011642</v>
      </c>
      <c r="P10">
        <f>電力量!P11-電力量!P10</f>
        <v>4</v>
      </c>
      <c r="Q10">
        <f>電力量!Q11-電力量!Q10</f>
        <v>7</v>
      </c>
      <c r="R10">
        <f>電力量!R11-電力量!R10</f>
        <v>0</v>
      </c>
    </row>
    <row r="11" spans="1:18">
      <c r="A11" s="4">
        <f t="shared" ref="A11" si="8">A2+(9/24)</f>
        <v>45872.375</v>
      </c>
      <c r="B11">
        <f>電力量!B12-電力量!B11</f>
        <v>690</v>
      </c>
      <c r="C11">
        <f>電力量!C12-電力量!C11</f>
        <v>188</v>
      </c>
      <c r="D11">
        <f>電力量!D12-電力量!D11</f>
        <v>13.19999999999709</v>
      </c>
      <c r="E11">
        <f>電力量!E12-電力量!E11</f>
        <v>0</v>
      </c>
      <c r="F11">
        <f>電力量!F12-電力量!F11</f>
        <v>15</v>
      </c>
      <c r="G11">
        <f>電力量!G12-電力量!G11</f>
        <v>35</v>
      </c>
      <c r="H11">
        <f>電力量!H12-電力量!H11</f>
        <v>11</v>
      </c>
      <c r="I11">
        <f>電力量!I12-電力量!I11</f>
        <v>239</v>
      </c>
      <c r="J11">
        <f>電力量!J12-電力量!J11</f>
        <v>10.19999999999709</v>
      </c>
      <c r="K11">
        <f>電力量!K12-電力量!K11</f>
        <v>0</v>
      </c>
      <c r="L11">
        <f>電力量!L12-電力量!L11</f>
        <v>18.599999999991269</v>
      </c>
      <c r="M11">
        <f>電力量!M12-電力量!M11</f>
        <v>43.400000000001455</v>
      </c>
      <c r="N11">
        <f>電力量!N12-電力量!N11</f>
        <v>46.400000000001455</v>
      </c>
      <c r="O11">
        <f>電力量!O12-電力量!O11</f>
        <v>21.399999999994179</v>
      </c>
      <c r="P11">
        <f>電力量!P12-電力量!P11</f>
        <v>7</v>
      </c>
      <c r="Q11">
        <f>電力量!Q12-電力量!Q11</f>
        <v>12</v>
      </c>
      <c r="R11">
        <f>電力量!R12-電力量!R11</f>
        <v>0</v>
      </c>
    </row>
    <row r="12" spans="1:18">
      <c r="A12" s="4">
        <f t="shared" ref="A12" si="9">A2+(10/24)</f>
        <v>45872.416666666664</v>
      </c>
      <c r="B12">
        <f>電力量!B13-電力量!B12</f>
        <v>737</v>
      </c>
      <c r="C12">
        <f>電力量!C13-電力量!C12</f>
        <v>197</v>
      </c>
      <c r="D12">
        <f>電力量!D13-電力量!D12</f>
        <v>20.600000000002183</v>
      </c>
      <c r="E12">
        <f>電力量!E13-電力量!E12</f>
        <v>0</v>
      </c>
      <c r="F12">
        <f>電力量!F13-電力量!F12</f>
        <v>17</v>
      </c>
      <c r="G12">
        <f>電力量!G13-電力量!G12</f>
        <v>31.5</v>
      </c>
      <c r="H12">
        <f>電力量!H13-電力量!H12</f>
        <v>11</v>
      </c>
      <c r="I12">
        <f>電力量!I13-電力量!I12</f>
        <v>257</v>
      </c>
      <c r="J12">
        <f>電力量!J13-電力量!J12</f>
        <v>10.599999999998545</v>
      </c>
      <c r="K12">
        <f>電力量!K13-電力量!K12</f>
        <v>2.3999999999941792</v>
      </c>
      <c r="L12">
        <f>電力量!L13-電力量!L12</f>
        <v>23.600000000005821</v>
      </c>
      <c r="M12">
        <f>電力量!M13-電力量!M12</f>
        <v>47.099999999998545</v>
      </c>
      <c r="N12">
        <f>電力量!N13-電力量!N12</f>
        <v>44.30000000000291</v>
      </c>
      <c r="O12">
        <f>電力量!O13-電力量!O12</f>
        <v>21.600000000005821</v>
      </c>
      <c r="P12">
        <f>電力量!P13-電力量!P12</f>
        <v>10</v>
      </c>
      <c r="Q12">
        <f>電力量!Q13-電力量!Q12</f>
        <v>15</v>
      </c>
      <c r="R12">
        <f>電力量!R13-電力量!R12</f>
        <v>0</v>
      </c>
    </row>
    <row r="13" spans="1:18">
      <c r="A13" s="4">
        <f t="shared" ref="A13" si="10">A2+(11/24)</f>
        <v>45872.458333333336</v>
      </c>
      <c r="B13">
        <f>電力量!B14-電力量!B13</f>
        <v>772</v>
      </c>
      <c r="C13">
        <f>電力量!C14-電力量!C13</f>
        <v>213</v>
      </c>
      <c r="D13">
        <f>電力量!D14-電力量!D13</f>
        <v>20.700000000000728</v>
      </c>
      <c r="E13">
        <f>電力量!E14-電力量!E13</f>
        <v>0</v>
      </c>
      <c r="F13">
        <f>電力量!F14-電力量!F13</f>
        <v>18</v>
      </c>
      <c r="G13">
        <f>電力量!G14-電力量!G13</f>
        <v>27.099999999998545</v>
      </c>
      <c r="H13">
        <f>電力量!H14-電力量!H13</f>
        <v>12</v>
      </c>
      <c r="I13">
        <f>電力量!I14-電力量!I13</f>
        <v>277</v>
      </c>
      <c r="J13">
        <f>電力量!J14-電力量!J13</f>
        <v>11.200000000004366</v>
      </c>
      <c r="K13">
        <f>電力量!K14-電力量!K13</f>
        <v>1</v>
      </c>
      <c r="L13">
        <f>電力量!L14-電力量!L13</f>
        <v>22.80000000000291</v>
      </c>
      <c r="M13">
        <f>電力量!M14-電力量!M13</f>
        <v>46.80000000000291</v>
      </c>
      <c r="N13">
        <f>電力量!N14-電力量!N13</f>
        <v>41.19999999999709</v>
      </c>
      <c r="O13">
        <f>電力量!O14-電力量!O13</f>
        <v>21.399999999994179</v>
      </c>
      <c r="P13">
        <f>電力量!P14-電力量!P13</f>
        <v>14</v>
      </c>
      <c r="Q13">
        <f>電力量!Q14-電力量!Q13</f>
        <v>20</v>
      </c>
      <c r="R13">
        <f>電力量!R14-電力量!R13</f>
        <v>0</v>
      </c>
    </row>
    <row r="14" spans="1:18">
      <c r="A14" s="4">
        <f t="shared" ref="A14" si="11">A2+(12/24)</f>
        <v>45872.5</v>
      </c>
      <c r="B14">
        <f>電力量!B15-電力量!B14</f>
        <v>809</v>
      </c>
      <c r="C14">
        <f>電力量!C15-電力量!C14</f>
        <v>224</v>
      </c>
      <c r="D14">
        <f>電力量!D15-電力量!D14</f>
        <v>25.5</v>
      </c>
      <c r="E14">
        <f>電力量!E15-電力量!E14</f>
        <v>0</v>
      </c>
      <c r="F14">
        <f>電力量!F15-電力量!F14</f>
        <v>21</v>
      </c>
      <c r="G14">
        <f>電力量!G15-電力量!G14</f>
        <v>35.099999999998545</v>
      </c>
      <c r="H14">
        <f>電力量!H15-電力量!H14</f>
        <v>12</v>
      </c>
      <c r="I14">
        <f>電力量!I15-電力量!I14</f>
        <v>280</v>
      </c>
      <c r="J14">
        <f>電力量!J15-電力量!J14</f>
        <v>11.599999999998545</v>
      </c>
      <c r="K14">
        <f>電力量!K15-電力量!K14</f>
        <v>2.3999999999941792</v>
      </c>
      <c r="L14">
        <f>電力量!L15-電力量!L14</f>
        <v>23.099999999991269</v>
      </c>
      <c r="M14">
        <f>電力量!M15-電力量!M14</f>
        <v>46.899999999994179</v>
      </c>
      <c r="N14">
        <f>電力量!N15-電力量!N14</f>
        <v>42.5</v>
      </c>
      <c r="O14">
        <f>電力量!O15-電力量!O14</f>
        <v>20.100000000005821</v>
      </c>
      <c r="P14">
        <f>電力量!P15-電力量!P14</f>
        <v>11</v>
      </c>
      <c r="Q14">
        <f>電力量!Q15-電力量!Q14</f>
        <v>18</v>
      </c>
      <c r="R14">
        <f>電力量!R15-電力量!R14</f>
        <v>0</v>
      </c>
    </row>
    <row r="15" spans="1:18">
      <c r="A15" s="4">
        <f t="shared" ref="A15" si="12">A2+(13/24)</f>
        <v>45872.541666666664</v>
      </c>
      <c r="B15">
        <f>電力量!B16-電力量!B15</f>
        <v>827</v>
      </c>
      <c r="C15">
        <f>電力量!C16-電力量!C15</f>
        <v>231</v>
      </c>
      <c r="D15">
        <f>電力量!D16-電力量!D15</f>
        <v>23.799999999999272</v>
      </c>
      <c r="E15">
        <f>電力量!E16-電力量!E15</f>
        <v>0</v>
      </c>
      <c r="F15">
        <f>電力量!F16-電力量!F15</f>
        <v>22</v>
      </c>
      <c r="G15">
        <f>電力量!G16-電力量!G15</f>
        <v>31.600000000002183</v>
      </c>
      <c r="H15">
        <f>電力量!H16-電力量!H15</f>
        <v>12</v>
      </c>
      <c r="I15">
        <f>電力量!I16-電力量!I15</f>
        <v>294</v>
      </c>
      <c r="J15">
        <f>電力量!J16-電力量!J15</f>
        <v>11.400000000001455</v>
      </c>
      <c r="K15">
        <f>電力量!K16-電力量!K15</f>
        <v>1.7000000000116415</v>
      </c>
      <c r="L15">
        <f>電力量!L16-電力量!L15</f>
        <v>23.30000000000291</v>
      </c>
      <c r="M15">
        <f>電力量!M16-電力量!M15</f>
        <v>52</v>
      </c>
      <c r="N15">
        <f>電力量!N16-電力量!N15</f>
        <v>42.400000000001455</v>
      </c>
      <c r="O15">
        <f>電力量!O16-電力量!O15</f>
        <v>23.299999999988358</v>
      </c>
      <c r="P15">
        <f>電力量!P16-電力量!P15</f>
        <v>16</v>
      </c>
      <c r="Q15">
        <f>電力量!Q16-電力量!Q15</f>
        <v>23</v>
      </c>
      <c r="R15">
        <f>電力量!R16-電力量!R15</f>
        <v>0</v>
      </c>
    </row>
    <row r="16" spans="1:18">
      <c r="A16" s="4">
        <f t="shared" ref="A16" si="13">A2+(14/24)</f>
        <v>45872.583333333336</v>
      </c>
      <c r="B16">
        <f>電力量!B17-電力量!B16</f>
        <v>861</v>
      </c>
      <c r="C16">
        <f>電力量!C17-電力量!C16</f>
        <v>239</v>
      </c>
      <c r="D16">
        <f>電力量!D17-電力量!D16</f>
        <v>30.099999999998545</v>
      </c>
      <c r="E16">
        <f>電力量!E17-電力量!E16</f>
        <v>0</v>
      </c>
      <c r="F16">
        <f>電力量!F17-電力量!F16</f>
        <v>23</v>
      </c>
      <c r="G16">
        <f>電力量!G17-電力量!G16</f>
        <v>40.099999999998545</v>
      </c>
      <c r="H16">
        <f>電力量!H17-電力量!H16</f>
        <v>11</v>
      </c>
      <c r="I16">
        <f>電力量!I17-電力量!I16</f>
        <v>300</v>
      </c>
      <c r="J16">
        <f>電力量!J17-電力量!J16</f>
        <v>11.599999999998545</v>
      </c>
      <c r="K16">
        <f>電力量!K17-電力量!K16</f>
        <v>5.0999999999912689</v>
      </c>
      <c r="L16">
        <f>電力量!L17-電力量!L16</f>
        <v>24</v>
      </c>
      <c r="M16">
        <f>電力量!M17-電力量!M16</f>
        <v>50.600000000005821</v>
      </c>
      <c r="N16">
        <f>電力量!N17-電力量!N16</f>
        <v>42.799999999995634</v>
      </c>
      <c r="O16">
        <f>電力量!O17-電力量!O16</f>
        <v>22.200000000011642</v>
      </c>
      <c r="P16">
        <f>電力量!P17-電力量!P16</f>
        <v>12</v>
      </c>
      <c r="Q16">
        <f>電力量!Q17-電力量!Q16</f>
        <v>19</v>
      </c>
      <c r="R16">
        <f>電力量!R17-電力量!R16</f>
        <v>0</v>
      </c>
    </row>
    <row r="17" spans="1:18">
      <c r="A17" s="4">
        <f t="shared" ref="A17" si="14">A2+(15/24)</f>
        <v>45872.625</v>
      </c>
      <c r="B17">
        <f>電力量!B18-電力量!B17</f>
        <v>897</v>
      </c>
      <c r="C17">
        <f>電力量!C18-電力量!C17</f>
        <v>239</v>
      </c>
      <c r="D17">
        <f>電力量!D18-電力量!D17</f>
        <v>33.5</v>
      </c>
      <c r="E17">
        <f>電力量!E18-電力量!E17</f>
        <v>0</v>
      </c>
      <c r="F17">
        <f>電力量!F18-電力量!F17</f>
        <v>25</v>
      </c>
      <c r="G17">
        <f>電力量!G18-電力量!G17</f>
        <v>45.5</v>
      </c>
      <c r="H17">
        <f>電力量!H18-電力量!H17</f>
        <v>12</v>
      </c>
      <c r="I17">
        <f>電力量!I18-電力量!I17</f>
        <v>313</v>
      </c>
      <c r="J17">
        <f>電力量!J18-電力量!J17</f>
        <v>11.599999999998545</v>
      </c>
      <c r="K17">
        <f>電力量!K18-電力量!K17</f>
        <v>5.9000000000087311</v>
      </c>
      <c r="L17">
        <f>電力量!L18-電力量!L17</f>
        <v>33</v>
      </c>
      <c r="M17">
        <f>電力量!M18-電力量!M17</f>
        <v>52.399999999994179</v>
      </c>
      <c r="N17">
        <f>電力量!N18-電力量!N17</f>
        <v>44</v>
      </c>
      <c r="O17">
        <f>電力量!O18-電力量!O17</f>
        <v>21.799999999988358</v>
      </c>
      <c r="P17">
        <f>電力量!P18-電力量!P17</f>
        <v>13</v>
      </c>
      <c r="Q17">
        <f>電力量!Q18-電力量!Q17</f>
        <v>20</v>
      </c>
      <c r="R17">
        <f>電力量!R18-電力量!R17</f>
        <v>0</v>
      </c>
    </row>
    <row r="18" spans="1:18">
      <c r="A18" s="4">
        <f t="shared" ref="A18" si="15">A2+(16/24)</f>
        <v>45872.666666666664</v>
      </c>
      <c r="B18">
        <f>電力量!B19-電力量!B18</f>
        <v>936</v>
      </c>
      <c r="C18">
        <f>電力量!C19-電力量!C18</f>
        <v>237</v>
      </c>
      <c r="D18">
        <f>電力量!D19-電力量!D18</f>
        <v>30.700000000000728</v>
      </c>
      <c r="E18">
        <f>電力量!E19-電力量!E18</f>
        <v>0</v>
      </c>
      <c r="F18">
        <f>電力量!F19-電力量!F18</f>
        <v>26</v>
      </c>
      <c r="G18">
        <f>電力量!G19-電力量!G18</f>
        <v>54.100000000002183</v>
      </c>
      <c r="H18">
        <f>電力量!H19-電力量!H18</f>
        <v>12</v>
      </c>
      <c r="I18">
        <f>電力量!I19-電力量!I18</f>
        <v>320</v>
      </c>
      <c r="J18">
        <f>電力量!J19-電力量!J18</f>
        <v>12.200000000004366</v>
      </c>
      <c r="K18">
        <f>電力量!K19-電力量!K18</f>
        <v>12.899999999994179</v>
      </c>
      <c r="L18">
        <f>電力量!L19-電力量!L18</f>
        <v>37.30000000000291</v>
      </c>
      <c r="M18">
        <f>電力量!M19-電力量!M18</f>
        <v>51.700000000004366</v>
      </c>
      <c r="N18">
        <f>電力量!N19-電力量!N18</f>
        <v>50.100000000005821</v>
      </c>
      <c r="O18">
        <f>電力量!O19-電力量!O18</f>
        <v>23.200000000011642</v>
      </c>
      <c r="P18">
        <f>電力量!P19-電力量!P18</f>
        <v>9</v>
      </c>
      <c r="Q18">
        <f>電力量!Q19-電力量!Q18</f>
        <v>14</v>
      </c>
      <c r="R18">
        <f>電力量!R19-電力量!R18</f>
        <v>0</v>
      </c>
    </row>
    <row r="19" spans="1:18">
      <c r="A19" s="4">
        <f t="shared" ref="A19" si="16">A2+(17/24)</f>
        <v>45872.708333333336</v>
      </c>
      <c r="B19">
        <f>電力量!B20-電力量!B19</f>
        <v>933</v>
      </c>
      <c r="C19">
        <f>電力量!C20-電力量!C19</f>
        <v>241</v>
      </c>
      <c r="D19">
        <f>電力量!D20-電力量!D19</f>
        <v>29.799999999999272</v>
      </c>
      <c r="E19">
        <f>電力量!E20-電力量!E19</f>
        <v>0</v>
      </c>
      <c r="F19">
        <f>電力量!F20-電力量!F19</f>
        <v>24</v>
      </c>
      <c r="G19">
        <f>電力量!G20-電力量!G19</f>
        <v>63.399999999997817</v>
      </c>
      <c r="H19">
        <f>電力量!H20-電力量!H19</f>
        <v>11</v>
      </c>
      <c r="I19">
        <f>電力量!I20-電力量!I19</f>
        <v>314</v>
      </c>
      <c r="J19">
        <f>電力量!J20-電力量!J19</f>
        <v>11.5</v>
      </c>
      <c r="K19">
        <f>電力量!K20-電力量!K19</f>
        <v>19.600000000005821</v>
      </c>
      <c r="L19">
        <f>電力量!L20-電力量!L19</f>
        <v>28.30000000000291</v>
      </c>
      <c r="M19">
        <f>電力量!M20-電力量!M19</f>
        <v>49.599999999998545</v>
      </c>
      <c r="N19">
        <f>電力量!N20-電力量!N19</f>
        <v>52.399999999994179</v>
      </c>
      <c r="O19">
        <f>電力量!O20-電力量!O19</f>
        <v>22.599999999991269</v>
      </c>
      <c r="P19">
        <f>電力量!P20-電力量!P19</f>
        <v>5</v>
      </c>
      <c r="Q19">
        <f>電力量!Q20-電力量!Q19</f>
        <v>7</v>
      </c>
      <c r="R19">
        <f>電力量!R20-電力量!R19</f>
        <v>0</v>
      </c>
    </row>
    <row r="20" spans="1:18">
      <c r="A20" s="4">
        <f t="shared" ref="A20" si="17">A2+(18/24)</f>
        <v>45872.75</v>
      </c>
      <c r="B20">
        <f>電力量!B21-電力量!B20</f>
        <v>903</v>
      </c>
      <c r="C20">
        <f>電力量!C21-電力量!C20</f>
        <v>230</v>
      </c>
      <c r="D20">
        <f>電力量!D21-電力量!D20</f>
        <v>20.900000000001455</v>
      </c>
      <c r="E20">
        <f>電力量!E21-電力量!E20</f>
        <v>0</v>
      </c>
      <c r="F20">
        <f>電力量!F21-電力量!F20</f>
        <v>21</v>
      </c>
      <c r="G20">
        <f>電力量!G21-電力量!G20</f>
        <v>72.799999999999272</v>
      </c>
      <c r="H20">
        <f>電力量!H21-電力量!H20</f>
        <v>12</v>
      </c>
      <c r="I20">
        <f>電力量!I21-電力量!I20</f>
        <v>307</v>
      </c>
      <c r="J20">
        <f>電力量!J21-電力量!J20</f>
        <v>11.399999999994179</v>
      </c>
      <c r="K20">
        <f>電力量!K21-電力量!K20</f>
        <v>20.5</v>
      </c>
      <c r="L20">
        <f>電力量!L21-電力量!L20</f>
        <v>25.899999999994179</v>
      </c>
      <c r="M20">
        <f>電力量!M21-電力量!M20</f>
        <v>48.80000000000291</v>
      </c>
      <c r="N20">
        <f>電力量!N21-電力量!N20</f>
        <v>55.5</v>
      </c>
      <c r="O20">
        <f>電力量!O21-電力量!O20</f>
        <v>18.900000000008731</v>
      </c>
      <c r="P20">
        <f>電力量!P21-電力量!P20</f>
        <v>1</v>
      </c>
      <c r="Q20">
        <f>電力量!Q21-電力量!Q20</f>
        <v>1</v>
      </c>
      <c r="R20">
        <f>電力量!R21-電力量!R20</f>
        <v>0</v>
      </c>
    </row>
    <row r="21" spans="1:18">
      <c r="A21" s="4">
        <f t="shared" ref="A21" si="18">A2+(19/24)</f>
        <v>45872.791666666664</v>
      </c>
      <c r="B21">
        <f>電力量!B22-電力量!B21</f>
        <v>857</v>
      </c>
      <c r="C21">
        <f>電力量!C22-電力量!C21</f>
        <v>212</v>
      </c>
      <c r="D21">
        <f>電力量!D22-電力量!D21</f>
        <v>16.5</v>
      </c>
      <c r="E21">
        <f>電力量!E22-電力量!E21</f>
        <v>0</v>
      </c>
      <c r="F21">
        <f>電力量!F22-電力量!F21</f>
        <v>20</v>
      </c>
      <c r="G21">
        <f>電力量!G22-電力量!G21</f>
        <v>72.200000000000728</v>
      </c>
      <c r="H21">
        <f>電力量!H22-電力量!H21</f>
        <v>13</v>
      </c>
      <c r="I21">
        <f>電力量!I22-電力量!I21</f>
        <v>281</v>
      </c>
      <c r="J21">
        <f>電力量!J22-電力量!J21</f>
        <v>33.600000000005821</v>
      </c>
      <c r="K21">
        <f>電力量!K22-電力量!K21</f>
        <v>4.7999999999883585</v>
      </c>
      <c r="L21">
        <f>電力量!L22-電力量!L21</f>
        <v>21.400000000008731</v>
      </c>
      <c r="M21">
        <f>電力量!M22-電力量!M21</f>
        <v>46.5</v>
      </c>
      <c r="N21">
        <f>電力量!N22-電力量!N21</f>
        <v>56.30000000000291</v>
      </c>
      <c r="O21">
        <f>電力量!O22-電力量!O21</f>
        <v>21.299999999988358</v>
      </c>
      <c r="P21">
        <f>電力量!P22-電力量!P21</f>
        <v>0</v>
      </c>
      <c r="Q21">
        <f>電力量!Q22-電力量!Q21</f>
        <v>0</v>
      </c>
      <c r="R21">
        <f>電力量!R22-電力量!R21</f>
        <v>0</v>
      </c>
    </row>
    <row r="22" spans="1:18">
      <c r="A22" s="4">
        <f t="shared" ref="A22" si="19">A2+(20/24)</f>
        <v>45872.833333333336</v>
      </c>
      <c r="B22">
        <f>電力量!B23-電力量!B22</f>
        <v>786</v>
      </c>
      <c r="C22">
        <f>電力量!C23-電力量!C22</f>
        <v>195</v>
      </c>
      <c r="D22">
        <f>電力量!D23-電力量!D22</f>
        <v>20.5</v>
      </c>
      <c r="E22">
        <f>電力量!E23-電力量!E22</f>
        <v>0</v>
      </c>
      <c r="F22">
        <f>電力量!F23-電力量!F22</f>
        <v>20</v>
      </c>
      <c r="G22">
        <f>電力量!G23-電力量!G22</f>
        <v>68.900000000001455</v>
      </c>
      <c r="H22">
        <f>電力量!H23-電力量!H22</f>
        <v>11</v>
      </c>
      <c r="I22">
        <f>電力量!I23-電力量!I22</f>
        <v>247</v>
      </c>
      <c r="J22">
        <f>電力量!J23-電力量!J22</f>
        <v>15.599999999998545</v>
      </c>
      <c r="K22">
        <f>電力量!K23-電力量!K22</f>
        <v>4.3000000000029104</v>
      </c>
      <c r="L22">
        <f>電力量!L23-電力量!L22</f>
        <v>21.599999999991269</v>
      </c>
      <c r="M22">
        <f>電力量!M23-電力量!M22</f>
        <v>45.5</v>
      </c>
      <c r="N22">
        <f>電力量!N23-電力量!N22</f>
        <v>56.099999999998545</v>
      </c>
      <c r="O22">
        <f>電力量!O23-電力量!O22</f>
        <v>22.900000000008731</v>
      </c>
      <c r="P22">
        <f>電力量!P23-電力量!P22</f>
        <v>0</v>
      </c>
      <c r="Q22">
        <f>電力量!Q23-電力量!Q22</f>
        <v>0</v>
      </c>
      <c r="R22">
        <f>電力量!R23-電力量!R22</f>
        <v>0</v>
      </c>
    </row>
    <row r="23" spans="1:18">
      <c r="A23" s="4">
        <f t="shared" ref="A23" si="20">A2+(21/24)</f>
        <v>45872.875</v>
      </c>
      <c r="B23">
        <f>電力量!B24-電力量!B23</f>
        <v>767</v>
      </c>
      <c r="C23">
        <f>電力量!C24-電力量!C23</f>
        <v>194</v>
      </c>
      <c r="D23">
        <f>電力量!D24-電力量!D23</f>
        <v>17.599999999998545</v>
      </c>
      <c r="E23">
        <f>電力量!E24-電力量!E23</f>
        <v>0</v>
      </c>
      <c r="F23">
        <f>電力量!F24-電力量!F23</f>
        <v>20</v>
      </c>
      <c r="G23">
        <f>電力量!G24-電力量!G23</f>
        <v>64.700000000000728</v>
      </c>
      <c r="H23">
        <f>電力量!H24-電力量!H23</f>
        <v>11</v>
      </c>
      <c r="I23">
        <f>電力量!I24-電力量!I23</f>
        <v>243</v>
      </c>
      <c r="J23">
        <f>電力量!J24-電力量!J23</f>
        <v>10</v>
      </c>
      <c r="K23">
        <f>電力量!K24-電力量!K23</f>
        <v>4.1000000000058208</v>
      </c>
      <c r="L23">
        <f>電力量!L24-電力量!L23</f>
        <v>22.5</v>
      </c>
      <c r="M23">
        <f>電力量!M24-電力量!M23</f>
        <v>47.599999999998545</v>
      </c>
      <c r="N23">
        <f>電力量!N24-電力量!N23</f>
        <v>55.700000000004366</v>
      </c>
      <c r="O23">
        <f>電力量!O24-電力量!O23</f>
        <v>21.899999999994179</v>
      </c>
      <c r="P23">
        <f>電力量!P24-電力量!P23</f>
        <v>0</v>
      </c>
      <c r="Q23">
        <f>電力量!Q24-電力量!Q23</f>
        <v>0</v>
      </c>
      <c r="R23">
        <f>電力量!R24-電力量!R23</f>
        <v>0</v>
      </c>
    </row>
    <row r="24" spans="1:18">
      <c r="A24" s="4">
        <f t="shared" ref="A24" si="21">A2+(22/24)</f>
        <v>45872.916666666664</v>
      </c>
      <c r="B24">
        <f>電力量!B25-電力量!B24</f>
        <v>758</v>
      </c>
      <c r="C24">
        <f>電力量!C25-電力量!C24</f>
        <v>197</v>
      </c>
      <c r="D24">
        <f>電力量!D25-電力量!D24</f>
        <v>16.100000000002183</v>
      </c>
      <c r="E24">
        <f>電力量!E25-電力量!E24</f>
        <v>0</v>
      </c>
      <c r="F24">
        <f>電力量!F25-電力量!F24</f>
        <v>17</v>
      </c>
      <c r="G24">
        <f>電力量!G25-電力量!G24</f>
        <v>63.099999999998545</v>
      </c>
      <c r="H24">
        <f>電力量!H25-電力量!H24</f>
        <v>12</v>
      </c>
      <c r="I24">
        <f>電力量!I25-電力量!I24</f>
        <v>238</v>
      </c>
      <c r="J24">
        <f>電力量!J25-電力量!J24</f>
        <v>10.19999999999709</v>
      </c>
      <c r="K24">
        <f>電力量!K25-電力量!K24</f>
        <v>4.3000000000029104</v>
      </c>
      <c r="L24">
        <f>電力量!L25-電力量!L24</f>
        <v>22.900000000008731</v>
      </c>
      <c r="M24">
        <f>電力量!M25-電力量!M24</f>
        <v>45.900000000001455</v>
      </c>
      <c r="N24">
        <f>電力量!N25-電力量!N24</f>
        <v>55.399999999994179</v>
      </c>
      <c r="O24">
        <f>電力量!O25-電力量!O24</f>
        <v>22.600000000005821</v>
      </c>
      <c r="P24">
        <f>電力量!P25-電力量!P24</f>
        <v>0</v>
      </c>
      <c r="Q24">
        <f>電力量!Q25-電力量!Q24</f>
        <v>0</v>
      </c>
      <c r="R24">
        <f>電力量!R25-電力量!R24</f>
        <v>0</v>
      </c>
    </row>
    <row r="25" spans="1:18">
      <c r="A25" s="4">
        <f t="shared" ref="A25" si="22">A2+(23/24)</f>
        <v>45872.958333333336</v>
      </c>
      <c r="B25">
        <f>電力量!B26-電力量!B25</f>
        <v>761</v>
      </c>
      <c r="C25">
        <f>電力量!C26-電力量!C25</f>
        <v>200</v>
      </c>
      <c r="D25">
        <f>電力量!D26-電力量!D25</f>
        <v>15.799999999999272</v>
      </c>
      <c r="E25">
        <f>電力量!E26-電力量!E25</f>
        <v>0</v>
      </c>
      <c r="F25">
        <f>電力量!F26-電力量!F25</f>
        <v>16</v>
      </c>
      <c r="G25">
        <f>電力量!G26-電力量!G25</f>
        <v>61.400000000001455</v>
      </c>
      <c r="H25">
        <f>電力量!H26-電力量!H25</f>
        <v>11</v>
      </c>
      <c r="I25">
        <f>電力量!I26-電力量!I25</f>
        <v>241</v>
      </c>
      <c r="J25">
        <f>電力量!J26-電力量!J25</f>
        <v>10</v>
      </c>
      <c r="K25">
        <f>電力量!K26-電力量!K25</f>
        <v>4.2999999999883585</v>
      </c>
      <c r="L25">
        <f>電力量!L26-電力量!L25</f>
        <v>24</v>
      </c>
      <c r="M25">
        <f>電力量!M26-電力量!M25</f>
        <v>45.099999999998545</v>
      </c>
      <c r="N25">
        <f>電力量!N26-電力量!N25</f>
        <v>55.600000000005821</v>
      </c>
      <c r="O25">
        <f>電力量!O26-電力量!O25</f>
        <v>22.30000000000291</v>
      </c>
      <c r="P25">
        <f>電力量!P26-電力量!P25</f>
        <v>0</v>
      </c>
      <c r="Q25">
        <f>電力量!Q26-電力量!Q25</f>
        <v>0</v>
      </c>
      <c r="R25">
        <f>電力量!R26-電力量!R25</f>
        <v>0</v>
      </c>
    </row>
    <row r="26" spans="1:18">
      <c r="A26" s="4">
        <v>45873</v>
      </c>
      <c r="B26">
        <f>電力量!B27-電力量!B26</f>
        <v>750</v>
      </c>
      <c r="C26">
        <f>電力量!C27-電力量!C26</f>
        <v>199</v>
      </c>
      <c r="D26">
        <f>電力量!D27-電力量!D26</f>
        <v>19</v>
      </c>
      <c r="E26">
        <f>電力量!E27-電力量!E26</f>
        <v>0</v>
      </c>
      <c r="F26">
        <f>電力量!F27-電力量!F26</f>
        <v>17</v>
      </c>
      <c r="G26">
        <f>電力量!G27-電力量!G26</f>
        <v>58.19999999999709</v>
      </c>
      <c r="H26">
        <f>電力量!H27-電力量!H26</f>
        <v>11</v>
      </c>
      <c r="I26">
        <f>電力量!I27-電力量!I26</f>
        <v>236</v>
      </c>
      <c r="J26">
        <f>電力量!J27-電力量!J26</f>
        <v>10.200000000004366</v>
      </c>
      <c r="K26">
        <f>電力量!K27-電力量!K26</f>
        <v>4.2000000000116415</v>
      </c>
      <c r="L26">
        <f>電力量!L27-電力量!L26</f>
        <v>23.5</v>
      </c>
      <c r="M26">
        <f>電力量!M27-電力量!M26</f>
        <v>45.799999999995634</v>
      </c>
      <c r="N26">
        <f>電力量!N27-電力量!N26</f>
        <v>55.399999999994179</v>
      </c>
      <c r="O26">
        <f>電力量!O27-電力量!O26</f>
        <v>20.69999999999709</v>
      </c>
      <c r="P26">
        <f>電力量!P27-電力量!P26</f>
        <v>0</v>
      </c>
      <c r="Q26">
        <f>電力量!Q27-電力量!Q26</f>
        <v>0</v>
      </c>
      <c r="R26">
        <f>電力量!R27-電力量!R26</f>
        <v>0</v>
      </c>
    </row>
    <row r="27" spans="1:18">
      <c r="A27" s="4">
        <f t="shared" ref="A27:A75" si="23">A26+(1/24)</f>
        <v>45873.041666666664</v>
      </c>
      <c r="B27">
        <f>電力量!B28-電力量!B27</f>
        <v>742</v>
      </c>
      <c r="C27">
        <f>電力量!C28-電力量!C27</f>
        <v>194</v>
      </c>
      <c r="D27">
        <f>電力量!D28-電力量!D27</f>
        <v>17.099999999998545</v>
      </c>
      <c r="E27">
        <f>電力量!E28-電力量!E27</f>
        <v>0</v>
      </c>
      <c r="F27">
        <f>電力量!F28-電力量!F27</f>
        <v>16</v>
      </c>
      <c r="G27">
        <f>電力量!G28-電力量!G27</f>
        <v>57.600000000002183</v>
      </c>
      <c r="H27">
        <f>電力量!H28-電力量!H27</f>
        <v>11</v>
      </c>
      <c r="I27">
        <f>電力量!I28-電力量!I27</f>
        <v>230</v>
      </c>
      <c r="J27">
        <f>電力量!J28-電力量!J27</f>
        <v>9.6999999999970896</v>
      </c>
      <c r="K27">
        <f>電力量!K28-電力量!K27</f>
        <v>4.1999999999970896</v>
      </c>
      <c r="L27">
        <f>電力量!L28-電力量!L27</f>
        <v>23.799999999988358</v>
      </c>
      <c r="M27">
        <f>電力量!M28-電力量!M27</f>
        <v>46.700000000004366</v>
      </c>
      <c r="N27">
        <f>電力量!N28-電力量!N27</f>
        <v>55.400000000001455</v>
      </c>
      <c r="O27">
        <f>電力量!O28-電力量!O27</f>
        <v>23.899999999994179</v>
      </c>
      <c r="P27">
        <f>電力量!P28-電力量!P27</f>
        <v>0</v>
      </c>
      <c r="Q27">
        <f>電力量!Q28-電力量!Q27</f>
        <v>0</v>
      </c>
      <c r="R27">
        <f>電力量!R28-電力量!R27</f>
        <v>0</v>
      </c>
    </row>
    <row r="28" spans="1:18">
      <c r="A28" s="4">
        <f t="shared" ref="A28:A76" si="24">A26+(2/24)</f>
        <v>45873.083333333336</v>
      </c>
      <c r="B28">
        <f>電力量!B29-電力量!B28</f>
        <v>721</v>
      </c>
      <c r="C28">
        <f>電力量!C29-電力量!C28</f>
        <v>189</v>
      </c>
      <c r="D28">
        <f>電力量!D29-電力量!D28</f>
        <v>15.100000000002183</v>
      </c>
      <c r="E28">
        <f>電力量!E29-電力量!E28</f>
        <v>0</v>
      </c>
      <c r="F28">
        <f>電力量!F29-電力量!F28</f>
        <v>15</v>
      </c>
      <c r="G28">
        <f>電力量!G29-電力量!G28</f>
        <v>56.5</v>
      </c>
      <c r="H28">
        <f>電力量!H29-電力量!H28</f>
        <v>11</v>
      </c>
      <c r="I28">
        <f>電力量!I29-電力量!I28</f>
        <v>221</v>
      </c>
      <c r="J28">
        <f>電力量!J29-電力量!J28</f>
        <v>9.8000000000029104</v>
      </c>
      <c r="K28">
        <f>電力量!K29-電力量!K28</f>
        <v>4.1999999999970896</v>
      </c>
      <c r="L28">
        <f>電力量!L29-電力量!L28</f>
        <v>24.600000000005821</v>
      </c>
      <c r="M28">
        <f>電力量!M29-電力量!M28</f>
        <v>45.099999999998545</v>
      </c>
      <c r="N28">
        <f>電力量!N29-電力量!N28</f>
        <v>55.099999999998545</v>
      </c>
      <c r="O28">
        <f>電力量!O29-電力量!O28</f>
        <v>22.5</v>
      </c>
      <c r="P28">
        <f>電力量!P29-電力量!P28</f>
        <v>0</v>
      </c>
      <c r="Q28">
        <f>電力量!Q29-電力量!Q28</f>
        <v>0</v>
      </c>
      <c r="R28">
        <f>電力量!R29-電力量!R28</f>
        <v>0</v>
      </c>
    </row>
    <row r="29" spans="1:18">
      <c r="A29" s="4">
        <f t="shared" ref="A29:A77" si="25">A26+(3/24)</f>
        <v>45873.125</v>
      </c>
      <c r="B29">
        <f>電力量!B30-電力量!B29</f>
        <v>721</v>
      </c>
      <c r="C29">
        <f>電力量!C30-電力量!C29</f>
        <v>191</v>
      </c>
      <c r="D29">
        <f>電力量!D30-電力量!D29</f>
        <v>14.099999999998545</v>
      </c>
      <c r="E29">
        <f>電力量!E30-電力量!E29</f>
        <v>0</v>
      </c>
      <c r="F29">
        <f>電力量!F30-電力量!F29</f>
        <v>16</v>
      </c>
      <c r="G29">
        <f>電力量!G30-電力量!G29</f>
        <v>56.399999999997817</v>
      </c>
      <c r="H29">
        <f>電力量!H30-電力量!H29</f>
        <v>12</v>
      </c>
      <c r="I29">
        <f>電力量!I30-電力量!I29</f>
        <v>219</v>
      </c>
      <c r="J29">
        <f>電力量!J30-電力量!J29</f>
        <v>10</v>
      </c>
      <c r="K29">
        <f>電力量!K30-電力量!K29</f>
        <v>4.1999999999970896</v>
      </c>
      <c r="L29">
        <f>電力量!L30-電力量!L29</f>
        <v>23.100000000005821</v>
      </c>
      <c r="M29">
        <f>電力量!M30-電力量!M29</f>
        <v>45.30000000000291</v>
      </c>
      <c r="N29">
        <f>電力量!N30-電力量!N29</f>
        <v>55.5</v>
      </c>
      <c r="O29">
        <f>電力量!O30-電力量!O29</f>
        <v>21.80000000000291</v>
      </c>
      <c r="P29">
        <f>電力量!P30-電力量!P29</f>
        <v>0</v>
      </c>
      <c r="Q29">
        <f>電力量!Q30-電力量!Q29</f>
        <v>0</v>
      </c>
      <c r="R29">
        <f>電力量!R30-電力量!R29</f>
        <v>0</v>
      </c>
    </row>
    <row r="30" spans="1:18">
      <c r="A30" s="4">
        <f t="shared" ref="A30:A78" si="26">A26+(4/24)</f>
        <v>45873.166666666664</v>
      </c>
      <c r="B30">
        <f>電力量!B31-電力量!B30</f>
        <v>725</v>
      </c>
      <c r="C30">
        <f>電力量!C31-電力量!C30</f>
        <v>191</v>
      </c>
      <c r="D30">
        <f>電力量!D31-電力量!D30</f>
        <v>14.200000000000728</v>
      </c>
      <c r="E30">
        <f>電力量!E31-電力量!E30</f>
        <v>0</v>
      </c>
      <c r="F30">
        <f>電力量!F31-電力量!F30</f>
        <v>16</v>
      </c>
      <c r="G30">
        <f>電力量!G31-電力量!G30</f>
        <v>57.200000000000728</v>
      </c>
      <c r="H30">
        <f>電力量!H31-電力量!H30</f>
        <v>12</v>
      </c>
      <c r="I30">
        <f>電力量!I31-電力量!I30</f>
        <v>223</v>
      </c>
      <c r="J30">
        <f>電力量!J31-電力量!J30</f>
        <v>9.6999999999970896</v>
      </c>
      <c r="K30">
        <f>電力量!K31-電力量!K30</f>
        <v>4.1000000000058208</v>
      </c>
      <c r="L30">
        <f>電力量!L31-電力量!L30</f>
        <v>20.19999999999709</v>
      </c>
      <c r="M30">
        <f>電力量!M31-電力量!M30</f>
        <v>46.19999999999709</v>
      </c>
      <c r="N30">
        <f>電力量!N31-電力量!N30</f>
        <v>57.30000000000291</v>
      </c>
      <c r="O30">
        <f>電力量!O31-電力量!O30</f>
        <v>23.30000000000291</v>
      </c>
      <c r="P30">
        <f>電力量!P31-電力量!P30</f>
        <v>0</v>
      </c>
      <c r="Q30">
        <f>電力量!Q31-電力量!Q30</f>
        <v>0</v>
      </c>
      <c r="R30">
        <f>電力量!R31-電力量!R30</f>
        <v>0</v>
      </c>
    </row>
    <row r="31" spans="1:18">
      <c r="A31" s="4">
        <f t="shared" ref="A31:A79" si="27">A26+(5/24)</f>
        <v>45873.208333333336</v>
      </c>
      <c r="B31">
        <f>電力量!B32-電力量!B31</f>
        <v>708</v>
      </c>
      <c r="C31">
        <f>電力量!C32-電力量!C31</f>
        <v>188</v>
      </c>
      <c r="D31">
        <f>電力量!D32-電力量!D31</f>
        <v>14</v>
      </c>
      <c r="E31">
        <f>電力量!E32-電力量!E31</f>
        <v>0</v>
      </c>
      <c r="F31">
        <f>電力量!F32-電力量!F31</f>
        <v>15</v>
      </c>
      <c r="G31">
        <f>電力量!G32-電力量!G31</f>
        <v>55.400000000001455</v>
      </c>
      <c r="H31">
        <f>電力量!H32-電力量!H31</f>
        <v>11</v>
      </c>
      <c r="I31">
        <f>電力量!I32-電力量!I31</f>
        <v>214</v>
      </c>
      <c r="J31">
        <f>電力量!J32-電力量!J31</f>
        <v>9.6999999999970896</v>
      </c>
      <c r="K31">
        <f>電力量!K32-電力量!K31</f>
        <v>4</v>
      </c>
      <c r="L31">
        <f>電力量!L32-電力量!L31</f>
        <v>19.30000000000291</v>
      </c>
      <c r="M31">
        <f>電力量!M32-電力量!M31</f>
        <v>46.5</v>
      </c>
      <c r="N31">
        <f>電力量!N32-電力量!N31</f>
        <v>54.5</v>
      </c>
      <c r="O31">
        <f>電力量!O32-電力量!O31</f>
        <v>24.5</v>
      </c>
      <c r="P31">
        <f>電力量!P32-電力量!P31</f>
        <v>0</v>
      </c>
      <c r="Q31">
        <f>電力量!Q32-電力量!Q31</f>
        <v>0</v>
      </c>
      <c r="R31">
        <f>電力量!R32-電力量!R31</f>
        <v>0</v>
      </c>
    </row>
    <row r="32" spans="1:18">
      <c r="A32" s="4">
        <f t="shared" ref="A32:A80" si="28">A26+(6/24)</f>
        <v>45873.25</v>
      </c>
      <c r="B32">
        <f>電力量!B33-電力量!B32</f>
        <v>733</v>
      </c>
      <c r="C32">
        <f>電力量!C33-電力量!C32</f>
        <v>187</v>
      </c>
      <c r="D32">
        <f>電力量!D33-電力量!D32</f>
        <v>13.899999999997817</v>
      </c>
      <c r="E32">
        <f>電力量!E33-電力量!E32</f>
        <v>0</v>
      </c>
      <c r="F32">
        <f>電力量!F33-電力量!F32</f>
        <v>16</v>
      </c>
      <c r="G32">
        <f>電力量!G33-電力量!G32</f>
        <v>54.799999999999272</v>
      </c>
      <c r="H32">
        <f>電力量!H33-電力量!H32</f>
        <v>12</v>
      </c>
      <c r="I32">
        <f>電力量!I33-電力量!I32</f>
        <v>221</v>
      </c>
      <c r="J32">
        <f>電力量!J33-電力量!J32</f>
        <v>10</v>
      </c>
      <c r="K32">
        <f>電力量!K33-電力量!K32</f>
        <v>2.8999999999941792</v>
      </c>
      <c r="L32">
        <f>電力量!L33-電力量!L32</f>
        <v>18.799999999988358</v>
      </c>
      <c r="M32">
        <f>電力量!M33-電力量!M32</f>
        <v>44.19999999999709</v>
      </c>
      <c r="N32">
        <f>電力量!N33-電力量!N32</f>
        <v>53.5</v>
      </c>
      <c r="O32">
        <f>電力量!O33-電力量!O32</f>
        <v>43.899999999994179</v>
      </c>
      <c r="P32">
        <f>電力量!P33-電力量!P32</f>
        <v>0</v>
      </c>
      <c r="Q32">
        <f>電力量!Q33-電力量!Q32</f>
        <v>1</v>
      </c>
      <c r="R32">
        <f>電力量!R33-電力量!R32</f>
        <v>0</v>
      </c>
    </row>
    <row r="33" spans="1:18">
      <c r="A33" s="4">
        <f t="shared" ref="A33:A81" si="29">A26+(7/24)</f>
        <v>45873.291666666664</v>
      </c>
      <c r="B33">
        <f>電力量!B34-電力量!B33</f>
        <v>789</v>
      </c>
      <c r="C33">
        <f>電力量!C34-電力量!C33</f>
        <v>197</v>
      </c>
      <c r="D33">
        <f>電力量!D34-電力量!D33</f>
        <v>16.100000000002183</v>
      </c>
      <c r="E33">
        <f>電力量!E34-電力量!E33</f>
        <v>0</v>
      </c>
      <c r="F33">
        <f>電力量!F34-電力量!F33</f>
        <v>17</v>
      </c>
      <c r="G33">
        <f>電力量!G34-電力量!G33</f>
        <v>52.200000000000728</v>
      </c>
      <c r="H33">
        <f>電力量!H34-電力量!H33</f>
        <v>11</v>
      </c>
      <c r="I33">
        <f>電力量!I34-電力量!I33</f>
        <v>250</v>
      </c>
      <c r="J33">
        <f>電力量!J34-電力量!J33</f>
        <v>9.9000000000014552</v>
      </c>
      <c r="K33">
        <f>電力量!K34-電力量!K33</f>
        <v>1.6999999999970896</v>
      </c>
      <c r="L33">
        <f>電力量!L34-電力量!L33</f>
        <v>20.200000000011642</v>
      </c>
      <c r="M33">
        <f>電力量!M34-電力量!M33</f>
        <v>44.600000000005821</v>
      </c>
      <c r="N33">
        <f>電力量!N34-電力量!N33</f>
        <v>51.5</v>
      </c>
      <c r="O33">
        <f>電力量!O34-電力量!O33</f>
        <v>56</v>
      </c>
      <c r="P33">
        <f>電力量!P34-電力量!P33</f>
        <v>2</v>
      </c>
      <c r="Q33">
        <f>電力量!Q34-電力量!Q33</f>
        <v>3</v>
      </c>
      <c r="R33">
        <f>電力量!R34-電力量!R33</f>
        <v>0</v>
      </c>
    </row>
    <row r="34" spans="1:18">
      <c r="A34" s="4">
        <f t="shared" ref="A34:A82" si="30">A26+(8/24)</f>
        <v>45873.333333333336</v>
      </c>
      <c r="B34">
        <f>電力量!B35-電力量!B34</f>
        <v>975</v>
      </c>
      <c r="C34">
        <f>電力量!C35-電力量!C34</f>
        <v>246</v>
      </c>
      <c r="D34">
        <f>電力量!D35-電力量!D34</f>
        <v>22.200000000000728</v>
      </c>
      <c r="E34">
        <f>電力量!E35-電力量!E34</f>
        <v>0</v>
      </c>
      <c r="F34">
        <f>電力量!F35-電力量!F34</f>
        <v>23</v>
      </c>
      <c r="G34">
        <f>電力量!G35-電力量!G34</f>
        <v>62.799999999999272</v>
      </c>
      <c r="H34">
        <f>電力量!H35-電力量!H34</f>
        <v>23</v>
      </c>
      <c r="I34">
        <f>電力量!I35-電力量!I34</f>
        <v>297</v>
      </c>
      <c r="J34">
        <f>電力量!J35-電力量!J34</f>
        <v>11</v>
      </c>
      <c r="K34">
        <f>電力量!K35-電力量!K34</f>
        <v>8</v>
      </c>
      <c r="L34">
        <f>電力量!L35-電力量!L34</f>
        <v>37.899999999994179</v>
      </c>
      <c r="M34">
        <f>電力量!M35-電力量!M34</f>
        <v>54.599999999998545</v>
      </c>
      <c r="N34">
        <f>電力量!N35-電力量!N34</f>
        <v>54.30000000000291</v>
      </c>
      <c r="O34">
        <f>電力量!O35-電力量!O34</f>
        <v>67.19999999999709</v>
      </c>
      <c r="P34">
        <f>電力量!P35-電力量!P34</f>
        <v>2</v>
      </c>
      <c r="Q34">
        <f>電力量!Q35-電力量!Q34</f>
        <v>3</v>
      </c>
      <c r="R34">
        <f>電力量!R35-電力量!R34</f>
        <v>0</v>
      </c>
    </row>
    <row r="35" spans="1:18">
      <c r="A35" s="4">
        <f t="shared" ref="A35:A83" si="31">A26+(9/24)</f>
        <v>45873.375</v>
      </c>
      <c r="B35">
        <f>電力量!B36-電力量!B35</f>
        <v>1268</v>
      </c>
      <c r="C35">
        <f>電力量!C36-電力量!C35</f>
        <v>341</v>
      </c>
      <c r="D35">
        <f>電力量!D36-電力量!D35</f>
        <v>28.899999999997817</v>
      </c>
      <c r="E35">
        <f>電力量!E36-電力量!E35</f>
        <v>0</v>
      </c>
      <c r="F35">
        <f>電力量!F36-電力量!F35</f>
        <v>32</v>
      </c>
      <c r="G35">
        <f>電力量!G36-電力量!G35</f>
        <v>78.799999999999272</v>
      </c>
      <c r="H35">
        <f>電力量!H36-電力量!H35</f>
        <v>65</v>
      </c>
      <c r="I35">
        <f>電力量!I36-電力量!I35</f>
        <v>376</v>
      </c>
      <c r="J35">
        <f>電力量!J36-電力量!J35</f>
        <v>13.200000000004366</v>
      </c>
      <c r="K35">
        <f>電力量!K36-電力量!K35</f>
        <v>13.30000000000291</v>
      </c>
      <c r="L35">
        <f>電力量!L36-電力量!L35</f>
        <v>43.19999999999709</v>
      </c>
      <c r="M35">
        <f>電力量!M36-電力量!M35</f>
        <v>53.299999999995634</v>
      </c>
      <c r="N35">
        <f>電力量!N36-電力量!N35</f>
        <v>56.5</v>
      </c>
      <c r="O35">
        <f>電力量!O36-電力量!O35</f>
        <v>81.5</v>
      </c>
      <c r="P35">
        <f>電力量!P36-電力量!P35</f>
        <v>2</v>
      </c>
      <c r="Q35">
        <f>電力量!Q36-電力量!Q35</f>
        <v>3</v>
      </c>
      <c r="R35">
        <f>電力量!R36-電力量!R35</f>
        <v>0</v>
      </c>
    </row>
    <row r="36" spans="1:18">
      <c r="A36" s="4">
        <f t="shared" ref="A36:A84" si="32">A26+(10/24)</f>
        <v>45873.416666666664</v>
      </c>
      <c r="B36">
        <f>電力量!B37-電力量!B36</f>
        <v>1444</v>
      </c>
      <c r="C36">
        <f>電力量!C37-電力量!C36</f>
        <v>384</v>
      </c>
      <c r="D36">
        <f>電力量!D37-電力量!D36</f>
        <v>42.5</v>
      </c>
      <c r="E36">
        <f>電力量!E37-電力量!E36</f>
        <v>0</v>
      </c>
      <c r="F36">
        <f>電力量!F37-電力量!F36</f>
        <v>60</v>
      </c>
      <c r="G36">
        <f>電力量!G37-電力量!G36</f>
        <v>88.200000000000728</v>
      </c>
      <c r="H36">
        <f>電力量!H37-電力量!H36</f>
        <v>63</v>
      </c>
      <c r="I36">
        <f>電力量!I37-電力量!I36</f>
        <v>417</v>
      </c>
      <c r="J36">
        <f>電力量!J37-電力量!J36</f>
        <v>10.5</v>
      </c>
      <c r="K36">
        <f>電力量!K37-電力量!K36</f>
        <v>15.900000000008731</v>
      </c>
      <c r="L36">
        <f>電力量!L37-電力量!L36</f>
        <v>68.80000000000291</v>
      </c>
      <c r="M36">
        <f>電力量!M37-電力量!M36</f>
        <v>63.600000000005821</v>
      </c>
      <c r="N36">
        <f>電力量!N37-電力量!N36</f>
        <v>56.799999999995634</v>
      </c>
      <c r="O36">
        <f>電力量!O37-電力量!O36</f>
        <v>79.200000000011642</v>
      </c>
      <c r="P36">
        <f>電力量!P37-電力量!P36</f>
        <v>2</v>
      </c>
      <c r="Q36">
        <f>電力量!Q37-電力量!Q36</f>
        <v>3</v>
      </c>
      <c r="R36">
        <f>電力量!R37-電力量!R36</f>
        <v>0</v>
      </c>
    </row>
    <row r="37" spans="1:18">
      <c r="A37" s="4">
        <f t="shared" ref="A37:A85" si="33">A26+(11/24)</f>
        <v>45873.458333333336</v>
      </c>
      <c r="B37">
        <f>電力量!B38-電力量!B37</f>
        <v>1482</v>
      </c>
      <c r="C37">
        <f>電力量!C38-電力量!C37</f>
        <v>386</v>
      </c>
      <c r="D37">
        <f>電力量!D38-電力量!D37</f>
        <v>48.600000000002183</v>
      </c>
      <c r="E37">
        <f>電力量!E38-電力量!E37</f>
        <v>0</v>
      </c>
      <c r="F37">
        <f>電力量!F38-電力量!F37</f>
        <v>56</v>
      </c>
      <c r="G37">
        <f>電力量!G38-電力量!G37</f>
        <v>87.900000000001455</v>
      </c>
      <c r="H37">
        <f>電力量!H38-電力量!H37</f>
        <v>75</v>
      </c>
      <c r="I37">
        <f>電力量!I38-電力量!I37</f>
        <v>445</v>
      </c>
      <c r="J37">
        <f>電力量!J38-電力量!J37</f>
        <v>13</v>
      </c>
      <c r="K37">
        <f>電力量!K38-電力量!K37</f>
        <v>16.799999999988358</v>
      </c>
      <c r="L37">
        <f>電力量!L38-電力量!L37</f>
        <v>60.80000000000291</v>
      </c>
      <c r="M37">
        <f>電力量!M38-電力量!M37</f>
        <v>62.599999999998545</v>
      </c>
      <c r="N37">
        <f>電力量!N38-電力量!N37</f>
        <v>55.900000000001455</v>
      </c>
      <c r="O37">
        <f>電力量!O38-電力量!O37</f>
        <v>82.599999999991269</v>
      </c>
      <c r="P37">
        <f>電力量!P38-電力量!P37</f>
        <v>3</v>
      </c>
      <c r="Q37">
        <f>電力量!Q38-電力量!Q37</f>
        <v>6</v>
      </c>
      <c r="R37">
        <f>電力量!R38-電力量!R37</f>
        <v>0</v>
      </c>
    </row>
    <row r="38" spans="1:18">
      <c r="A38" s="4">
        <f t="shared" ref="A38:A86" si="34">A26+(12/24)</f>
        <v>45873.5</v>
      </c>
      <c r="B38">
        <f>電力量!B39-電力量!B38</f>
        <v>1488</v>
      </c>
      <c r="C38">
        <f>電力量!C39-電力量!C38</f>
        <v>365</v>
      </c>
      <c r="D38">
        <f>電力量!D39-電力量!D38</f>
        <v>42.299999999999272</v>
      </c>
      <c r="E38">
        <f>電力量!E39-電力量!E38</f>
        <v>0</v>
      </c>
      <c r="F38">
        <f>電力量!F39-電力量!F38</f>
        <v>52</v>
      </c>
      <c r="G38">
        <f>電力量!G39-電力量!G38</f>
        <v>93.599999999998545</v>
      </c>
      <c r="H38">
        <f>電力量!H39-電力量!H38</f>
        <v>77</v>
      </c>
      <c r="I38">
        <f>電力量!I39-電力量!I38</f>
        <v>468</v>
      </c>
      <c r="J38">
        <f>電力量!J39-電力量!J38</f>
        <v>11</v>
      </c>
      <c r="K38">
        <f>電力量!K39-電力量!K38</f>
        <v>18.5</v>
      </c>
      <c r="L38">
        <f>電力量!L39-電力量!L38</f>
        <v>72</v>
      </c>
      <c r="M38">
        <f>電力量!M39-電力量!M38</f>
        <v>58.599999999998545</v>
      </c>
      <c r="N38">
        <f>電力量!N39-電力量!N38</f>
        <v>55.69999999999709</v>
      </c>
      <c r="O38">
        <f>電力量!O39-電力量!O38</f>
        <v>85.600000000005821</v>
      </c>
      <c r="P38">
        <f>電力量!P39-電力量!P38</f>
        <v>3</v>
      </c>
      <c r="Q38">
        <f>電力量!Q39-電力量!Q38</f>
        <v>4</v>
      </c>
      <c r="R38">
        <f>電力量!R39-電力量!R38</f>
        <v>0</v>
      </c>
    </row>
    <row r="39" spans="1:18">
      <c r="A39" s="4">
        <f t="shared" ref="A39:A87" si="35">A26+(13/24)</f>
        <v>45873.541666666664</v>
      </c>
      <c r="B39">
        <f>電力量!B40-電力量!B39</f>
        <v>1500</v>
      </c>
      <c r="C39">
        <f>電力量!C40-電力量!C39</f>
        <v>383</v>
      </c>
      <c r="D39">
        <f>電力量!D40-電力量!D39</f>
        <v>38.5</v>
      </c>
      <c r="E39">
        <f>電力量!E40-電力量!E39</f>
        <v>0</v>
      </c>
      <c r="F39">
        <f>電力量!F40-電力量!F39</f>
        <v>48</v>
      </c>
      <c r="G39">
        <f>電力量!G40-電力量!G39</f>
        <v>91.599999999998545</v>
      </c>
      <c r="H39">
        <f>電力量!H40-電力量!H39</f>
        <v>91</v>
      </c>
      <c r="I39">
        <f>電力量!I40-電力量!I39</f>
        <v>465</v>
      </c>
      <c r="J39">
        <f>電力量!J40-電力量!J39</f>
        <v>10.19999999999709</v>
      </c>
      <c r="K39">
        <f>電力量!K40-電力量!K39</f>
        <v>15.600000000005821</v>
      </c>
      <c r="L39">
        <f>電力量!L40-電力量!L39</f>
        <v>63.599999999991269</v>
      </c>
      <c r="M39">
        <f>電力量!M40-電力量!M39</f>
        <v>60.599999999998545</v>
      </c>
      <c r="N39">
        <f>電力量!N40-電力量!N39</f>
        <v>54.900000000001455</v>
      </c>
      <c r="O39">
        <f>電力量!O40-電力量!O39</f>
        <v>84.80000000000291</v>
      </c>
      <c r="P39">
        <f>電力量!P40-電力量!P39</f>
        <v>4</v>
      </c>
      <c r="Q39">
        <f>電力量!Q40-電力量!Q39</f>
        <v>7</v>
      </c>
      <c r="R39">
        <f>電力量!R40-電力量!R39</f>
        <v>0</v>
      </c>
    </row>
    <row r="40" spans="1:18">
      <c r="A40" s="4">
        <f t="shared" ref="A40:A88" si="36">A26+(14/24)</f>
        <v>45873.583333333336</v>
      </c>
      <c r="B40">
        <f>電力量!B41-電力量!B40</f>
        <v>1529</v>
      </c>
      <c r="C40">
        <f>電力量!C41-電力量!C40</f>
        <v>408</v>
      </c>
      <c r="D40">
        <f>電力量!D41-電力量!D40</f>
        <v>37</v>
      </c>
      <c r="E40">
        <f>電力量!E41-電力量!E40</f>
        <v>0</v>
      </c>
      <c r="F40">
        <f>電力量!F41-電力量!F40</f>
        <v>46</v>
      </c>
      <c r="G40">
        <f>電力量!G41-電力量!G40</f>
        <v>98</v>
      </c>
      <c r="H40">
        <f>電力量!H41-電力量!H40</f>
        <v>74</v>
      </c>
      <c r="I40">
        <f>電力量!I41-電力量!I40</f>
        <v>476</v>
      </c>
      <c r="J40">
        <f>電力量!J41-電力量!J40</f>
        <v>10.30000000000291</v>
      </c>
      <c r="K40">
        <f>電力量!K41-電力量!K40</f>
        <v>15.30000000000291</v>
      </c>
      <c r="L40">
        <f>電力量!L41-電力量!L40</f>
        <v>63.600000000005821</v>
      </c>
      <c r="M40">
        <f>電力量!M41-電力量!M40</f>
        <v>72</v>
      </c>
      <c r="N40">
        <f>電力量!N41-電力量!N40</f>
        <v>53.400000000001455</v>
      </c>
      <c r="O40">
        <f>電力量!O41-電力量!O40</f>
        <v>78.69999999999709</v>
      </c>
      <c r="P40">
        <f>電力量!P41-電力量!P40</f>
        <v>6</v>
      </c>
      <c r="Q40">
        <f>電力量!Q41-電力量!Q40</f>
        <v>9</v>
      </c>
      <c r="R40">
        <f>電力量!R41-電力量!R40</f>
        <v>0</v>
      </c>
    </row>
    <row r="41" spans="1:18">
      <c r="A41" s="4">
        <f t="shared" ref="A41:A89" si="37">A26+(15/24)</f>
        <v>45873.625</v>
      </c>
      <c r="B41">
        <f>電力量!B42-電力量!B41</f>
        <v>1545</v>
      </c>
      <c r="C41">
        <f>電力量!C42-電力量!C41</f>
        <v>420</v>
      </c>
      <c r="D41">
        <f>電力量!D42-電力量!D41</f>
        <v>37.5</v>
      </c>
      <c r="E41">
        <f>電力量!E42-電力量!E41</f>
        <v>0</v>
      </c>
      <c r="F41">
        <f>電力量!F42-電力量!F41</f>
        <v>52</v>
      </c>
      <c r="G41">
        <f>電力量!G42-電力量!G41</f>
        <v>112.5</v>
      </c>
      <c r="H41">
        <f>電力量!H42-電力量!H41</f>
        <v>87</v>
      </c>
      <c r="I41">
        <f>電力量!I42-電力量!I41</f>
        <v>461</v>
      </c>
      <c r="J41">
        <f>電力量!J42-電力量!J41</f>
        <v>12.799999999995634</v>
      </c>
      <c r="K41">
        <f>電力量!K42-電力量!K41</f>
        <v>19.69999999999709</v>
      </c>
      <c r="L41">
        <f>電力量!L42-電力量!L41</f>
        <v>64.600000000005821</v>
      </c>
      <c r="M41">
        <f>電力量!M42-電力量!M41</f>
        <v>63.400000000001455</v>
      </c>
      <c r="N41">
        <f>電力量!N42-電力量!N41</f>
        <v>55.900000000001455</v>
      </c>
      <c r="O41">
        <f>電力量!O42-電力量!O41</f>
        <v>69.399999999994179</v>
      </c>
      <c r="P41">
        <f>電力量!P42-電力量!P41</f>
        <v>2</v>
      </c>
      <c r="Q41">
        <f>電力量!Q42-電力量!Q41</f>
        <v>3</v>
      </c>
      <c r="R41">
        <f>電力量!R42-電力量!R41</f>
        <v>0</v>
      </c>
    </row>
    <row r="42" spans="1:18">
      <c r="A42" s="4">
        <f t="shared" ref="A42:A90" si="38">A26+(16/24)</f>
        <v>45873.666666666664</v>
      </c>
      <c r="B42">
        <f>電力量!B43-電力量!B42</f>
        <v>1420</v>
      </c>
      <c r="C42">
        <f>電力量!C43-電力量!C42</f>
        <v>390</v>
      </c>
      <c r="D42">
        <f>電力量!D43-電力量!D42</f>
        <v>38.799999999999272</v>
      </c>
      <c r="E42">
        <f>電力量!E43-電力量!E42</f>
        <v>0</v>
      </c>
      <c r="F42">
        <f>電力量!F43-電力量!F42</f>
        <v>48</v>
      </c>
      <c r="G42">
        <f>電力量!G43-電力量!G42</f>
        <v>102.80000000000291</v>
      </c>
      <c r="H42">
        <f>電力量!H43-電力量!H42</f>
        <v>37</v>
      </c>
      <c r="I42">
        <f>電力量!I43-電力量!I42</f>
        <v>447</v>
      </c>
      <c r="J42">
        <f>電力量!J43-電力量!J42</f>
        <v>13.200000000004366</v>
      </c>
      <c r="K42">
        <f>電力量!K43-電力量!K42</f>
        <v>23.30000000000291</v>
      </c>
      <c r="L42">
        <f>電力量!L43-電力量!L42</f>
        <v>52.69999999999709</v>
      </c>
      <c r="M42">
        <f>電力量!M43-電力量!M42</f>
        <v>57.099999999998545</v>
      </c>
      <c r="N42">
        <f>電力量!N43-電力量!N42</f>
        <v>55.900000000001455</v>
      </c>
      <c r="O42">
        <f>電力量!O43-電力量!O42</f>
        <v>69.5</v>
      </c>
      <c r="P42">
        <f>電力量!P43-電力量!P42</f>
        <v>1</v>
      </c>
      <c r="Q42">
        <f>電力量!Q43-電力量!Q42</f>
        <v>2</v>
      </c>
      <c r="R42">
        <f>電力量!R43-電力量!R42</f>
        <v>0</v>
      </c>
    </row>
    <row r="43" spans="1:18">
      <c r="A43" s="4">
        <f t="shared" ref="A43:A91" si="39">A26+(17/24)</f>
        <v>45873.708333333336</v>
      </c>
      <c r="B43">
        <f>電力量!B44-電力量!B43</f>
        <v>1302</v>
      </c>
      <c r="C43">
        <f>電力量!C44-電力量!C43</f>
        <v>357</v>
      </c>
      <c r="D43">
        <f>電力量!D44-電力量!D43</f>
        <v>37.299999999999272</v>
      </c>
      <c r="E43">
        <f>電力量!E44-電力量!E43</f>
        <v>0</v>
      </c>
      <c r="F43">
        <f>電力量!F44-電力量!F43</f>
        <v>45</v>
      </c>
      <c r="G43">
        <f>電力量!G44-電力量!G43</f>
        <v>88.5</v>
      </c>
      <c r="H43">
        <f>電力量!H44-電力量!H43</f>
        <v>13</v>
      </c>
      <c r="I43">
        <f>電力量!I44-電力量!I43</f>
        <v>420</v>
      </c>
      <c r="J43">
        <f>電力量!J44-電力量!J43</f>
        <v>12.69999999999709</v>
      </c>
      <c r="K43">
        <f>電力量!K44-電力量!K43</f>
        <v>19.5</v>
      </c>
      <c r="L43">
        <f>電力量!L44-電力量!L43</f>
        <v>48.399999999994179</v>
      </c>
      <c r="M43">
        <f>電力量!M44-電力量!M43</f>
        <v>55.099999999998545</v>
      </c>
      <c r="N43">
        <f>電力量!N44-電力量!N43</f>
        <v>54.799999999995634</v>
      </c>
      <c r="O43">
        <f>電力量!O44-電力量!O43</f>
        <v>70.900000000008731</v>
      </c>
      <c r="P43">
        <f>電力量!P44-電力量!P43</f>
        <v>2</v>
      </c>
      <c r="Q43">
        <f>電力量!Q44-電力量!Q43</f>
        <v>3</v>
      </c>
      <c r="R43">
        <f>電力量!R44-電力量!R43</f>
        <v>0</v>
      </c>
    </row>
    <row r="44" spans="1:18">
      <c r="A44" s="4">
        <f t="shared" ref="A44:A92" si="40">A26+(18/24)</f>
        <v>45873.75</v>
      </c>
      <c r="B44">
        <f>電力量!B45-電力量!B44</f>
        <v>1160</v>
      </c>
      <c r="C44">
        <f>電力量!C45-電力量!C44</f>
        <v>288</v>
      </c>
      <c r="D44">
        <f>電力量!D45-電力量!D44</f>
        <v>33.200000000000728</v>
      </c>
      <c r="E44">
        <f>電力量!E45-電力量!E44</f>
        <v>0</v>
      </c>
      <c r="F44">
        <f>電力量!F45-電力量!F44</f>
        <v>36</v>
      </c>
      <c r="G44">
        <f>電力量!G45-電力量!G44</f>
        <v>78.399999999997817</v>
      </c>
      <c r="H44">
        <f>電力量!H45-電力量!H44</f>
        <v>13</v>
      </c>
      <c r="I44">
        <f>電力量!I45-電力量!I44</f>
        <v>394</v>
      </c>
      <c r="J44">
        <f>電力量!J45-電力量!J44</f>
        <v>12.80000000000291</v>
      </c>
      <c r="K44">
        <f>電力量!K45-電力量!K44</f>
        <v>17.899999999994179</v>
      </c>
      <c r="L44">
        <f>電力量!L45-電力量!L44</f>
        <v>41.80000000000291</v>
      </c>
      <c r="M44">
        <f>電力量!M45-電力量!M44</f>
        <v>47.200000000004366</v>
      </c>
      <c r="N44">
        <f>電力量!N45-電力量!N44</f>
        <v>55.200000000004366</v>
      </c>
      <c r="O44">
        <f>電力量!O45-電力量!O44</f>
        <v>72.299999999988358</v>
      </c>
      <c r="P44">
        <f>電力量!P45-電力量!P44</f>
        <v>0</v>
      </c>
      <c r="Q44">
        <f>電力量!Q45-電力量!Q44</f>
        <v>1</v>
      </c>
      <c r="R44">
        <f>電力量!R45-電力量!R44</f>
        <v>0</v>
      </c>
    </row>
    <row r="45" spans="1:18">
      <c r="A45" s="4">
        <f t="shared" ref="A45:A93" si="41">A26+(19/24)</f>
        <v>45873.791666666664</v>
      </c>
      <c r="B45">
        <f>電力量!B46-電力量!B45</f>
        <v>1071</v>
      </c>
      <c r="C45">
        <f>電力量!C46-電力量!C45</f>
        <v>270</v>
      </c>
      <c r="D45">
        <f>電力量!D46-電力量!D45</f>
        <v>25.5</v>
      </c>
      <c r="E45">
        <f>電力量!E46-電力量!E45</f>
        <v>0</v>
      </c>
      <c r="F45">
        <f>電力量!F46-電力量!F45</f>
        <v>31</v>
      </c>
      <c r="G45">
        <f>電力量!G46-電力量!G45</f>
        <v>76.100000000002183</v>
      </c>
      <c r="H45">
        <f>電力量!H46-電力量!H45</f>
        <v>12</v>
      </c>
      <c r="I45">
        <f>電力量!I46-電力量!I45</f>
        <v>361</v>
      </c>
      <c r="J45">
        <f>電力量!J46-電力量!J45</f>
        <v>12.5</v>
      </c>
      <c r="K45">
        <f>電力量!K46-電力量!K45</f>
        <v>17.30000000000291</v>
      </c>
      <c r="L45">
        <f>電力量!L46-電力量!L45</f>
        <v>38.69999999999709</v>
      </c>
      <c r="M45">
        <f>電力量!M46-電力量!M45</f>
        <v>46</v>
      </c>
      <c r="N45">
        <f>電力量!N46-電力量!N45</f>
        <v>54.5</v>
      </c>
      <c r="O45">
        <f>電力量!O46-電力量!O45</f>
        <v>65.400000000008731</v>
      </c>
      <c r="P45">
        <f>電力量!P46-電力量!P45</f>
        <v>0</v>
      </c>
      <c r="Q45">
        <f>電力量!Q46-電力量!Q45</f>
        <v>0</v>
      </c>
      <c r="R45">
        <f>電力量!R46-電力量!R45</f>
        <v>0</v>
      </c>
    </row>
    <row r="46" spans="1:18">
      <c r="A46" s="4">
        <f t="shared" ref="A46:A94" si="42">A26+(20/24)</f>
        <v>45873.833333333336</v>
      </c>
      <c r="B46">
        <f>電力量!B47-電力量!B46</f>
        <v>996</v>
      </c>
      <c r="C46">
        <f>電力量!C47-電力量!C46</f>
        <v>251</v>
      </c>
      <c r="D46">
        <f>電力量!D47-電力量!D46</f>
        <v>20.5</v>
      </c>
      <c r="E46">
        <f>電力量!E47-電力量!E46</f>
        <v>0</v>
      </c>
      <c r="F46">
        <f>電力量!F47-電力量!F46</f>
        <v>31</v>
      </c>
      <c r="G46">
        <f>電力量!G47-電力量!G46</f>
        <v>73.899999999997817</v>
      </c>
      <c r="H46">
        <f>電力量!H47-電力量!H46</f>
        <v>13</v>
      </c>
      <c r="I46">
        <f>電力量!I47-電力量!I46</f>
        <v>321</v>
      </c>
      <c r="J46">
        <f>電力量!J47-電力量!J46</f>
        <v>12</v>
      </c>
      <c r="K46">
        <f>電力量!K47-電力量!K46</f>
        <v>17.5</v>
      </c>
      <c r="L46">
        <f>電力量!L47-電力量!L46</f>
        <v>36.900000000008731</v>
      </c>
      <c r="M46">
        <f>電力量!M47-電力量!M46</f>
        <v>45.5</v>
      </c>
      <c r="N46">
        <f>電力量!N47-電力量!N46</f>
        <v>55.299999999995634</v>
      </c>
      <c r="O46">
        <f>電力量!O47-電力量!O46</f>
        <v>58.69999999999709</v>
      </c>
      <c r="P46">
        <f>電力量!P47-電力量!P46</f>
        <v>0</v>
      </c>
      <c r="Q46">
        <f>電力量!Q47-電力量!Q46</f>
        <v>0</v>
      </c>
      <c r="R46">
        <f>電力量!R47-電力量!R46</f>
        <v>0</v>
      </c>
    </row>
    <row r="47" spans="1:18">
      <c r="A47" s="4">
        <f t="shared" ref="A47:A95" si="43">A26+(21/24)</f>
        <v>45873.875</v>
      </c>
      <c r="B47">
        <f>電力量!B48-電力量!B47</f>
        <v>898</v>
      </c>
      <c r="C47">
        <f>電力量!C48-電力量!C47</f>
        <v>229</v>
      </c>
      <c r="D47">
        <f>電力量!D48-電力量!D47</f>
        <v>19.599999999998545</v>
      </c>
      <c r="E47">
        <f>電力量!E48-電力量!E47</f>
        <v>0</v>
      </c>
      <c r="F47">
        <f>電力量!F48-電力量!F47</f>
        <v>29</v>
      </c>
      <c r="G47">
        <f>電力量!G48-電力量!G47</f>
        <v>74.700000000000728</v>
      </c>
      <c r="H47">
        <f>電力量!H48-電力量!H47</f>
        <v>15</v>
      </c>
      <c r="I47">
        <f>電力量!I48-電力量!I47</f>
        <v>289</v>
      </c>
      <c r="J47">
        <f>電力量!J48-電力量!J47</f>
        <v>11.299999999995634</v>
      </c>
      <c r="K47">
        <f>電力量!K48-電力量!K47</f>
        <v>9.6000000000058208</v>
      </c>
      <c r="L47">
        <f>電力量!L48-電力量!L47</f>
        <v>32.099999999991269</v>
      </c>
      <c r="M47">
        <f>電力量!M48-電力量!M47</f>
        <v>47.599999999998545</v>
      </c>
      <c r="N47">
        <f>電力量!N48-電力量!N47</f>
        <v>55.700000000004366</v>
      </c>
      <c r="O47">
        <f>電力量!O48-電力量!O47</f>
        <v>28.100000000005821</v>
      </c>
      <c r="P47">
        <f>電力量!P48-電力量!P47</f>
        <v>0</v>
      </c>
      <c r="Q47">
        <f>電力量!Q48-電力量!Q47</f>
        <v>0</v>
      </c>
      <c r="R47">
        <f>電力量!R48-電力量!R47</f>
        <v>0</v>
      </c>
    </row>
    <row r="48" spans="1:18">
      <c r="A48" s="4">
        <f t="shared" ref="A48:A96" si="44">A26+(22/24)</f>
        <v>45873.916666666664</v>
      </c>
      <c r="B48">
        <f>電力量!B49-電力量!B48</f>
        <v>853</v>
      </c>
      <c r="C48">
        <f>電力量!C49-電力量!C48</f>
        <v>229</v>
      </c>
      <c r="D48">
        <f>電力量!D49-電力量!D48</f>
        <v>19.200000000000728</v>
      </c>
      <c r="E48">
        <f>電力量!E49-電力量!E48</f>
        <v>0</v>
      </c>
      <c r="F48">
        <f>電力量!F49-電力量!F48</f>
        <v>25</v>
      </c>
      <c r="G48">
        <f>電力量!G49-電力量!G48</f>
        <v>73.200000000000728</v>
      </c>
      <c r="H48">
        <f>電力量!H49-電力量!H48</f>
        <v>16</v>
      </c>
      <c r="I48">
        <f>電力量!I49-電力量!I48</f>
        <v>266</v>
      </c>
      <c r="J48">
        <f>電力量!J49-電力量!J48</f>
        <v>10.80000000000291</v>
      </c>
      <c r="K48">
        <f>電力量!K49-電力量!K48</f>
        <v>3.7999999999883585</v>
      </c>
      <c r="L48">
        <f>電力量!L49-電力量!L48</f>
        <v>29.30000000000291</v>
      </c>
      <c r="M48">
        <f>電力量!M49-電力量!M48</f>
        <v>48.30000000000291</v>
      </c>
      <c r="N48">
        <f>電力量!N49-電力量!N48</f>
        <v>55.099999999998545</v>
      </c>
      <c r="O48">
        <f>電力量!O49-電力量!O48</f>
        <v>21.299999999988358</v>
      </c>
      <c r="P48">
        <f>電力量!P49-電力量!P48</f>
        <v>0</v>
      </c>
      <c r="Q48">
        <f>電力量!Q49-電力量!Q48</f>
        <v>0</v>
      </c>
      <c r="R48">
        <f>電力量!R49-電力量!R48</f>
        <v>0</v>
      </c>
    </row>
    <row r="49" spans="1:18">
      <c r="A49" s="4">
        <f t="shared" ref="A49:A97" si="45">A26+(23/24)</f>
        <v>45873.958333333336</v>
      </c>
      <c r="B49">
        <f>電力量!B50-電力量!B49</f>
        <v>818</v>
      </c>
      <c r="C49">
        <f>電力量!C50-電力量!C49</f>
        <v>212</v>
      </c>
      <c r="D49">
        <f>電力量!D50-電力量!D49</f>
        <v>17</v>
      </c>
      <c r="E49">
        <f>電力量!E50-電力量!E49</f>
        <v>0</v>
      </c>
      <c r="F49">
        <f>電力量!F50-電力量!F49</f>
        <v>26</v>
      </c>
      <c r="G49">
        <f>電力量!G50-電力量!G49</f>
        <v>68</v>
      </c>
      <c r="H49">
        <f>電力量!H50-電力量!H49</f>
        <v>11</v>
      </c>
      <c r="I49">
        <f>電力量!I50-電力量!I49</f>
        <v>266</v>
      </c>
      <c r="J49">
        <f>電力量!J50-電力量!J49</f>
        <v>10.5</v>
      </c>
      <c r="K49">
        <f>電力量!K50-電力量!K49</f>
        <v>3.3000000000029104</v>
      </c>
      <c r="L49">
        <f>電力量!L50-電力量!L49</f>
        <v>29.100000000005821</v>
      </c>
      <c r="M49">
        <f>電力量!M50-電力量!M49</f>
        <v>45.599999999998545</v>
      </c>
      <c r="N49">
        <f>電力量!N50-電力量!N49</f>
        <v>54.5</v>
      </c>
      <c r="O49">
        <f>電力量!O50-電力量!O49</f>
        <v>20.30000000000291</v>
      </c>
      <c r="P49">
        <f>電力量!P50-電力量!P49</f>
        <v>0</v>
      </c>
      <c r="Q49">
        <f>電力量!Q50-電力量!Q49</f>
        <v>0</v>
      </c>
      <c r="R49">
        <f>電力量!R50-電力量!R49</f>
        <v>0</v>
      </c>
    </row>
    <row r="50" spans="1:18">
      <c r="A50" s="4">
        <v>45874</v>
      </c>
      <c r="B50">
        <f>電力量!B51-電力量!B50</f>
        <v>794</v>
      </c>
      <c r="C50">
        <f>電力量!C51-電力量!C50</f>
        <v>206</v>
      </c>
      <c r="D50">
        <f>電力量!D51-電力量!D50</f>
        <v>15.5</v>
      </c>
      <c r="E50">
        <f>電力量!E51-電力量!E50</f>
        <v>0</v>
      </c>
      <c r="F50">
        <f>電力量!F51-電力量!F50</f>
        <v>24</v>
      </c>
      <c r="G50">
        <f>電力量!G51-電力量!G50</f>
        <v>64.5</v>
      </c>
      <c r="H50">
        <f>電力量!H51-電力量!H50</f>
        <v>13</v>
      </c>
      <c r="I50">
        <f>電力量!I51-電力量!I50</f>
        <v>258</v>
      </c>
      <c r="J50">
        <f>電力量!J51-電力量!J50</f>
        <v>10.5</v>
      </c>
      <c r="K50">
        <f>電力量!K51-電力量!K50</f>
        <v>3.4000000000087311</v>
      </c>
      <c r="L50">
        <f>電力量!L51-電力量!L50</f>
        <v>28.599999999991269</v>
      </c>
      <c r="M50">
        <f>電力量!M51-電力量!M50</f>
        <v>44.900000000001455</v>
      </c>
      <c r="N50">
        <f>電力量!N51-電力量!N50</f>
        <v>54.400000000001455</v>
      </c>
      <c r="O50">
        <f>電力量!O51-電力量!O50</f>
        <v>18.80000000000291</v>
      </c>
      <c r="P50">
        <f>電力量!P51-電力量!P50</f>
        <v>0</v>
      </c>
      <c r="Q50">
        <f>電力量!Q51-電力量!Q50</f>
        <v>0</v>
      </c>
      <c r="R50">
        <f>電力量!R51-電力量!R50</f>
        <v>0</v>
      </c>
    </row>
    <row r="51" spans="1:18">
      <c r="A51" s="4">
        <f t="shared" si="23"/>
        <v>45874.041666666664</v>
      </c>
      <c r="B51">
        <f>電力量!B52-電力量!B51</f>
        <v>772</v>
      </c>
      <c r="C51">
        <f>電力量!C52-電力量!C51</f>
        <v>200</v>
      </c>
      <c r="D51">
        <f>電力量!D52-電力量!D51</f>
        <v>14.200000000000728</v>
      </c>
      <c r="E51">
        <f>電力量!E52-電力量!E51</f>
        <v>0</v>
      </c>
      <c r="F51">
        <f>電力量!F52-電力量!F51</f>
        <v>23</v>
      </c>
      <c r="G51">
        <f>電力量!G52-電力量!G51</f>
        <v>62.200000000000728</v>
      </c>
      <c r="H51">
        <f>電力量!H52-電力量!H51</f>
        <v>11</v>
      </c>
      <c r="I51">
        <f>電力量!I52-電力量!I51</f>
        <v>243</v>
      </c>
      <c r="J51">
        <f>電力量!J52-電力量!J51</f>
        <v>10.599999999998545</v>
      </c>
      <c r="K51">
        <f>電力量!K52-電力量!K51</f>
        <v>3.3999999999941792</v>
      </c>
      <c r="L51">
        <f>電力量!L52-電力量!L51</f>
        <v>29.100000000005821</v>
      </c>
      <c r="M51">
        <f>電力量!M52-電力量!M51</f>
        <v>47.5</v>
      </c>
      <c r="N51">
        <f>電力量!N52-電力量!N51</f>
        <v>53.799999999995634</v>
      </c>
      <c r="O51">
        <f>電力量!O52-電力量!O51</f>
        <v>20.69999999999709</v>
      </c>
      <c r="P51">
        <f>電力量!P52-電力量!P51</f>
        <v>0</v>
      </c>
      <c r="Q51">
        <f>電力量!Q52-電力量!Q51</f>
        <v>0</v>
      </c>
      <c r="R51">
        <f>電力量!R52-電力量!R51</f>
        <v>0</v>
      </c>
    </row>
    <row r="52" spans="1:18">
      <c r="A52" s="4">
        <f t="shared" si="24"/>
        <v>45874.083333333336</v>
      </c>
      <c r="B52">
        <f>電力量!B53-電力量!B52</f>
        <v>753</v>
      </c>
      <c r="C52">
        <f>電力量!C53-電力量!C52</f>
        <v>195</v>
      </c>
      <c r="D52">
        <f>電力量!D53-電力量!D52</f>
        <v>13.599999999998545</v>
      </c>
      <c r="E52">
        <f>電力量!E53-電力量!E52</f>
        <v>0</v>
      </c>
      <c r="F52">
        <f>電力量!F53-電力量!F52</f>
        <v>21</v>
      </c>
      <c r="G52">
        <f>電力量!G53-電力量!G52</f>
        <v>57.899999999997817</v>
      </c>
      <c r="H52">
        <f>電力量!H53-電力量!H52</f>
        <v>11</v>
      </c>
      <c r="I52">
        <f>電力量!I53-電力量!I52</f>
        <v>241</v>
      </c>
      <c r="J52">
        <f>電力量!J53-電力量!J52</f>
        <v>10.400000000001455</v>
      </c>
      <c r="K52">
        <f>電力量!K53-電力量!K52</f>
        <v>3.3999999999941792</v>
      </c>
      <c r="L52">
        <f>電力量!L53-電力量!L52</f>
        <v>27.099999999991269</v>
      </c>
      <c r="M52">
        <f>電力量!M53-電力量!M52</f>
        <v>47.5</v>
      </c>
      <c r="N52">
        <f>電力量!N53-電力量!N52</f>
        <v>54.599999999998545</v>
      </c>
      <c r="O52">
        <f>電力量!O53-電力量!O52</f>
        <v>19.30000000000291</v>
      </c>
      <c r="P52">
        <f>電力量!P53-電力量!P52</f>
        <v>0</v>
      </c>
      <c r="Q52">
        <f>電力量!Q53-電力量!Q52</f>
        <v>0</v>
      </c>
      <c r="R52">
        <f>電力量!R53-電力量!R52</f>
        <v>0</v>
      </c>
    </row>
    <row r="53" spans="1:18">
      <c r="A53" s="4">
        <f t="shared" si="25"/>
        <v>45874.125</v>
      </c>
      <c r="B53">
        <f>電力量!B54-電力量!B53</f>
        <v>734</v>
      </c>
      <c r="C53">
        <f>電力量!C54-電力量!C53</f>
        <v>190</v>
      </c>
      <c r="D53">
        <f>電力量!D54-電力量!D53</f>
        <v>12.900000000001455</v>
      </c>
      <c r="E53">
        <f>電力量!E54-電力量!E53</f>
        <v>0</v>
      </c>
      <c r="F53">
        <f>電力量!F54-電力量!F53</f>
        <v>22</v>
      </c>
      <c r="G53">
        <f>電力量!G54-電力量!G53</f>
        <v>58.100000000002183</v>
      </c>
      <c r="H53">
        <f>電力量!H54-電力量!H53</f>
        <v>11</v>
      </c>
      <c r="I53">
        <f>電力量!I54-電力量!I53</f>
        <v>229</v>
      </c>
      <c r="J53">
        <f>電力量!J54-電力量!J53</f>
        <v>10</v>
      </c>
      <c r="K53">
        <f>電力量!K54-電力量!K53</f>
        <v>3.8000000000029104</v>
      </c>
      <c r="L53">
        <f>電力量!L54-電力量!L53</f>
        <v>25.100000000005821</v>
      </c>
      <c r="M53">
        <f>電力量!M54-電力量!M53</f>
        <v>47.099999999998545</v>
      </c>
      <c r="N53">
        <f>電力量!N54-電力量!N53</f>
        <v>54.600000000005821</v>
      </c>
      <c r="O53">
        <f>電力量!O54-電力量!O53</f>
        <v>19.100000000005821</v>
      </c>
      <c r="P53">
        <f>電力量!P54-電力量!P53</f>
        <v>0</v>
      </c>
      <c r="Q53">
        <f>電力量!Q54-電力量!Q53</f>
        <v>0</v>
      </c>
      <c r="R53">
        <f>電力量!R54-電力量!R53</f>
        <v>0</v>
      </c>
    </row>
    <row r="54" spans="1:18">
      <c r="A54" s="4">
        <f t="shared" si="26"/>
        <v>45874.166666666664</v>
      </c>
      <c r="B54" s="6">
        <f>1000000+電力量!B55-電力量!B54</f>
        <v>724</v>
      </c>
      <c r="C54">
        <f>電力量!C55-電力量!C54</f>
        <v>186</v>
      </c>
      <c r="D54">
        <f>電力量!D55-電力量!D54</f>
        <v>13.700000000000728</v>
      </c>
      <c r="E54">
        <f>電力量!E55-電力量!E54</f>
        <v>0</v>
      </c>
      <c r="F54">
        <f>電力量!F55-電力量!F54</f>
        <v>20</v>
      </c>
      <c r="G54">
        <f>電力量!G55-電力量!G54</f>
        <v>56.5</v>
      </c>
      <c r="H54">
        <f>電力量!H55-電力量!H54</f>
        <v>12</v>
      </c>
      <c r="I54">
        <f>電力量!I55-電力量!I54</f>
        <v>229</v>
      </c>
      <c r="J54">
        <f>電力量!J55-電力量!J54</f>
        <v>10.299999999995634</v>
      </c>
      <c r="K54">
        <f>電力量!K55-電力量!K54</f>
        <v>3.4000000000087311</v>
      </c>
      <c r="L54">
        <f>電力量!L55-電力量!L54</f>
        <v>22.899999999994179</v>
      </c>
      <c r="M54">
        <f>電力量!M55-電力量!M54</f>
        <v>45.599999999998545</v>
      </c>
      <c r="N54">
        <f>電力量!N55-電力量!N54</f>
        <v>56.799999999995634</v>
      </c>
      <c r="O54">
        <f>電力量!O55-電力量!O54</f>
        <v>19.799999999988358</v>
      </c>
      <c r="P54">
        <f>電力量!P55-電力量!P54</f>
        <v>0</v>
      </c>
      <c r="Q54">
        <f>電力量!Q55-電力量!Q54</f>
        <v>0</v>
      </c>
      <c r="R54">
        <f>電力量!R55-電力量!R54</f>
        <v>0</v>
      </c>
    </row>
    <row r="55" spans="1:18">
      <c r="A55" s="4">
        <f t="shared" si="27"/>
        <v>45874.208333333336</v>
      </c>
      <c r="B55">
        <f>電力量!B56-電力量!B55</f>
        <v>709</v>
      </c>
      <c r="C55">
        <f>電力量!C56-電力量!C55</f>
        <v>183</v>
      </c>
      <c r="D55">
        <f>電力量!D56-電力量!D55</f>
        <v>13.200000000000728</v>
      </c>
      <c r="E55">
        <f>電力量!E56-電力量!E55</f>
        <v>0</v>
      </c>
      <c r="F55">
        <f>電力量!F56-電力量!F55</f>
        <v>19</v>
      </c>
      <c r="G55">
        <f>電力量!G56-電力量!G55</f>
        <v>57.19999999999709</v>
      </c>
      <c r="H55">
        <f>電力量!H56-電力量!H55</f>
        <v>11</v>
      </c>
      <c r="I55">
        <f>電力量!I56-電力量!I55</f>
        <v>224</v>
      </c>
      <c r="J55">
        <f>電力量!J56-電力量!J55</f>
        <v>10</v>
      </c>
      <c r="K55">
        <f>電力量!K56-電力量!K55</f>
        <v>3.0999999999912689</v>
      </c>
      <c r="L55">
        <f>電力量!L56-電力量!L55</f>
        <v>19.200000000011642</v>
      </c>
      <c r="M55">
        <f>電力量!M56-電力量!M55</f>
        <v>44</v>
      </c>
      <c r="N55">
        <f>電力量!N56-電力量!N55</f>
        <v>54.200000000004366</v>
      </c>
      <c r="O55">
        <f>電力量!O56-電力量!O55</f>
        <v>21.200000000011642</v>
      </c>
      <c r="P55">
        <f>電力量!P56-電力量!P55</f>
        <v>0</v>
      </c>
      <c r="Q55">
        <f>電力量!Q56-電力量!Q55</f>
        <v>0</v>
      </c>
      <c r="R55">
        <f>電力量!R56-電力量!R55</f>
        <v>0</v>
      </c>
    </row>
    <row r="56" spans="1:18">
      <c r="A56" s="4">
        <f t="shared" si="28"/>
        <v>45874.25</v>
      </c>
      <c r="B56">
        <f>電力量!B57-電力量!B56</f>
        <v>730</v>
      </c>
      <c r="C56">
        <f>電力量!C57-電力量!C56</f>
        <v>189</v>
      </c>
      <c r="D56">
        <f>電力量!D57-電力量!D56</f>
        <v>13.69999999999709</v>
      </c>
      <c r="E56">
        <f>電力量!E57-電力量!E56</f>
        <v>0</v>
      </c>
      <c r="F56">
        <f>電力量!F57-電力量!F56</f>
        <v>22</v>
      </c>
      <c r="G56">
        <f>電力量!G57-電力量!G56</f>
        <v>57.5</v>
      </c>
      <c r="H56">
        <f>電力量!H57-電力量!H56</f>
        <v>11</v>
      </c>
      <c r="I56">
        <f>電力量!I57-電力量!I56</f>
        <v>235</v>
      </c>
      <c r="J56">
        <f>電力量!J57-電力量!J56</f>
        <v>10.80000000000291</v>
      </c>
      <c r="K56">
        <f>電力量!K57-電力量!K56</f>
        <v>2.6000000000058208</v>
      </c>
      <c r="L56">
        <f>電力量!L57-電力量!L56</f>
        <v>20.899999999994179</v>
      </c>
      <c r="M56">
        <f>電力量!M57-電力量!M56</f>
        <v>44.80000000000291</v>
      </c>
      <c r="N56">
        <f>電力量!N57-電力量!N56</f>
        <v>53.399999999994179</v>
      </c>
      <c r="O56">
        <f>電力量!O57-電力量!O56</f>
        <v>22</v>
      </c>
      <c r="P56">
        <f>電力量!P57-電力量!P56</f>
        <v>1</v>
      </c>
      <c r="Q56">
        <f>電力量!Q57-電力量!Q56</f>
        <v>0</v>
      </c>
      <c r="R56">
        <f>電力量!R57-電力量!R56</f>
        <v>0</v>
      </c>
    </row>
    <row r="57" spans="1:18">
      <c r="A57" s="4">
        <f t="shared" si="29"/>
        <v>45874.291666666664</v>
      </c>
      <c r="B57">
        <f>電力量!B58-電力量!B57</f>
        <v>799</v>
      </c>
      <c r="C57">
        <f>電力量!C58-電力量!C57</f>
        <v>213</v>
      </c>
      <c r="D57">
        <f>電力量!D58-電力量!D57</f>
        <v>13.400000000001455</v>
      </c>
      <c r="E57">
        <f>電力量!E58-電力量!E57</f>
        <v>0</v>
      </c>
      <c r="F57">
        <f>電力量!F58-電力量!F57</f>
        <v>24</v>
      </c>
      <c r="G57">
        <f>電力量!G58-電力量!G57</f>
        <v>58.5</v>
      </c>
      <c r="H57">
        <f>電力量!H58-電力量!H57</f>
        <v>12</v>
      </c>
      <c r="I57">
        <f>電力量!I58-電力量!I57</f>
        <v>264</v>
      </c>
      <c r="J57">
        <f>電力量!J58-電力量!J57</f>
        <v>11.099999999998545</v>
      </c>
      <c r="K57">
        <f>電力量!K58-電力量!K57</f>
        <v>1</v>
      </c>
      <c r="L57">
        <f>電力量!L58-電力量!L57</f>
        <v>22.19999999999709</v>
      </c>
      <c r="M57">
        <f>電力量!M58-電力量!M57</f>
        <v>46.799999999995634</v>
      </c>
      <c r="N57">
        <f>電力量!N58-電力量!N57</f>
        <v>51</v>
      </c>
      <c r="O57">
        <f>電力量!O58-電力量!O57</f>
        <v>27</v>
      </c>
      <c r="P57">
        <f>電力量!P58-電力量!P57</f>
        <v>1</v>
      </c>
      <c r="Q57">
        <f>電力量!Q58-電力量!Q57</f>
        <v>3</v>
      </c>
      <c r="R57">
        <f>電力量!R58-電力量!R57</f>
        <v>0</v>
      </c>
    </row>
    <row r="58" spans="1:18">
      <c r="A58" s="4">
        <f t="shared" si="30"/>
        <v>45874.333333333336</v>
      </c>
      <c r="B58">
        <f>電力量!B59-電力量!B58</f>
        <v>945</v>
      </c>
      <c r="C58">
        <f>電力量!C59-電力量!C58</f>
        <v>257</v>
      </c>
      <c r="D58">
        <f>電力量!D59-電力量!D58</f>
        <v>16.799999999999272</v>
      </c>
      <c r="E58">
        <f>電力量!E59-電力量!E58</f>
        <v>0</v>
      </c>
      <c r="F58">
        <f>電力量!F59-電力量!F58</f>
        <v>27</v>
      </c>
      <c r="G58">
        <f>電力量!G59-電力量!G58</f>
        <v>61</v>
      </c>
      <c r="H58">
        <f>電力量!H59-電力量!H58</f>
        <v>12</v>
      </c>
      <c r="I58">
        <f>電力量!I59-電力量!I58</f>
        <v>309</v>
      </c>
      <c r="J58">
        <f>電力量!J59-電力量!J58</f>
        <v>11.5</v>
      </c>
      <c r="K58">
        <f>電力量!K59-電力量!K58</f>
        <v>1.3999999999941792</v>
      </c>
      <c r="L58">
        <f>電力量!L59-電力量!L58</f>
        <v>29.80000000000291</v>
      </c>
      <c r="M58">
        <f>電力量!M59-電力量!M58</f>
        <v>52.5</v>
      </c>
      <c r="N58">
        <f>電力量!N59-電力量!N58</f>
        <v>52.200000000004366</v>
      </c>
      <c r="O58">
        <f>電力量!O59-電力量!O58</f>
        <v>41</v>
      </c>
      <c r="P58">
        <f>電力量!P59-電力量!P58</f>
        <v>4</v>
      </c>
      <c r="Q58">
        <f>電力量!Q59-電力量!Q58</f>
        <v>9</v>
      </c>
      <c r="R58">
        <f>電力量!R59-電力量!R58</f>
        <v>0</v>
      </c>
    </row>
    <row r="59" spans="1:18">
      <c r="A59" s="4">
        <f t="shared" si="31"/>
        <v>45874.375</v>
      </c>
      <c r="B59">
        <f>電力量!B60-電力量!B59</f>
        <v>1305</v>
      </c>
      <c r="C59">
        <f>電力量!C60-電力量!C59</f>
        <v>343</v>
      </c>
      <c r="D59">
        <f>電力量!D60-電力量!D59</f>
        <v>36.299999999999272</v>
      </c>
      <c r="E59">
        <f>電力量!E60-電力量!E59</f>
        <v>0</v>
      </c>
      <c r="F59">
        <f>電力量!F60-電力量!F59</f>
        <v>38</v>
      </c>
      <c r="G59">
        <f>電力量!G60-電力量!G59</f>
        <v>85.400000000001455</v>
      </c>
      <c r="H59">
        <f>電力量!H60-電力量!H59</f>
        <v>85</v>
      </c>
      <c r="I59">
        <f>電力量!I60-電力量!I59</f>
        <v>396</v>
      </c>
      <c r="J59">
        <f>電力量!J60-電力量!J59</f>
        <v>11.700000000004366</v>
      </c>
      <c r="K59">
        <f>電力量!K60-電力量!K59</f>
        <v>0.19999999999708962</v>
      </c>
      <c r="L59">
        <f>電力量!L60-電力量!L59</f>
        <v>36.19999999999709</v>
      </c>
      <c r="M59">
        <f>電力量!M60-電力量!M59</f>
        <v>59.599999999998545</v>
      </c>
      <c r="N59">
        <f>電力量!N60-電力量!N59</f>
        <v>54.299999999995634</v>
      </c>
      <c r="O59">
        <f>電力量!O60-電力量!O59</f>
        <v>56</v>
      </c>
      <c r="P59">
        <f>電力量!P60-電力量!P59</f>
        <v>9</v>
      </c>
      <c r="Q59">
        <f>電力量!Q60-電力量!Q59</f>
        <v>14</v>
      </c>
      <c r="R59">
        <f>電力量!R60-電力量!R59</f>
        <v>0</v>
      </c>
    </row>
    <row r="60" spans="1:18">
      <c r="A60" s="4">
        <f t="shared" si="32"/>
        <v>45874.416666666664</v>
      </c>
      <c r="B60">
        <f>電力量!B61-電力量!B60</f>
        <v>1514</v>
      </c>
      <c r="C60">
        <f>電力量!C61-電力量!C60</f>
        <v>398</v>
      </c>
      <c r="D60">
        <f>電力量!D61-電力量!D60</f>
        <v>41.5</v>
      </c>
      <c r="E60">
        <f>電力量!E61-電力量!E60</f>
        <v>0</v>
      </c>
      <c r="F60">
        <f>電力量!F61-電力量!F60</f>
        <v>66</v>
      </c>
      <c r="G60">
        <f>電力量!G61-電力量!G60</f>
        <v>110.20000000000073</v>
      </c>
      <c r="H60">
        <f>電力量!H61-電力量!H60</f>
        <v>84</v>
      </c>
      <c r="I60">
        <f>電力量!I61-電力量!I60</f>
        <v>454</v>
      </c>
      <c r="J60">
        <f>電力量!J61-電力量!J60</f>
        <v>12.299999999995634</v>
      </c>
      <c r="K60">
        <f>電力量!K61-電力量!K60</f>
        <v>1.2000000000116415</v>
      </c>
      <c r="L60">
        <f>電力量!L61-電力量!L60</f>
        <v>44.80000000000291</v>
      </c>
      <c r="M60">
        <f>電力量!M61-電力量!M60</f>
        <v>60.30000000000291</v>
      </c>
      <c r="N60">
        <f>電力量!N61-電力量!N60</f>
        <v>58.600000000005821</v>
      </c>
      <c r="O60">
        <f>電力量!O61-電力量!O60</f>
        <v>71.5</v>
      </c>
      <c r="P60">
        <f>電力量!P61-電力量!P60</f>
        <v>11</v>
      </c>
      <c r="Q60">
        <f>電力量!Q61-電力量!Q60</f>
        <v>17</v>
      </c>
      <c r="R60">
        <f>電力量!R61-電力量!R60</f>
        <v>0</v>
      </c>
    </row>
    <row r="61" spans="1:18">
      <c r="A61" s="4">
        <f t="shared" si="33"/>
        <v>45874.458333333336</v>
      </c>
      <c r="B61">
        <f>電力量!B62-電力量!B61</f>
        <v>1476</v>
      </c>
      <c r="C61">
        <f>電力量!C62-電力量!C61</f>
        <v>392</v>
      </c>
      <c r="D61">
        <f>電力量!D62-電力量!D61</f>
        <v>41.100000000002183</v>
      </c>
      <c r="E61">
        <f>電力量!E62-電力量!E61</f>
        <v>0</v>
      </c>
      <c r="F61">
        <f>電力量!F62-電力量!F61</f>
        <v>64</v>
      </c>
      <c r="G61">
        <f>電力量!G62-電力量!G61</f>
        <v>117.29999999999927</v>
      </c>
      <c r="H61">
        <f>電力量!H62-電力量!H61</f>
        <v>35</v>
      </c>
      <c r="I61">
        <f>電力量!I62-電力量!I61</f>
        <v>456</v>
      </c>
      <c r="J61">
        <f>電力量!J62-電力量!J61</f>
        <v>12.700000000004366</v>
      </c>
      <c r="K61">
        <f>電力量!K62-電力量!K61</f>
        <v>2.5</v>
      </c>
      <c r="L61">
        <f>電力量!L62-電力量!L61</f>
        <v>54.69999999999709</v>
      </c>
      <c r="M61">
        <f>電力量!M62-電力量!M61</f>
        <v>63.900000000001455</v>
      </c>
      <c r="N61">
        <f>電力量!N62-電力量!N61</f>
        <v>57.299999999995634</v>
      </c>
      <c r="O61">
        <f>電力量!O62-電力量!O61</f>
        <v>66</v>
      </c>
      <c r="P61">
        <f>電力量!P62-電力量!P61</f>
        <v>8</v>
      </c>
      <c r="Q61">
        <f>電力量!Q62-電力量!Q61</f>
        <v>12</v>
      </c>
      <c r="R61">
        <f>電力量!R62-電力量!R61</f>
        <v>0</v>
      </c>
    </row>
    <row r="62" spans="1:18">
      <c r="A62" s="4">
        <f t="shared" si="34"/>
        <v>45874.5</v>
      </c>
      <c r="B62">
        <f>電力量!B63-電力量!B62</f>
        <v>1477</v>
      </c>
      <c r="C62">
        <f>電力量!C63-電力量!C62</f>
        <v>389</v>
      </c>
      <c r="D62">
        <f>電力量!D63-電力量!D62</f>
        <v>48.399999999997817</v>
      </c>
      <c r="E62">
        <f>電力量!E63-電力量!E62</f>
        <v>0</v>
      </c>
      <c r="F62">
        <f>電力量!F63-電力量!F62</f>
        <v>65</v>
      </c>
      <c r="G62">
        <f>電力量!G63-電力量!G62</f>
        <v>108</v>
      </c>
      <c r="H62">
        <f>電力量!H63-電力量!H62</f>
        <v>12</v>
      </c>
      <c r="I62">
        <f>電力量!I63-電力量!I62</f>
        <v>477</v>
      </c>
      <c r="J62">
        <f>電力量!J63-電力量!J62</f>
        <v>13.399999999994179</v>
      </c>
      <c r="K62">
        <f>電力量!K63-電力量!K62</f>
        <v>1.6999999999970896</v>
      </c>
      <c r="L62">
        <f>電力量!L63-電力量!L62</f>
        <v>51.5</v>
      </c>
      <c r="M62">
        <f>電力量!M63-電力量!M62</f>
        <v>68.900000000001455</v>
      </c>
      <c r="N62">
        <f>電力量!N63-電力量!N62</f>
        <v>55.900000000001455</v>
      </c>
      <c r="O62">
        <f>電力量!O63-電力量!O62</f>
        <v>69.19999999999709</v>
      </c>
      <c r="P62">
        <f>電力量!P63-電力量!P62</f>
        <v>11</v>
      </c>
      <c r="Q62">
        <f>電力量!Q63-電力量!Q62</f>
        <v>18</v>
      </c>
      <c r="R62">
        <f>電力量!R63-電力量!R62</f>
        <v>0</v>
      </c>
    </row>
    <row r="63" spans="1:18">
      <c r="A63" s="4">
        <f t="shared" si="35"/>
        <v>45874.541666666664</v>
      </c>
      <c r="B63">
        <f>電力量!B64-電力量!B63</f>
        <v>1498</v>
      </c>
      <c r="C63">
        <f>電力量!C64-電力量!C63</f>
        <v>378</v>
      </c>
      <c r="D63">
        <f>電力量!D64-電力量!D63</f>
        <v>48.100000000002183</v>
      </c>
      <c r="E63">
        <f>電力量!E64-電力量!E63</f>
        <v>0</v>
      </c>
      <c r="F63">
        <f>電力量!F64-電力量!F63</f>
        <v>62</v>
      </c>
      <c r="G63">
        <f>電力量!G64-電力量!G63</f>
        <v>118.40000000000146</v>
      </c>
      <c r="H63">
        <f>電力量!H64-電力量!H63</f>
        <v>11</v>
      </c>
      <c r="I63">
        <f>電力量!I64-電力量!I63</f>
        <v>477</v>
      </c>
      <c r="J63">
        <f>電力量!J64-電力量!J63</f>
        <v>12.400000000001455</v>
      </c>
      <c r="K63">
        <f>電力量!K64-電力量!K63</f>
        <v>5.3000000000029104</v>
      </c>
      <c r="L63">
        <f>電力量!L64-電力量!L63</f>
        <v>59.80000000000291</v>
      </c>
      <c r="M63">
        <f>電力量!M64-電力量!M63</f>
        <v>68.299999999995634</v>
      </c>
      <c r="N63">
        <f>電力量!N64-電力量!N63</f>
        <v>56.099999999998545</v>
      </c>
      <c r="O63">
        <f>電力量!O64-電力量!O63</f>
        <v>80.099999999991269</v>
      </c>
      <c r="P63">
        <f>電力量!P64-電力量!P63</f>
        <v>7</v>
      </c>
      <c r="Q63">
        <f>電力量!Q64-電力量!Q63</f>
        <v>11</v>
      </c>
      <c r="R63">
        <f>電力量!R64-電力量!R63</f>
        <v>0</v>
      </c>
    </row>
    <row r="64" spans="1:18">
      <c r="A64" s="4">
        <f t="shared" si="36"/>
        <v>45874.583333333336</v>
      </c>
      <c r="B64">
        <f>電力量!B65-電力量!B64</f>
        <v>1509</v>
      </c>
      <c r="C64">
        <f>電力量!C65-電力量!C64</f>
        <v>390</v>
      </c>
      <c r="D64">
        <f>電力量!D65-電力量!D64</f>
        <v>46.5</v>
      </c>
      <c r="E64">
        <f>電力量!E65-電力量!E64</f>
        <v>0</v>
      </c>
      <c r="F64">
        <f>電力量!F65-電力量!F64</f>
        <v>60</v>
      </c>
      <c r="G64">
        <f>電力量!G65-電力量!G64</f>
        <v>128.39999999999782</v>
      </c>
      <c r="H64">
        <f>電力量!H65-電力量!H64</f>
        <v>15</v>
      </c>
      <c r="I64">
        <f>電力量!I65-電力量!I64</f>
        <v>484</v>
      </c>
      <c r="J64">
        <f>電力量!J65-電力量!J64</f>
        <v>14.400000000001455</v>
      </c>
      <c r="K64">
        <f>電力量!K65-電力量!K64</f>
        <v>10.19999999999709</v>
      </c>
      <c r="L64">
        <f>電力量!L65-電力量!L64</f>
        <v>59.19999999999709</v>
      </c>
      <c r="M64">
        <f>電力量!M65-電力量!M64</f>
        <v>66.400000000001455</v>
      </c>
      <c r="N64">
        <f>電力量!N65-電力量!N64</f>
        <v>59.099999999998545</v>
      </c>
      <c r="O64">
        <f>電力量!O65-電力量!O64</f>
        <v>60.100000000005821</v>
      </c>
      <c r="P64">
        <f>電力量!P65-電力量!P64</f>
        <v>4</v>
      </c>
      <c r="Q64">
        <f>電力量!Q65-電力量!Q64</f>
        <v>5</v>
      </c>
      <c r="R64">
        <f>電力量!R65-電力量!R64</f>
        <v>0</v>
      </c>
    </row>
    <row r="65" spans="1:18">
      <c r="A65" s="4">
        <f t="shared" si="37"/>
        <v>45874.625</v>
      </c>
      <c r="B65">
        <f>電力量!B66-電力量!B65</f>
        <v>1494</v>
      </c>
      <c r="C65">
        <f>電力量!C66-電力量!C65</f>
        <v>381</v>
      </c>
      <c r="D65">
        <f>電力量!D66-電力量!D65</f>
        <v>51.700000000000728</v>
      </c>
      <c r="E65">
        <f>電力量!E66-電力量!E65</f>
        <v>0</v>
      </c>
      <c r="F65">
        <f>電力量!F66-電力量!F65</f>
        <v>60</v>
      </c>
      <c r="G65">
        <f>電力量!G66-電力量!G65</f>
        <v>127.70000000000073</v>
      </c>
      <c r="H65">
        <f>電力量!H66-電力量!H65</f>
        <v>50</v>
      </c>
      <c r="I65">
        <f>電力量!I66-電力量!I65</f>
        <v>469</v>
      </c>
      <c r="J65">
        <f>電力量!J66-電力量!J65</f>
        <v>12.900000000001455</v>
      </c>
      <c r="K65">
        <f>電力量!K66-電力量!K65</f>
        <v>6.6999999999970896</v>
      </c>
      <c r="L65">
        <f>電力量!L66-電力量!L65</f>
        <v>58.600000000005821</v>
      </c>
      <c r="M65">
        <f>電力量!M66-電力量!M65</f>
        <v>70.900000000001455</v>
      </c>
      <c r="N65">
        <f>電力量!N66-電力量!N65</f>
        <v>58.600000000005821</v>
      </c>
      <c r="O65">
        <f>電力量!O66-電力量!O65</f>
        <v>33.80000000000291</v>
      </c>
      <c r="P65">
        <f>電力量!P66-電力量!P65</f>
        <v>4</v>
      </c>
      <c r="Q65">
        <f>電力量!Q66-電力量!Q65</f>
        <v>7</v>
      </c>
      <c r="R65">
        <f>電力量!R66-電力量!R65</f>
        <v>0</v>
      </c>
    </row>
    <row r="66" spans="1:18">
      <c r="A66" s="4">
        <f t="shared" si="38"/>
        <v>45874.666666666664</v>
      </c>
      <c r="B66">
        <f>電力量!B67-電力量!B66</f>
        <v>1458</v>
      </c>
      <c r="C66">
        <f>電力量!C67-電力量!C66</f>
        <v>373</v>
      </c>
      <c r="D66">
        <f>電力量!D67-電力量!D66</f>
        <v>51.19999999999709</v>
      </c>
      <c r="E66">
        <f>電力量!E67-電力量!E66</f>
        <v>0</v>
      </c>
      <c r="F66">
        <f>電力量!F67-電力量!F66</f>
        <v>59</v>
      </c>
      <c r="G66">
        <f>電力量!G67-電力量!G66</f>
        <v>117.79999999999927</v>
      </c>
      <c r="H66">
        <f>電力量!H67-電力量!H66</f>
        <v>36</v>
      </c>
      <c r="I66">
        <f>電力量!I67-電力量!I66</f>
        <v>460</v>
      </c>
      <c r="J66">
        <f>電力量!J67-電力量!J66</f>
        <v>12.299999999995634</v>
      </c>
      <c r="K66">
        <f>電力量!K67-電力量!K66</f>
        <v>4.5</v>
      </c>
      <c r="L66">
        <f>電力量!L67-電力量!L66</f>
        <v>74</v>
      </c>
      <c r="M66">
        <f>電力量!M67-電力量!M66</f>
        <v>68</v>
      </c>
      <c r="N66">
        <f>電力量!N67-電力量!N66</f>
        <v>58</v>
      </c>
      <c r="O66">
        <f>電力量!O67-電力量!O66</f>
        <v>33.899999999994179</v>
      </c>
      <c r="P66">
        <f>電力量!P67-電力量!P66</f>
        <v>6</v>
      </c>
      <c r="Q66">
        <f>電力量!Q67-電力量!Q66</f>
        <v>9</v>
      </c>
      <c r="R66">
        <f>電力量!R67-電力量!R66</f>
        <v>0</v>
      </c>
    </row>
    <row r="67" spans="1:18">
      <c r="A67" s="4">
        <f t="shared" si="39"/>
        <v>45874.708333333336</v>
      </c>
      <c r="B67">
        <f>電力量!B68-電力量!B67</f>
        <v>1215</v>
      </c>
      <c r="C67">
        <f>電力量!C68-電力量!C67</f>
        <v>316</v>
      </c>
      <c r="D67">
        <f>電力量!D68-電力量!D67</f>
        <v>36.200000000000728</v>
      </c>
      <c r="E67">
        <f>電力量!E68-電力量!E67</f>
        <v>0</v>
      </c>
      <c r="F67">
        <f>電力量!F68-電力量!F67</f>
        <v>44</v>
      </c>
      <c r="G67">
        <f>電力量!G68-電力量!G67</f>
        <v>100.40000000000146</v>
      </c>
      <c r="H67">
        <f>電力量!H68-電力量!H67</f>
        <v>13</v>
      </c>
      <c r="I67">
        <f>電力量!I68-電力量!I67</f>
        <v>405</v>
      </c>
      <c r="J67">
        <f>電力量!J68-電力量!J67</f>
        <v>11.100000000005821</v>
      </c>
      <c r="K67">
        <f>電力量!K68-電力量!K67</f>
        <v>4.1000000000058208</v>
      </c>
      <c r="L67">
        <f>電力量!L68-電力量!L67</f>
        <v>46.69999999999709</v>
      </c>
      <c r="M67">
        <f>電力量!M68-電力量!M67</f>
        <v>57.299999999995634</v>
      </c>
      <c r="N67">
        <f>電力量!N68-電力量!N67</f>
        <v>59.599999999998545</v>
      </c>
      <c r="O67">
        <f>電力量!O68-電力量!O67</f>
        <v>31.400000000008731</v>
      </c>
      <c r="P67">
        <f>電力量!P68-電力量!P67</f>
        <v>1</v>
      </c>
      <c r="Q67">
        <f>電力量!Q68-電力量!Q67</f>
        <v>1</v>
      </c>
      <c r="R67">
        <f>電力量!R68-電力量!R67</f>
        <v>0</v>
      </c>
    </row>
    <row r="68" spans="1:18">
      <c r="A68" s="4">
        <f t="shared" si="40"/>
        <v>45874.75</v>
      </c>
      <c r="B68">
        <f>電力量!B69-電力量!B68</f>
        <v>1064</v>
      </c>
      <c r="C68">
        <f>電力量!C69-電力量!C68</f>
        <v>274</v>
      </c>
      <c r="D68">
        <f>電力量!D69-電力量!D68</f>
        <v>27.700000000000728</v>
      </c>
      <c r="E68">
        <f>電力量!E69-電力量!E68</f>
        <v>0</v>
      </c>
      <c r="F68">
        <f>電力量!F69-電力量!F68</f>
        <v>35</v>
      </c>
      <c r="G68">
        <f>電力量!G69-電力量!G68</f>
        <v>83.299999999999272</v>
      </c>
      <c r="H68">
        <f>電力量!H69-電力量!H68</f>
        <v>12</v>
      </c>
      <c r="I68">
        <f>電力量!I69-電力量!I68</f>
        <v>373</v>
      </c>
      <c r="J68">
        <f>電力量!J69-電力量!J68</f>
        <v>12</v>
      </c>
      <c r="K68">
        <f>電力量!K69-電力量!K68</f>
        <v>3.0999999999912689</v>
      </c>
      <c r="L68">
        <f>電力量!L69-電力量!L68</f>
        <v>34</v>
      </c>
      <c r="M68">
        <f>電力量!M69-電力量!M68</f>
        <v>47.200000000004366</v>
      </c>
      <c r="N68">
        <f>電力量!N69-電力量!N68</f>
        <v>55.5</v>
      </c>
      <c r="O68">
        <f>電力量!O69-電力量!O68</f>
        <v>25.19999999999709</v>
      </c>
      <c r="P68">
        <f>電力量!P69-電力量!P68</f>
        <v>0</v>
      </c>
      <c r="Q68">
        <f>電力量!Q69-電力量!Q68</f>
        <v>1</v>
      </c>
      <c r="R68">
        <f>電力量!R69-電力量!R68</f>
        <v>0</v>
      </c>
    </row>
    <row r="69" spans="1:18">
      <c r="A69" s="4">
        <f t="shared" si="41"/>
        <v>45874.791666666664</v>
      </c>
      <c r="B69">
        <f>電力量!B70-電力量!B69</f>
        <v>980</v>
      </c>
      <c r="C69">
        <f>電力量!C70-電力量!C69</f>
        <v>258</v>
      </c>
      <c r="D69">
        <f>電力量!D70-電力量!D69</f>
        <v>24.099999999998545</v>
      </c>
      <c r="E69">
        <f>電力量!E70-電力量!E69</f>
        <v>0</v>
      </c>
      <c r="F69">
        <f>電力量!F70-電力量!F69</f>
        <v>30</v>
      </c>
      <c r="G69">
        <f>電力量!G70-電力量!G69</f>
        <v>81.5</v>
      </c>
      <c r="H69">
        <f>電力量!H70-電力量!H69</f>
        <v>11</v>
      </c>
      <c r="I69">
        <f>電力量!I70-電力量!I69</f>
        <v>328</v>
      </c>
      <c r="J69">
        <f>電力量!J70-電力量!J69</f>
        <v>11.299999999995634</v>
      </c>
      <c r="K69">
        <f>電力量!K70-電力量!K69</f>
        <v>3.6999999999970896</v>
      </c>
      <c r="L69">
        <f>電力量!L70-電力量!L69</f>
        <v>32.69999999999709</v>
      </c>
      <c r="M69">
        <f>電力量!M70-電力量!M69</f>
        <v>48.69999999999709</v>
      </c>
      <c r="N69">
        <f>電力量!N70-電力量!N69</f>
        <v>56.799999999995634</v>
      </c>
      <c r="O69">
        <f>電力量!O70-電力量!O69</f>
        <v>23</v>
      </c>
      <c r="P69">
        <f>電力量!P70-電力量!P69</f>
        <v>0</v>
      </c>
      <c r="Q69">
        <f>電力量!Q70-電力量!Q69</f>
        <v>0</v>
      </c>
      <c r="R69">
        <f>電力量!R70-電力量!R69</f>
        <v>0</v>
      </c>
    </row>
    <row r="70" spans="1:18">
      <c r="A70" s="4">
        <f t="shared" si="42"/>
        <v>45874.833333333336</v>
      </c>
      <c r="B70">
        <f>電力量!B71-電力量!B70</f>
        <v>889</v>
      </c>
      <c r="C70">
        <f>電力量!C71-電力量!C70</f>
        <v>231</v>
      </c>
      <c r="D70">
        <f>電力量!D71-電力量!D70</f>
        <v>21.700000000000728</v>
      </c>
      <c r="E70">
        <f>電力量!E71-電力量!E70</f>
        <v>0</v>
      </c>
      <c r="F70">
        <f>電力量!F71-電力量!F70</f>
        <v>28</v>
      </c>
      <c r="G70">
        <f>電力量!G71-電力量!G70</f>
        <v>76.400000000001455</v>
      </c>
      <c r="H70">
        <f>電力量!H71-電力量!H70</f>
        <v>11</v>
      </c>
      <c r="I70">
        <f>電力量!I71-電力量!I70</f>
        <v>286</v>
      </c>
      <c r="J70">
        <f>電力量!J71-電力量!J70</f>
        <v>11.700000000004366</v>
      </c>
      <c r="K70">
        <f>電力量!K71-電力量!K70</f>
        <v>3.5</v>
      </c>
      <c r="L70">
        <f>電力量!L71-電力量!L70</f>
        <v>32.19999999999709</v>
      </c>
      <c r="M70">
        <f>電力量!M71-電力量!M70</f>
        <v>46.599999999998545</v>
      </c>
      <c r="N70">
        <f>電力量!N71-電力量!N70</f>
        <v>56.900000000001455</v>
      </c>
      <c r="O70">
        <f>電力量!O71-電力量!O70</f>
        <v>23.599999999991269</v>
      </c>
      <c r="P70">
        <f>電力量!P71-電力量!P70</f>
        <v>0</v>
      </c>
      <c r="Q70">
        <f>電力量!Q71-電力量!Q70</f>
        <v>0</v>
      </c>
      <c r="R70">
        <f>電力量!R71-電力量!R70</f>
        <v>0</v>
      </c>
    </row>
    <row r="71" spans="1:18">
      <c r="A71" s="4">
        <f t="shared" si="43"/>
        <v>45874.875</v>
      </c>
      <c r="B71">
        <f>電力量!B72-電力量!B71</f>
        <v>832</v>
      </c>
      <c r="C71">
        <f>電力量!C72-電力量!C71</f>
        <v>210</v>
      </c>
      <c r="D71">
        <f>電力量!D72-電力量!D71</f>
        <v>20</v>
      </c>
      <c r="E71">
        <f>電力量!E72-電力量!E71</f>
        <v>0</v>
      </c>
      <c r="F71">
        <f>電力量!F72-電力量!F71</f>
        <v>26</v>
      </c>
      <c r="G71">
        <f>電力量!G72-電力量!G71</f>
        <v>71.5</v>
      </c>
      <c r="H71">
        <f>電力量!H72-電力量!H71</f>
        <v>11</v>
      </c>
      <c r="I71">
        <f>電力量!I72-電力量!I71</f>
        <v>269</v>
      </c>
      <c r="J71">
        <f>電力量!J72-電力量!J71</f>
        <v>10.899999999994179</v>
      </c>
      <c r="K71">
        <f>電力量!K72-電力量!K71</f>
        <v>3.4000000000087311</v>
      </c>
      <c r="L71">
        <f>電力量!L72-電力量!L71</f>
        <v>27.600000000005821</v>
      </c>
      <c r="M71">
        <f>電力量!M72-電力量!M71</f>
        <v>45.400000000001455</v>
      </c>
      <c r="N71">
        <f>電力量!N72-電力量!N71</f>
        <v>55.80000000000291</v>
      </c>
      <c r="O71">
        <f>電力量!O72-電力量!O71</f>
        <v>24.30000000000291</v>
      </c>
      <c r="P71">
        <f>電力量!P72-電力量!P71</f>
        <v>0</v>
      </c>
      <c r="Q71">
        <f>電力量!Q72-電力量!Q71</f>
        <v>0</v>
      </c>
      <c r="R71">
        <f>電力量!R72-電力量!R71</f>
        <v>0</v>
      </c>
    </row>
    <row r="72" spans="1:18">
      <c r="A72" s="4">
        <f t="shared" si="44"/>
        <v>45874.916666666664</v>
      </c>
      <c r="B72">
        <f>電力量!B73-電力量!B72</f>
        <v>801</v>
      </c>
      <c r="C72">
        <f>電力量!C73-電力量!C72</f>
        <v>202</v>
      </c>
      <c r="D72">
        <f>電力量!D73-電力量!D72</f>
        <v>21.799999999999272</v>
      </c>
      <c r="E72">
        <f>電力量!E73-電力量!E72</f>
        <v>0</v>
      </c>
      <c r="F72">
        <f>電力量!F73-電力量!F72</f>
        <v>26</v>
      </c>
      <c r="G72">
        <f>電力量!G73-電力量!G72</f>
        <v>68.5</v>
      </c>
      <c r="H72">
        <f>電力量!H73-電力量!H72</f>
        <v>13</v>
      </c>
      <c r="I72">
        <f>電力量!I73-電力量!I72</f>
        <v>255</v>
      </c>
      <c r="J72">
        <f>電力量!J73-電力量!J72</f>
        <v>10.5</v>
      </c>
      <c r="K72">
        <f>電力量!K73-電力量!K72</f>
        <v>3.3999999999941792</v>
      </c>
      <c r="L72">
        <f>電力量!L73-電力量!L72</f>
        <v>24.69999999999709</v>
      </c>
      <c r="M72">
        <f>電力量!M73-電力量!M72</f>
        <v>45</v>
      </c>
      <c r="N72">
        <f>電力量!N73-電力量!N72</f>
        <v>56.099999999998545</v>
      </c>
      <c r="O72">
        <f>電力量!O73-電力量!O72</f>
        <v>20.69999999999709</v>
      </c>
      <c r="P72">
        <f>電力量!P73-電力量!P72</f>
        <v>0</v>
      </c>
      <c r="Q72">
        <f>電力量!Q73-電力量!Q72</f>
        <v>0</v>
      </c>
      <c r="R72">
        <f>電力量!R73-電力量!R72</f>
        <v>0</v>
      </c>
    </row>
    <row r="73" spans="1:18">
      <c r="A73" s="4">
        <f t="shared" si="45"/>
        <v>45874.958333333336</v>
      </c>
      <c r="B73">
        <f>電力量!B74-電力量!B73</f>
        <v>786</v>
      </c>
      <c r="C73">
        <f>電力量!C74-電力量!C73</f>
        <v>196</v>
      </c>
      <c r="D73">
        <f>電力量!D74-電力量!D73</f>
        <v>20.80000000000291</v>
      </c>
      <c r="E73">
        <f>電力量!E74-電力量!E73</f>
        <v>0</v>
      </c>
      <c r="F73">
        <f>電力量!F74-電力量!F73</f>
        <v>24</v>
      </c>
      <c r="G73">
        <f>電力量!G74-電力量!G73</f>
        <v>68.399999999997817</v>
      </c>
      <c r="H73">
        <f>電力量!H74-電力量!H73</f>
        <v>11</v>
      </c>
      <c r="I73">
        <f>電力量!I74-電力量!I73</f>
        <v>250</v>
      </c>
      <c r="J73">
        <f>電力量!J74-電力量!J73</f>
        <v>10.30000000000291</v>
      </c>
      <c r="K73">
        <f>電力量!K74-電力量!K73</f>
        <v>3.6999999999970896</v>
      </c>
      <c r="L73">
        <f>電力量!L74-電力量!L73</f>
        <v>24.900000000008731</v>
      </c>
      <c r="M73">
        <f>電力量!M74-電力量!M73</f>
        <v>45</v>
      </c>
      <c r="N73">
        <f>電力量!N74-電力量!N73</f>
        <v>55.5</v>
      </c>
      <c r="O73">
        <f>電力量!O74-電力量!O73</f>
        <v>19.5</v>
      </c>
      <c r="P73">
        <f>電力量!P74-電力量!P73</f>
        <v>0</v>
      </c>
      <c r="Q73">
        <f>電力量!Q74-電力量!Q73</f>
        <v>0</v>
      </c>
      <c r="R73">
        <f>電力量!R74-電力量!R73</f>
        <v>0</v>
      </c>
    </row>
    <row r="74" spans="1:18">
      <c r="A74" s="4">
        <v>45875</v>
      </c>
      <c r="B74">
        <f>電力量!B75-電力量!B74</f>
        <v>755</v>
      </c>
      <c r="C74">
        <f>電力量!C75-電力量!C74</f>
        <v>195</v>
      </c>
      <c r="D74">
        <f>電力量!D75-電力量!D74</f>
        <v>16.69999999999709</v>
      </c>
      <c r="E74">
        <f>電力量!E75-電力量!E74</f>
        <v>0</v>
      </c>
      <c r="F74">
        <f>電力量!F75-電力量!F74</f>
        <v>23</v>
      </c>
      <c r="G74">
        <f>電力量!G75-電力量!G74</f>
        <v>66</v>
      </c>
      <c r="H74">
        <f>電力量!H75-電力量!H74</f>
        <v>12</v>
      </c>
      <c r="I74">
        <f>電力量!I75-電力量!I74</f>
        <v>234</v>
      </c>
      <c r="J74">
        <f>電力量!J75-電力量!J74</f>
        <v>10.5</v>
      </c>
      <c r="K74">
        <f>電力量!K75-電力量!K74</f>
        <v>3.4000000000087311</v>
      </c>
      <c r="L74">
        <f>電力量!L75-電力量!L74</f>
        <v>23.099999999991269</v>
      </c>
      <c r="M74">
        <f>電力量!M75-電力量!M74</f>
        <v>47</v>
      </c>
      <c r="N74">
        <f>電力量!N75-電力量!N74</f>
        <v>55.400000000001455</v>
      </c>
      <c r="O74">
        <f>電力量!O75-電力量!O74</f>
        <v>19.200000000011642</v>
      </c>
      <c r="P74">
        <f>電力量!P75-電力量!P74</f>
        <v>0</v>
      </c>
      <c r="Q74">
        <f>電力量!Q75-電力量!Q74</f>
        <v>0</v>
      </c>
      <c r="R74">
        <f>電力量!R75-電力量!R74</f>
        <v>0</v>
      </c>
    </row>
    <row r="75" spans="1:18">
      <c r="A75" s="4">
        <f t="shared" si="23"/>
        <v>45875.041666666664</v>
      </c>
      <c r="B75">
        <f>電力量!B76-電力量!B75</f>
        <v>734</v>
      </c>
      <c r="C75">
        <f>電力量!C76-電力量!C75</f>
        <v>186</v>
      </c>
      <c r="D75">
        <f>電力量!D76-電力量!D75</f>
        <v>14.900000000001455</v>
      </c>
      <c r="E75">
        <f>電力量!E76-電力量!E75</f>
        <v>0</v>
      </c>
      <c r="F75">
        <f>電力量!F76-電力量!F75</f>
        <v>22</v>
      </c>
      <c r="G75">
        <f>電力量!G76-電力量!G75</f>
        <v>65</v>
      </c>
      <c r="H75">
        <f>電力量!H76-電力量!H75</f>
        <v>11</v>
      </c>
      <c r="I75">
        <f>電力量!I76-電力量!I75</f>
        <v>227</v>
      </c>
      <c r="J75">
        <f>電力量!J76-電力量!J75</f>
        <v>10.099999999998545</v>
      </c>
      <c r="K75">
        <f>電力量!K76-電力量!K75</f>
        <v>3.3999999999941792</v>
      </c>
      <c r="L75">
        <f>電力量!L76-電力量!L75</f>
        <v>22.19999999999709</v>
      </c>
      <c r="M75">
        <f>電力量!M76-電力量!M75</f>
        <v>46.099999999998545</v>
      </c>
      <c r="N75">
        <f>電力量!N76-電力量!N75</f>
        <v>55.099999999998545</v>
      </c>
      <c r="O75">
        <f>電力量!O76-電力量!O75</f>
        <v>19.899999999994179</v>
      </c>
      <c r="P75">
        <f>電力量!P76-電力量!P75</f>
        <v>0</v>
      </c>
      <c r="Q75">
        <f>電力量!Q76-電力量!Q75</f>
        <v>0</v>
      </c>
      <c r="R75">
        <f>電力量!R76-電力量!R75</f>
        <v>0</v>
      </c>
    </row>
    <row r="76" spans="1:18">
      <c r="A76" s="4">
        <f t="shared" si="24"/>
        <v>45875.083333333336</v>
      </c>
      <c r="B76">
        <f>電力量!B77-電力量!B76</f>
        <v>728</v>
      </c>
      <c r="C76">
        <f>電力量!C77-電力量!C76</f>
        <v>179</v>
      </c>
      <c r="D76">
        <f>電力量!D77-電力量!D76</f>
        <v>16.200000000000728</v>
      </c>
      <c r="E76">
        <f>電力量!E77-電力量!E76</f>
        <v>0</v>
      </c>
      <c r="F76">
        <f>電力量!F77-電力量!F76</f>
        <v>22</v>
      </c>
      <c r="G76">
        <f>電力量!G77-電力量!G76</f>
        <v>63.299999999999272</v>
      </c>
      <c r="H76">
        <f>電力量!H77-電力量!H76</f>
        <v>11</v>
      </c>
      <c r="I76">
        <f>電力量!I77-電力量!I76</f>
        <v>229</v>
      </c>
      <c r="J76">
        <f>電力量!J77-電力量!J76</f>
        <v>10.200000000004366</v>
      </c>
      <c r="K76">
        <f>電力量!K77-電力量!K76</f>
        <v>3.3000000000029104</v>
      </c>
      <c r="L76">
        <f>電力量!L77-電力量!L76</f>
        <v>24.200000000011642</v>
      </c>
      <c r="M76">
        <f>電力量!M77-電力量!M76</f>
        <v>45.100000000005821</v>
      </c>
      <c r="N76">
        <f>電力量!N77-電力量!N76</f>
        <v>55.099999999998545</v>
      </c>
      <c r="O76">
        <f>電力量!O77-電力量!O76</f>
        <v>19</v>
      </c>
      <c r="P76">
        <f>電力量!P77-電力量!P76</f>
        <v>0</v>
      </c>
      <c r="Q76">
        <f>電力量!Q77-電力量!Q76</f>
        <v>0</v>
      </c>
      <c r="R76">
        <f>電力量!R77-電力量!R76</f>
        <v>0</v>
      </c>
    </row>
    <row r="77" spans="1:18">
      <c r="A77" s="4">
        <f t="shared" si="25"/>
        <v>45875.125</v>
      </c>
      <c r="B77">
        <f>電力量!B78-電力量!B77</f>
        <v>714</v>
      </c>
      <c r="C77">
        <f>電力量!C78-電力量!C77</f>
        <v>174</v>
      </c>
      <c r="D77">
        <f>電力量!D78-電力量!D77</f>
        <v>14.299999999999272</v>
      </c>
      <c r="E77">
        <f>電力量!E78-電力量!E77</f>
        <v>0</v>
      </c>
      <c r="F77">
        <f>電力量!F78-電力量!F77</f>
        <v>22</v>
      </c>
      <c r="G77">
        <f>電力量!G78-電力量!G77</f>
        <v>63.400000000001455</v>
      </c>
      <c r="H77">
        <f>電力量!H78-電力量!H77</f>
        <v>11</v>
      </c>
      <c r="I77">
        <f>電力量!I78-電力量!I77</f>
        <v>224</v>
      </c>
      <c r="J77">
        <f>電力量!J78-電力量!J77</f>
        <v>10.299999999995634</v>
      </c>
      <c r="K77">
        <f>電力量!K78-電力量!K77</f>
        <v>3.3000000000029104</v>
      </c>
      <c r="L77">
        <f>電力量!L78-電力量!L77</f>
        <v>22.799999999988358</v>
      </c>
      <c r="M77">
        <f>電力量!M78-電力量!M77</f>
        <v>42.69999999999709</v>
      </c>
      <c r="N77">
        <f>電力量!N78-電力量!N77</f>
        <v>55.599999999998545</v>
      </c>
      <c r="O77">
        <f>電力量!O78-電力量!O77</f>
        <v>19.19999999999709</v>
      </c>
      <c r="P77">
        <f>電力量!P78-電力量!P77</f>
        <v>0</v>
      </c>
      <c r="Q77">
        <f>電力量!Q78-電力量!Q77</f>
        <v>0</v>
      </c>
      <c r="R77">
        <f>電力量!R78-電力量!R77</f>
        <v>0</v>
      </c>
    </row>
    <row r="78" spans="1:18">
      <c r="A78" s="4">
        <f t="shared" si="26"/>
        <v>45875.166666666664</v>
      </c>
      <c r="B78">
        <f>電力量!B79-電力量!B78</f>
        <v>704</v>
      </c>
      <c r="C78">
        <f>電力量!C79-電力量!C78</f>
        <v>173</v>
      </c>
      <c r="D78">
        <f>電力量!D79-電力量!D78</f>
        <v>14.099999999998545</v>
      </c>
      <c r="E78">
        <f>電力量!E79-電力量!E78</f>
        <v>0</v>
      </c>
      <c r="F78">
        <f>電力量!F79-電力量!F78</f>
        <v>19</v>
      </c>
      <c r="G78">
        <f>電力量!G79-電力量!G78</f>
        <v>61.299999999999272</v>
      </c>
      <c r="H78">
        <f>電力量!H79-電力量!H78</f>
        <v>11</v>
      </c>
      <c r="I78">
        <f>電力量!I79-電力量!I78</f>
        <v>221</v>
      </c>
      <c r="J78">
        <f>電力量!J79-電力量!J78</f>
        <v>9.9000000000014552</v>
      </c>
      <c r="K78">
        <f>電力量!K79-電力量!K78</f>
        <v>3.3999999999941792</v>
      </c>
      <c r="L78">
        <f>電力量!L79-電力量!L78</f>
        <v>22.5</v>
      </c>
      <c r="M78">
        <f>電力量!M79-電力量!M78</f>
        <v>43</v>
      </c>
      <c r="N78">
        <f>電力量!N79-電力量!N78</f>
        <v>55.5</v>
      </c>
      <c r="O78">
        <f>電力量!O79-電力量!O78</f>
        <v>19.69999999999709</v>
      </c>
      <c r="P78">
        <f>電力量!P79-電力量!P78</f>
        <v>0</v>
      </c>
      <c r="Q78">
        <f>電力量!Q79-電力量!Q78</f>
        <v>0</v>
      </c>
      <c r="R78">
        <f>電力量!R79-電力量!R78</f>
        <v>0</v>
      </c>
    </row>
    <row r="79" spans="1:18">
      <c r="A79" s="4">
        <f t="shared" si="27"/>
        <v>45875.208333333336</v>
      </c>
      <c r="B79">
        <f>電力量!B80-電力量!B79</f>
        <v>707</v>
      </c>
      <c r="C79">
        <f>電力量!C80-電力量!C79</f>
        <v>174</v>
      </c>
      <c r="D79">
        <f>電力量!D80-電力量!D79</f>
        <v>14.200000000000728</v>
      </c>
      <c r="E79">
        <f>電力量!E80-電力量!E79</f>
        <v>0</v>
      </c>
      <c r="F79">
        <f>電力量!F80-電力量!F79</f>
        <v>19</v>
      </c>
      <c r="G79">
        <f>電力量!G80-電力量!G79</f>
        <v>61.5</v>
      </c>
      <c r="H79">
        <f>電力量!H80-電力量!H79</f>
        <v>12</v>
      </c>
      <c r="I79">
        <f>電力量!I80-電力量!I79</f>
        <v>222</v>
      </c>
      <c r="J79">
        <f>電力量!J80-電力量!J79</f>
        <v>10.099999999998545</v>
      </c>
      <c r="K79">
        <f>電力量!K80-電力量!K79</f>
        <v>3.1000000000058208</v>
      </c>
      <c r="L79">
        <f>電力量!L80-電力量!L79</f>
        <v>21.80000000000291</v>
      </c>
      <c r="M79">
        <f>電力量!M80-電力量!M79</f>
        <v>43.19999999999709</v>
      </c>
      <c r="N79">
        <f>電力量!N80-電力量!N79</f>
        <v>55</v>
      </c>
      <c r="O79">
        <f>電力量!O80-電力量!O79</f>
        <v>21.600000000005821</v>
      </c>
      <c r="P79">
        <f>電力量!P80-電力量!P79</f>
        <v>0</v>
      </c>
      <c r="Q79">
        <f>電力量!Q80-電力量!Q79</f>
        <v>0</v>
      </c>
      <c r="R79">
        <f>電力量!R80-電力量!R79</f>
        <v>0</v>
      </c>
    </row>
    <row r="80" spans="1:18">
      <c r="A80" s="4">
        <f t="shared" si="28"/>
        <v>45875.25</v>
      </c>
      <c r="B80">
        <f>電力量!B81-電力量!B80</f>
        <v>731</v>
      </c>
      <c r="C80">
        <f>電力量!C81-電力量!C80</f>
        <v>182</v>
      </c>
      <c r="D80">
        <f>電力量!D81-電力量!D80</f>
        <v>14.600000000002183</v>
      </c>
      <c r="E80">
        <f>電力量!E81-電力量!E80</f>
        <v>0</v>
      </c>
      <c r="F80">
        <f>電力量!F81-電力量!F80</f>
        <v>21</v>
      </c>
      <c r="G80">
        <f>電力量!G81-電力量!G80</f>
        <v>61.100000000002183</v>
      </c>
      <c r="H80">
        <f>電力量!H81-電力量!H80</f>
        <v>11</v>
      </c>
      <c r="I80">
        <f>電力量!I81-電力量!I80</f>
        <v>232</v>
      </c>
      <c r="J80">
        <f>電力量!J81-電力量!J80</f>
        <v>10.400000000001455</v>
      </c>
      <c r="K80">
        <f>電力量!K81-電力量!K80</f>
        <v>2.5</v>
      </c>
      <c r="L80">
        <f>電力量!L81-電力量!L80</f>
        <v>22.400000000008731</v>
      </c>
      <c r="M80">
        <f>電力量!M81-電力量!M80</f>
        <v>43.30000000000291</v>
      </c>
      <c r="N80">
        <f>電力量!N81-電力量!N80</f>
        <v>54.400000000001455</v>
      </c>
      <c r="O80">
        <f>電力量!O81-電力量!O80</f>
        <v>22</v>
      </c>
      <c r="P80">
        <f>電力量!P81-電力量!P80</f>
        <v>1</v>
      </c>
      <c r="Q80">
        <f>電力量!Q81-電力量!Q80</f>
        <v>0</v>
      </c>
      <c r="R80">
        <f>電力量!R81-電力量!R80</f>
        <v>0</v>
      </c>
    </row>
    <row r="81" spans="1:18">
      <c r="A81" s="4">
        <f t="shared" si="29"/>
        <v>45875.291666666664</v>
      </c>
      <c r="B81">
        <f>電力量!B82-電力量!B81</f>
        <v>782</v>
      </c>
      <c r="C81">
        <f>電力量!C82-電力量!C81</f>
        <v>198</v>
      </c>
      <c r="D81">
        <f>電力量!D82-電力量!D81</f>
        <v>15.799999999999272</v>
      </c>
      <c r="E81">
        <f>電力量!E82-電力量!E81</f>
        <v>0</v>
      </c>
      <c r="F81">
        <f>電力量!F82-電力量!F81</f>
        <v>23</v>
      </c>
      <c r="G81">
        <f>電力量!G82-電力量!G81</f>
        <v>63.19999999999709</v>
      </c>
      <c r="H81">
        <f>電力量!H82-電力量!H81</f>
        <v>12</v>
      </c>
      <c r="I81">
        <f>電力量!I82-電力量!I81</f>
        <v>252</v>
      </c>
      <c r="J81">
        <f>電力量!J82-電力量!J81</f>
        <v>10.900000000001455</v>
      </c>
      <c r="K81">
        <f>電力量!K82-電力量!K81</f>
        <v>0.80000000000291038</v>
      </c>
      <c r="L81">
        <f>電力量!L82-電力量!L81</f>
        <v>23.799999999988358</v>
      </c>
      <c r="M81">
        <f>電力量!M82-電力量!M81</f>
        <v>46.19999999999709</v>
      </c>
      <c r="N81">
        <f>電力量!N82-電力量!N81</f>
        <v>51.80000000000291</v>
      </c>
      <c r="O81">
        <f>電力量!O82-電力量!O81</f>
        <v>23.899999999994179</v>
      </c>
      <c r="P81">
        <f>電力量!P82-電力量!P81</f>
        <v>1</v>
      </c>
      <c r="Q81">
        <f>電力量!Q82-電力量!Q81</f>
        <v>3</v>
      </c>
      <c r="R81">
        <f>電力量!R82-電力量!R81</f>
        <v>0</v>
      </c>
    </row>
    <row r="82" spans="1:18">
      <c r="A82" s="4">
        <f t="shared" si="30"/>
        <v>45875.333333333336</v>
      </c>
      <c r="B82">
        <f>電力量!B83-電力量!B82</f>
        <v>1103</v>
      </c>
      <c r="C82">
        <f>電力量!C83-電力量!C82</f>
        <v>273</v>
      </c>
      <c r="D82">
        <f>電力量!D83-電力量!D82</f>
        <v>21.700000000000728</v>
      </c>
      <c r="E82">
        <f>電力量!E83-電力量!E82</f>
        <v>0</v>
      </c>
      <c r="F82">
        <f>電力量!F83-電力量!F82</f>
        <v>30</v>
      </c>
      <c r="G82">
        <f>電力量!G83-電力量!G82</f>
        <v>74.5</v>
      </c>
      <c r="H82">
        <f>電力量!H83-電力量!H82</f>
        <v>65</v>
      </c>
      <c r="I82">
        <f>電力量!I83-電力量!I82</f>
        <v>357</v>
      </c>
      <c r="J82">
        <f>電力量!J83-電力量!J82</f>
        <v>12.5</v>
      </c>
      <c r="K82">
        <f>電力量!K83-電力量!K82</f>
        <v>3</v>
      </c>
      <c r="L82">
        <f>電力量!L83-電力量!L82</f>
        <v>48.600000000005821</v>
      </c>
      <c r="M82">
        <f>電力量!M83-電力量!M82</f>
        <v>50.600000000005821</v>
      </c>
      <c r="N82">
        <f>電力量!N83-電力量!N82</f>
        <v>51.299999999995634</v>
      </c>
      <c r="O82">
        <f>電力量!O83-電力量!O82</f>
        <v>41.700000000011642</v>
      </c>
      <c r="P82">
        <f>電力量!P83-電力量!P82</f>
        <v>3</v>
      </c>
      <c r="Q82">
        <f>電力量!Q83-電力量!Q82</f>
        <v>8</v>
      </c>
      <c r="R82">
        <f>電力量!R83-電力量!R82</f>
        <v>0</v>
      </c>
    </row>
    <row r="83" spans="1:18">
      <c r="A83" s="4">
        <f t="shared" si="31"/>
        <v>45875.375</v>
      </c>
      <c r="B83">
        <f>電力量!B84-電力量!B83</f>
        <v>1337</v>
      </c>
      <c r="C83">
        <f>電力量!C84-電力量!C83</f>
        <v>322</v>
      </c>
      <c r="D83">
        <f>電力量!D84-電力量!D83</f>
        <v>24.19999999999709</v>
      </c>
      <c r="E83">
        <f>電力量!E84-電力量!E83</f>
        <v>0</v>
      </c>
      <c r="F83">
        <f>電力量!F84-電力量!F83</f>
        <v>32</v>
      </c>
      <c r="G83">
        <f>電力量!G84-電力量!G83</f>
        <v>84.100000000002183</v>
      </c>
      <c r="H83">
        <f>電力量!H84-電力量!H83</f>
        <v>136</v>
      </c>
      <c r="I83">
        <f>電力量!I84-電力量!I83</f>
        <v>422</v>
      </c>
      <c r="J83">
        <f>電力量!J84-電力量!J83</f>
        <v>13.19999999999709</v>
      </c>
      <c r="K83">
        <f>電力量!K84-電力量!K83</f>
        <v>1.1999999999970896</v>
      </c>
      <c r="L83">
        <f>電力量!L84-電力量!L83</f>
        <v>48.5</v>
      </c>
      <c r="M83">
        <f>電力量!M84-電力量!M83</f>
        <v>61.69999999999709</v>
      </c>
      <c r="N83">
        <f>電力量!N84-電力量!N83</f>
        <v>48.100000000005821</v>
      </c>
      <c r="O83">
        <f>電力量!O84-電力量!O83</f>
        <v>55</v>
      </c>
      <c r="P83">
        <f>電力量!P84-電力量!P83</f>
        <v>8</v>
      </c>
      <c r="Q83">
        <f>電力量!Q84-電力量!Q83</f>
        <v>13</v>
      </c>
      <c r="R83">
        <f>電力量!R84-電力量!R83</f>
        <v>0</v>
      </c>
    </row>
    <row r="84" spans="1:18">
      <c r="A84" s="4">
        <f t="shared" si="32"/>
        <v>45875.416666666664</v>
      </c>
      <c r="B84">
        <f>電力量!B85-電力量!B84</f>
        <v>1512</v>
      </c>
      <c r="C84">
        <f>電力量!C85-電力量!C84</f>
        <v>386</v>
      </c>
      <c r="D84">
        <f>電力量!D85-電力量!D84</f>
        <v>33.200000000000728</v>
      </c>
      <c r="E84">
        <f>電力量!E85-電力量!E84</f>
        <v>0</v>
      </c>
      <c r="F84">
        <f>電力量!F85-電力量!F84</f>
        <v>53</v>
      </c>
      <c r="G84">
        <f>電力量!G85-電力量!G84</f>
        <v>101.70000000000073</v>
      </c>
      <c r="H84">
        <f>電力量!H85-電力量!H84</f>
        <v>136</v>
      </c>
      <c r="I84">
        <f>電力量!I85-電力量!I84</f>
        <v>449</v>
      </c>
      <c r="J84">
        <f>電力量!J85-電力量!J84</f>
        <v>12.599999999998545</v>
      </c>
      <c r="K84">
        <f>電力量!K85-電力量!K84</f>
        <v>2.8999999999941792</v>
      </c>
      <c r="L84">
        <f>電力量!L85-電力量!L84</f>
        <v>53.399999999994179</v>
      </c>
      <c r="M84">
        <f>電力量!M85-電力量!M84</f>
        <v>66.900000000001455</v>
      </c>
      <c r="N84">
        <f>電力量!N85-電力量!N84</f>
        <v>46.899999999994179</v>
      </c>
      <c r="O84">
        <f>電力量!O85-電力量!O84</f>
        <v>69.69999999999709</v>
      </c>
      <c r="P84">
        <f>電力量!P85-電力量!P84</f>
        <v>10</v>
      </c>
      <c r="Q84">
        <f>電力量!Q85-電力量!Q84</f>
        <v>15</v>
      </c>
      <c r="R84">
        <f>電力量!R85-電力量!R84</f>
        <v>0</v>
      </c>
    </row>
    <row r="85" spans="1:18">
      <c r="A85" s="4">
        <f t="shared" si="33"/>
        <v>45875.458333333336</v>
      </c>
      <c r="B85">
        <f>電力量!B86-電力量!B85</f>
        <v>1568</v>
      </c>
      <c r="C85">
        <f>電力量!C86-電力量!C85</f>
        <v>418</v>
      </c>
      <c r="D85">
        <f>電力量!D86-電力量!D85</f>
        <v>32.5</v>
      </c>
      <c r="E85">
        <f>電力量!E86-電力量!E85</f>
        <v>0</v>
      </c>
      <c r="F85">
        <f>電力量!F86-電力量!F85</f>
        <v>57</v>
      </c>
      <c r="G85">
        <f>電力量!G86-電力量!G85</f>
        <v>95.19999999999709</v>
      </c>
      <c r="H85">
        <f>電力量!H86-電力量!H85</f>
        <v>140</v>
      </c>
      <c r="I85">
        <f>電力量!I86-電力量!I85</f>
        <v>456</v>
      </c>
      <c r="J85">
        <f>電力量!J86-電力量!J85</f>
        <v>13</v>
      </c>
      <c r="K85">
        <f>電力量!K86-電力量!K85</f>
        <v>0.5</v>
      </c>
      <c r="L85">
        <f>電力量!L86-電力量!L85</f>
        <v>58.5</v>
      </c>
      <c r="M85">
        <f>電力量!M86-電力量!M85</f>
        <v>83.69999999999709</v>
      </c>
      <c r="N85">
        <f>電力量!N86-電力量!N85</f>
        <v>43.600000000005821</v>
      </c>
      <c r="O85">
        <f>電力量!O86-電力量!O85</f>
        <v>67.19999999999709</v>
      </c>
      <c r="P85">
        <f>電力量!P86-電力量!P85</f>
        <v>15</v>
      </c>
      <c r="Q85">
        <f>電力量!Q86-電力量!Q85</f>
        <v>22</v>
      </c>
      <c r="R85">
        <f>電力量!R86-電力量!R85</f>
        <v>0</v>
      </c>
    </row>
    <row r="86" spans="1:18">
      <c r="A86" s="4">
        <f t="shared" si="34"/>
        <v>45875.5</v>
      </c>
      <c r="B86">
        <f>電力量!B87-電力量!B86</f>
        <v>1567</v>
      </c>
      <c r="C86">
        <f>電力量!C87-電力量!C86</f>
        <v>382</v>
      </c>
      <c r="D86">
        <f>電力量!D87-電力量!D86</f>
        <v>37.799999999999272</v>
      </c>
      <c r="E86">
        <f>電力量!E87-電力量!E86</f>
        <v>0</v>
      </c>
      <c r="F86">
        <f>電力量!F87-電力量!F86</f>
        <v>59</v>
      </c>
      <c r="G86">
        <f>電力量!G87-電力量!G86</f>
        <v>103.70000000000073</v>
      </c>
      <c r="H86">
        <f>電力量!H87-電力量!H86</f>
        <v>145</v>
      </c>
      <c r="I86">
        <f>電力量!I87-電力量!I86</f>
        <v>470</v>
      </c>
      <c r="J86">
        <f>電力量!J87-電力量!J86</f>
        <v>12.700000000004366</v>
      </c>
      <c r="K86">
        <f>電力量!K87-電力量!K86</f>
        <v>4.1999999999970896</v>
      </c>
      <c r="L86">
        <f>電力量!L87-電力量!L86</f>
        <v>54.400000000008731</v>
      </c>
      <c r="M86">
        <f>電力量!M87-電力量!M86</f>
        <v>83.599999999998545</v>
      </c>
      <c r="N86">
        <f>電力量!N87-電力量!N86</f>
        <v>46.599999999998545</v>
      </c>
      <c r="O86">
        <f>電力量!O87-電力量!O86</f>
        <v>72.80000000000291</v>
      </c>
      <c r="P86">
        <f>電力量!P87-電力量!P86</f>
        <v>11</v>
      </c>
      <c r="Q86">
        <f>電力量!Q87-電力量!Q86</f>
        <v>17</v>
      </c>
      <c r="R86">
        <f>電力量!R87-電力量!R86</f>
        <v>0</v>
      </c>
    </row>
    <row r="87" spans="1:18">
      <c r="A87" s="4">
        <f t="shared" si="35"/>
        <v>45875.541666666664</v>
      </c>
      <c r="B87">
        <f>電力量!B88-電力量!B87</f>
        <v>1655</v>
      </c>
      <c r="C87">
        <f>電力量!C88-電力量!C87</f>
        <v>404</v>
      </c>
      <c r="D87">
        <f>電力量!D88-電力量!D87</f>
        <v>43.400000000001455</v>
      </c>
      <c r="E87">
        <f>電力量!E88-電力量!E87</f>
        <v>0</v>
      </c>
      <c r="F87">
        <f>電力量!F88-電力量!F87</f>
        <v>61</v>
      </c>
      <c r="G87">
        <f>電力量!G88-電力量!G87</f>
        <v>110.10000000000218</v>
      </c>
      <c r="H87">
        <f>電力量!H88-電力量!H87</f>
        <v>162</v>
      </c>
      <c r="I87">
        <f>電力量!I88-電力量!I87</f>
        <v>488</v>
      </c>
      <c r="J87">
        <f>電力量!J88-電力量!J87</f>
        <v>14.599999999998545</v>
      </c>
      <c r="K87">
        <f>電力量!K88-電力量!K87</f>
        <v>0.60000000000582077</v>
      </c>
      <c r="L87">
        <f>電力量!L88-電力量!L87</f>
        <v>60.599999999991269</v>
      </c>
      <c r="M87">
        <f>電力量!M88-電力量!M87</f>
        <v>85.5</v>
      </c>
      <c r="N87">
        <f>電力量!N88-電力量!N87</f>
        <v>45.799999999995634</v>
      </c>
      <c r="O87">
        <f>電力量!O88-電力量!O87</f>
        <v>74.599999999991269</v>
      </c>
      <c r="P87">
        <f>電力量!P88-電力量!P87</f>
        <v>14</v>
      </c>
      <c r="Q87">
        <f>電力量!Q88-電力量!Q87</f>
        <v>22</v>
      </c>
      <c r="R87">
        <f>電力量!R88-電力量!R87</f>
        <v>0</v>
      </c>
    </row>
    <row r="88" spans="1:18">
      <c r="A88" s="4">
        <f t="shared" si="36"/>
        <v>45875.583333333336</v>
      </c>
      <c r="B88">
        <f>電力量!B89-電力量!B88</f>
        <v>1632</v>
      </c>
      <c r="C88">
        <f>電力量!C89-電力量!C88</f>
        <v>398</v>
      </c>
      <c r="D88">
        <f>電力量!D89-電力量!D88</f>
        <v>37.099999999998545</v>
      </c>
      <c r="E88">
        <f>電力量!E89-電力量!E88</f>
        <v>0</v>
      </c>
      <c r="F88">
        <f>電力量!F89-電力量!F88</f>
        <v>64</v>
      </c>
      <c r="G88">
        <f>電力量!G89-電力量!G88</f>
        <v>128.79999999999927</v>
      </c>
      <c r="H88">
        <f>電力量!H89-電力量!H88</f>
        <v>149</v>
      </c>
      <c r="I88">
        <f>電力量!I89-電力量!I88</f>
        <v>483</v>
      </c>
      <c r="J88">
        <f>電力量!J89-電力量!J88</f>
        <v>15.5</v>
      </c>
      <c r="K88">
        <f>電力量!K89-電力量!K88</f>
        <v>5.3999999999941792</v>
      </c>
      <c r="L88">
        <f>電力量!L89-電力量!L88</f>
        <v>55.200000000011642</v>
      </c>
      <c r="M88">
        <f>電力量!M89-電力量!M88</f>
        <v>72</v>
      </c>
      <c r="N88">
        <f>電力量!N89-電力量!N88</f>
        <v>51.80000000000291</v>
      </c>
      <c r="O88">
        <f>電力量!O89-電力量!O88</f>
        <v>61.900000000008731</v>
      </c>
      <c r="P88">
        <f>電力量!P89-電力量!P88</f>
        <v>8</v>
      </c>
      <c r="Q88">
        <f>電力量!Q89-電力量!Q88</f>
        <v>13</v>
      </c>
      <c r="R88">
        <f>電力量!R89-電力量!R88</f>
        <v>0</v>
      </c>
    </row>
    <row r="89" spans="1:18">
      <c r="A89" s="4">
        <f t="shared" si="37"/>
        <v>45875.625</v>
      </c>
      <c r="B89">
        <f>電力量!B90-電力量!B89</f>
        <v>1583</v>
      </c>
      <c r="C89">
        <f>電力量!C90-電力量!C89</f>
        <v>407</v>
      </c>
      <c r="D89">
        <f>電力量!D90-電力量!D89</f>
        <v>37.900000000001455</v>
      </c>
      <c r="E89">
        <f>電力量!E90-電力量!E89</f>
        <v>0</v>
      </c>
      <c r="F89">
        <f>電力量!F90-電力量!F89</f>
        <v>64</v>
      </c>
      <c r="G89">
        <f>電力量!G90-電力量!G89</f>
        <v>124.70000000000073</v>
      </c>
      <c r="H89">
        <f>電力量!H90-電力量!H89</f>
        <v>127</v>
      </c>
      <c r="I89">
        <f>電力量!I90-電力量!I89</f>
        <v>481</v>
      </c>
      <c r="J89">
        <f>電力量!J90-電力量!J89</f>
        <v>14.19999999999709</v>
      </c>
      <c r="K89">
        <f>電力量!K90-電力量!K89</f>
        <v>1.5</v>
      </c>
      <c r="L89">
        <f>電力量!L90-電力量!L89</f>
        <v>56.69999999999709</v>
      </c>
      <c r="M89">
        <f>電力量!M90-電力量!M89</f>
        <v>78.5</v>
      </c>
      <c r="N89">
        <f>電力量!N90-電力量!N89</f>
        <v>49.099999999998545</v>
      </c>
      <c r="O89">
        <f>電力量!O90-電力量!O89</f>
        <v>35.899999999994179</v>
      </c>
      <c r="P89">
        <f>電力量!P90-電力量!P89</f>
        <v>12</v>
      </c>
      <c r="Q89">
        <f>電力量!Q90-電力量!Q89</f>
        <v>18</v>
      </c>
      <c r="R89">
        <f>電力量!R90-電力量!R89</f>
        <v>0</v>
      </c>
    </row>
    <row r="90" spans="1:18">
      <c r="A90" s="4">
        <f t="shared" si="38"/>
        <v>45875.666666666664</v>
      </c>
      <c r="B90">
        <f>電力量!B91-電力量!B90</f>
        <v>1560</v>
      </c>
      <c r="C90">
        <f>電力量!C91-電力量!C90</f>
        <v>395</v>
      </c>
      <c r="D90">
        <f>電力量!D91-電力量!D90</f>
        <v>37.400000000001455</v>
      </c>
      <c r="E90">
        <f>電力量!E91-電力量!E90</f>
        <v>0</v>
      </c>
      <c r="F90">
        <f>電力量!F91-電力量!F90</f>
        <v>58</v>
      </c>
      <c r="G90">
        <f>電力量!G91-電力量!G90</f>
        <v>130.29999999999927</v>
      </c>
      <c r="H90">
        <f>電力量!H91-電力量!H90</f>
        <v>107</v>
      </c>
      <c r="I90">
        <f>電力量!I91-電力量!I90</f>
        <v>493</v>
      </c>
      <c r="J90">
        <f>電力量!J91-電力量!J90</f>
        <v>13.600000000005821</v>
      </c>
      <c r="K90">
        <f>電力量!K91-電力量!K90</f>
        <v>6.1000000000058208</v>
      </c>
      <c r="L90">
        <f>電力量!L91-電力量!L90</f>
        <v>65.599999999991269</v>
      </c>
      <c r="M90">
        <f>電力量!M91-電力量!M90</f>
        <v>66.900000000001455</v>
      </c>
      <c r="N90">
        <f>電力量!N91-電力量!N90</f>
        <v>55.400000000001455</v>
      </c>
      <c r="O90">
        <f>電力量!O91-電力量!O90</f>
        <v>34</v>
      </c>
      <c r="P90">
        <f>電力量!P91-電力量!P90</f>
        <v>6</v>
      </c>
      <c r="Q90">
        <f>電力量!Q91-電力量!Q90</f>
        <v>9</v>
      </c>
      <c r="R90">
        <f>電力量!R91-電力量!R90</f>
        <v>0</v>
      </c>
    </row>
    <row r="91" spans="1:18">
      <c r="A91" s="4">
        <f t="shared" si="39"/>
        <v>45875.708333333336</v>
      </c>
      <c r="B91">
        <f>電力量!B92-電力量!B91</f>
        <v>1353</v>
      </c>
      <c r="C91">
        <f>電力量!C92-電力量!C91</f>
        <v>344</v>
      </c>
      <c r="D91">
        <f>電力量!D92-電力量!D91</f>
        <v>33.69999999999709</v>
      </c>
      <c r="E91">
        <f>電力量!E92-電力量!E91</f>
        <v>0</v>
      </c>
      <c r="F91">
        <f>電力量!F92-電力量!F91</f>
        <v>49</v>
      </c>
      <c r="G91">
        <f>電力量!G92-電力量!G91</f>
        <v>108.79999999999927</v>
      </c>
      <c r="H91">
        <f>電力量!H92-電力量!H91</f>
        <v>93</v>
      </c>
      <c r="I91">
        <f>電力量!I92-電力量!I91</f>
        <v>440</v>
      </c>
      <c r="J91">
        <f>電力量!J92-電力量!J91</f>
        <v>12.5</v>
      </c>
      <c r="K91">
        <f>電力量!K92-電力量!K91</f>
        <v>3.5</v>
      </c>
      <c r="L91">
        <f>電力量!L92-電力量!L91</f>
        <v>46.30000000000291</v>
      </c>
      <c r="M91">
        <f>電力量!M92-電力量!M91</f>
        <v>56.5</v>
      </c>
      <c r="N91">
        <f>電力量!N92-電力量!N91</f>
        <v>55.599999999998545</v>
      </c>
      <c r="O91">
        <f>電力量!O92-電力量!O91</f>
        <v>27.19999999999709</v>
      </c>
      <c r="P91">
        <f>電力量!P92-電力量!P91</f>
        <v>2</v>
      </c>
      <c r="Q91">
        <f>電力量!Q92-電力量!Q91</f>
        <v>3</v>
      </c>
      <c r="R91">
        <f>電力量!R92-電力量!R91</f>
        <v>0</v>
      </c>
    </row>
    <row r="92" spans="1:18">
      <c r="A92" s="4">
        <f t="shared" si="40"/>
        <v>45875.75</v>
      </c>
      <c r="B92">
        <f>電力量!B93-電力量!B92</f>
        <v>1132</v>
      </c>
      <c r="C92">
        <f>電力量!C93-電力量!C92</f>
        <v>301</v>
      </c>
      <c r="D92">
        <f>電力量!D93-電力量!D92</f>
        <v>24.5</v>
      </c>
      <c r="E92">
        <f>電力量!E93-電力量!E92</f>
        <v>0</v>
      </c>
      <c r="F92">
        <f>電力量!F93-電力量!F92</f>
        <v>42</v>
      </c>
      <c r="G92">
        <f>電力量!G93-電力量!G92</f>
        <v>90</v>
      </c>
      <c r="H92">
        <f>電力量!H93-電力量!H92</f>
        <v>25</v>
      </c>
      <c r="I92">
        <f>電力量!I93-電力量!I92</f>
        <v>391</v>
      </c>
      <c r="J92">
        <f>電力量!J93-電力量!J92</f>
        <v>12.5</v>
      </c>
      <c r="K92">
        <f>電力量!K93-電力量!K92</f>
        <v>3.5</v>
      </c>
      <c r="L92">
        <f>電力量!L93-電力量!L92</f>
        <v>35.400000000008731</v>
      </c>
      <c r="M92">
        <f>電力量!M93-電力量!M92</f>
        <v>50.900000000001455</v>
      </c>
      <c r="N92">
        <f>電力量!N93-電力量!N92</f>
        <v>58</v>
      </c>
      <c r="O92">
        <f>電力量!O93-電力量!O92</f>
        <v>24.400000000008731</v>
      </c>
      <c r="P92">
        <f>電力量!P93-電力量!P92</f>
        <v>0</v>
      </c>
      <c r="Q92">
        <f>電力量!Q93-電力量!Q92</f>
        <v>0</v>
      </c>
      <c r="R92">
        <f>電力量!R93-電力量!R92</f>
        <v>0</v>
      </c>
    </row>
    <row r="93" spans="1:18">
      <c r="A93" s="4">
        <f t="shared" si="41"/>
        <v>45875.791666666664</v>
      </c>
      <c r="B93">
        <f>電力量!B94-電力量!B93</f>
        <v>992</v>
      </c>
      <c r="C93">
        <f>電力量!C94-電力量!C93</f>
        <v>262</v>
      </c>
      <c r="D93">
        <f>電力量!D94-電力量!D93</f>
        <v>21.700000000000728</v>
      </c>
      <c r="E93">
        <f>電力量!E94-電力量!E93</f>
        <v>0</v>
      </c>
      <c r="F93">
        <f>電力量!F94-電力量!F93</f>
        <v>34</v>
      </c>
      <c r="G93">
        <f>電力量!G94-電力量!G93</f>
        <v>82.400000000001455</v>
      </c>
      <c r="H93">
        <f>電力量!H94-電力量!H93</f>
        <v>17</v>
      </c>
      <c r="I93">
        <f>電力量!I94-電力量!I93</f>
        <v>338</v>
      </c>
      <c r="J93">
        <f>電力量!J94-電力量!J93</f>
        <v>12.299999999995634</v>
      </c>
      <c r="K93">
        <f>電力量!K94-電力量!K93</f>
        <v>3.5</v>
      </c>
      <c r="L93">
        <f>電力量!L94-電力量!L93</f>
        <v>29.899999999994179</v>
      </c>
      <c r="M93">
        <f>電力量!M94-電力量!M93</f>
        <v>47.69999999999709</v>
      </c>
      <c r="N93">
        <f>電力量!N94-電力量!N93</f>
        <v>56.599999999998545</v>
      </c>
      <c r="O93">
        <f>電力量!O94-電力量!O93</f>
        <v>23.899999999994179</v>
      </c>
      <c r="P93">
        <f>電力量!P94-電力量!P93</f>
        <v>0</v>
      </c>
      <c r="Q93">
        <f>電力量!Q94-電力量!Q93</f>
        <v>0</v>
      </c>
      <c r="R93">
        <f>電力量!R94-電力量!R93</f>
        <v>0</v>
      </c>
    </row>
    <row r="94" spans="1:18">
      <c r="A94" s="4">
        <f t="shared" si="42"/>
        <v>45875.833333333336</v>
      </c>
      <c r="B94">
        <f>電力量!B95-電力量!B94</f>
        <v>914</v>
      </c>
      <c r="C94">
        <f>電力量!C95-電力量!C94</f>
        <v>232</v>
      </c>
      <c r="D94">
        <f>電力量!D95-電力量!D94</f>
        <v>18.900000000001455</v>
      </c>
      <c r="E94">
        <f>電力量!E95-電力量!E94</f>
        <v>0</v>
      </c>
      <c r="F94">
        <f>電力量!F95-電力量!F94</f>
        <v>30</v>
      </c>
      <c r="G94">
        <f>電力量!G95-電力量!G94</f>
        <v>75.299999999999272</v>
      </c>
      <c r="H94">
        <f>電力量!H95-電力量!H94</f>
        <v>16</v>
      </c>
      <c r="I94">
        <f>電力量!I95-電力量!I94</f>
        <v>313</v>
      </c>
      <c r="J94">
        <f>電力量!J95-電力量!J94</f>
        <v>12.599999999998545</v>
      </c>
      <c r="K94">
        <f>電力量!K95-電力量!K94</f>
        <v>3.6000000000058208</v>
      </c>
      <c r="L94">
        <f>電力量!L95-電力量!L94</f>
        <v>24.80000000000291</v>
      </c>
      <c r="M94">
        <f>電力量!M95-電力量!M94</f>
        <v>47</v>
      </c>
      <c r="N94">
        <f>電力量!N95-電力量!N94</f>
        <v>56.400000000001455</v>
      </c>
      <c r="O94">
        <f>電力量!O95-電力量!O94</f>
        <v>24.80000000000291</v>
      </c>
      <c r="P94">
        <f>電力量!P95-電力量!P94</f>
        <v>0</v>
      </c>
      <c r="Q94">
        <f>電力量!Q95-電力量!Q94</f>
        <v>0</v>
      </c>
      <c r="R94">
        <f>電力量!R95-電力量!R94</f>
        <v>0</v>
      </c>
    </row>
    <row r="95" spans="1:18">
      <c r="A95" s="4">
        <f t="shared" si="43"/>
        <v>45875.875</v>
      </c>
      <c r="B95">
        <f>電力量!B96-電力量!B95</f>
        <v>860</v>
      </c>
      <c r="C95">
        <f>電力量!C96-電力量!C95</f>
        <v>219</v>
      </c>
      <c r="D95">
        <f>電力量!D96-電力量!D95</f>
        <v>18.599999999998545</v>
      </c>
      <c r="E95">
        <f>電力量!E96-電力量!E95</f>
        <v>0</v>
      </c>
      <c r="F95">
        <f>電力量!F96-電力量!F95</f>
        <v>28</v>
      </c>
      <c r="G95">
        <f>電力量!G96-電力量!G95</f>
        <v>72.099999999998545</v>
      </c>
      <c r="H95">
        <f>電力量!H96-電力量!H95</f>
        <v>12</v>
      </c>
      <c r="I95">
        <f>電力量!I96-電力量!I95</f>
        <v>288</v>
      </c>
      <c r="J95">
        <f>電力量!J96-電力量!J95</f>
        <v>11.900000000001455</v>
      </c>
      <c r="K95">
        <f>電力量!K96-電力量!K95</f>
        <v>3.2999999999883585</v>
      </c>
      <c r="L95">
        <f>電力量!L96-電力量!L95</f>
        <v>23</v>
      </c>
      <c r="M95">
        <f>電力量!M96-電力量!M95</f>
        <v>47.400000000001455</v>
      </c>
      <c r="N95">
        <f>電力量!N96-電力量!N95</f>
        <v>56.900000000001455</v>
      </c>
      <c r="O95">
        <f>電力量!O96-電力量!O95</f>
        <v>23.399999999994179</v>
      </c>
      <c r="P95">
        <f>電力量!P96-電力量!P95</f>
        <v>0</v>
      </c>
      <c r="Q95">
        <f>電力量!Q96-電力量!Q95</f>
        <v>0</v>
      </c>
      <c r="R95">
        <f>電力量!R96-電力量!R95</f>
        <v>0</v>
      </c>
    </row>
    <row r="96" spans="1:18">
      <c r="A96" s="4">
        <f t="shared" si="44"/>
        <v>45875.916666666664</v>
      </c>
      <c r="B96">
        <f>電力量!B97-電力量!B96</f>
        <v>857</v>
      </c>
      <c r="C96">
        <f>電力量!C97-電力量!C96</f>
        <v>210</v>
      </c>
      <c r="D96">
        <f>電力量!D97-電力量!D96</f>
        <v>16.5</v>
      </c>
      <c r="E96">
        <f>電力量!E97-電力量!E96</f>
        <v>0</v>
      </c>
      <c r="F96">
        <f>電力量!F97-電力量!F96</f>
        <v>29</v>
      </c>
      <c r="G96">
        <f>電力量!G97-電力量!G96</f>
        <v>71.100000000002183</v>
      </c>
      <c r="H96">
        <f>電力量!H97-電力量!H96</f>
        <v>12</v>
      </c>
      <c r="I96">
        <f>電力量!I97-電力量!I96</f>
        <v>287</v>
      </c>
      <c r="J96">
        <f>電力量!J97-電力量!J96</f>
        <v>12</v>
      </c>
      <c r="K96">
        <f>電力量!K97-電力量!K96</f>
        <v>3.3000000000029104</v>
      </c>
      <c r="L96">
        <f>電力量!L97-電力量!L96</f>
        <v>29.5</v>
      </c>
      <c r="M96">
        <f>電力量!M97-電力量!M96</f>
        <v>50.099999999998545</v>
      </c>
      <c r="N96">
        <f>電力量!N97-電力量!N96</f>
        <v>57.80000000000291</v>
      </c>
      <c r="O96">
        <f>電力量!O97-電力量!O96</f>
        <v>20.600000000005821</v>
      </c>
      <c r="P96">
        <f>電力量!P97-電力量!P96</f>
        <v>0</v>
      </c>
      <c r="Q96">
        <f>電力量!Q97-電力量!Q96</f>
        <v>0</v>
      </c>
      <c r="R96">
        <f>電力量!R97-電力量!R96</f>
        <v>0</v>
      </c>
    </row>
    <row r="97" spans="1:18">
      <c r="A97" s="4">
        <f t="shared" si="45"/>
        <v>45875.958333333336</v>
      </c>
      <c r="B97">
        <f>電力量!B98-電力量!B97</f>
        <v>839</v>
      </c>
      <c r="C97">
        <f>電力量!C98-電力量!C97</f>
        <v>210</v>
      </c>
      <c r="D97">
        <f>電力量!D98-電力量!D97</f>
        <v>13.5</v>
      </c>
      <c r="E97">
        <f>電力量!E98-電力量!E97</f>
        <v>0</v>
      </c>
      <c r="F97">
        <f>電力量!F98-電力量!F97</f>
        <v>34</v>
      </c>
      <c r="G97">
        <f>電力量!G98-電力量!G97</f>
        <v>69.399999999997817</v>
      </c>
      <c r="H97">
        <f>電力量!H98-電力量!H97</f>
        <v>11</v>
      </c>
      <c r="I97">
        <f>電力量!I98-電力量!I97</f>
        <v>275</v>
      </c>
      <c r="J97">
        <f>電力量!J98-電力量!J97</f>
        <v>12.30000000000291</v>
      </c>
      <c r="K97">
        <f>電力量!K98-電力量!K97</f>
        <v>3.6000000000058208</v>
      </c>
      <c r="L97">
        <f>電力量!L98-電力量!L97</f>
        <v>29.80000000000291</v>
      </c>
      <c r="M97">
        <f>電力量!M98-電力量!M97</f>
        <v>46.700000000004366</v>
      </c>
      <c r="N97">
        <f>電力量!N98-電力量!N97</f>
        <v>55.69999999999709</v>
      </c>
      <c r="O97">
        <f>電力量!O98-電力量!O97</f>
        <v>19.30000000000291</v>
      </c>
      <c r="P97">
        <f>電力量!P98-電力量!P97</f>
        <v>0</v>
      </c>
      <c r="Q97">
        <f>電力量!Q98-電力量!Q97</f>
        <v>0</v>
      </c>
      <c r="R97">
        <f>電力量!R98-電力量!R97</f>
        <v>0</v>
      </c>
    </row>
    <row r="98" spans="1:18">
      <c r="A98" s="4">
        <v>45876</v>
      </c>
      <c r="B98">
        <f>電力量!B99-電力量!B98</f>
        <v>812</v>
      </c>
      <c r="C98">
        <f>電力量!C99-電力量!C98</f>
        <v>206</v>
      </c>
      <c r="D98">
        <f>電力量!D99-電力量!D98</f>
        <v>12.5</v>
      </c>
      <c r="E98">
        <f>電力量!E99-電力量!E98</f>
        <v>0</v>
      </c>
      <c r="F98">
        <f>電力量!F99-電力量!F98</f>
        <v>30</v>
      </c>
      <c r="G98">
        <f>電力量!G99-電力量!G98</f>
        <v>67.600000000002183</v>
      </c>
      <c r="H98">
        <f>電力量!H99-電力量!H98</f>
        <v>12</v>
      </c>
      <c r="I98">
        <f>電力量!I99-電力量!I98</f>
        <v>262</v>
      </c>
      <c r="J98">
        <f>電力量!J99-電力量!J98</f>
        <v>11</v>
      </c>
      <c r="K98">
        <f>電力量!K99-電力量!K98</f>
        <v>3.3999999999941792</v>
      </c>
      <c r="L98">
        <f>電力量!L99-電力量!L98</f>
        <v>29.299999999988358</v>
      </c>
      <c r="M98">
        <f>電力量!M99-電力量!M98</f>
        <v>47.19999999999709</v>
      </c>
      <c r="N98">
        <f>電力量!N99-電力量!N98</f>
        <v>56.69999999999709</v>
      </c>
      <c r="O98">
        <f>電力量!O99-電力量!O98</f>
        <v>18.899999999994179</v>
      </c>
      <c r="P98">
        <f>電力量!P99-電力量!P98</f>
        <v>0</v>
      </c>
      <c r="Q98">
        <f>電力量!Q99-電力量!Q98</f>
        <v>0</v>
      </c>
      <c r="R98">
        <f>電力量!R99-電力量!R98</f>
        <v>0</v>
      </c>
    </row>
    <row r="99" spans="1:18">
      <c r="A99" s="4">
        <f t="shared" ref="A99:A147" si="46">A98+(1/24)</f>
        <v>45876.041666666664</v>
      </c>
      <c r="B99">
        <f>電力量!B100-電力量!B99</f>
        <v>797</v>
      </c>
      <c r="C99">
        <f>電力量!C100-電力量!C99</f>
        <v>202</v>
      </c>
      <c r="D99">
        <f>電力量!D100-電力量!D99</f>
        <v>13.299999999999272</v>
      </c>
      <c r="E99">
        <f>電力量!E100-電力量!E99</f>
        <v>0</v>
      </c>
      <c r="F99">
        <f>電力量!F100-電力量!F99</f>
        <v>29</v>
      </c>
      <c r="G99">
        <f>電力量!G100-電力量!G99</f>
        <v>67.099999999998545</v>
      </c>
      <c r="H99">
        <f>電力量!H100-電力量!H99</f>
        <v>11</v>
      </c>
      <c r="I99">
        <f>電力量!I100-電力量!I99</f>
        <v>256</v>
      </c>
      <c r="J99">
        <f>電力量!J100-電力量!J99</f>
        <v>10.69999999999709</v>
      </c>
      <c r="K99">
        <f>電力量!K100-電力量!K99</f>
        <v>3.1999999999970896</v>
      </c>
      <c r="L99">
        <f>電力量!L100-電力量!L99</f>
        <v>28.100000000005821</v>
      </c>
      <c r="M99">
        <f>電力量!M100-電力量!M99</f>
        <v>46</v>
      </c>
      <c r="N99">
        <f>電力量!N100-電力量!N99</f>
        <v>55.700000000004366</v>
      </c>
      <c r="O99">
        <f>電力量!O100-電力量!O99</f>
        <v>19.80000000000291</v>
      </c>
      <c r="P99">
        <f>電力量!P100-電力量!P99</f>
        <v>0</v>
      </c>
      <c r="Q99">
        <f>電力量!Q100-電力量!Q99</f>
        <v>0</v>
      </c>
      <c r="R99">
        <f>電力量!R100-電力量!R99</f>
        <v>0</v>
      </c>
    </row>
    <row r="100" spans="1:18">
      <c r="A100" s="4">
        <f t="shared" ref="A100:A148" si="47">A98+(2/24)</f>
        <v>45876.083333333336</v>
      </c>
      <c r="B100">
        <f>電力量!B101-電力量!B100</f>
        <v>775</v>
      </c>
      <c r="C100">
        <f>電力量!C101-電力量!C100</f>
        <v>200</v>
      </c>
      <c r="D100">
        <f>電力量!D101-電力量!D100</f>
        <v>12.700000000000728</v>
      </c>
      <c r="E100">
        <f>電力量!E101-電力量!E100</f>
        <v>0</v>
      </c>
      <c r="F100">
        <f>電力量!F101-電力量!F100</f>
        <v>28</v>
      </c>
      <c r="G100">
        <f>電力量!G101-電力量!G100</f>
        <v>65.299999999999272</v>
      </c>
      <c r="H100">
        <f>電力量!H101-電力量!H100</f>
        <v>11</v>
      </c>
      <c r="I100">
        <f>電力量!I101-電力量!I100</f>
        <v>239</v>
      </c>
      <c r="J100">
        <f>電力量!J101-電力量!J100</f>
        <v>10.30000000000291</v>
      </c>
      <c r="K100">
        <f>電力量!K101-電力量!K100</f>
        <v>3.3000000000029104</v>
      </c>
      <c r="L100">
        <f>電力量!L101-電力量!L100</f>
        <v>25.100000000005821</v>
      </c>
      <c r="M100">
        <f>電力量!M101-電力量!M100</f>
        <v>48.30000000000291</v>
      </c>
      <c r="N100">
        <f>電力量!N101-電力量!N100</f>
        <v>57.5</v>
      </c>
      <c r="O100">
        <f>電力量!O101-電力量!O100</f>
        <v>20.19999999999709</v>
      </c>
      <c r="P100">
        <f>電力量!P101-電力量!P100</f>
        <v>0</v>
      </c>
      <c r="Q100">
        <f>電力量!Q101-電力量!Q100</f>
        <v>0</v>
      </c>
      <c r="R100">
        <f>電力量!R101-電力量!R100</f>
        <v>0</v>
      </c>
    </row>
    <row r="101" spans="1:18">
      <c r="A101" s="4">
        <f t="shared" ref="A101:A149" si="48">A98+(3/24)</f>
        <v>45876.125</v>
      </c>
      <c r="B101">
        <f>電力量!B102-電力量!B101</f>
        <v>772</v>
      </c>
      <c r="C101">
        <f>電力量!C102-電力量!C101</f>
        <v>197</v>
      </c>
      <c r="D101">
        <f>電力量!D102-電力量!D101</f>
        <v>13.400000000001455</v>
      </c>
      <c r="E101">
        <f>電力量!E102-電力量!E101</f>
        <v>0</v>
      </c>
      <c r="F101">
        <f>電力量!F102-電力量!F101</f>
        <v>29</v>
      </c>
      <c r="G101">
        <f>電力量!G102-電力量!G101</f>
        <v>65.900000000001455</v>
      </c>
      <c r="H101">
        <f>電力量!H102-電力量!H101</f>
        <v>13</v>
      </c>
      <c r="I101">
        <f>電力量!I102-電力量!I101</f>
        <v>244</v>
      </c>
      <c r="J101">
        <f>電力量!J102-電力量!J101</f>
        <v>10.599999999998545</v>
      </c>
      <c r="K101">
        <f>電力量!K102-電力量!K101</f>
        <v>3.1999999999970896</v>
      </c>
      <c r="L101">
        <f>電力量!L102-電力量!L101</f>
        <v>22.19999999999709</v>
      </c>
      <c r="M101">
        <f>電力量!M102-電力量!M101</f>
        <v>47.5</v>
      </c>
      <c r="N101">
        <f>電力量!N102-電力量!N101</f>
        <v>55.900000000001455</v>
      </c>
      <c r="O101">
        <f>電力量!O102-電力量!O101</f>
        <v>18.69999999999709</v>
      </c>
      <c r="P101">
        <f>電力量!P102-電力量!P101</f>
        <v>0</v>
      </c>
      <c r="Q101">
        <f>電力量!Q102-電力量!Q101</f>
        <v>0</v>
      </c>
      <c r="R101">
        <f>電力量!R102-電力量!R101</f>
        <v>0</v>
      </c>
    </row>
    <row r="102" spans="1:18">
      <c r="A102" s="4">
        <f t="shared" ref="A102:A150" si="49">A98+(4/24)</f>
        <v>45876.166666666664</v>
      </c>
      <c r="B102">
        <f>電力量!B103-電力量!B102</f>
        <v>754</v>
      </c>
      <c r="C102">
        <f>電力量!C103-電力量!C102</f>
        <v>194</v>
      </c>
      <c r="D102">
        <f>電力量!D103-電力量!D102</f>
        <v>12.799999999999272</v>
      </c>
      <c r="E102">
        <f>電力量!E103-電力量!E102</f>
        <v>0</v>
      </c>
      <c r="F102">
        <f>電力量!F103-電力量!F102</f>
        <v>27</v>
      </c>
      <c r="G102">
        <f>電力量!G103-電力量!G102</f>
        <v>65.599999999998545</v>
      </c>
      <c r="H102">
        <f>電力量!H103-電力量!H102</f>
        <v>11</v>
      </c>
      <c r="I102">
        <f>電力量!I103-電力量!I102</f>
        <v>229</v>
      </c>
      <c r="J102">
        <f>電力量!J103-電力量!J102</f>
        <v>10.099999999998545</v>
      </c>
      <c r="K102">
        <f>電力量!K103-電力量!K102</f>
        <v>3.3000000000029104</v>
      </c>
      <c r="L102">
        <f>電力量!L103-電力量!L102</f>
        <v>21.599999999991269</v>
      </c>
      <c r="M102">
        <f>電力量!M103-電力量!M102</f>
        <v>46.400000000001455</v>
      </c>
      <c r="N102">
        <f>電力量!N103-電力量!N102</f>
        <v>57.799999999995634</v>
      </c>
      <c r="O102">
        <f>電力量!O103-電力量!O102</f>
        <v>20.200000000011642</v>
      </c>
      <c r="P102">
        <f>電力量!P103-電力量!P102</f>
        <v>0</v>
      </c>
      <c r="Q102">
        <f>電力量!Q103-電力量!Q102</f>
        <v>0</v>
      </c>
      <c r="R102">
        <f>電力量!R103-電力量!R102</f>
        <v>0</v>
      </c>
    </row>
    <row r="103" spans="1:18">
      <c r="A103" s="4">
        <f t="shared" ref="A103:A151" si="50">A98+(5/24)</f>
        <v>45876.208333333336</v>
      </c>
      <c r="B103">
        <f>電力量!B104-電力量!B103</f>
        <v>732</v>
      </c>
      <c r="C103">
        <f>電力量!C104-電力量!C103</f>
        <v>183</v>
      </c>
      <c r="D103">
        <f>電力量!D104-電力量!D103</f>
        <v>12.200000000000728</v>
      </c>
      <c r="E103">
        <f>電力量!E104-電力量!E103</f>
        <v>0</v>
      </c>
      <c r="F103">
        <f>電力量!F104-電力量!F103</f>
        <v>27</v>
      </c>
      <c r="G103">
        <f>電力量!G104-電力量!G103</f>
        <v>62.5</v>
      </c>
      <c r="H103">
        <f>電力量!H104-電力量!H103</f>
        <v>12</v>
      </c>
      <c r="I103">
        <f>電力量!I104-電力量!I103</f>
        <v>227</v>
      </c>
      <c r="J103">
        <f>電力量!J104-電力量!J103</f>
        <v>10</v>
      </c>
      <c r="K103">
        <f>電力量!K104-電力量!K103</f>
        <v>3.1000000000058208</v>
      </c>
      <c r="L103">
        <f>電力量!L104-電力量!L103</f>
        <v>21.200000000011642</v>
      </c>
      <c r="M103">
        <f>電力量!M104-電力量!M103</f>
        <v>44.5</v>
      </c>
      <c r="N103">
        <f>電力量!N104-電力量!N103</f>
        <v>55.700000000004366</v>
      </c>
      <c r="O103">
        <f>電力量!O104-電力量!O103</f>
        <v>20.69999999999709</v>
      </c>
      <c r="P103">
        <f>電力量!P104-電力量!P103</f>
        <v>0</v>
      </c>
      <c r="Q103">
        <f>電力量!Q104-電力量!Q103</f>
        <v>0</v>
      </c>
      <c r="R103">
        <f>電力量!R104-電力量!R103</f>
        <v>0</v>
      </c>
    </row>
    <row r="104" spans="1:18">
      <c r="A104" s="4">
        <f t="shared" ref="A104:A152" si="51">A98+(6/24)</f>
        <v>45876.25</v>
      </c>
      <c r="B104">
        <f>電力量!B105-電力量!B104</f>
        <v>726</v>
      </c>
      <c r="C104">
        <f>電力量!C105-電力量!C104</f>
        <v>183</v>
      </c>
      <c r="D104">
        <f>電力量!D105-電力量!D104</f>
        <v>12.399999999997817</v>
      </c>
      <c r="E104">
        <f>電力量!E105-電力量!E104</f>
        <v>0</v>
      </c>
      <c r="F104">
        <f>電力量!F105-電力量!F104</f>
        <v>26</v>
      </c>
      <c r="G104">
        <f>電力量!G105-電力量!G104</f>
        <v>62.200000000000728</v>
      </c>
      <c r="H104">
        <f>電力量!H105-電力量!H104</f>
        <v>11</v>
      </c>
      <c r="I104">
        <f>電力量!I105-電力量!I104</f>
        <v>222</v>
      </c>
      <c r="J104">
        <f>電力量!J105-電力量!J104</f>
        <v>10</v>
      </c>
      <c r="K104">
        <f>電力量!K105-電力量!K104</f>
        <v>3.0999999999912689</v>
      </c>
      <c r="L104">
        <f>電力量!L105-電力量!L104</f>
        <v>20.69999999999709</v>
      </c>
      <c r="M104">
        <f>電力量!M105-電力量!M104</f>
        <v>44.5</v>
      </c>
      <c r="N104">
        <f>電力量!N105-電力量!N104</f>
        <v>55.5</v>
      </c>
      <c r="O104">
        <f>電力量!O105-電力量!O104</f>
        <v>20.899999999994179</v>
      </c>
      <c r="P104">
        <f>電力量!P105-電力量!P104</f>
        <v>1</v>
      </c>
      <c r="Q104">
        <f>電力量!Q105-電力量!Q104</f>
        <v>1</v>
      </c>
      <c r="R104">
        <f>電力量!R105-電力量!R104</f>
        <v>0</v>
      </c>
    </row>
    <row r="105" spans="1:18">
      <c r="A105" s="4">
        <f t="shared" ref="A105:A153" si="52">A98+(7/24)</f>
        <v>45876.291666666664</v>
      </c>
      <c r="B105">
        <f>電力量!B106-電力量!B105</f>
        <v>761</v>
      </c>
      <c r="C105">
        <f>電力量!C106-電力量!C105</f>
        <v>196</v>
      </c>
      <c r="D105">
        <f>電力量!D106-電力量!D105</f>
        <v>13.30000000000291</v>
      </c>
      <c r="E105">
        <f>電力量!E106-電力量!E105</f>
        <v>0</v>
      </c>
      <c r="F105">
        <f>電力量!F106-電力量!F105</f>
        <v>28</v>
      </c>
      <c r="G105">
        <f>電力量!G106-電力量!G105</f>
        <v>59.5</v>
      </c>
      <c r="H105">
        <f>電力量!H106-電力量!H105</f>
        <v>12</v>
      </c>
      <c r="I105">
        <f>電力量!I106-電力量!I105</f>
        <v>240</v>
      </c>
      <c r="J105">
        <f>電力量!J106-電力量!J105</f>
        <v>9.4000000000014552</v>
      </c>
      <c r="K105">
        <f>電力量!K106-電力量!K105</f>
        <v>3.1000000000058208</v>
      </c>
      <c r="L105">
        <f>電力量!L106-電力量!L105</f>
        <v>21.599999999991269</v>
      </c>
      <c r="M105">
        <f>電力量!M106-電力量!M105</f>
        <v>43.5</v>
      </c>
      <c r="N105">
        <f>電力量!N106-電力量!N105</f>
        <v>55.899999999994179</v>
      </c>
      <c r="O105">
        <f>電力量!O106-電力量!O105</f>
        <v>22.5</v>
      </c>
      <c r="P105">
        <f>電力量!P106-電力量!P105</f>
        <v>0</v>
      </c>
      <c r="Q105">
        <f>電力量!Q106-電力量!Q105</f>
        <v>0</v>
      </c>
      <c r="R105">
        <f>電力量!R106-電力量!R105</f>
        <v>0</v>
      </c>
    </row>
    <row r="106" spans="1:18">
      <c r="A106" s="4">
        <f t="shared" ref="A106:A154" si="53">A98+(8/24)</f>
        <v>45876.333333333336</v>
      </c>
      <c r="B106">
        <f>電力量!B107-電力量!B106</f>
        <v>912</v>
      </c>
      <c r="C106">
        <f>電力量!C107-電力量!C106</f>
        <v>245</v>
      </c>
      <c r="D106">
        <f>電力量!D107-電力量!D106</f>
        <v>17.19999999999709</v>
      </c>
      <c r="E106">
        <f>電力量!E107-電力量!E106</f>
        <v>0</v>
      </c>
      <c r="F106">
        <f>電力量!F107-電力量!F106</f>
        <v>32</v>
      </c>
      <c r="G106">
        <f>電力量!G107-電力量!G106</f>
        <v>61.299999999999272</v>
      </c>
      <c r="H106">
        <f>電力量!H107-電力量!H106</f>
        <v>12</v>
      </c>
      <c r="I106">
        <f>電力量!I107-電力量!I106</f>
        <v>288</v>
      </c>
      <c r="J106">
        <f>電力量!J107-電力量!J106</f>
        <v>9.8000000000029104</v>
      </c>
      <c r="K106">
        <f>電力量!K107-電力量!K106</f>
        <v>6.1000000000058208</v>
      </c>
      <c r="L106">
        <f>電力量!L107-電力量!L106</f>
        <v>33</v>
      </c>
      <c r="M106">
        <f>電力量!M107-電力量!M106</f>
        <v>45.299999999995634</v>
      </c>
      <c r="N106">
        <f>電力量!N107-電力量!N106</f>
        <v>57.80000000000291</v>
      </c>
      <c r="O106">
        <f>電力量!O107-電力量!O106</f>
        <v>38.5</v>
      </c>
      <c r="P106">
        <f>電力量!P107-電力量!P106</f>
        <v>1</v>
      </c>
      <c r="Q106">
        <f>電力量!Q107-電力量!Q106</f>
        <v>1</v>
      </c>
      <c r="R106">
        <f>電力量!R107-電力量!R106</f>
        <v>0</v>
      </c>
    </row>
    <row r="107" spans="1:18">
      <c r="A107" s="4">
        <f t="shared" ref="A107:A155" si="54">A98+(9/24)</f>
        <v>45876.375</v>
      </c>
      <c r="B107">
        <f>電力量!B108-電力量!B107</f>
        <v>1168</v>
      </c>
      <c r="C107">
        <f>電力量!C108-電力量!C107</f>
        <v>316</v>
      </c>
      <c r="D107">
        <f>電力量!D108-電力量!D107</f>
        <v>31.900000000001455</v>
      </c>
      <c r="E107">
        <f>電力量!E108-電力量!E107</f>
        <v>0</v>
      </c>
      <c r="F107">
        <f>電力量!F108-電力量!F107</f>
        <v>34</v>
      </c>
      <c r="G107">
        <f>電力量!G108-電力量!G107</f>
        <v>75.799999999999272</v>
      </c>
      <c r="H107">
        <f>電力量!H108-電力量!H107</f>
        <v>12</v>
      </c>
      <c r="I107">
        <f>電力量!I108-電力量!I107</f>
        <v>369</v>
      </c>
      <c r="J107">
        <f>電力量!J108-電力量!J107</f>
        <v>9.8999999999941792</v>
      </c>
      <c r="K107">
        <f>電力量!K108-電力量!K107</f>
        <v>1.6999999999970896</v>
      </c>
      <c r="L107">
        <f>電力量!L108-電力量!L107</f>
        <v>44.5</v>
      </c>
      <c r="M107">
        <f>電力量!M108-電力量!M107</f>
        <v>58.700000000004366</v>
      </c>
      <c r="N107">
        <f>電力量!N108-電力量!N107</f>
        <v>56.400000000001455</v>
      </c>
      <c r="O107">
        <f>電力量!O108-電力量!O107</f>
        <v>58.400000000008731</v>
      </c>
      <c r="P107">
        <f>電力量!P108-電力量!P107</f>
        <v>5</v>
      </c>
      <c r="Q107">
        <f>電力量!Q108-電力量!Q107</f>
        <v>9</v>
      </c>
      <c r="R107">
        <f>電力量!R108-電力量!R107</f>
        <v>0</v>
      </c>
    </row>
    <row r="108" spans="1:18">
      <c r="A108" s="4">
        <f t="shared" ref="A108:A156" si="55">A98+(10/24)</f>
        <v>45876.416666666664</v>
      </c>
      <c r="B108">
        <f>電力量!B109-電力量!B108</f>
        <v>1378</v>
      </c>
      <c r="C108">
        <f>電力量!C109-電力量!C108</f>
        <v>372</v>
      </c>
      <c r="D108">
        <f>電力量!D109-電力量!D108</f>
        <v>47</v>
      </c>
      <c r="E108">
        <f>電力量!E109-電力量!E108</f>
        <v>0</v>
      </c>
      <c r="F108">
        <f>電力量!F109-電力量!F108</f>
        <v>44</v>
      </c>
      <c r="G108">
        <f>電力量!G109-電力量!G108</f>
        <v>98.700000000000728</v>
      </c>
      <c r="H108">
        <f>電力量!H109-電力量!H108</f>
        <v>17</v>
      </c>
      <c r="I108">
        <f>電力量!I109-電力量!I108</f>
        <v>447</v>
      </c>
      <c r="J108">
        <f>電力量!J109-電力量!J108</f>
        <v>10.700000000004366</v>
      </c>
      <c r="K108">
        <f>電力量!K109-電力量!K108</f>
        <v>6.5</v>
      </c>
      <c r="L108">
        <f>電力量!L109-電力量!L108</f>
        <v>50.100000000005821</v>
      </c>
      <c r="M108">
        <f>電力量!M109-電力量!M108</f>
        <v>60.5</v>
      </c>
      <c r="N108">
        <f>電力量!N109-電力量!N108</f>
        <v>56</v>
      </c>
      <c r="O108">
        <f>電力量!O109-電力量!O108</f>
        <v>63.599999999991269</v>
      </c>
      <c r="P108">
        <f>電力量!P109-電力量!P108</f>
        <v>7</v>
      </c>
      <c r="Q108">
        <f>電力量!Q109-電力量!Q108</f>
        <v>11</v>
      </c>
      <c r="R108">
        <f>電力量!R109-電力量!R108</f>
        <v>0</v>
      </c>
    </row>
    <row r="109" spans="1:18">
      <c r="A109" s="4">
        <f t="shared" ref="A109:A157" si="56">A98+(11/24)</f>
        <v>45876.458333333336</v>
      </c>
      <c r="B109">
        <f>電力量!B110-電力量!B109</f>
        <v>1381</v>
      </c>
      <c r="C109">
        <f>電力量!C110-電力量!C109</f>
        <v>366</v>
      </c>
      <c r="D109">
        <f>電力量!D110-電力量!D109</f>
        <v>38.5</v>
      </c>
      <c r="E109">
        <f>電力量!E110-電力量!E109</f>
        <v>0</v>
      </c>
      <c r="F109">
        <f>電力量!F110-電力量!F109</f>
        <v>44</v>
      </c>
      <c r="G109">
        <f>電力量!G110-電力量!G109</f>
        <v>98.200000000000728</v>
      </c>
      <c r="H109">
        <f>電力量!H110-電力量!H109</f>
        <v>56</v>
      </c>
      <c r="I109">
        <f>電力量!I110-電力量!I109</f>
        <v>425</v>
      </c>
      <c r="J109">
        <f>電力量!J110-電力量!J109</f>
        <v>10.69999999999709</v>
      </c>
      <c r="K109">
        <f>電力量!K110-電力量!K109</f>
        <v>7.1999999999970896</v>
      </c>
      <c r="L109">
        <f>電力量!L110-電力量!L109</f>
        <v>46.30000000000291</v>
      </c>
      <c r="M109">
        <f>電力量!M110-電力量!M109</f>
        <v>57.69999999999709</v>
      </c>
      <c r="N109">
        <f>電力量!N110-電力量!N109</f>
        <v>58.099999999998545</v>
      </c>
      <c r="O109">
        <f>電力量!O110-電力量!O109</f>
        <v>72.600000000005821</v>
      </c>
      <c r="P109">
        <f>電力量!P110-電力量!P109</f>
        <v>5</v>
      </c>
      <c r="Q109">
        <f>電力量!Q110-電力量!Q109</f>
        <v>7</v>
      </c>
      <c r="R109">
        <f>電力量!R110-電力量!R109</f>
        <v>0</v>
      </c>
    </row>
    <row r="110" spans="1:18">
      <c r="A110" s="4">
        <f t="shared" ref="A110:A158" si="57">A98+(12/24)</f>
        <v>45876.5</v>
      </c>
      <c r="B110">
        <f>電力量!B111-電力量!B110</f>
        <v>1422</v>
      </c>
      <c r="C110">
        <f>電力量!C111-電力量!C110</f>
        <v>361</v>
      </c>
      <c r="D110">
        <f>電力量!D111-電力量!D110</f>
        <v>37.599999999998545</v>
      </c>
      <c r="E110">
        <f>電力量!E111-電力量!E110</f>
        <v>0</v>
      </c>
      <c r="F110">
        <f>電力量!F111-電力量!F110</f>
        <v>43</v>
      </c>
      <c r="G110">
        <f>電力量!G111-電力量!G110</f>
        <v>101.90000000000146</v>
      </c>
      <c r="H110">
        <f>電力量!H111-電力量!H110</f>
        <v>61</v>
      </c>
      <c r="I110">
        <f>電力量!I111-電力量!I110</f>
        <v>467</v>
      </c>
      <c r="J110">
        <f>電力量!J111-電力量!J110</f>
        <v>11.30000000000291</v>
      </c>
      <c r="K110">
        <f>電力量!K111-電力量!K110</f>
        <v>5.6000000000058208</v>
      </c>
      <c r="L110">
        <f>電力量!L111-電力量!L110</f>
        <v>45.80000000000291</v>
      </c>
      <c r="M110">
        <f>電力量!M111-電力量!M110</f>
        <v>61.400000000001455</v>
      </c>
      <c r="N110">
        <f>電力量!N111-電力量!N110</f>
        <v>53.099999999998545</v>
      </c>
      <c r="O110">
        <f>電力量!O111-電力量!O110</f>
        <v>71.5</v>
      </c>
      <c r="P110">
        <f>電力量!P111-電力量!P110</f>
        <v>5</v>
      </c>
      <c r="Q110">
        <f>電力量!Q111-電力量!Q110</f>
        <v>8</v>
      </c>
      <c r="R110">
        <f>電力量!R111-電力量!R110</f>
        <v>0</v>
      </c>
    </row>
    <row r="111" spans="1:18">
      <c r="A111" s="4">
        <f t="shared" ref="A111:A159" si="58">A98+(13/24)</f>
        <v>45876.541666666664</v>
      </c>
      <c r="B111">
        <f>電力量!B112-電力量!B111</f>
        <v>1450</v>
      </c>
      <c r="C111">
        <f>電力量!C112-電力量!C111</f>
        <v>360</v>
      </c>
      <c r="D111">
        <f>電力量!D112-電力量!D111</f>
        <v>38.30000000000291</v>
      </c>
      <c r="E111">
        <f>電力量!E112-電力量!E111</f>
        <v>0</v>
      </c>
      <c r="F111">
        <f>電力量!F112-電力量!F111</f>
        <v>46</v>
      </c>
      <c r="G111">
        <f>電力量!G112-電力量!G111</f>
        <v>111.39999999999782</v>
      </c>
      <c r="H111">
        <f>電力量!H112-電力量!H111</f>
        <v>56</v>
      </c>
      <c r="I111">
        <f>電力量!I112-電力量!I111</f>
        <v>479</v>
      </c>
      <c r="J111">
        <f>電力量!J112-電力量!J111</f>
        <v>16.69999999999709</v>
      </c>
      <c r="K111">
        <f>電力量!K112-電力量!K111</f>
        <v>4.0999999999912689</v>
      </c>
      <c r="L111">
        <f>電力量!L112-電力量!L111</f>
        <v>45</v>
      </c>
      <c r="M111">
        <f>電力量!M112-電力量!M111</f>
        <v>64.69999999999709</v>
      </c>
      <c r="N111">
        <f>電力量!N112-電力量!N111</f>
        <v>51.200000000004366</v>
      </c>
      <c r="O111">
        <f>電力量!O112-電力量!O111</f>
        <v>72</v>
      </c>
      <c r="P111">
        <f>電力量!P112-電力量!P111</f>
        <v>6</v>
      </c>
      <c r="Q111">
        <f>電力量!Q112-電力量!Q111</f>
        <v>10</v>
      </c>
      <c r="R111">
        <f>電力量!R112-電力量!R111</f>
        <v>0</v>
      </c>
    </row>
    <row r="112" spans="1:18">
      <c r="A112" s="4">
        <f t="shared" ref="A112:A160" si="59">A98+(14/24)</f>
        <v>45876.583333333336</v>
      </c>
      <c r="B112">
        <f>電力量!B113-電力量!B112</f>
        <v>1514</v>
      </c>
      <c r="C112">
        <f>電力量!C113-電力量!C112</f>
        <v>370</v>
      </c>
      <c r="D112">
        <f>電力量!D113-電力量!D112</f>
        <v>43.399999999997817</v>
      </c>
      <c r="E112">
        <f>電力量!E113-電力量!E112</f>
        <v>0</v>
      </c>
      <c r="F112">
        <f>電力量!F113-電力量!F112</f>
        <v>49</v>
      </c>
      <c r="G112">
        <f>電力量!G113-電力量!G112</f>
        <v>111.79999999999927</v>
      </c>
      <c r="H112">
        <f>電力量!H113-電力量!H112</f>
        <v>83</v>
      </c>
      <c r="I112">
        <f>電力量!I113-電力量!I112</f>
        <v>487</v>
      </c>
      <c r="J112">
        <f>電力量!J113-電力量!J112</f>
        <v>19.80000000000291</v>
      </c>
      <c r="K112">
        <f>電力量!K113-電力量!K112</f>
        <v>2.6000000000058208</v>
      </c>
      <c r="L112">
        <f>電力量!L113-電力量!L112</f>
        <v>50.5</v>
      </c>
      <c r="M112">
        <f>電力量!M113-電力量!M112</f>
        <v>73.30000000000291</v>
      </c>
      <c r="N112">
        <f>電力量!N113-電力量!N112</f>
        <v>51.899999999994179</v>
      </c>
      <c r="O112">
        <f>電力量!O113-電力量!O112</f>
        <v>58.899999999994179</v>
      </c>
      <c r="P112">
        <f>電力量!P113-電力量!P112</f>
        <v>9</v>
      </c>
      <c r="Q112">
        <f>電力量!Q113-電力量!Q112</f>
        <v>13</v>
      </c>
      <c r="R112">
        <f>電力量!R113-電力量!R112</f>
        <v>0</v>
      </c>
    </row>
    <row r="113" spans="1:18">
      <c r="A113" s="4">
        <f t="shared" ref="A113:A161" si="60">A98+(15/24)</f>
        <v>45876.625</v>
      </c>
      <c r="B113">
        <f>電力量!B114-電力量!B113</f>
        <v>1479</v>
      </c>
      <c r="C113">
        <f>電力量!C114-電力量!C113</f>
        <v>379</v>
      </c>
      <c r="D113">
        <f>電力量!D114-電力量!D113</f>
        <v>43.200000000000728</v>
      </c>
      <c r="E113">
        <f>電力量!E114-電力量!E113</f>
        <v>0</v>
      </c>
      <c r="F113">
        <f>電力量!F114-電力量!F113</f>
        <v>44</v>
      </c>
      <c r="G113">
        <f>電力量!G114-電力量!G113</f>
        <v>115.5</v>
      </c>
      <c r="H113">
        <f>電力量!H114-電力量!H113</f>
        <v>65</v>
      </c>
      <c r="I113">
        <f>電力量!I114-電力量!I113</f>
        <v>485</v>
      </c>
      <c r="J113">
        <f>電力量!J114-電力量!J113</f>
        <v>16.599999999998545</v>
      </c>
      <c r="K113">
        <f>電力量!K114-電力量!K113</f>
        <v>3</v>
      </c>
      <c r="L113">
        <f>電力量!L114-電力量!L113</f>
        <v>51.5</v>
      </c>
      <c r="M113">
        <f>電力量!M114-電力量!M113</f>
        <v>77.5</v>
      </c>
      <c r="N113">
        <f>電力量!N114-電力量!N113</f>
        <v>50.80000000000291</v>
      </c>
      <c r="O113">
        <f>電力量!O114-電力量!O113</f>
        <v>34.600000000005821</v>
      </c>
      <c r="P113">
        <f>電力量!P114-電力量!P113</f>
        <v>6</v>
      </c>
      <c r="Q113">
        <f>電力量!Q114-電力量!Q113</f>
        <v>11</v>
      </c>
      <c r="R113">
        <f>電力量!R114-電力量!R113</f>
        <v>0</v>
      </c>
    </row>
    <row r="114" spans="1:18">
      <c r="A114" s="4">
        <f t="shared" ref="A114:A162" si="61">A98+(16/24)</f>
        <v>45876.666666666664</v>
      </c>
      <c r="B114">
        <f>電力量!B115-電力量!B114</f>
        <v>1357</v>
      </c>
      <c r="C114">
        <f>電力量!C115-電力量!C114</f>
        <v>350</v>
      </c>
      <c r="D114">
        <f>電力量!D115-電力量!D114</f>
        <v>37.299999999999272</v>
      </c>
      <c r="E114">
        <f>電力量!E115-電力量!E114</f>
        <v>0</v>
      </c>
      <c r="F114">
        <f>電力量!F115-電力量!F114</f>
        <v>38</v>
      </c>
      <c r="G114">
        <f>電力量!G115-電力量!G114</f>
        <v>109.5</v>
      </c>
      <c r="H114">
        <f>電力量!H115-電力量!H114</f>
        <v>30</v>
      </c>
      <c r="I114">
        <f>電力量!I115-電力量!I114</f>
        <v>469</v>
      </c>
      <c r="J114">
        <f>電力量!J115-電力量!J114</f>
        <v>13.900000000001455</v>
      </c>
      <c r="K114">
        <f>電力量!K115-電力量!K114</f>
        <v>6.3999999999941792</v>
      </c>
      <c r="L114">
        <f>電力量!L115-電力量!L114</f>
        <v>48.399999999994179</v>
      </c>
      <c r="M114">
        <f>電力量!M115-電力量!M114</f>
        <v>64.900000000001455</v>
      </c>
      <c r="N114">
        <f>電力量!N115-電力量!N114</f>
        <v>57.30000000000291</v>
      </c>
      <c r="O114">
        <f>電力量!O115-電力量!O114</f>
        <v>32.899999999994179</v>
      </c>
      <c r="P114">
        <f>電力量!P115-電力量!P114</f>
        <v>3</v>
      </c>
      <c r="Q114">
        <f>電力量!Q115-電力量!Q114</f>
        <v>4</v>
      </c>
      <c r="R114">
        <f>電力量!R115-電力量!R114</f>
        <v>0</v>
      </c>
    </row>
    <row r="115" spans="1:18">
      <c r="A115" s="4">
        <f t="shared" ref="A115:A163" si="62">A98+(17/24)</f>
        <v>45876.708333333336</v>
      </c>
      <c r="B115">
        <f>電力量!B116-電力量!B115</f>
        <v>1208</v>
      </c>
      <c r="C115">
        <f>電力量!C116-電力量!C115</f>
        <v>320</v>
      </c>
      <c r="D115">
        <f>電力量!D116-電力量!D115</f>
        <v>30.400000000001455</v>
      </c>
      <c r="E115">
        <f>電力量!E116-電力量!E115</f>
        <v>0</v>
      </c>
      <c r="F115">
        <f>電力量!F116-電力量!F115</f>
        <v>30</v>
      </c>
      <c r="G115">
        <f>電力量!G116-電力量!G115</f>
        <v>93.900000000001455</v>
      </c>
      <c r="H115">
        <f>電力量!H116-電力量!H115</f>
        <v>38</v>
      </c>
      <c r="I115">
        <f>電力量!I116-電力量!I115</f>
        <v>409</v>
      </c>
      <c r="J115">
        <f>電力量!J116-電力量!J115</f>
        <v>10.299999999995634</v>
      </c>
      <c r="K115">
        <f>電力量!K116-電力量!K115</f>
        <v>3.1000000000058208</v>
      </c>
      <c r="L115">
        <f>電力量!L116-電力量!L115</f>
        <v>48.899999999994179</v>
      </c>
      <c r="M115">
        <f>電力量!M116-電力量!M115</f>
        <v>50.5</v>
      </c>
      <c r="N115">
        <f>電力量!N116-電力量!N115</f>
        <v>59</v>
      </c>
      <c r="O115">
        <f>電力量!O116-電力量!O115</f>
        <v>29</v>
      </c>
      <c r="P115">
        <f>電力量!P116-電力量!P115</f>
        <v>1</v>
      </c>
      <c r="Q115">
        <f>電力量!Q116-電力量!Q115</f>
        <v>1</v>
      </c>
      <c r="R115">
        <f>電力量!R116-電力量!R115</f>
        <v>0</v>
      </c>
    </row>
    <row r="116" spans="1:18">
      <c r="A116" s="4">
        <f t="shared" ref="A116:A164" si="63">A98+(18/24)</f>
        <v>45876.75</v>
      </c>
      <c r="B116">
        <f>電力量!B117-電力量!B116</f>
        <v>1037</v>
      </c>
      <c r="C116">
        <f>電力量!C117-電力量!C116</f>
        <v>275</v>
      </c>
      <c r="D116">
        <f>電力量!D117-電力量!D116</f>
        <v>25.299999999999272</v>
      </c>
      <c r="E116">
        <f>電力量!E117-電力量!E116</f>
        <v>0</v>
      </c>
      <c r="F116">
        <f>電力量!F117-電力量!F116</f>
        <v>24</v>
      </c>
      <c r="G116">
        <f>電力量!G117-電力量!G116</f>
        <v>81.299999999999272</v>
      </c>
      <c r="H116">
        <f>電力量!H117-電力量!H116</f>
        <v>17</v>
      </c>
      <c r="I116">
        <f>電力量!I117-電力量!I116</f>
        <v>359</v>
      </c>
      <c r="J116">
        <f>電力量!J117-電力量!J116</f>
        <v>10.400000000001455</v>
      </c>
      <c r="K116">
        <f>電力量!K117-電力量!K116</f>
        <v>2.5</v>
      </c>
      <c r="L116">
        <f>電力量!L117-電力量!L116</f>
        <v>38.100000000005821</v>
      </c>
      <c r="M116">
        <f>電力量!M117-電力量!M116</f>
        <v>45.19999999999709</v>
      </c>
      <c r="N116">
        <f>電力量!N117-電力量!N116</f>
        <v>57.69999999999709</v>
      </c>
      <c r="O116">
        <f>電力量!O117-電力量!O116</f>
        <v>24</v>
      </c>
      <c r="P116">
        <f>電力量!P117-電力量!P116</f>
        <v>0</v>
      </c>
      <c r="Q116">
        <f>電力量!Q117-電力量!Q116</f>
        <v>1</v>
      </c>
      <c r="R116">
        <f>電力量!R117-電力量!R116</f>
        <v>0</v>
      </c>
    </row>
    <row r="117" spans="1:18">
      <c r="A117" s="4">
        <f t="shared" ref="A117:A165" si="64">A98+(19/24)</f>
        <v>45876.791666666664</v>
      </c>
      <c r="B117">
        <f>電力量!B118-電力量!B117</f>
        <v>955</v>
      </c>
      <c r="C117">
        <f>電力量!C118-電力量!C117</f>
        <v>251</v>
      </c>
      <c r="D117">
        <f>電力量!D118-電力量!D117</f>
        <v>23.799999999999272</v>
      </c>
      <c r="E117">
        <f>電力量!E118-電力量!E117</f>
        <v>0</v>
      </c>
      <c r="F117">
        <f>電力量!F118-電力量!F117</f>
        <v>23</v>
      </c>
      <c r="G117">
        <f>電力量!G118-電力量!G117</f>
        <v>73.100000000002183</v>
      </c>
      <c r="H117">
        <f>電力量!H118-電力量!H117</f>
        <v>12</v>
      </c>
      <c r="I117">
        <f>電力量!I118-電力量!I117</f>
        <v>328</v>
      </c>
      <c r="J117">
        <f>電力量!J118-電力量!J117</f>
        <v>10.200000000004366</v>
      </c>
      <c r="K117">
        <f>電力量!K118-電力量!K117</f>
        <v>3.3999999999941792</v>
      </c>
      <c r="L117">
        <f>電力量!L118-電力量!L117</f>
        <v>31.19999999999709</v>
      </c>
      <c r="M117">
        <f>電力量!M118-電力量!M117</f>
        <v>43.599999999998545</v>
      </c>
      <c r="N117">
        <f>電力量!N118-電力量!N117</f>
        <v>58.599999999998545</v>
      </c>
      <c r="O117">
        <f>電力量!O118-電力量!O117</f>
        <v>23.30000000000291</v>
      </c>
      <c r="P117">
        <f>電力量!P118-電力量!P117</f>
        <v>0</v>
      </c>
      <c r="Q117">
        <f>電力量!Q118-電力量!Q117</f>
        <v>0</v>
      </c>
      <c r="R117">
        <f>電力量!R118-電力量!R117</f>
        <v>0</v>
      </c>
    </row>
    <row r="118" spans="1:18">
      <c r="A118" s="4">
        <f t="shared" ref="A118:A166" si="65">A98+(20/24)</f>
        <v>45876.833333333336</v>
      </c>
      <c r="B118">
        <f>電力量!B119-電力量!B118</f>
        <v>881</v>
      </c>
      <c r="C118">
        <f>電力量!C119-電力量!C118</f>
        <v>222</v>
      </c>
      <c r="D118">
        <f>電力量!D119-電力量!D118</f>
        <v>22</v>
      </c>
      <c r="E118">
        <f>電力量!E119-電力量!E118</f>
        <v>0</v>
      </c>
      <c r="F118">
        <f>電力量!F119-電力量!F118</f>
        <v>23</v>
      </c>
      <c r="G118">
        <f>電力量!G119-電力量!G118</f>
        <v>73.299999999999272</v>
      </c>
      <c r="H118">
        <f>電力量!H119-電力量!H118</f>
        <v>15</v>
      </c>
      <c r="I118">
        <f>電力量!I119-電力量!I118</f>
        <v>298</v>
      </c>
      <c r="J118">
        <f>電力量!J119-電力量!J118</f>
        <v>9.6999999999970896</v>
      </c>
      <c r="K118">
        <f>電力量!K119-電力量!K118</f>
        <v>3.1999999999970896</v>
      </c>
      <c r="L118">
        <f>電力量!L119-電力量!L118</f>
        <v>29.100000000005821</v>
      </c>
      <c r="M118">
        <f>電力量!M119-電力量!M118</f>
        <v>45</v>
      </c>
      <c r="N118">
        <f>電力量!N119-電力量!N118</f>
        <v>54.5</v>
      </c>
      <c r="O118">
        <f>電力量!O119-電力量!O118</f>
        <v>22.80000000000291</v>
      </c>
      <c r="P118">
        <f>電力量!P119-電力量!P118</f>
        <v>0</v>
      </c>
      <c r="Q118">
        <f>電力量!Q119-電力量!Q118</f>
        <v>0</v>
      </c>
      <c r="R118">
        <f>電力量!R119-電力量!R118</f>
        <v>0</v>
      </c>
    </row>
    <row r="119" spans="1:18">
      <c r="A119" s="4">
        <f t="shared" ref="A119:A167" si="66">A98+(21/24)</f>
        <v>45876.875</v>
      </c>
      <c r="B119">
        <f>電力量!B120-電力量!B119</f>
        <v>870</v>
      </c>
      <c r="C119">
        <f>電力量!C120-電力量!C119</f>
        <v>216</v>
      </c>
      <c r="D119">
        <f>電力量!D120-電力量!D119</f>
        <v>21.5</v>
      </c>
      <c r="E119">
        <f>電力量!E120-電力量!E119</f>
        <v>0</v>
      </c>
      <c r="F119">
        <f>電力量!F120-電力量!F119</f>
        <v>31</v>
      </c>
      <c r="G119">
        <f>電力量!G120-電力量!G119</f>
        <v>72.5</v>
      </c>
      <c r="H119">
        <f>電力量!H120-電力量!H119</f>
        <v>16</v>
      </c>
      <c r="I119">
        <f>電力量!I120-電力量!I119</f>
        <v>286</v>
      </c>
      <c r="J119">
        <f>電力量!J120-電力量!J119</f>
        <v>10</v>
      </c>
      <c r="K119">
        <f>電力量!K120-電力量!K119</f>
        <v>3.4000000000087311</v>
      </c>
      <c r="L119">
        <f>電力量!L120-電力量!L119</f>
        <v>26.099999999991269</v>
      </c>
      <c r="M119">
        <f>電力量!M120-電力量!M119</f>
        <v>45.400000000001455</v>
      </c>
      <c r="N119">
        <f>電力量!N120-電力量!N119</f>
        <v>55.900000000001455</v>
      </c>
      <c r="O119">
        <f>電力量!O120-電力量!O119</f>
        <v>22.099999999991269</v>
      </c>
      <c r="P119">
        <f>電力量!P120-電力量!P119</f>
        <v>0</v>
      </c>
      <c r="Q119">
        <f>電力量!Q120-電力量!Q119</f>
        <v>0</v>
      </c>
      <c r="R119">
        <f>電力量!R120-電力量!R119</f>
        <v>0</v>
      </c>
    </row>
    <row r="120" spans="1:18">
      <c r="A120" s="4">
        <f t="shared" ref="A120:A168" si="67">A98+(22/24)</f>
        <v>45876.916666666664</v>
      </c>
      <c r="B120">
        <f>電力量!B121-電力量!B120</f>
        <v>856</v>
      </c>
      <c r="C120">
        <f>電力量!C121-電力量!C120</f>
        <v>215</v>
      </c>
      <c r="D120">
        <f>電力量!D121-電力量!D120</f>
        <v>21</v>
      </c>
      <c r="E120">
        <f>電力量!E121-電力量!E120</f>
        <v>0</v>
      </c>
      <c r="F120">
        <f>電力量!F121-電力量!F120</f>
        <v>27</v>
      </c>
      <c r="G120">
        <f>電力量!G121-電力量!G120</f>
        <v>72.599999999998545</v>
      </c>
      <c r="H120">
        <f>電力量!H121-電力量!H120</f>
        <v>17</v>
      </c>
      <c r="I120">
        <f>電力量!I121-電力量!I120</f>
        <v>281</v>
      </c>
      <c r="J120">
        <f>電力量!J121-電力量!J120</f>
        <v>10</v>
      </c>
      <c r="K120">
        <f>電力量!K121-電力量!K120</f>
        <v>3.5</v>
      </c>
      <c r="L120">
        <f>電力量!L121-電力量!L120</f>
        <v>25.100000000005821</v>
      </c>
      <c r="M120">
        <f>電力量!M121-電力量!M120</f>
        <v>47.80000000000291</v>
      </c>
      <c r="N120">
        <f>電力量!N121-電力量!N120</f>
        <v>55.5</v>
      </c>
      <c r="O120">
        <f>電力量!O121-電力量!O120</f>
        <v>20.600000000005821</v>
      </c>
      <c r="P120">
        <f>電力量!P121-電力量!P120</f>
        <v>0</v>
      </c>
      <c r="Q120">
        <f>電力量!Q121-電力量!Q120</f>
        <v>0</v>
      </c>
      <c r="R120">
        <f>電力量!R121-電力量!R120</f>
        <v>0</v>
      </c>
    </row>
    <row r="121" spans="1:18">
      <c r="A121" s="4">
        <f t="shared" ref="A121:A169" si="68">A98+(23/24)</f>
        <v>45876.958333333336</v>
      </c>
      <c r="B121">
        <f>電力量!B122-電力量!B121</f>
        <v>835</v>
      </c>
      <c r="C121">
        <f>電力量!C122-電力量!C121</f>
        <v>203</v>
      </c>
      <c r="D121">
        <f>電力量!D122-電力量!D121</f>
        <v>24.299999999999272</v>
      </c>
      <c r="E121">
        <f>電力量!E122-電力量!E121</f>
        <v>0</v>
      </c>
      <c r="F121">
        <f>電力量!F122-電力量!F121</f>
        <v>25</v>
      </c>
      <c r="G121">
        <f>電力量!G122-電力量!G121</f>
        <v>72.600000000002183</v>
      </c>
      <c r="H121">
        <f>電力量!H122-電力量!H121</f>
        <v>18</v>
      </c>
      <c r="I121">
        <f>電力量!I122-電力量!I121</f>
        <v>272</v>
      </c>
      <c r="J121">
        <f>電力量!J122-電力量!J121</f>
        <v>10</v>
      </c>
      <c r="K121">
        <f>電力量!K122-電力量!K121</f>
        <v>3.1999999999970896</v>
      </c>
      <c r="L121">
        <f>電力量!L122-電力量!L121</f>
        <v>27</v>
      </c>
      <c r="M121">
        <f>電力量!M122-電力量!M121</f>
        <v>47.5</v>
      </c>
      <c r="N121">
        <f>電力量!N122-電力量!N121</f>
        <v>54.69999999999709</v>
      </c>
      <c r="O121">
        <f>電力量!O122-電力量!O121</f>
        <v>20.100000000005821</v>
      </c>
      <c r="P121">
        <f>電力量!P122-電力量!P121</f>
        <v>0</v>
      </c>
      <c r="Q121">
        <f>電力量!Q122-電力量!Q121</f>
        <v>0</v>
      </c>
      <c r="R121">
        <f>電力量!R122-電力量!R121</f>
        <v>0</v>
      </c>
    </row>
    <row r="122" spans="1:18">
      <c r="A122" s="4">
        <v>45877</v>
      </c>
      <c r="B122">
        <f>電力量!B123-電力量!B122</f>
        <v>796</v>
      </c>
      <c r="C122">
        <f>電力量!C123-電力量!C122</f>
        <v>201</v>
      </c>
      <c r="D122">
        <f>電力量!D123-電力量!D122</f>
        <v>19.900000000001455</v>
      </c>
      <c r="E122">
        <f>電力量!E123-電力量!E122</f>
        <v>0</v>
      </c>
      <c r="F122">
        <f>電力量!F123-電力量!F122</f>
        <v>21</v>
      </c>
      <c r="G122">
        <f>電力量!G123-電力量!G122</f>
        <v>71.599999999998545</v>
      </c>
      <c r="H122">
        <f>電力量!H123-電力量!H122</f>
        <v>14</v>
      </c>
      <c r="I122">
        <f>電力量!I123-電力量!I122</f>
        <v>256</v>
      </c>
      <c r="J122">
        <f>電力量!J123-電力量!J122</f>
        <v>9.8000000000029104</v>
      </c>
      <c r="K122">
        <f>電力量!K123-電力量!K122</f>
        <v>3</v>
      </c>
      <c r="L122">
        <f>電力量!L123-電力量!L122</f>
        <v>27.19999999999709</v>
      </c>
      <c r="M122">
        <f>電力量!M123-電力量!M122</f>
        <v>45.5</v>
      </c>
      <c r="N122">
        <f>電力量!N123-電力量!N122</f>
        <v>54.5</v>
      </c>
      <c r="O122">
        <f>電力量!O123-電力量!O122</f>
        <v>19</v>
      </c>
      <c r="P122">
        <f>電力量!P123-電力量!P122</f>
        <v>0</v>
      </c>
      <c r="Q122">
        <f>電力量!Q123-電力量!Q122</f>
        <v>0</v>
      </c>
      <c r="R122">
        <f>電力量!R123-電力量!R122</f>
        <v>0</v>
      </c>
    </row>
    <row r="123" spans="1:18">
      <c r="A123" s="4">
        <f t="shared" si="46"/>
        <v>45877.041666666664</v>
      </c>
      <c r="B123">
        <f>電力量!B124-電力量!B123</f>
        <v>779</v>
      </c>
      <c r="C123">
        <f>電力量!C124-電力量!C123</f>
        <v>203</v>
      </c>
      <c r="D123">
        <f>電力量!D124-電力量!D123</f>
        <v>18</v>
      </c>
      <c r="E123">
        <f>電力量!E124-電力量!E123</f>
        <v>0</v>
      </c>
      <c r="F123">
        <f>電力量!F124-電力量!F123</f>
        <v>19</v>
      </c>
      <c r="G123">
        <f>電力量!G124-電力量!G123</f>
        <v>69.099999999998545</v>
      </c>
      <c r="H123">
        <f>電力量!H124-電力量!H123</f>
        <v>11</v>
      </c>
      <c r="I123">
        <f>電力量!I124-電力量!I123</f>
        <v>246</v>
      </c>
      <c r="J123">
        <f>電力量!J124-電力量!J123</f>
        <v>9.3999999999941792</v>
      </c>
      <c r="K123">
        <f>電力量!K124-電力量!K123</f>
        <v>3.1999999999970896</v>
      </c>
      <c r="L123">
        <f>電力量!L124-電力量!L123</f>
        <v>26.400000000008731</v>
      </c>
      <c r="M123">
        <f>電力量!M124-電力量!M123</f>
        <v>44.5</v>
      </c>
      <c r="N123">
        <f>電力量!N124-電力量!N123</f>
        <v>54.100000000005821</v>
      </c>
      <c r="O123">
        <f>電力量!O124-電力量!O123</f>
        <v>21.19999999999709</v>
      </c>
      <c r="P123">
        <f>電力量!P124-電力量!P123</f>
        <v>0</v>
      </c>
      <c r="Q123">
        <f>電力量!Q124-電力量!Q123</f>
        <v>0</v>
      </c>
      <c r="R123">
        <f>電力量!R124-電力量!R123</f>
        <v>0</v>
      </c>
    </row>
    <row r="124" spans="1:18">
      <c r="A124" s="4">
        <f t="shared" si="47"/>
        <v>45877.083333333336</v>
      </c>
      <c r="B124">
        <f>電力量!B125-電力量!B124</f>
        <v>748</v>
      </c>
      <c r="C124">
        <f>電力量!C125-電力量!C124</f>
        <v>198</v>
      </c>
      <c r="D124">
        <f>電力量!D125-電力量!D124</f>
        <v>15.900000000001455</v>
      </c>
      <c r="E124">
        <f>電力量!E125-電力量!E124</f>
        <v>0</v>
      </c>
      <c r="F124">
        <f>電力量!F125-電力量!F124</f>
        <v>18</v>
      </c>
      <c r="G124">
        <f>電力量!G125-電力量!G124</f>
        <v>64.5</v>
      </c>
      <c r="H124">
        <f>電力量!H125-電力量!H124</f>
        <v>11</v>
      </c>
      <c r="I124">
        <f>電力量!I125-電力量!I124</f>
        <v>231</v>
      </c>
      <c r="J124">
        <f>電力量!J125-電力量!J124</f>
        <v>9.6000000000058208</v>
      </c>
      <c r="K124">
        <f>電力量!K125-電力量!K124</f>
        <v>3</v>
      </c>
      <c r="L124">
        <f>電力量!L125-電力量!L124</f>
        <v>28.5</v>
      </c>
      <c r="M124">
        <f>電力量!M125-電力量!M124</f>
        <v>44</v>
      </c>
      <c r="N124">
        <f>電力量!N125-電力量!N124</f>
        <v>54.399999999994179</v>
      </c>
      <c r="O124">
        <f>電力量!O125-電力量!O124</f>
        <v>18.899999999994179</v>
      </c>
      <c r="P124">
        <f>電力量!P125-電力量!P124</f>
        <v>0</v>
      </c>
      <c r="Q124">
        <f>電力量!Q125-電力量!Q124</f>
        <v>0</v>
      </c>
      <c r="R124">
        <f>電力量!R125-電力量!R124</f>
        <v>0</v>
      </c>
    </row>
    <row r="125" spans="1:18">
      <c r="A125" s="4">
        <f t="shared" si="48"/>
        <v>45877.125</v>
      </c>
      <c r="B125">
        <f>電力量!B126-電力量!B125</f>
        <v>726</v>
      </c>
      <c r="C125">
        <f>電力量!C126-電力量!C125</f>
        <v>189</v>
      </c>
      <c r="D125">
        <f>電力量!D126-電力量!D125</f>
        <v>15.19999999999709</v>
      </c>
      <c r="E125">
        <f>電力量!E126-電力量!E125</f>
        <v>0</v>
      </c>
      <c r="F125">
        <f>電力量!F126-電力量!F125</f>
        <v>16</v>
      </c>
      <c r="G125">
        <f>電力量!G126-電力量!G125</f>
        <v>59.80000000000291</v>
      </c>
      <c r="H125">
        <f>電力量!H126-電力量!H125</f>
        <v>11</v>
      </c>
      <c r="I125">
        <f>電力量!I126-電力量!I125</f>
        <v>229</v>
      </c>
      <c r="J125">
        <f>電力量!J126-電力量!J125</f>
        <v>9.3999999999941792</v>
      </c>
      <c r="K125">
        <f>電力量!K126-電力量!K125</f>
        <v>3.1000000000058208</v>
      </c>
      <c r="L125">
        <f>電力量!L126-電力量!L125</f>
        <v>25.299999999988358</v>
      </c>
      <c r="M125">
        <f>電力量!M126-電力量!M125</f>
        <v>42.899999999994179</v>
      </c>
      <c r="N125">
        <f>電力量!N126-電力量!N125</f>
        <v>55.400000000001455</v>
      </c>
      <c r="O125">
        <f>電力量!O126-電力量!O125</f>
        <v>18.900000000008731</v>
      </c>
      <c r="P125">
        <f>電力量!P126-電力量!P125</f>
        <v>0</v>
      </c>
      <c r="Q125">
        <f>電力量!Q126-電力量!Q125</f>
        <v>0</v>
      </c>
      <c r="R125">
        <f>電力量!R126-電力量!R125</f>
        <v>0</v>
      </c>
    </row>
    <row r="126" spans="1:18">
      <c r="A126" s="4">
        <f t="shared" si="49"/>
        <v>45877.166666666664</v>
      </c>
      <c r="B126">
        <f>電力量!B127-電力量!B126</f>
        <v>728</v>
      </c>
      <c r="C126">
        <f>電力量!C127-電力量!C126</f>
        <v>187</v>
      </c>
      <c r="D126">
        <f>電力量!D127-電力量!D126</f>
        <v>16.5</v>
      </c>
      <c r="E126">
        <f>電力量!E127-電力量!E126</f>
        <v>0</v>
      </c>
      <c r="F126">
        <f>電力量!F127-電力量!F126</f>
        <v>17</v>
      </c>
      <c r="G126">
        <f>電力量!G127-電力量!G126</f>
        <v>60.5</v>
      </c>
      <c r="H126">
        <f>電力量!H127-電力量!H126</f>
        <v>11</v>
      </c>
      <c r="I126">
        <f>電力量!I127-電力量!I126</f>
        <v>229</v>
      </c>
      <c r="J126">
        <f>電力量!J127-電力量!J126</f>
        <v>9.3000000000029104</v>
      </c>
      <c r="K126">
        <f>電力量!K127-電力量!K126</f>
        <v>3.0999999999912689</v>
      </c>
      <c r="L126">
        <f>電力量!L127-電力量!L126</f>
        <v>24.80000000000291</v>
      </c>
      <c r="M126">
        <f>電力量!M127-電力量!M126</f>
        <v>43.30000000000291</v>
      </c>
      <c r="N126">
        <f>電力量!N127-電力量!N126</f>
        <v>55.099999999998545</v>
      </c>
      <c r="O126">
        <f>電力量!O127-電力量!O126</f>
        <v>19.69999999999709</v>
      </c>
      <c r="P126">
        <f>電力量!P127-電力量!P126</f>
        <v>0</v>
      </c>
      <c r="Q126">
        <f>電力量!Q127-電力量!Q126</f>
        <v>0</v>
      </c>
      <c r="R126">
        <f>電力量!R127-電力量!R126</f>
        <v>0</v>
      </c>
    </row>
    <row r="127" spans="1:18">
      <c r="A127" s="4">
        <f t="shared" si="50"/>
        <v>45877.208333333336</v>
      </c>
      <c r="B127">
        <f>電力量!B128-電力量!B127</f>
        <v>710</v>
      </c>
      <c r="C127">
        <f>電力量!C128-電力量!C127</f>
        <v>182</v>
      </c>
      <c r="D127">
        <f>電力量!D128-電力量!D127</f>
        <v>15.700000000000728</v>
      </c>
      <c r="E127">
        <f>電力量!E128-電力量!E127</f>
        <v>0</v>
      </c>
      <c r="F127">
        <f>電力量!F128-電力量!F127</f>
        <v>16</v>
      </c>
      <c r="G127">
        <f>電力量!G128-電力量!G127</f>
        <v>58.899999999997817</v>
      </c>
      <c r="H127">
        <f>電力量!H128-電力量!H127</f>
        <v>11</v>
      </c>
      <c r="I127">
        <f>電力量!I128-電力量!I127</f>
        <v>220</v>
      </c>
      <c r="J127">
        <f>電力量!J128-電力量!J127</f>
        <v>9.5999999999985448</v>
      </c>
      <c r="K127">
        <f>電力量!K128-電力量!K127</f>
        <v>2.9000000000087311</v>
      </c>
      <c r="L127">
        <f>電力量!L128-電力量!L127</f>
        <v>24.600000000005821</v>
      </c>
      <c r="M127">
        <f>電力量!M128-電力量!M127</f>
        <v>43</v>
      </c>
      <c r="N127">
        <f>電力量!N128-電力量!N127</f>
        <v>54.100000000005821</v>
      </c>
      <c r="O127">
        <f>電力量!O128-電力量!O127</f>
        <v>21.899999999994179</v>
      </c>
      <c r="P127">
        <f>電力量!P128-電力量!P127</f>
        <v>0</v>
      </c>
      <c r="Q127">
        <f>電力量!Q128-電力量!Q127</f>
        <v>0</v>
      </c>
      <c r="R127">
        <f>電力量!R128-電力量!R127</f>
        <v>0</v>
      </c>
    </row>
    <row r="128" spans="1:18">
      <c r="A128" s="4">
        <f t="shared" si="51"/>
        <v>45877.25</v>
      </c>
      <c r="B128">
        <f>電力量!B129-電力量!B128</f>
        <v>715</v>
      </c>
      <c r="C128">
        <f>電力量!C129-電力量!C128</f>
        <v>184</v>
      </c>
      <c r="D128">
        <f>電力量!D129-電力量!D128</f>
        <v>16.100000000002183</v>
      </c>
      <c r="E128">
        <f>電力量!E129-電力量!E128</f>
        <v>0</v>
      </c>
      <c r="F128">
        <f>電力量!F129-電力量!F128</f>
        <v>16</v>
      </c>
      <c r="G128">
        <f>電力量!G129-電力量!G128</f>
        <v>56.900000000001455</v>
      </c>
      <c r="H128">
        <f>電力量!H129-電力量!H128</f>
        <v>12</v>
      </c>
      <c r="I128">
        <f>電力量!I129-電力量!I128</f>
        <v>227</v>
      </c>
      <c r="J128">
        <f>電力量!J129-電力量!J128</f>
        <v>9.2000000000043656</v>
      </c>
      <c r="K128">
        <f>電力量!K129-電力量!K128</f>
        <v>2.0999999999912689</v>
      </c>
      <c r="L128">
        <f>電力量!L129-電力量!L128</f>
        <v>23.5</v>
      </c>
      <c r="M128">
        <f>電力量!M129-電力量!M128</f>
        <v>42.400000000001455</v>
      </c>
      <c r="N128">
        <f>電力量!N129-電力量!N128</f>
        <v>53.299999999995634</v>
      </c>
      <c r="O128">
        <f>電力量!O129-電力量!O128</f>
        <v>21.19999999999709</v>
      </c>
      <c r="P128">
        <f>電力量!P129-電力量!P128</f>
        <v>1</v>
      </c>
      <c r="Q128">
        <f>電力量!Q129-電力量!Q128</f>
        <v>1</v>
      </c>
      <c r="R128">
        <f>電力量!R129-電力量!R128</f>
        <v>0</v>
      </c>
    </row>
    <row r="129" spans="1:18">
      <c r="A129" s="4">
        <f t="shared" si="52"/>
        <v>45877.291666666664</v>
      </c>
      <c r="B129">
        <f>電力量!B130-電力量!B129</f>
        <v>758</v>
      </c>
      <c r="C129">
        <f>電力量!C130-電力量!C129</f>
        <v>207</v>
      </c>
      <c r="D129">
        <f>電力量!D130-電力量!D129</f>
        <v>16.19999999999709</v>
      </c>
      <c r="E129">
        <f>電力量!E130-電力量!E129</f>
        <v>0</v>
      </c>
      <c r="F129">
        <f>電力量!F130-電力量!F129</f>
        <v>18</v>
      </c>
      <c r="G129">
        <f>電力量!G130-電力量!G129</f>
        <v>55.899999999997817</v>
      </c>
      <c r="H129">
        <f>電力量!H130-電力量!H129</f>
        <v>12</v>
      </c>
      <c r="I129">
        <f>電力量!I130-電力量!I129</f>
        <v>239</v>
      </c>
      <c r="J129">
        <f>電力量!J130-電力量!J129</f>
        <v>9.5999999999985448</v>
      </c>
      <c r="K129">
        <f>電力量!K130-電力量!K129</f>
        <v>0.40000000000873115</v>
      </c>
      <c r="L129">
        <f>電力量!L130-電力量!L129</f>
        <v>24.5</v>
      </c>
      <c r="M129">
        <f>電力量!M130-電力量!M129</f>
        <v>45.19999999999709</v>
      </c>
      <c r="N129">
        <f>電力量!N130-電力量!N129</f>
        <v>52.400000000001455</v>
      </c>
      <c r="O129">
        <f>電力量!O130-電力量!O129</f>
        <v>24.30000000000291</v>
      </c>
      <c r="P129">
        <f>電力量!P130-電力量!P129</f>
        <v>2</v>
      </c>
      <c r="Q129">
        <f>電力量!Q130-電力量!Q129</f>
        <v>3</v>
      </c>
      <c r="R129">
        <f>電力量!R130-電力量!R129</f>
        <v>0</v>
      </c>
    </row>
    <row r="130" spans="1:18">
      <c r="A130" s="4">
        <f t="shared" si="53"/>
        <v>45877.333333333336</v>
      </c>
      <c r="B130">
        <f>電力量!B131-電力量!B130</f>
        <v>865</v>
      </c>
      <c r="C130">
        <f>電力量!C131-電力量!C130</f>
        <v>231</v>
      </c>
      <c r="D130">
        <f>電力量!D131-電力量!D130</f>
        <v>20</v>
      </c>
      <c r="E130">
        <f>電力量!E131-電力量!E130</f>
        <v>0</v>
      </c>
      <c r="F130">
        <f>電力量!F131-電力量!F130</f>
        <v>21</v>
      </c>
      <c r="G130">
        <f>電力量!G131-電力量!G130</f>
        <v>59</v>
      </c>
      <c r="H130">
        <f>電力量!H131-電力量!H130</f>
        <v>11</v>
      </c>
      <c r="I130">
        <f>電力量!I131-電力量!I130</f>
        <v>270</v>
      </c>
      <c r="J130">
        <f>電力量!J131-電力量!J130</f>
        <v>9.7999999999956344</v>
      </c>
      <c r="K130">
        <f>電力量!K131-電力量!K130</f>
        <v>1.5</v>
      </c>
      <c r="L130">
        <f>電力量!L131-電力量!L130</f>
        <v>33.30000000000291</v>
      </c>
      <c r="M130">
        <f>電力量!M131-電力量!M130</f>
        <v>47.900000000001455</v>
      </c>
      <c r="N130">
        <f>電力量!N131-電力量!N130</f>
        <v>52.599999999998545</v>
      </c>
      <c r="O130">
        <f>電力量!O131-電力量!O130</f>
        <v>39.100000000005821</v>
      </c>
      <c r="P130">
        <f>電力量!P131-電力量!P130</f>
        <v>3</v>
      </c>
      <c r="Q130">
        <f>電力量!Q131-電力量!Q130</f>
        <v>6</v>
      </c>
      <c r="R130">
        <f>電力量!R131-電力量!R130</f>
        <v>0</v>
      </c>
    </row>
    <row r="131" spans="1:18">
      <c r="A131" s="4">
        <f t="shared" si="54"/>
        <v>45877.375</v>
      </c>
      <c r="B131">
        <f>電力量!B132-電力量!B131</f>
        <v>1108</v>
      </c>
      <c r="C131">
        <f>電力量!C132-電力量!C131</f>
        <v>305</v>
      </c>
      <c r="D131">
        <f>電力量!D132-電力量!D131</f>
        <v>33.200000000000728</v>
      </c>
      <c r="E131">
        <f>電力量!E132-電力量!E131</f>
        <v>0</v>
      </c>
      <c r="F131">
        <f>電力量!F132-電力量!F131</f>
        <v>26</v>
      </c>
      <c r="G131">
        <f>電力量!G132-電力量!G131</f>
        <v>73.700000000000728</v>
      </c>
      <c r="H131">
        <f>電力量!H132-電力量!H131</f>
        <v>17</v>
      </c>
      <c r="I131">
        <f>電力量!I132-電力量!I131</f>
        <v>337</v>
      </c>
      <c r="J131">
        <f>電力量!J132-電力量!J131</f>
        <v>12</v>
      </c>
      <c r="K131">
        <f>電力量!K132-電力量!K131</f>
        <v>0.89999999999417923</v>
      </c>
      <c r="L131">
        <f>電力量!L132-電力量!L131</f>
        <v>39.5</v>
      </c>
      <c r="M131">
        <f>電力量!M132-電力量!M131</f>
        <v>57.599999999998545</v>
      </c>
      <c r="N131">
        <f>電力量!N132-電力量!N131</f>
        <v>53.200000000004366</v>
      </c>
      <c r="O131">
        <f>電力量!O132-電力量!O131</f>
        <v>62.899999999994179</v>
      </c>
      <c r="P131">
        <f>電力量!P132-電力量!P131</f>
        <v>8</v>
      </c>
      <c r="Q131">
        <f>電力量!Q132-電力量!Q131</f>
        <v>13</v>
      </c>
      <c r="R131">
        <f>電力量!R132-電力量!R131</f>
        <v>0</v>
      </c>
    </row>
    <row r="132" spans="1:18">
      <c r="A132" s="4">
        <f t="shared" si="55"/>
        <v>45877.416666666664</v>
      </c>
      <c r="B132">
        <f>電力量!B133-電力量!B132</f>
        <v>1281</v>
      </c>
      <c r="C132">
        <f>電力量!C133-電力量!C132</f>
        <v>371</v>
      </c>
      <c r="D132">
        <f>電力量!D133-電力量!D132</f>
        <v>33.600000000002183</v>
      </c>
      <c r="E132">
        <f>電力量!E133-電力量!E132</f>
        <v>0</v>
      </c>
      <c r="F132">
        <f>電力量!F133-電力量!F132</f>
        <v>40</v>
      </c>
      <c r="G132">
        <f>電力量!G133-電力量!G132</f>
        <v>86.900000000001455</v>
      </c>
      <c r="H132">
        <f>電力量!H133-電力量!H132</f>
        <v>22</v>
      </c>
      <c r="I132">
        <f>電力量!I133-電力量!I132</f>
        <v>379</v>
      </c>
      <c r="J132">
        <f>電力量!J133-電力量!J132</f>
        <v>13.400000000001455</v>
      </c>
      <c r="K132">
        <f>電力量!K133-電力量!K132</f>
        <v>2.6000000000058208</v>
      </c>
      <c r="L132">
        <f>電力量!L133-電力量!L132</f>
        <v>42.099999999991269</v>
      </c>
      <c r="M132">
        <f>電力量!M133-電力量!M132</f>
        <v>69.099999999998545</v>
      </c>
      <c r="N132">
        <f>電力量!N133-電力量!N132</f>
        <v>52.099999999998545</v>
      </c>
      <c r="O132">
        <f>電力量!O133-電力量!O132</f>
        <v>68</v>
      </c>
      <c r="P132">
        <f>電力量!P133-電力量!P132</f>
        <v>9</v>
      </c>
      <c r="Q132">
        <f>電力量!Q133-電力量!Q132</f>
        <v>13</v>
      </c>
      <c r="R132">
        <f>電力量!R133-電力量!R132</f>
        <v>0</v>
      </c>
    </row>
    <row r="133" spans="1:18">
      <c r="A133" s="4">
        <f t="shared" si="56"/>
        <v>45877.458333333336</v>
      </c>
      <c r="B133">
        <f>電力量!B134-電力量!B133</f>
        <v>1317</v>
      </c>
      <c r="C133">
        <f>電力量!C134-電力量!C133</f>
        <v>351</v>
      </c>
      <c r="D133">
        <f>電力量!D134-電力量!D133</f>
        <v>32.69999999999709</v>
      </c>
      <c r="E133">
        <f>電力量!E134-電力量!E133</f>
        <v>0</v>
      </c>
      <c r="F133">
        <f>電力量!F134-電力量!F133</f>
        <v>46</v>
      </c>
      <c r="G133">
        <f>電力量!G134-電力量!G133</f>
        <v>97.799999999999272</v>
      </c>
      <c r="H133">
        <f>電力量!H134-電力量!H133</f>
        <v>20</v>
      </c>
      <c r="I133">
        <f>電力量!I134-電力量!I133</f>
        <v>414</v>
      </c>
      <c r="J133">
        <f>電力量!J134-電力量!J133</f>
        <v>11.200000000004366</v>
      </c>
      <c r="K133">
        <f>電力量!K134-電力量!K133</f>
        <v>2.5</v>
      </c>
      <c r="L133">
        <f>電力量!L134-電力量!L133</f>
        <v>48.30000000000291</v>
      </c>
      <c r="M133">
        <f>電力量!M134-電力量!M133</f>
        <v>66.400000000001455</v>
      </c>
      <c r="N133">
        <f>電力量!N134-電力量!N133</f>
        <v>50</v>
      </c>
      <c r="O133">
        <f>電力量!O134-電力量!O133</f>
        <v>68.19999999999709</v>
      </c>
      <c r="P133">
        <f>電力量!P134-電力量!P133</f>
        <v>9</v>
      </c>
      <c r="Q133">
        <f>電力量!Q134-電力量!Q133</f>
        <v>15</v>
      </c>
      <c r="R133">
        <f>電力量!R134-電力量!R133</f>
        <v>0</v>
      </c>
    </row>
    <row r="134" spans="1:18">
      <c r="A134" s="4">
        <f t="shared" si="57"/>
        <v>45877.5</v>
      </c>
      <c r="B134">
        <f>電力量!B135-電力量!B134</f>
        <v>1314</v>
      </c>
      <c r="C134">
        <f>電力量!C135-電力量!C134</f>
        <v>351</v>
      </c>
      <c r="D134">
        <f>電力量!D135-電力量!D134</f>
        <v>34.100000000002183</v>
      </c>
      <c r="E134">
        <f>電力量!E135-電力量!E134</f>
        <v>0</v>
      </c>
      <c r="F134">
        <f>電力量!F135-電力量!F134</f>
        <v>43</v>
      </c>
      <c r="G134">
        <f>電力量!G135-電力量!G134</f>
        <v>89.900000000001455</v>
      </c>
      <c r="H134">
        <f>電力量!H135-電力量!H134</f>
        <v>20</v>
      </c>
      <c r="I134">
        <f>電力量!I135-電力量!I134</f>
        <v>422</v>
      </c>
      <c r="J134">
        <f>電力量!J135-電力量!J134</f>
        <v>11.5</v>
      </c>
      <c r="K134">
        <f>電力量!K135-電力量!K134</f>
        <v>0</v>
      </c>
      <c r="L134">
        <f>電力量!L135-電力量!L134</f>
        <v>53</v>
      </c>
      <c r="M134">
        <f>電力量!M135-電力量!M134</f>
        <v>63.900000000001455</v>
      </c>
      <c r="N134">
        <f>電力量!N135-電力量!N134</f>
        <v>46.799999999995634</v>
      </c>
      <c r="O134">
        <f>電力量!O135-電力量!O134</f>
        <v>76.600000000005821</v>
      </c>
      <c r="P134">
        <f>電力量!P135-電力量!P134</f>
        <v>14</v>
      </c>
      <c r="Q134">
        <f>電力量!Q135-電力量!Q134</f>
        <v>21</v>
      </c>
      <c r="R134">
        <f>電力量!R135-電力量!R134</f>
        <v>0</v>
      </c>
    </row>
    <row r="135" spans="1:18">
      <c r="A135" s="4">
        <f t="shared" si="58"/>
        <v>45877.541666666664</v>
      </c>
      <c r="B135">
        <f>電力量!B136-電力量!B135</f>
        <v>1462</v>
      </c>
      <c r="C135">
        <f>電力量!C136-電力量!C135</f>
        <v>387</v>
      </c>
      <c r="D135">
        <f>電力量!D136-電力量!D135</f>
        <v>39.399999999997817</v>
      </c>
      <c r="E135">
        <f>電力量!E136-電力量!E135</f>
        <v>0</v>
      </c>
      <c r="F135">
        <f>電力量!F136-電力量!F135</f>
        <v>51</v>
      </c>
      <c r="G135">
        <f>電力量!G136-電力量!G135</f>
        <v>104.29999999999927</v>
      </c>
      <c r="H135">
        <f>電力量!H136-電力量!H135</f>
        <v>62</v>
      </c>
      <c r="I135">
        <f>電力量!I136-電力量!I135</f>
        <v>452</v>
      </c>
      <c r="J135">
        <f>電力量!J136-電力量!J135</f>
        <v>11.19999999999709</v>
      </c>
      <c r="K135">
        <f>電力量!K136-電力量!K135</f>
        <v>0.80000000000291038</v>
      </c>
      <c r="L135">
        <f>電力量!L136-電力量!L135</f>
        <v>50.19999999999709</v>
      </c>
      <c r="M135">
        <f>電力量!M136-電力量!M135</f>
        <v>64.30000000000291</v>
      </c>
      <c r="N135">
        <f>電力量!N136-電力量!N135</f>
        <v>49.5</v>
      </c>
      <c r="O135">
        <f>電力量!O136-電力量!O135</f>
        <v>81.80000000000291</v>
      </c>
      <c r="P135">
        <f>電力量!P136-電力量!P135</f>
        <v>13</v>
      </c>
      <c r="Q135">
        <f>電力量!Q136-電力量!Q135</f>
        <v>19</v>
      </c>
      <c r="R135">
        <f>電力量!R136-電力量!R135</f>
        <v>0</v>
      </c>
    </row>
    <row r="136" spans="1:18">
      <c r="A136" s="4">
        <f t="shared" si="59"/>
        <v>45877.583333333336</v>
      </c>
      <c r="B136">
        <f>電力量!B137-電力量!B136</f>
        <v>1446</v>
      </c>
      <c r="C136">
        <f>電力量!C137-電力量!C136</f>
        <v>380</v>
      </c>
      <c r="D136">
        <f>電力量!D137-電力量!D136</f>
        <v>36.600000000002183</v>
      </c>
      <c r="E136">
        <f>電力量!E137-電力量!E136</f>
        <v>0</v>
      </c>
      <c r="F136">
        <f>電力量!F137-電力量!F136</f>
        <v>46</v>
      </c>
      <c r="G136">
        <f>電力量!G137-電力量!G136</f>
        <v>108</v>
      </c>
      <c r="H136">
        <f>電力量!H137-電力量!H136</f>
        <v>94</v>
      </c>
      <c r="I136">
        <f>電力量!I137-電力量!I136</f>
        <v>438</v>
      </c>
      <c r="J136">
        <f>電力量!J137-電力量!J136</f>
        <v>12.80000000000291</v>
      </c>
      <c r="K136">
        <f>電力量!K137-電力量!K136</f>
        <v>2.7999999999883585</v>
      </c>
      <c r="L136">
        <f>電力量!L137-電力量!L136</f>
        <v>44.600000000005821</v>
      </c>
      <c r="M136">
        <f>電力量!M137-電力量!M136</f>
        <v>61.5</v>
      </c>
      <c r="N136">
        <f>電力量!N137-電力量!N136</f>
        <v>55.100000000005821</v>
      </c>
      <c r="O136">
        <f>電力量!O137-電力量!O136</f>
        <v>59.69999999999709</v>
      </c>
      <c r="P136">
        <f>電力量!P137-電力量!P136</f>
        <v>8</v>
      </c>
      <c r="Q136">
        <f>電力量!Q137-電力量!Q136</f>
        <v>13</v>
      </c>
      <c r="R136">
        <f>電力量!R137-電力量!R136</f>
        <v>0</v>
      </c>
    </row>
    <row r="137" spans="1:18">
      <c r="A137" s="4">
        <f t="shared" si="60"/>
        <v>45877.625</v>
      </c>
      <c r="B137">
        <f>電力量!B138-電力量!B137</f>
        <v>1378</v>
      </c>
      <c r="C137">
        <f>電力量!C138-電力量!C137</f>
        <v>359</v>
      </c>
      <c r="D137">
        <f>電力量!D138-電力量!D137</f>
        <v>37.700000000000728</v>
      </c>
      <c r="E137">
        <f>電力量!E138-電力量!E137</f>
        <v>0</v>
      </c>
      <c r="F137">
        <f>電力量!F138-電力量!F137</f>
        <v>40</v>
      </c>
      <c r="G137">
        <f>電力量!G138-電力量!G137</f>
        <v>108.29999999999927</v>
      </c>
      <c r="H137">
        <f>電力量!H138-電力量!H137</f>
        <v>90</v>
      </c>
      <c r="I137">
        <f>電力量!I138-電力量!I137</f>
        <v>426</v>
      </c>
      <c r="J137">
        <f>電力量!J138-電力量!J137</f>
        <v>13.099999999998545</v>
      </c>
      <c r="K137">
        <f>電力量!K138-電力量!K137</f>
        <v>5.5</v>
      </c>
      <c r="L137">
        <f>電力量!L138-電力量!L137</f>
        <v>46.099999999991269</v>
      </c>
      <c r="M137">
        <f>電力量!M138-電力量!M137</f>
        <v>54.399999999994179</v>
      </c>
      <c r="N137">
        <f>電力量!N138-電力量!N137</f>
        <v>59</v>
      </c>
      <c r="O137">
        <f>電力量!O138-電力量!O137</f>
        <v>39.19999999999709</v>
      </c>
      <c r="P137">
        <f>電力量!P138-電力量!P137</f>
        <v>6</v>
      </c>
      <c r="Q137">
        <f>電力量!Q138-電力量!Q137</f>
        <v>9</v>
      </c>
      <c r="R137">
        <f>電力量!R138-電力量!R137</f>
        <v>0</v>
      </c>
    </row>
    <row r="138" spans="1:18">
      <c r="A138" s="4">
        <f t="shared" si="61"/>
        <v>45877.666666666664</v>
      </c>
      <c r="B138">
        <f>電力量!B139-電力量!B138</f>
        <v>1355</v>
      </c>
      <c r="C138">
        <f>電力量!C139-電力量!C138</f>
        <v>336</v>
      </c>
      <c r="D138">
        <f>電力量!D139-電力量!D138</f>
        <v>31.19999999999709</v>
      </c>
      <c r="E138">
        <f>電力量!E139-電力量!E138</f>
        <v>0</v>
      </c>
      <c r="F138">
        <f>電力量!F139-電力量!F138</f>
        <v>38</v>
      </c>
      <c r="G138">
        <f>電力量!G139-電力量!G138</f>
        <v>106</v>
      </c>
      <c r="H138">
        <f>電力量!H139-電力量!H138</f>
        <v>129</v>
      </c>
      <c r="I138">
        <f>電力量!I139-電力量!I138</f>
        <v>410</v>
      </c>
      <c r="J138">
        <f>電力量!J139-電力量!J138</f>
        <v>13.299999999995634</v>
      </c>
      <c r="K138">
        <f>電力量!K139-電力量!K138</f>
        <v>6.7000000000116415</v>
      </c>
      <c r="L138">
        <f>電力量!L139-電力量!L138</f>
        <v>45.200000000011642</v>
      </c>
      <c r="M138">
        <f>電力量!M139-電力量!M138</f>
        <v>47.5</v>
      </c>
      <c r="N138">
        <f>電力量!N139-電力量!N138</f>
        <v>60.399999999994179</v>
      </c>
      <c r="O138">
        <f>電力量!O139-電力量!O138</f>
        <v>38.69999999999709</v>
      </c>
      <c r="P138">
        <f>電力量!P139-電力量!P138</f>
        <v>4</v>
      </c>
      <c r="Q138">
        <f>電力量!Q139-電力量!Q138</f>
        <v>6</v>
      </c>
      <c r="R138">
        <f>電力量!R139-電力量!R138</f>
        <v>0</v>
      </c>
    </row>
    <row r="139" spans="1:18">
      <c r="A139" s="4">
        <f t="shared" si="62"/>
        <v>45877.708333333336</v>
      </c>
      <c r="B139">
        <f>電力量!B140-電力量!B139</f>
        <v>1144</v>
      </c>
      <c r="C139">
        <f>電力量!C140-電力量!C139</f>
        <v>288</v>
      </c>
      <c r="D139">
        <f>電力量!D140-電力量!D139</f>
        <v>28</v>
      </c>
      <c r="E139">
        <f>電力量!E140-電力量!E139</f>
        <v>0</v>
      </c>
      <c r="F139">
        <f>電力量!F140-電力量!F139</f>
        <v>32</v>
      </c>
      <c r="G139">
        <f>電力量!G140-電力量!G139</f>
        <v>88.299999999999272</v>
      </c>
      <c r="H139">
        <f>電力量!H140-電力量!H139</f>
        <v>73</v>
      </c>
      <c r="I139">
        <f>電力量!I140-電力量!I139</f>
        <v>379</v>
      </c>
      <c r="J139">
        <f>電力量!J140-電力量!J139</f>
        <v>12.30000000000291</v>
      </c>
      <c r="K139">
        <f>電力量!K140-電力量!K139</f>
        <v>2.2999999999883585</v>
      </c>
      <c r="L139">
        <f>電力量!L140-電力量!L139</f>
        <v>42</v>
      </c>
      <c r="M139">
        <f>電力量!M140-電力量!M139</f>
        <v>45.5</v>
      </c>
      <c r="N139">
        <f>電力量!N140-電力量!N139</f>
        <v>58.5</v>
      </c>
      <c r="O139">
        <f>電力量!O140-電力量!O139</f>
        <v>30.900000000008731</v>
      </c>
      <c r="P139">
        <f>電力量!P140-電力量!P139</f>
        <v>2</v>
      </c>
      <c r="Q139">
        <f>電力量!Q140-電力量!Q139</f>
        <v>3</v>
      </c>
      <c r="R139">
        <f>電力量!R140-電力量!R139</f>
        <v>0</v>
      </c>
    </row>
    <row r="140" spans="1:18">
      <c r="A140" s="4">
        <f t="shared" si="63"/>
        <v>45877.75</v>
      </c>
      <c r="B140">
        <f>電力量!B141-電力量!B140</f>
        <v>987</v>
      </c>
      <c r="C140">
        <f>電力量!C141-電力量!C140</f>
        <v>260</v>
      </c>
      <c r="D140">
        <f>電力量!D141-電力量!D140</f>
        <v>21.80000000000291</v>
      </c>
      <c r="E140">
        <f>電力量!E141-電力量!E140</f>
        <v>0</v>
      </c>
      <c r="F140">
        <f>電力量!F141-電力量!F140</f>
        <v>23</v>
      </c>
      <c r="G140">
        <f>電力量!G141-電力量!G140</f>
        <v>72.900000000001455</v>
      </c>
      <c r="H140">
        <f>電力量!H141-電力量!H140</f>
        <v>39</v>
      </c>
      <c r="I140">
        <f>電力量!I141-電力量!I140</f>
        <v>342</v>
      </c>
      <c r="J140">
        <f>電力量!J141-電力量!J140</f>
        <v>9.6999999999970896</v>
      </c>
      <c r="K140">
        <f>電力量!K141-電力量!K140</f>
        <v>2.1000000000058208</v>
      </c>
      <c r="L140">
        <f>電力量!L141-電力量!L140</f>
        <v>33.299999999988358</v>
      </c>
      <c r="M140">
        <f>電力量!M141-電力量!M140</f>
        <v>42.700000000004366</v>
      </c>
      <c r="N140">
        <f>電力量!N141-電力量!N140</f>
        <v>55.900000000001455</v>
      </c>
      <c r="O140">
        <f>電力量!O141-電力量!O140</f>
        <v>24.599999999991269</v>
      </c>
      <c r="P140">
        <f>電力量!P141-電力量!P140</f>
        <v>0</v>
      </c>
      <c r="Q140">
        <f>電力量!Q141-電力量!Q140</f>
        <v>1</v>
      </c>
      <c r="R140">
        <f>電力量!R141-電力量!R140</f>
        <v>0</v>
      </c>
    </row>
    <row r="141" spans="1:18">
      <c r="A141" s="4">
        <f t="shared" si="64"/>
        <v>45877.791666666664</v>
      </c>
      <c r="B141">
        <f>電力量!B142-電力量!B141</f>
        <v>892</v>
      </c>
      <c r="C141">
        <f>電力量!C142-電力量!C141</f>
        <v>242</v>
      </c>
      <c r="D141">
        <f>電力量!D142-電力量!D141</f>
        <v>19.599999999998545</v>
      </c>
      <c r="E141">
        <f>電力量!E142-電力量!E141</f>
        <v>0</v>
      </c>
      <c r="F141">
        <f>電力量!F142-電力量!F141</f>
        <v>20</v>
      </c>
      <c r="G141">
        <f>電力量!G142-電力量!G141</f>
        <v>66.599999999998545</v>
      </c>
      <c r="H141">
        <f>電力量!H142-電力量!H141</f>
        <v>17</v>
      </c>
      <c r="I141">
        <f>電力量!I142-電力量!I141</f>
        <v>306</v>
      </c>
      <c r="J141">
        <f>電力量!J142-電力量!J141</f>
        <v>9.6000000000058208</v>
      </c>
      <c r="K141">
        <f>電力量!K142-電力量!K141</f>
        <v>3.6999999999970896</v>
      </c>
      <c r="L141">
        <f>電力量!L142-電力量!L141</f>
        <v>27.5</v>
      </c>
      <c r="M141">
        <f>電力量!M142-電力量!M141</f>
        <v>42.299999999995634</v>
      </c>
      <c r="N141">
        <f>電力量!N142-電力量!N141</f>
        <v>55.900000000001455</v>
      </c>
      <c r="O141">
        <f>電力量!O142-電力量!O141</f>
        <v>25.80000000000291</v>
      </c>
      <c r="P141">
        <f>電力量!P142-電力量!P141</f>
        <v>0</v>
      </c>
      <c r="Q141">
        <f>電力量!Q142-電力量!Q141</f>
        <v>0</v>
      </c>
      <c r="R141">
        <f>電力量!R142-電力量!R141</f>
        <v>0</v>
      </c>
    </row>
    <row r="142" spans="1:18">
      <c r="A142" s="4">
        <f t="shared" si="65"/>
        <v>45877.833333333336</v>
      </c>
      <c r="B142">
        <f>電力量!B143-電力量!B142</f>
        <v>823</v>
      </c>
      <c r="C142">
        <f>電力量!C143-電力量!C142</f>
        <v>217</v>
      </c>
      <c r="D142">
        <f>電力量!D143-電力量!D142</f>
        <v>22</v>
      </c>
      <c r="E142">
        <f>電力量!E143-電力量!E142</f>
        <v>0</v>
      </c>
      <c r="F142">
        <f>電力量!F143-電力量!F142</f>
        <v>19</v>
      </c>
      <c r="G142">
        <f>電力量!G143-電力量!G142</f>
        <v>63.400000000001455</v>
      </c>
      <c r="H142">
        <f>電力量!H143-電力量!H142</f>
        <v>13</v>
      </c>
      <c r="I142">
        <f>電力量!I143-電力量!I142</f>
        <v>271</v>
      </c>
      <c r="J142">
        <f>電力量!J143-電力量!J142</f>
        <v>9.7999999999956344</v>
      </c>
      <c r="K142">
        <f>電力量!K143-電力量!K142</f>
        <v>3.6999999999970896</v>
      </c>
      <c r="L142">
        <f>電力量!L143-電力量!L142</f>
        <v>25.30000000000291</v>
      </c>
      <c r="M142">
        <f>電力量!M143-電力量!M142</f>
        <v>41.80000000000291</v>
      </c>
      <c r="N142">
        <f>電力量!N143-電力量!N142</f>
        <v>56.900000000001455</v>
      </c>
      <c r="O142">
        <f>電力量!O143-電力量!O142</f>
        <v>25.100000000005821</v>
      </c>
      <c r="P142">
        <f>電力量!P143-電力量!P142</f>
        <v>0</v>
      </c>
      <c r="Q142">
        <f>電力量!Q143-電力量!Q142</f>
        <v>0</v>
      </c>
      <c r="R142">
        <f>電力量!R143-電力量!R142</f>
        <v>0</v>
      </c>
    </row>
    <row r="143" spans="1:18">
      <c r="A143" s="4">
        <f t="shared" si="66"/>
        <v>45877.875</v>
      </c>
      <c r="B143">
        <f>電力量!B144-電力量!B143</f>
        <v>773</v>
      </c>
      <c r="C143">
        <f>電力量!C144-電力量!C143</f>
        <v>196</v>
      </c>
      <c r="D143">
        <f>電力量!D144-電力量!D143</f>
        <v>19.799999999999272</v>
      </c>
      <c r="E143">
        <f>電力量!E144-電力量!E143</f>
        <v>0</v>
      </c>
      <c r="F143">
        <f>電力量!F144-電力量!F143</f>
        <v>19</v>
      </c>
      <c r="G143">
        <f>電力量!G144-電力量!G143</f>
        <v>59.700000000000728</v>
      </c>
      <c r="H143">
        <f>電力量!H144-電力量!H143</f>
        <v>13</v>
      </c>
      <c r="I143">
        <f>電力量!I144-電力量!I143</f>
        <v>253</v>
      </c>
      <c r="J143">
        <f>電力量!J144-電力量!J143</f>
        <v>9.4000000000014552</v>
      </c>
      <c r="K143">
        <f>電力量!K144-電力量!K143</f>
        <v>3.4000000000087311</v>
      </c>
      <c r="L143">
        <f>電力量!L144-電力量!L143</f>
        <v>25.69999999999709</v>
      </c>
      <c r="M143">
        <f>電力量!M144-電力量!M143</f>
        <v>40.900000000001455</v>
      </c>
      <c r="N143">
        <f>電力量!N144-電力量!N143</f>
        <v>55.19999999999709</v>
      </c>
      <c r="O143">
        <f>電力量!O144-電力量!O143</f>
        <v>27.19999999999709</v>
      </c>
      <c r="P143">
        <f>電力量!P144-電力量!P143</f>
        <v>0</v>
      </c>
      <c r="Q143">
        <f>電力量!Q144-電力量!Q143</f>
        <v>0</v>
      </c>
      <c r="R143">
        <f>電力量!R144-電力量!R143</f>
        <v>0</v>
      </c>
    </row>
    <row r="144" spans="1:18">
      <c r="A144" s="4">
        <f t="shared" si="67"/>
        <v>45877.916666666664</v>
      </c>
      <c r="B144">
        <f>電力量!B145-電力量!B144</f>
        <v>733</v>
      </c>
      <c r="C144">
        <f>電力量!C145-電力量!C144</f>
        <v>187</v>
      </c>
      <c r="D144">
        <f>電力量!D145-電力量!D144</f>
        <v>16.799999999999272</v>
      </c>
      <c r="E144">
        <f>電力量!E145-電力量!E144</f>
        <v>0</v>
      </c>
      <c r="F144">
        <f>電力量!F145-電力量!F144</f>
        <v>17</v>
      </c>
      <c r="G144">
        <f>電力量!G145-電力量!G144</f>
        <v>59.19999999999709</v>
      </c>
      <c r="H144">
        <f>電力量!H145-電力量!H144</f>
        <v>13</v>
      </c>
      <c r="I144">
        <f>電力量!I145-電力量!I144</f>
        <v>234</v>
      </c>
      <c r="J144">
        <f>電力量!J145-電力量!J144</f>
        <v>9.4000000000014552</v>
      </c>
      <c r="K144">
        <f>電力量!K145-電力量!K144</f>
        <v>3.1999999999970896</v>
      </c>
      <c r="L144">
        <f>電力量!L145-電力量!L144</f>
        <v>25.80000000000291</v>
      </c>
      <c r="M144">
        <f>電力量!M145-電力量!M144</f>
        <v>41.19999999999709</v>
      </c>
      <c r="N144">
        <f>電力量!N145-電力量!N144</f>
        <v>55.400000000001455</v>
      </c>
      <c r="O144">
        <f>電力量!O145-電力量!O144</f>
        <v>20.5</v>
      </c>
      <c r="P144">
        <f>電力量!P145-電力量!P144</f>
        <v>0</v>
      </c>
      <c r="Q144">
        <f>電力量!Q145-電力量!Q144</f>
        <v>0</v>
      </c>
      <c r="R144">
        <f>電力量!R145-電力量!R144</f>
        <v>0</v>
      </c>
    </row>
    <row r="145" spans="1:18">
      <c r="A145" s="4">
        <f t="shared" si="68"/>
        <v>45877.958333333336</v>
      </c>
      <c r="B145">
        <f>電力量!B146-電力量!B145</f>
        <v>718</v>
      </c>
      <c r="C145">
        <f>電力量!C146-電力量!C145</f>
        <v>179</v>
      </c>
      <c r="D145">
        <f>電力量!D146-電力量!D145</f>
        <v>15.100000000002183</v>
      </c>
      <c r="E145">
        <f>電力量!E146-電力量!E145</f>
        <v>0</v>
      </c>
      <c r="F145">
        <f>電力量!F146-電力量!F145</f>
        <v>15</v>
      </c>
      <c r="G145">
        <f>電力量!G146-電力量!G145</f>
        <v>61.700000000000728</v>
      </c>
      <c r="H145">
        <f>電力量!H146-電力量!H145</f>
        <v>13</v>
      </c>
      <c r="I145">
        <f>電力量!I146-電力量!I145</f>
        <v>232</v>
      </c>
      <c r="J145">
        <f>電力量!J146-電力量!J145</f>
        <v>9.2999999999956344</v>
      </c>
      <c r="K145">
        <f>電力量!K146-電力量!K145</f>
        <v>3</v>
      </c>
      <c r="L145">
        <f>電力量!L146-電力量!L145</f>
        <v>25.80000000000291</v>
      </c>
      <c r="M145">
        <f>電力量!M146-電力量!M145</f>
        <v>38.200000000004366</v>
      </c>
      <c r="N145">
        <f>電力量!N146-電力量!N145</f>
        <v>55.30000000000291</v>
      </c>
      <c r="O145">
        <f>電力量!O146-電力量!O145</f>
        <v>19.899999999994179</v>
      </c>
      <c r="P145">
        <f>電力量!P146-電力量!P145</f>
        <v>0</v>
      </c>
      <c r="Q145">
        <f>電力量!Q146-電力量!Q145</f>
        <v>0</v>
      </c>
      <c r="R145">
        <f>電力量!R146-電力量!R145</f>
        <v>0</v>
      </c>
    </row>
    <row r="146" spans="1:18">
      <c r="A146" s="4">
        <v>45878</v>
      </c>
      <c r="B146">
        <f>電力量!B147-電力量!B146</f>
        <v>689</v>
      </c>
      <c r="C146">
        <f>電力量!C147-電力量!C146</f>
        <v>169</v>
      </c>
      <c r="D146">
        <f>電力量!D147-電力量!D146</f>
        <v>14.200000000000728</v>
      </c>
      <c r="E146">
        <f>電力量!E147-電力量!E146</f>
        <v>0</v>
      </c>
      <c r="F146">
        <f>電力量!F147-電力量!F146</f>
        <v>16</v>
      </c>
      <c r="G146">
        <f>電力量!G147-電力量!G146</f>
        <v>53.299999999999272</v>
      </c>
      <c r="H146">
        <f>電力量!H147-電力量!H146</f>
        <v>13</v>
      </c>
      <c r="I146">
        <f>電力量!I147-電力量!I146</f>
        <v>226</v>
      </c>
      <c r="J146">
        <f>電力量!J147-電力量!J146</f>
        <v>9.1000000000058208</v>
      </c>
      <c r="K146">
        <f>電力量!K147-電力量!K146</f>
        <v>3.1000000000058208</v>
      </c>
      <c r="L146">
        <f>電力量!L147-電力量!L146</f>
        <v>24.100000000005821</v>
      </c>
      <c r="M146">
        <f>電力量!M147-電力量!M146</f>
        <v>37.899999999994179</v>
      </c>
      <c r="N146">
        <f>電力量!N147-電力量!N146</f>
        <v>55.299999999995634</v>
      </c>
      <c r="O146">
        <f>電力量!O147-電力量!O146</f>
        <v>19.80000000000291</v>
      </c>
      <c r="P146">
        <f>電力量!P147-電力量!P146</f>
        <v>0</v>
      </c>
      <c r="Q146">
        <f>電力量!Q147-電力量!Q146</f>
        <v>0</v>
      </c>
      <c r="R146">
        <f>電力量!R147-電力量!R146</f>
        <v>0</v>
      </c>
    </row>
    <row r="147" spans="1:18">
      <c r="A147" s="4">
        <f t="shared" si="46"/>
        <v>45878.041666666664</v>
      </c>
      <c r="B147">
        <f>電力量!B148-電力量!B147</f>
        <v>660</v>
      </c>
      <c r="C147">
        <f>電力量!C148-電力量!C147</f>
        <v>164</v>
      </c>
      <c r="D147">
        <f>電力量!D148-電力量!D147</f>
        <v>13.599999999998545</v>
      </c>
      <c r="E147">
        <f>電力量!E148-電力量!E147</f>
        <v>0</v>
      </c>
      <c r="F147">
        <f>電力量!F148-電力量!F147</f>
        <v>15</v>
      </c>
      <c r="G147">
        <f>電力量!G148-電力量!G147</f>
        <v>54.30000000000291</v>
      </c>
      <c r="H147">
        <f>電力量!H148-電力量!H147</f>
        <v>12</v>
      </c>
      <c r="I147">
        <f>電力量!I148-電力量!I147</f>
        <v>205</v>
      </c>
      <c r="J147">
        <f>電力量!J148-電力量!J147</f>
        <v>9.2999999999956344</v>
      </c>
      <c r="K147">
        <f>電力量!K148-電力量!K147</f>
        <v>3.1999999999970896</v>
      </c>
      <c r="L147">
        <f>電力量!L148-電力量!L147</f>
        <v>23</v>
      </c>
      <c r="M147">
        <f>電力量!M148-電力量!M147</f>
        <v>37.5</v>
      </c>
      <c r="N147">
        <f>電力量!N148-電力量!N147</f>
        <v>55.900000000001455</v>
      </c>
      <c r="O147">
        <f>電力量!O148-電力量!O147</f>
        <v>20.19999999999709</v>
      </c>
      <c r="P147">
        <f>電力量!P148-電力量!P147</f>
        <v>0</v>
      </c>
      <c r="Q147">
        <f>電力量!Q148-電力量!Q147</f>
        <v>0</v>
      </c>
      <c r="R147">
        <f>電力量!R148-電力量!R147</f>
        <v>0</v>
      </c>
    </row>
    <row r="148" spans="1:18">
      <c r="A148" s="4">
        <f t="shared" si="47"/>
        <v>45878.083333333336</v>
      </c>
      <c r="B148">
        <f>電力量!B149-電力量!B148</f>
        <v>650</v>
      </c>
      <c r="C148">
        <f>電力量!C149-電力量!C148</f>
        <v>161</v>
      </c>
      <c r="D148">
        <f>電力量!D149-電力量!D148</f>
        <v>13.700000000000728</v>
      </c>
      <c r="E148">
        <f>電力量!E149-電力量!E148</f>
        <v>0</v>
      </c>
      <c r="F148">
        <f>電力量!F149-電力量!F148</f>
        <v>16</v>
      </c>
      <c r="G148">
        <f>電力量!G149-電力量!G148</f>
        <v>52</v>
      </c>
      <c r="H148">
        <f>電力量!H149-電力量!H148</f>
        <v>13</v>
      </c>
      <c r="I148">
        <f>電力量!I149-電力量!I148</f>
        <v>204</v>
      </c>
      <c r="J148">
        <f>電力量!J149-電力量!J148</f>
        <v>9</v>
      </c>
      <c r="K148">
        <f>電力量!K149-電力量!K148</f>
        <v>3.1999999999970896</v>
      </c>
      <c r="L148">
        <f>電力量!L149-電力量!L148</f>
        <v>22</v>
      </c>
      <c r="M148">
        <f>電力量!M149-電力量!M148</f>
        <v>37.5</v>
      </c>
      <c r="N148">
        <f>電力量!N149-電力量!N148</f>
        <v>55.30000000000291</v>
      </c>
      <c r="O148">
        <f>電力量!O149-電力量!O148</f>
        <v>18.600000000005821</v>
      </c>
      <c r="P148">
        <f>電力量!P149-電力量!P148</f>
        <v>0</v>
      </c>
      <c r="Q148">
        <f>電力量!Q149-電力量!Q148</f>
        <v>0</v>
      </c>
      <c r="R148">
        <f>電力量!R149-電力量!R148</f>
        <v>0</v>
      </c>
    </row>
    <row r="149" spans="1:18">
      <c r="A149" s="4">
        <f t="shared" si="48"/>
        <v>45878.125</v>
      </c>
      <c r="B149">
        <f>電力量!B150-電力量!B149</f>
        <v>638</v>
      </c>
      <c r="C149">
        <f>電力量!C150-電力量!C149</f>
        <v>156</v>
      </c>
      <c r="D149">
        <f>電力量!D150-電力量!D149</f>
        <v>12.799999999999272</v>
      </c>
      <c r="E149">
        <f>電力量!E150-電力量!E149</f>
        <v>0</v>
      </c>
      <c r="F149">
        <f>電力量!F150-電力量!F149</f>
        <v>15</v>
      </c>
      <c r="G149">
        <f>電力量!G150-電力量!G149</f>
        <v>51.5</v>
      </c>
      <c r="H149">
        <f>電力量!H150-電力量!H149</f>
        <v>14</v>
      </c>
      <c r="I149">
        <f>電力量!I150-電力量!I149</f>
        <v>199</v>
      </c>
      <c r="J149">
        <f>電力量!J150-電力量!J149</f>
        <v>8</v>
      </c>
      <c r="K149">
        <f>電力量!K150-電力量!K149</f>
        <v>3.1000000000058208</v>
      </c>
      <c r="L149">
        <f>電力量!L150-電力量!L149</f>
        <v>22.599999999991269</v>
      </c>
      <c r="M149">
        <f>電力量!M150-電力量!M149</f>
        <v>37.5</v>
      </c>
      <c r="N149">
        <f>電力量!N150-電力量!N149</f>
        <v>54.899999999994179</v>
      </c>
      <c r="O149">
        <f>電力量!O150-電力量!O149</f>
        <v>18.5</v>
      </c>
      <c r="P149">
        <f>電力量!P150-電力量!P149</f>
        <v>0</v>
      </c>
      <c r="Q149">
        <f>電力量!Q150-電力量!Q149</f>
        <v>0</v>
      </c>
      <c r="R149">
        <f>電力量!R150-電力量!R149</f>
        <v>0</v>
      </c>
    </row>
    <row r="150" spans="1:18">
      <c r="A150" s="4">
        <f t="shared" si="49"/>
        <v>45878.166666666664</v>
      </c>
      <c r="B150">
        <f>電力量!B151-電力量!B150</f>
        <v>636</v>
      </c>
      <c r="C150">
        <f>電力量!C151-電力量!C150</f>
        <v>155</v>
      </c>
      <c r="D150">
        <f>電力量!D151-電力量!D150</f>
        <v>13</v>
      </c>
      <c r="E150">
        <f>電力量!E151-電力量!E150</f>
        <v>0</v>
      </c>
      <c r="F150">
        <f>電力量!F151-電力量!F150</f>
        <v>15</v>
      </c>
      <c r="G150">
        <f>電力量!G151-電力量!G150</f>
        <v>52.19999999999709</v>
      </c>
      <c r="H150">
        <f>電力量!H151-電力量!H150</f>
        <v>13</v>
      </c>
      <c r="I150">
        <f>電力量!I151-電力量!I150</f>
        <v>198</v>
      </c>
      <c r="J150">
        <f>電力量!J151-電力量!J150</f>
        <v>9.0999999999985448</v>
      </c>
      <c r="K150">
        <f>電力量!K151-電力量!K150</f>
        <v>2.8999999999941792</v>
      </c>
      <c r="L150">
        <f>電力量!L151-電力量!L150</f>
        <v>19.69999999999709</v>
      </c>
      <c r="M150">
        <f>電力量!M151-電力量!M150</f>
        <v>36.80000000000291</v>
      </c>
      <c r="N150">
        <f>電力量!N151-電力量!N150</f>
        <v>55.200000000004366</v>
      </c>
      <c r="O150">
        <f>電力量!O151-電力量!O150</f>
        <v>20.600000000005821</v>
      </c>
      <c r="P150">
        <f>電力量!P151-電力量!P150</f>
        <v>0</v>
      </c>
      <c r="Q150">
        <f>電力量!Q151-電力量!Q150</f>
        <v>0</v>
      </c>
      <c r="R150">
        <f>電力量!R151-電力量!R150</f>
        <v>0</v>
      </c>
    </row>
    <row r="151" spans="1:18">
      <c r="A151" s="4">
        <f t="shared" si="50"/>
        <v>45878.208333333336</v>
      </c>
      <c r="B151">
        <f>電力量!B152-電力量!B151</f>
        <v>636</v>
      </c>
      <c r="C151">
        <f>電力量!C152-電力量!C151</f>
        <v>150</v>
      </c>
      <c r="D151">
        <f>電力量!D152-電力量!D151</f>
        <v>13.299999999999272</v>
      </c>
      <c r="E151">
        <f>電力量!E152-電力量!E151</f>
        <v>0</v>
      </c>
      <c r="F151">
        <f>電力量!F152-電力量!F151</f>
        <v>15</v>
      </c>
      <c r="G151">
        <f>電力量!G152-電力量!G151</f>
        <v>50.600000000002183</v>
      </c>
      <c r="H151">
        <f>電力量!H152-電力量!H151</f>
        <v>13</v>
      </c>
      <c r="I151">
        <f>電力量!I152-電力量!I151</f>
        <v>202</v>
      </c>
      <c r="J151">
        <f>電力量!J152-電力量!J151</f>
        <v>8.9000000000014552</v>
      </c>
      <c r="K151">
        <f>電力量!K152-電力量!K151</f>
        <v>3</v>
      </c>
      <c r="L151">
        <f>電力量!L152-電力量!L151</f>
        <v>19.900000000008731</v>
      </c>
      <c r="M151">
        <f>電力量!M152-電力量!M151</f>
        <v>37.30000000000291</v>
      </c>
      <c r="N151">
        <f>電力量!N152-電力量!N151</f>
        <v>55.299999999995634</v>
      </c>
      <c r="O151">
        <f>電力量!O152-電力量!O151</f>
        <v>20.799999999988358</v>
      </c>
      <c r="P151">
        <f>電力量!P152-電力量!P151</f>
        <v>0</v>
      </c>
      <c r="Q151">
        <f>電力量!Q152-電力量!Q151</f>
        <v>0</v>
      </c>
      <c r="R151">
        <f>電力量!R152-電力量!R151</f>
        <v>0</v>
      </c>
    </row>
    <row r="152" spans="1:18">
      <c r="A152" s="4">
        <f t="shared" si="51"/>
        <v>45878.25</v>
      </c>
      <c r="B152">
        <f>電力量!B153-電力量!B152</f>
        <v>631</v>
      </c>
      <c r="C152">
        <f>電力量!C153-電力量!C152</f>
        <v>155</v>
      </c>
      <c r="D152">
        <f>電力量!D153-電力量!D152</f>
        <v>13.299999999999272</v>
      </c>
      <c r="E152">
        <f>電力量!E153-電力量!E152</f>
        <v>0</v>
      </c>
      <c r="F152">
        <f>電力量!F153-電力量!F152</f>
        <v>14</v>
      </c>
      <c r="G152">
        <f>電力量!G153-電力量!G152</f>
        <v>49.700000000000728</v>
      </c>
      <c r="H152">
        <f>電力量!H153-電力量!H152</f>
        <v>13</v>
      </c>
      <c r="I152">
        <f>電力量!I153-電力量!I152</f>
        <v>198</v>
      </c>
      <c r="J152">
        <f>電力量!J153-電力量!J152</f>
        <v>8.2000000000043656</v>
      </c>
      <c r="K152">
        <f>電力量!K153-電力量!K152</f>
        <v>2.6000000000058208</v>
      </c>
      <c r="L152">
        <f>電力量!L153-電力量!L152</f>
        <v>18.80000000000291</v>
      </c>
      <c r="M152">
        <f>電力量!M153-電力量!M152</f>
        <v>37</v>
      </c>
      <c r="N152">
        <f>電力量!N153-電力量!N152</f>
        <v>55.100000000005821</v>
      </c>
      <c r="O152">
        <f>電力量!O153-電力量!O152</f>
        <v>20.200000000011642</v>
      </c>
      <c r="P152">
        <f>電力量!P153-電力量!P152</f>
        <v>0</v>
      </c>
      <c r="Q152">
        <f>電力量!Q153-電力量!Q152</f>
        <v>0</v>
      </c>
      <c r="R152">
        <f>電力量!R153-電力量!R152</f>
        <v>0</v>
      </c>
    </row>
    <row r="153" spans="1:18">
      <c r="A153" s="4">
        <f t="shared" si="52"/>
        <v>45878.291666666664</v>
      </c>
      <c r="B153">
        <f>電力量!B154-電力量!B153</f>
        <v>644</v>
      </c>
      <c r="C153">
        <f>電力量!C154-電力量!C153</f>
        <v>161</v>
      </c>
      <c r="D153">
        <f>電力量!D154-電力量!D153</f>
        <v>13.200000000000728</v>
      </c>
      <c r="E153">
        <f>電力量!E154-電力量!E153</f>
        <v>0</v>
      </c>
      <c r="F153">
        <f>電力量!F154-電力量!F153</f>
        <v>14</v>
      </c>
      <c r="G153">
        <f>電力量!G154-電力量!G153</f>
        <v>48.299999999999272</v>
      </c>
      <c r="H153">
        <f>電力量!H154-電力量!H153</f>
        <v>13</v>
      </c>
      <c r="I153">
        <f>電力量!I154-電力量!I153</f>
        <v>207</v>
      </c>
      <c r="J153">
        <f>電力量!J154-電力量!J153</f>
        <v>8.8999999999941792</v>
      </c>
      <c r="K153">
        <f>電力量!K154-電力量!K153</f>
        <v>1.7999999999883585</v>
      </c>
      <c r="L153">
        <f>電力量!L154-電力量!L153</f>
        <v>18.69999999999709</v>
      </c>
      <c r="M153">
        <f>電力量!M154-電力量!M153</f>
        <v>36.899999999994179</v>
      </c>
      <c r="N153">
        <f>電力量!N154-電力量!N153</f>
        <v>53.69999999999709</v>
      </c>
      <c r="O153">
        <f>電力量!O154-電力量!O153</f>
        <v>22.099999999991269</v>
      </c>
      <c r="P153">
        <f>電力量!P154-電力量!P153</f>
        <v>1</v>
      </c>
      <c r="Q153">
        <f>電力量!Q154-電力量!Q153</f>
        <v>1</v>
      </c>
      <c r="R153">
        <f>電力量!R154-電力量!R153</f>
        <v>0</v>
      </c>
    </row>
    <row r="154" spans="1:18">
      <c r="A154" s="4">
        <f t="shared" si="53"/>
        <v>45878.333333333336</v>
      </c>
      <c r="B154">
        <f>電力量!B155-電力量!B154</f>
        <v>837</v>
      </c>
      <c r="C154">
        <f>電力量!C155-電力量!C154</f>
        <v>180</v>
      </c>
      <c r="D154">
        <f>電力量!D155-電力量!D154</f>
        <v>14.400000000001455</v>
      </c>
      <c r="E154">
        <f>電力量!E155-電力量!E154</f>
        <v>0</v>
      </c>
      <c r="F154">
        <f>電力量!F155-電力量!F154</f>
        <v>17</v>
      </c>
      <c r="G154">
        <f>電力量!G155-電力量!G154</f>
        <v>46.799999999999272</v>
      </c>
      <c r="H154">
        <f>電力量!H155-電力量!H154</f>
        <v>139</v>
      </c>
      <c r="I154">
        <f>電力量!I155-電力量!I154</f>
        <v>236</v>
      </c>
      <c r="J154">
        <f>電力量!J155-電力量!J154</f>
        <v>8.1000000000058208</v>
      </c>
      <c r="K154">
        <f>電力量!K155-電力量!K154</f>
        <v>4.1000000000058208</v>
      </c>
      <c r="L154">
        <f>電力量!L155-電力量!L154</f>
        <v>19.69999999999709</v>
      </c>
      <c r="M154">
        <f>電力量!M155-電力量!M154</f>
        <v>37.100000000005821</v>
      </c>
      <c r="N154">
        <f>電力量!N155-電力量!N154</f>
        <v>54.5</v>
      </c>
      <c r="O154">
        <f>電力量!O155-電力量!O154</f>
        <v>31.100000000005821</v>
      </c>
      <c r="P154">
        <f>電力量!P155-電力量!P154</f>
        <v>2</v>
      </c>
      <c r="Q154">
        <f>電力量!Q155-電力量!Q154</f>
        <v>3</v>
      </c>
      <c r="R154">
        <f>電力量!R155-電力量!R154</f>
        <v>0</v>
      </c>
    </row>
    <row r="155" spans="1:18">
      <c r="A155" s="4">
        <f t="shared" si="54"/>
        <v>45878.375</v>
      </c>
      <c r="B155">
        <f>電力量!B156-電力量!B155</f>
        <v>1063</v>
      </c>
      <c r="C155">
        <f>電力量!C156-電力量!C155</f>
        <v>223</v>
      </c>
      <c r="D155">
        <f>電力量!D156-電力量!D155</f>
        <v>16.799999999999272</v>
      </c>
      <c r="E155">
        <f>電力量!E156-電力量!E155</f>
        <v>0</v>
      </c>
      <c r="F155">
        <f>電力量!F156-電力量!F155</f>
        <v>17</v>
      </c>
      <c r="G155">
        <f>電力量!G156-電力量!G155</f>
        <v>51.099999999998545</v>
      </c>
      <c r="H155">
        <f>電力量!H156-電力量!H155</f>
        <v>195</v>
      </c>
      <c r="I155">
        <f>電力量!I156-電力量!I155</f>
        <v>295</v>
      </c>
      <c r="J155">
        <f>電力量!J156-電力量!J155</f>
        <v>9.2999999999956344</v>
      </c>
      <c r="K155">
        <f>電力量!K156-電力量!K155</f>
        <v>11.399999999994179</v>
      </c>
      <c r="L155">
        <f>電力量!L156-電力量!L155</f>
        <v>25.600000000005821</v>
      </c>
      <c r="M155">
        <f>電力量!M156-電力量!M155</f>
        <v>36.899999999994179</v>
      </c>
      <c r="N155">
        <f>電力量!N156-電力量!N155</f>
        <v>57</v>
      </c>
      <c r="O155">
        <f>電力量!O156-電力量!O155</f>
        <v>66.30000000000291</v>
      </c>
      <c r="P155">
        <f>電力量!P156-電力量!P155</f>
        <v>2</v>
      </c>
      <c r="Q155">
        <f>電力量!Q156-電力量!Q155</f>
        <v>4</v>
      </c>
      <c r="R155">
        <f>電力量!R156-電力量!R155</f>
        <v>0</v>
      </c>
    </row>
    <row r="156" spans="1:18">
      <c r="A156" s="4">
        <f t="shared" si="55"/>
        <v>45878.416666666664</v>
      </c>
      <c r="B156">
        <f>電力量!B157-電力量!B156</f>
        <v>1126</v>
      </c>
      <c r="C156">
        <f>電力量!C157-電力量!C156</f>
        <v>228</v>
      </c>
      <c r="D156">
        <f>電力量!D157-電力量!D156</f>
        <v>20.5</v>
      </c>
      <c r="E156">
        <f>電力量!E157-電力量!E156</f>
        <v>0</v>
      </c>
      <c r="F156">
        <f>電力量!F157-電力量!F156</f>
        <v>18</v>
      </c>
      <c r="G156">
        <f>電力量!G157-電力量!G156</f>
        <v>65</v>
      </c>
      <c r="H156">
        <f>電力量!H157-電力量!H156</f>
        <v>211</v>
      </c>
      <c r="I156">
        <f>電力量!I157-電力量!I156</f>
        <v>303</v>
      </c>
      <c r="J156">
        <f>電力量!J157-電力量!J156</f>
        <v>9.0999999999985448</v>
      </c>
      <c r="K156">
        <f>電力量!K157-電力量!K156</f>
        <v>13.80000000000291</v>
      </c>
      <c r="L156">
        <f>電力量!L157-電力量!L156</f>
        <v>29.899999999994179</v>
      </c>
      <c r="M156">
        <f>電力量!M157-電力量!M156</f>
        <v>36.80000000000291</v>
      </c>
      <c r="N156">
        <f>電力量!N157-電力量!N156</f>
        <v>59.099999999998545</v>
      </c>
      <c r="O156">
        <f>電力量!O157-電力量!O156</f>
        <v>70.099999999991269</v>
      </c>
      <c r="P156">
        <f>電力量!P157-電力量!P156</f>
        <v>3</v>
      </c>
      <c r="Q156">
        <f>電力量!Q157-電力量!Q156</f>
        <v>4</v>
      </c>
      <c r="R156">
        <f>電力量!R157-電力量!R156</f>
        <v>0</v>
      </c>
    </row>
    <row r="157" spans="1:18">
      <c r="A157" s="4">
        <f t="shared" si="56"/>
        <v>45878.458333333336</v>
      </c>
      <c r="B157">
        <f>電力量!B158-電力量!B157</f>
        <v>1115</v>
      </c>
      <c r="C157">
        <f>電力量!C158-電力量!C157</f>
        <v>228</v>
      </c>
      <c r="D157">
        <f>電力量!D158-電力量!D157</f>
        <v>17.700000000000728</v>
      </c>
      <c r="E157">
        <f>電力量!E158-電力量!E157</f>
        <v>0</v>
      </c>
      <c r="F157">
        <f>電力量!F158-電力量!F157</f>
        <v>17</v>
      </c>
      <c r="G157">
        <f>電力量!G158-電力量!G157</f>
        <v>69.600000000002183</v>
      </c>
      <c r="H157">
        <f>電力量!H158-電力量!H157</f>
        <v>189</v>
      </c>
      <c r="I157">
        <f>電力量!I158-電力量!I157</f>
        <v>314</v>
      </c>
      <c r="J157">
        <f>電力量!J158-電力量!J157</f>
        <v>9.3000000000029104</v>
      </c>
      <c r="K157">
        <f>電力量!K158-電力量!K157</f>
        <v>13.5</v>
      </c>
      <c r="L157">
        <f>電力量!L158-電力量!L157</f>
        <v>29.100000000005821</v>
      </c>
      <c r="M157">
        <f>電力量!M158-電力量!M157</f>
        <v>36.69999999999709</v>
      </c>
      <c r="N157">
        <f>電力量!N158-電力量!N157</f>
        <v>60.099999999998545</v>
      </c>
      <c r="O157">
        <f>電力量!O158-電力量!O157</f>
        <v>71.900000000008731</v>
      </c>
      <c r="P157">
        <f>電力量!P158-電力量!P157</f>
        <v>2</v>
      </c>
      <c r="Q157">
        <f>電力量!Q158-電力量!Q157</f>
        <v>4</v>
      </c>
      <c r="R157">
        <f>電力量!R158-電力量!R157</f>
        <v>0</v>
      </c>
    </row>
    <row r="158" spans="1:18">
      <c r="A158" s="4">
        <f t="shared" si="57"/>
        <v>45878.5</v>
      </c>
      <c r="B158">
        <f>電力量!B159-電力量!B158</f>
        <v>1105</v>
      </c>
      <c r="C158">
        <f>電力量!C159-電力量!C158</f>
        <v>218</v>
      </c>
      <c r="D158">
        <f>電力量!D159-電力量!D158</f>
        <v>18.899999999997817</v>
      </c>
      <c r="E158">
        <f>電力量!E159-電力量!E158</f>
        <v>0</v>
      </c>
      <c r="F158">
        <f>電力量!F159-電力量!F158</f>
        <v>17</v>
      </c>
      <c r="G158">
        <f>電力量!G159-電力量!G158</f>
        <v>68.799999999999272</v>
      </c>
      <c r="H158">
        <f>電力量!H159-電力量!H158</f>
        <v>181</v>
      </c>
      <c r="I158">
        <f>電力量!I159-電力量!I158</f>
        <v>321</v>
      </c>
      <c r="J158">
        <f>電力量!J159-電力量!J158</f>
        <v>9</v>
      </c>
      <c r="K158">
        <f>電力量!K159-電力量!K158</f>
        <v>13.19999999999709</v>
      </c>
      <c r="L158">
        <f>電力量!L159-電力量!L158</f>
        <v>24.5</v>
      </c>
      <c r="M158">
        <f>電力量!M159-電力量!M158</f>
        <v>37.200000000004366</v>
      </c>
      <c r="N158">
        <f>電力量!N159-電力量!N158</f>
        <v>58.900000000001455</v>
      </c>
      <c r="O158">
        <f>電力量!O159-電力量!O158</f>
        <v>77.599999999991269</v>
      </c>
      <c r="P158">
        <f>電力量!P159-電力量!P158</f>
        <v>3</v>
      </c>
      <c r="Q158">
        <f>電力量!Q159-電力量!Q158</f>
        <v>4</v>
      </c>
      <c r="R158">
        <f>電力量!R159-電力量!R158</f>
        <v>0</v>
      </c>
    </row>
    <row r="159" spans="1:18">
      <c r="A159" s="4">
        <f t="shared" si="58"/>
        <v>45878.541666666664</v>
      </c>
      <c r="B159">
        <f>電力量!B160-電力量!B159</f>
        <v>1071</v>
      </c>
      <c r="C159">
        <f>電力量!C160-電力量!C159</f>
        <v>209</v>
      </c>
      <c r="D159">
        <f>電力量!D160-電力量!D159</f>
        <v>20.600000000002183</v>
      </c>
      <c r="E159">
        <f>電力量!E160-電力量!E159</f>
        <v>0</v>
      </c>
      <c r="F159">
        <f>電力量!F160-電力量!F159</f>
        <v>20</v>
      </c>
      <c r="G159">
        <f>電力量!G160-電力量!G159</f>
        <v>64.900000000001455</v>
      </c>
      <c r="H159">
        <f>電力量!H160-電力量!H159</f>
        <v>176</v>
      </c>
      <c r="I159">
        <f>電力量!I160-電力量!I159</f>
        <v>310</v>
      </c>
      <c r="J159">
        <f>電力量!J160-電力量!J159</f>
        <v>7.9000000000014552</v>
      </c>
      <c r="K159">
        <f>電力量!K160-電力量!K159</f>
        <v>14</v>
      </c>
      <c r="L159">
        <f>電力量!L160-電力量!L159</f>
        <v>23.599999999991269</v>
      </c>
      <c r="M159">
        <f>電力量!M160-電力量!M159</f>
        <v>36.099999999998545</v>
      </c>
      <c r="N159">
        <f>電力量!N160-電力量!N159</f>
        <v>58.30000000000291</v>
      </c>
      <c r="O159">
        <f>電力量!O160-電力量!O159</f>
        <v>78.30000000000291</v>
      </c>
      <c r="P159">
        <f>電力量!P160-電力量!P159</f>
        <v>2</v>
      </c>
      <c r="Q159">
        <f>電力量!Q160-電力量!Q159</f>
        <v>4</v>
      </c>
      <c r="R159">
        <f>電力量!R160-電力量!R159</f>
        <v>0</v>
      </c>
    </row>
    <row r="160" spans="1:18">
      <c r="A160" s="4">
        <f t="shared" si="59"/>
        <v>45878.583333333336</v>
      </c>
      <c r="B160">
        <f>電力量!B161-電力量!B160</f>
        <v>990</v>
      </c>
      <c r="C160">
        <f>電力量!C161-電力量!C160</f>
        <v>201</v>
      </c>
      <c r="D160">
        <f>電力量!D161-電力量!D160</f>
        <v>19.299999999999272</v>
      </c>
      <c r="E160">
        <f>電力量!E161-電力量!E160</f>
        <v>0</v>
      </c>
      <c r="F160">
        <f>電力量!F161-電力量!F160</f>
        <v>20</v>
      </c>
      <c r="G160">
        <f>電力量!G161-電力量!G160</f>
        <v>66.5</v>
      </c>
      <c r="H160">
        <f>電力量!H161-電力量!H160</f>
        <v>145</v>
      </c>
      <c r="I160">
        <f>電力量!I161-電力量!I160</f>
        <v>287</v>
      </c>
      <c r="J160">
        <f>電力量!J161-電力量!J160</f>
        <v>8.5999999999985448</v>
      </c>
      <c r="K160">
        <f>電力量!K161-電力量!K160</f>
        <v>15.80000000000291</v>
      </c>
      <c r="L160">
        <f>電力量!L161-電力量!L160</f>
        <v>21.900000000008731</v>
      </c>
      <c r="M160">
        <f>電力量!M161-電力量!M160</f>
        <v>35.80000000000291</v>
      </c>
      <c r="N160">
        <f>電力量!N161-電力量!N160</f>
        <v>57.799999999995634</v>
      </c>
      <c r="O160">
        <f>電力量!O161-電力量!O160</f>
        <v>58.30000000000291</v>
      </c>
      <c r="P160">
        <f>電力量!P161-電力量!P160</f>
        <v>2</v>
      </c>
      <c r="Q160">
        <f>電力量!Q161-電力量!Q160</f>
        <v>2</v>
      </c>
      <c r="R160">
        <f>電力量!R161-電力量!R160</f>
        <v>0</v>
      </c>
    </row>
    <row r="161" spans="1:18">
      <c r="A161" s="4">
        <f t="shared" si="60"/>
        <v>45878.625</v>
      </c>
      <c r="B161">
        <f>電力量!B162-電力量!B161</f>
        <v>927</v>
      </c>
      <c r="C161">
        <f>電力量!C162-電力量!C161</f>
        <v>207</v>
      </c>
      <c r="D161">
        <f>電力量!D162-電力量!D161</f>
        <v>18</v>
      </c>
      <c r="E161">
        <f>電力量!E162-電力量!E161</f>
        <v>0</v>
      </c>
      <c r="F161">
        <f>電力量!F162-電力量!F161</f>
        <v>21</v>
      </c>
      <c r="G161">
        <f>電力量!G162-電力量!G161</f>
        <v>55</v>
      </c>
      <c r="H161">
        <f>電力量!H162-電力量!H161</f>
        <v>140</v>
      </c>
      <c r="I161">
        <f>電力量!I162-電力量!I161</f>
        <v>260</v>
      </c>
      <c r="J161">
        <f>電力量!J162-電力量!J161</f>
        <v>8.0999999999985448</v>
      </c>
      <c r="K161">
        <f>電力量!K162-電力量!K161</f>
        <v>11.900000000008731</v>
      </c>
      <c r="L161">
        <f>電力量!L162-電力量!L161</f>
        <v>22.799999999988358</v>
      </c>
      <c r="M161">
        <f>電力量!M162-電力量!M161</f>
        <v>35.899999999994179</v>
      </c>
      <c r="N161">
        <f>電力量!N162-電力量!N161</f>
        <v>57.100000000005821</v>
      </c>
      <c r="O161">
        <f>電力量!O162-電力量!O161</f>
        <v>39.399999999994179</v>
      </c>
      <c r="P161">
        <f>電力量!P162-電力量!P161</f>
        <v>2</v>
      </c>
      <c r="Q161">
        <f>電力量!Q162-電力量!Q161</f>
        <v>3</v>
      </c>
      <c r="R161">
        <f>電力量!R162-電力量!R161</f>
        <v>0</v>
      </c>
    </row>
    <row r="162" spans="1:18">
      <c r="A162" s="4">
        <f t="shared" si="61"/>
        <v>45878.666666666664</v>
      </c>
      <c r="B162">
        <f>電力量!B163-電力量!B162</f>
        <v>822</v>
      </c>
      <c r="C162">
        <f>電力量!C163-電力量!C162</f>
        <v>196</v>
      </c>
      <c r="D162">
        <f>電力量!D163-電力量!D162</f>
        <v>19.5</v>
      </c>
      <c r="E162">
        <f>電力量!E163-電力量!E162</f>
        <v>0</v>
      </c>
      <c r="F162">
        <f>電力量!F163-電力量!F162</f>
        <v>19</v>
      </c>
      <c r="G162">
        <f>電力量!G163-電力量!G162</f>
        <v>54.19999999999709</v>
      </c>
      <c r="H162">
        <f>電力量!H163-電力量!H162</f>
        <v>76</v>
      </c>
      <c r="I162">
        <f>電力量!I163-電力量!I162</f>
        <v>243</v>
      </c>
      <c r="J162">
        <f>電力量!J163-電力量!J162</f>
        <v>7.9000000000014552</v>
      </c>
      <c r="K162">
        <f>電力量!K163-電力量!K162</f>
        <v>11.799999999988358</v>
      </c>
      <c r="L162">
        <f>電力量!L163-電力量!L162</f>
        <v>22.80000000000291</v>
      </c>
      <c r="M162">
        <f>電力量!M163-電力量!M162</f>
        <v>39</v>
      </c>
      <c r="N162">
        <f>電力量!N163-電力量!N162</f>
        <v>54.099999999998545</v>
      </c>
      <c r="O162">
        <f>電力量!O163-電力量!O162</f>
        <v>29.400000000008731</v>
      </c>
      <c r="P162">
        <f>電力量!P163-電力量!P162</f>
        <v>0</v>
      </c>
      <c r="Q162">
        <f>電力量!Q163-電力量!Q162</f>
        <v>1</v>
      </c>
      <c r="R162">
        <f>電力量!R163-電力量!R162</f>
        <v>0</v>
      </c>
    </row>
    <row r="163" spans="1:18">
      <c r="A163" s="4">
        <f t="shared" si="62"/>
        <v>45878.708333333336</v>
      </c>
      <c r="B163">
        <f>電力量!B164-電力量!B163</f>
        <v>708</v>
      </c>
      <c r="C163">
        <f>電力量!C164-電力量!C163</f>
        <v>177</v>
      </c>
      <c r="D163">
        <f>電力量!D164-電力量!D163</f>
        <v>16.299999999999272</v>
      </c>
      <c r="E163">
        <f>電力量!E164-電力量!E163</f>
        <v>0</v>
      </c>
      <c r="F163">
        <f>電力量!F164-電力量!F163</f>
        <v>19</v>
      </c>
      <c r="G163">
        <f>電力量!G164-電力量!G163</f>
        <v>52.5</v>
      </c>
      <c r="H163">
        <f>電力量!H164-電力量!H163</f>
        <v>19</v>
      </c>
      <c r="I163">
        <f>電力量!I164-電力量!I163</f>
        <v>223</v>
      </c>
      <c r="J163">
        <f>電力量!J164-電力量!J163</f>
        <v>7.9000000000014552</v>
      </c>
      <c r="K163">
        <f>電力量!K164-電力量!K163</f>
        <v>3.2000000000116415</v>
      </c>
      <c r="L163">
        <f>電力量!L164-電力量!L163</f>
        <v>26.400000000008731</v>
      </c>
      <c r="M163">
        <f>電力量!M164-電力量!M163</f>
        <v>39.600000000005821</v>
      </c>
      <c r="N163">
        <f>電力量!N164-電力量!N163</f>
        <v>53.400000000001455</v>
      </c>
      <c r="O163">
        <f>電力量!O164-電力量!O163</f>
        <v>20.099999999991269</v>
      </c>
      <c r="P163">
        <f>電力量!P164-電力量!P163</f>
        <v>0</v>
      </c>
      <c r="Q163">
        <f>電力量!Q164-電力量!Q163</f>
        <v>0</v>
      </c>
      <c r="R163">
        <f>電力量!R164-電力量!R163</f>
        <v>0</v>
      </c>
    </row>
    <row r="164" spans="1:18">
      <c r="A164" s="4">
        <f t="shared" si="63"/>
        <v>45878.75</v>
      </c>
      <c r="B164">
        <f>電力量!B165-電力量!B164</f>
        <v>660</v>
      </c>
      <c r="C164">
        <f>電力量!C165-電力量!C164</f>
        <v>159</v>
      </c>
      <c r="D164">
        <f>電力量!D165-電力量!D164</f>
        <v>14.799999999999272</v>
      </c>
      <c r="E164">
        <f>電力量!E165-電力量!E164</f>
        <v>0</v>
      </c>
      <c r="F164">
        <f>電力量!F165-電力量!F164</f>
        <v>17</v>
      </c>
      <c r="G164">
        <f>電力量!G165-電力量!G164</f>
        <v>53.400000000001455</v>
      </c>
      <c r="H164">
        <f>電力量!H165-電力量!H164</f>
        <v>20</v>
      </c>
      <c r="I164">
        <f>電力量!I165-電力量!I164</f>
        <v>202</v>
      </c>
      <c r="J164">
        <f>電力量!J165-電力量!J164</f>
        <v>8.6999999999970896</v>
      </c>
      <c r="K164">
        <f>電力量!K165-電力量!K164</f>
        <v>2.6999999999970896</v>
      </c>
      <c r="L164">
        <f>電力量!L165-電力量!L164</f>
        <v>26.099999999991269</v>
      </c>
      <c r="M164">
        <f>電力量!M165-電力量!M164</f>
        <v>39.69999999999709</v>
      </c>
      <c r="N164">
        <f>電力量!N165-電力量!N164</f>
        <v>54.099999999998545</v>
      </c>
      <c r="O164">
        <f>電力量!O165-電力量!O164</f>
        <v>14.30000000000291</v>
      </c>
      <c r="P164">
        <f>電力量!P165-電力量!P164</f>
        <v>0</v>
      </c>
      <c r="Q164">
        <f>電力量!Q165-電力量!Q164</f>
        <v>0</v>
      </c>
      <c r="R164">
        <f>電力量!R165-電力量!R164</f>
        <v>0</v>
      </c>
    </row>
    <row r="165" spans="1:18">
      <c r="A165" s="4">
        <f t="shared" si="64"/>
        <v>45878.791666666664</v>
      </c>
      <c r="B165">
        <f>電力量!B166-電力量!B165</f>
        <v>661</v>
      </c>
      <c r="C165">
        <f>電力量!C166-電力量!C165</f>
        <v>161</v>
      </c>
      <c r="D165">
        <f>電力量!D166-電力量!D165</f>
        <v>15.30000000000291</v>
      </c>
      <c r="E165">
        <f>電力量!E166-電力量!E165</f>
        <v>0</v>
      </c>
      <c r="F165">
        <f>電力量!F166-電力量!F165</f>
        <v>17</v>
      </c>
      <c r="G165">
        <f>電力量!G166-電力量!G165</f>
        <v>53.200000000000728</v>
      </c>
      <c r="H165">
        <f>電力量!H166-電力量!H165</f>
        <v>19</v>
      </c>
      <c r="I165">
        <f>電力量!I166-電力量!I165</f>
        <v>199</v>
      </c>
      <c r="J165">
        <f>電力量!J166-電力量!J165</f>
        <v>8.2000000000043656</v>
      </c>
      <c r="K165">
        <f>電力量!K166-電力量!K165</f>
        <v>2.6999999999970896</v>
      </c>
      <c r="L165">
        <f>電力量!L166-電力量!L165</f>
        <v>26.80000000000291</v>
      </c>
      <c r="M165">
        <f>電力量!M166-電力量!M165</f>
        <v>39.80000000000291</v>
      </c>
      <c r="N165">
        <f>電力量!N166-電力量!N165</f>
        <v>54.599999999998545</v>
      </c>
      <c r="O165">
        <f>電力量!O166-電力量!O165</f>
        <v>16.600000000005821</v>
      </c>
      <c r="P165">
        <f>電力量!P166-電力量!P165</f>
        <v>0</v>
      </c>
      <c r="Q165">
        <f>電力量!Q166-電力量!Q165</f>
        <v>0</v>
      </c>
      <c r="R165">
        <f>電力量!R166-電力量!R165</f>
        <v>0</v>
      </c>
    </row>
    <row r="166" spans="1:18">
      <c r="A166" s="4">
        <f t="shared" si="65"/>
        <v>45878.833333333336</v>
      </c>
      <c r="B166">
        <f>電力量!B167-電力量!B166</f>
        <v>662</v>
      </c>
      <c r="C166">
        <f>電力量!C167-電力量!C166</f>
        <v>163</v>
      </c>
      <c r="D166">
        <f>電力量!D167-電力量!D166</f>
        <v>15.5</v>
      </c>
      <c r="E166">
        <f>電力量!E167-電力量!E166</f>
        <v>0</v>
      </c>
      <c r="F166">
        <f>電力量!F167-電力量!F166</f>
        <v>17</v>
      </c>
      <c r="G166">
        <f>電力量!G167-電力量!G166</f>
        <v>53.700000000000728</v>
      </c>
      <c r="H166">
        <f>電力量!H167-電力量!H166</f>
        <v>19</v>
      </c>
      <c r="I166">
        <f>電力量!I167-電力量!I166</f>
        <v>201</v>
      </c>
      <c r="J166">
        <f>電力量!J167-電力量!J166</f>
        <v>9.0999999999985448</v>
      </c>
      <c r="K166">
        <f>電力量!K167-電力量!K166</f>
        <v>2.8999999999941792</v>
      </c>
      <c r="L166">
        <f>電力量!L167-電力量!L166</f>
        <v>25.30000000000291</v>
      </c>
      <c r="M166">
        <f>電力量!M167-電力量!M166</f>
        <v>38.599999999998545</v>
      </c>
      <c r="N166">
        <f>電力量!N167-電力量!N166</f>
        <v>54.19999999999709</v>
      </c>
      <c r="O166">
        <f>電力量!O167-電力量!O166</f>
        <v>16.5</v>
      </c>
      <c r="P166">
        <f>電力量!P167-電力量!P166</f>
        <v>0</v>
      </c>
      <c r="Q166">
        <f>電力量!Q167-電力量!Q166</f>
        <v>0</v>
      </c>
      <c r="R166">
        <f>電力量!R167-電力量!R166</f>
        <v>0</v>
      </c>
    </row>
    <row r="167" spans="1:18">
      <c r="A167" s="4">
        <f t="shared" si="66"/>
        <v>45878.875</v>
      </c>
      <c r="B167">
        <f>電力量!B168-電力量!B167</f>
        <v>648</v>
      </c>
      <c r="C167">
        <f>電力量!C168-電力量!C167</f>
        <v>159</v>
      </c>
      <c r="D167">
        <f>電力量!D168-電力量!D167</f>
        <v>14.19999999999709</v>
      </c>
      <c r="E167">
        <f>電力量!E168-電力量!E167</f>
        <v>0</v>
      </c>
      <c r="F167">
        <f>電力量!F168-電力量!F167</f>
        <v>17</v>
      </c>
      <c r="G167">
        <f>電力量!G168-電力量!G167</f>
        <v>54.5</v>
      </c>
      <c r="H167">
        <f>電力量!H168-電力量!H167</f>
        <v>14</v>
      </c>
      <c r="I167">
        <f>電力量!I168-電力量!I167</f>
        <v>198</v>
      </c>
      <c r="J167">
        <f>電力量!J168-電力量!J167</f>
        <v>8</v>
      </c>
      <c r="K167">
        <f>電力量!K168-電力量!K167</f>
        <v>2.7000000000116415</v>
      </c>
      <c r="L167">
        <f>電力量!L168-電力量!L167</f>
        <v>24.80000000000291</v>
      </c>
      <c r="M167">
        <f>電力量!M168-電力量!M167</f>
        <v>37.599999999998545</v>
      </c>
      <c r="N167">
        <f>電力量!N168-電力量!N167</f>
        <v>54.5</v>
      </c>
      <c r="O167">
        <f>電力量!O168-電力量!O167</f>
        <v>15.599999999991269</v>
      </c>
      <c r="P167">
        <f>電力量!P168-電力量!P167</f>
        <v>0</v>
      </c>
      <c r="Q167">
        <f>電力量!Q168-電力量!Q167</f>
        <v>0</v>
      </c>
      <c r="R167">
        <f>電力量!R168-電力量!R167</f>
        <v>0</v>
      </c>
    </row>
    <row r="168" spans="1:18">
      <c r="A168" s="4">
        <f t="shared" si="67"/>
        <v>45878.916666666664</v>
      </c>
      <c r="B168">
        <f>電力量!B169-電力量!B168</f>
        <v>642</v>
      </c>
      <c r="C168">
        <f>電力量!C169-電力量!C168</f>
        <v>157</v>
      </c>
      <c r="D168">
        <f>電力量!D169-電力量!D168</f>
        <v>13.400000000001455</v>
      </c>
      <c r="E168">
        <f>電力量!E169-電力量!E168</f>
        <v>0</v>
      </c>
      <c r="F168">
        <f>電力量!F169-電力量!F168</f>
        <v>15</v>
      </c>
      <c r="G168">
        <f>電力量!G169-電力量!G168</f>
        <v>55.399999999997817</v>
      </c>
      <c r="H168">
        <f>電力量!H169-電力量!H168</f>
        <v>14</v>
      </c>
      <c r="I168">
        <f>電力量!I169-電力量!I168</f>
        <v>196</v>
      </c>
      <c r="J168">
        <f>電力量!J169-電力量!J168</f>
        <v>9</v>
      </c>
      <c r="K168">
        <f>電力量!K169-電力量!K168</f>
        <v>2.7999999999883585</v>
      </c>
      <c r="L168">
        <f>電力量!L169-電力量!L168</f>
        <v>25.099999999991269</v>
      </c>
      <c r="M168">
        <f>電力量!M169-電力量!M168</f>
        <v>37.400000000001455</v>
      </c>
      <c r="N168">
        <f>電力量!N169-電力量!N168</f>
        <v>54</v>
      </c>
      <c r="O168">
        <f>電力量!O169-電力量!O168</f>
        <v>16.900000000008731</v>
      </c>
      <c r="P168">
        <f>電力量!P169-電力量!P168</f>
        <v>0</v>
      </c>
      <c r="Q168">
        <f>電力量!Q169-電力量!Q168</f>
        <v>0</v>
      </c>
      <c r="R168">
        <f>電力量!R169-電力量!R168</f>
        <v>0</v>
      </c>
    </row>
    <row r="169" spans="1:18">
      <c r="A169" s="4">
        <f t="shared" si="68"/>
        <v>45878.958333333336</v>
      </c>
      <c r="B169">
        <f>電力量!B170-電力量!B169</f>
        <v>625</v>
      </c>
      <c r="C169">
        <f>電力量!C170-電力量!C169</f>
        <v>150</v>
      </c>
      <c r="D169">
        <f>電力量!D170-電力量!D169</f>
        <v>12.799999999999272</v>
      </c>
      <c r="E169">
        <f>電力量!E170-電力量!E169</f>
        <v>0</v>
      </c>
      <c r="F169">
        <f>電力量!F170-電力量!F169</f>
        <v>14</v>
      </c>
      <c r="G169">
        <f>電力量!G170-電力量!G169</f>
        <v>54.900000000001455</v>
      </c>
      <c r="H169">
        <f>電力量!H170-電力量!H169</f>
        <v>13</v>
      </c>
      <c r="I169">
        <f>電力量!I170-電力量!I169</f>
        <v>193</v>
      </c>
      <c r="J169">
        <f>電力量!J170-電力量!J169</f>
        <v>7.9000000000014552</v>
      </c>
      <c r="K169">
        <f>電力量!K170-電力量!K169</f>
        <v>2.8000000000029104</v>
      </c>
      <c r="L169">
        <f>電力量!L170-電力量!L169</f>
        <v>23.900000000008731</v>
      </c>
      <c r="M169">
        <f>電力量!M170-電力量!M169</f>
        <v>36.5</v>
      </c>
      <c r="N169">
        <f>電力量!N170-電力量!N169</f>
        <v>54.200000000004366</v>
      </c>
      <c r="O169">
        <f>電力量!O170-電力量!O169</f>
        <v>15.399999999994179</v>
      </c>
      <c r="P169">
        <f>電力量!P170-電力量!P169</f>
        <v>0</v>
      </c>
      <c r="Q169">
        <f>電力量!Q170-電力量!Q169</f>
        <v>0</v>
      </c>
      <c r="R169">
        <f>電力量!R170-電力量!R169</f>
        <v>0</v>
      </c>
    </row>
    <row r="170" spans="1:18">
      <c r="A170" s="4">
        <v>45879</v>
      </c>
      <c r="B170">
        <f>電力量!B171-電力量!B170</f>
        <v>627</v>
      </c>
      <c r="C170">
        <f>電力量!C171-電力量!C170</f>
        <v>151</v>
      </c>
      <c r="D170">
        <f>電力量!D171-電力量!D170</f>
        <v>13.299999999999272</v>
      </c>
      <c r="E170">
        <f>電力量!E171-電力量!E170</f>
        <v>0</v>
      </c>
      <c r="F170">
        <f>電力量!F171-電力量!F170</f>
        <v>13</v>
      </c>
      <c r="G170">
        <f>電力量!G171-電力量!G170</f>
        <v>55.099999999998545</v>
      </c>
      <c r="H170">
        <f>電力量!H171-電力量!H170</f>
        <v>15</v>
      </c>
      <c r="I170">
        <f>電力量!I171-電力量!I170</f>
        <v>192</v>
      </c>
      <c r="J170">
        <f>電力量!J171-電力量!J170</f>
        <v>8.7999999999956344</v>
      </c>
      <c r="K170">
        <f>電力量!K171-電力量!K170</f>
        <v>2.9000000000087311</v>
      </c>
      <c r="L170">
        <f>電力量!L171-電力量!L170</f>
        <v>22.599999999991269</v>
      </c>
      <c r="M170">
        <f>電力量!M171-電力量!M170</f>
        <v>36.69999999999709</v>
      </c>
      <c r="N170">
        <f>電力量!N171-電力量!N170</f>
        <v>54.5</v>
      </c>
      <c r="O170">
        <f>電力量!O171-電力量!O170</f>
        <v>14.30000000000291</v>
      </c>
      <c r="P170">
        <f>電力量!P171-電力量!P170</f>
        <v>0</v>
      </c>
      <c r="Q170">
        <f>電力量!Q171-電力量!Q170</f>
        <v>0</v>
      </c>
      <c r="R170">
        <f>電力量!R171-電力量!R170</f>
        <v>0</v>
      </c>
    </row>
    <row r="171" spans="1:18">
      <c r="A171" s="4">
        <f t="shared" ref="A171:A219" si="69">A170+(1/24)</f>
        <v>45879.041666666664</v>
      </c>
      <c r="B171">
        <f>電力量!B172-電力量!B171</f>
        <v>620</v>
      </c>
      <c r="C171">
        <f>電力量!C172-電力量!C171</f>
        <v>151</v>
      </c>
      <c r="D171">
        <f>電力量!D172-電力量!D171</f>
        <v>13.30000000000291</v>
      </c>
      <c r="E171">
        <f>電力量!E172-電力量!E171</f>
        <v>0</v>
      </c>
      <c r="F171">
        <f>電力量!F172-電力量!F171</f>
        <v>13</v>
      </c>
      <c r="G171">
        <f>電力量!G172-電力量!G171</f>
        <v>54.400000000001455</v>
      </c>
      <c r="H171">
        <f>電力量!H172-電力量!H171</f>
        <v>13</v>
      </c>
      <c r="I171">
        <f>電力量!I172-電力量!I171</f>
        <v>190</v>
      </c>
      <c r="J171">
        <f>電力量!J172-電力量!J171</f>
        <v>7.9000000000014552</v>
      </c>
      <c r="K171">
        <f>電力量!K172-電力量!K171</f>
        <v>3.0999999999912689</v>
      </c>
      <c r="L171">
        <f>電力量!L172-電力量!L171</f>
        <v>21.900000000008731</v>
      </c>
      <c r="M171">
        <f>電力量!M172-電力量!M171</f>
        <v>36.700000000004366</v>
      </c>
      <c r="N171">
        <f>電力量!N172-電力量!N171</f>
        <v>53.900000000001455</v>
      </c>
      <c r="O171">
        <f>電力量!O172-電力量!O171</f>
        <v>16.5</v>
      </c>
      <c r="P171">
        <f>電力量!P172-電力量!P171</f>
        <v>0</v>
      </c>
      <c r="Q171">
        <f>電力量!Q172-電力量!Q171</f>
        <v>0</v>
      </c>
      <c r="R171">
        <f>電力量!R172-電力量!R171</f>
        <v>0</v>
      </c>
    </row>
    <row r="172" spans="1:18">
      <c r="A172" s="4">
        <f t="shared" ref="A172:A220" si="70">A170+(2/24)</f>
        <v>45879.083333333336</v>
      </c>
      <c r="B172">
        <f>電力量!B173-電力量!B172</f>
        <v>619</v>
      </c>
      <c r="C172">
        <f>電力量!C173-電力量!C172</f>
        <v>149</v>
      </c>
      <c r="D172">
        <f>電力量!D173-電力量!D172</f>
        <v>12.5</v>
      </c>
      <c r="E172">
        <f>電力量!E173-電力量!E172</f>
        <v>0</v>
      </c>
      <c r="F172">
        <f>電力量!F173-電力量!F172</f>
        <v>12</v>
      </c>
      <c r="G172">
        <f>電力量!G173-電力量!G172</f>
        <v>55</v>
      </c>
      <c r="H172">
        <f>電力量!H173-電力量!H172</f>
        <v>15</v>
      </c>
      <c r="I172">
        <f>電力量!I173-電力量!I172</f>
        <v>193</v>
      </c>
      <c r="J172">
        <f>電力量!J173-電力量!J172</f>
        <v>8.5999999999985448</v>
      </c>
      <c r="K172">
        <f>電力量!K173-電力量!K172</f>
        <v>3.4000000000087311</v>
      </c>
      <c r="L172">
        <f>電力量!L173-電力量!L172</f>
        <v>21.099999999991269</v>
      </c>
      <c r="M172">
        <f>電力量!M173-電力量!M172</f>
        <v>37</v>
      </c>
      <c r="N172">
        <f>電力量!N173-電力量!N172</f>
        <v>53.599999999998545</v>
      </c>
      <c r="O172">
        <f>電力量!O173-電力量!O172</f>
        <v>15</v>
      </c>
      <c r="P172">
        <f>電力量!P173-電力量!P172</f>
        <v>0</v>
      </c>
      <c r="Q172">
        <f>電力量!Q173-電力量!Q172</f>
        <v>0</v>
      </c>
      <c r="R172">
        <f>電力量!R173-電力量!R172</f>
        <v>0</v>
      </c>
    </row>
    <row r="173" spans="1:18">
      <c r="A173" s="4">
        <f t="shared" ref="A173:A221" si="71">A170+(3/24)</f>
        <v>45879.125</v>
      </c>
      <c r="B173">
        <f>電力量!B174-電力量!B173</f>
        <v>611</v>
      </c>
      <c r="C173">
        <f>電力量!C174-電力量!C173</f>
        <v>150</v>
      </c>
      <c r="D173">
        <f>電力量!D174-電力量!D173</f>
        <v>13.5</v>
      </c>
      <c r="E173">
        <f>電力量!E174-電力量!E173</f>
        <v>0</v>
      </c>
      <c r="F173">
        <f>電力量!F174-電力量!F173</f>
        <v>12</v>
      </c>
      <c r="G173">
        <f>電力量!G174-電力量!G173</f>
        <v>54</v>
      </c>
      <c r="H173">
        <f>電力量!H174-電力量!H173</f>
        <v>13</v>
      </c>
      <c r="I173">
        <f>電力量!I174-電力量!I173</f>
        <v>188</v>
      </c>
      <c r="J173">
        <f>電力量!J174-電力量!J173</f>
        <v>8.2000000000043656</v>
      </c>
      <c r="K173">
        <f>電力量!K174-電力量!K173</f>
        <v>3.0999999999912689</v>
      </c>
      <c r="L173">
        <f>電力量!L174-電力量!L173</f>
        <v>19.5</v>
      </c>
      <c r="M173">
        <f>電力量!M174-電力量!M173</f>
        <v>36.899999999994179</v>
      </c>
      <c r="N173">
        <f>電力量!N174-電力量!N173</f>
        <v>54.299999999995634</v>
      </c>
      <c r="O173">
        <f>電力量!O174-電力量!O173</f>
        <v>15.099999999991269</v>
      </c>
      <c r="P173">
        <f>電力量!P174-電力量!P173</f>
        <v>0</v>
      </c>
      <c r="Q173">
        <f>電力量!Q174-電力量!Q173</f>
        <v>0</v>
      </c>
      <c r="R173">
        <f>電力量!R174-電力量!R173</f>
        <v>0</v>
      </c>
    </row>
    <row r="174" spans="1:18">
      <c r="A174" s="4">
        <f t="shared" ref="A174:A222" si="72">A170+(4/24)</f>
        <v>45879.166666666664</v>
      </c>
      <c r="B174">
        <f>電力量!B175-電力量!B174</f>
        <v>610</v>
      </c>
      <c r="C174">
        <f>電力量!C175-電力量!C174</f>
        <v>148</v>
      </c>
      <c r="D174">
        <f>電力量!D175-電力量!D174</f>
        <v>12.899999999997817</v>
      </c>
      <c r="E174">
        <f>電力量!E175-電力量!E174</f>
        <v>0</v>
      </c>
      <c r="F174">
        <f>電力量!F175-電力量!F174</f>
        <v>13</v>
      </c>
      <c r="G174">
        <f>電力量!G175-電力量!G174</f>
        <v>53.399999999997817</v>
      </c>
      <c r="H174">
        <f>電力量!H175-電力量!H174</f>
        <v>14</v>
      </c>
      <c r="I174">
        <f>電力量!I175-電力量!I174</f>
        <v>188</v>
      </c>
      <c r="J174">
        <f>電力量!J175-電力量!J174</f>
        <v>8.5</v>
      </c>
      <c r="K174">
        <f>電力量!K175-電力量!K174</f>
        <v>3.1000000000058208</v>
      </c>
      <c r="L174">
        <f>電力量!L175-電力量!L174</f>
        <v>18.900000000008731</v>
      </c>
      <c r="M174">
        <f>電力量!M175-電力量!M174</f>
        <v>36.600000000005821</v>
      </c>
      <c r="N174">
        <f>電力量!N175-電力量!N174</f>
        <v>54.100000000005821</v>
      </c>
      <c r="O174">
        <f>電力量!O175-電力量!O174</f>
        <v>15.80000000000291</v>
      </c>
      <c r="P174">
        <f>電力量!P175-電力量!P174</f>
        <v>0</v>
      </c>
      <c r="Q174">
        <f>電力量!Q175-電力量!Q174</f>
        <v>0</v>
      </c>
      <c r="R174">
        <f>電力量!R175-電力量!R174</f>
        <v>0</v>
      </c>
    </row>
    <row r="175" spans="1:18">
      <c r="A175" s="4">
        <f t="shared" ref="A175:A223" si="73">A170+(5/24)</f>
        <v>45879.208333333336</v>
      </c>
      <c r="B175">
        <f>電力量!B176-電力量!B175</f>
        <v>607</v>
      </c>
      <c r="C175">
        <f>電力量!C176-電力量!C175</f>
        <v>149</v>
      </c>
      <c r="D175">
        <f>電力量!D176-電力量!D175</f>
        <v>13.299999999999272</v>
      </c>
      <c r="E175">
        <f>電力量!E176-電力量!E175</f>
        <v>0</v>
      </c>
      <c r="F175">
        <f>電力量!F176-電力量!F175</f>
        <v>12</v>
      </c>
      <c r="G175">
        <f>電力量!G176-電力量!G175</f>
        <v>52.700000000000728</v>
      </c>
      <c r="H175">
        <f>電力量!H176-電力量!H175</f>
        <v>13</v>
      </c>
      <c r="I175">
        <f>電力量!I176-電力量!I175</f>
        <v>186</v>
      </c>
      <c r="J175">
        <f>電力量!J176-電力量!J175</f>
        <v>8.6999999999970896</v>
      </c>
      <c r="K175">
        <f>電力量!K176-電力量!K175</f>
        <v>3.1999999999970896</v>
      </c>
      <c r="L175">
        <f>電力量!L176-電力量!L175</f>
        <v>18.5</v>
      </c>
      <c r="M175">
        <f>電力量!M176-電力量!M175</f>
        <v>36.5</v>
      </c>
      <c r="N175">
        <f>電力量!N176-電力量!N175</f>
        <v>53.599999999998545</v>
      </c>
      <c r="O175">
        <f>電力量!O176-電力量!O175</f>
        <v>15.100000000005821</v>
      </c>
      <c r="P175">
        <f>電力量!P176-電力量!P175</f>
        <v>0</v>
      </c>
      <c r="Q175">
        <f>電力量!Q176-電力量!Q175</f>
        <v>0</v>
      </c>
      <c r="R175">
        <f>電力量!R176-電力量!R175</f>
        <v>0</v>
      </c>
    </row>
    <row r="176" spans="1:18">
      <c r="A176" s="4">
        <f t="shared" ref="A176:A224" si="74">A170+(6/24)</f>
        <v>45879.25</v>
      </c>
      <c r="B176">
        <f>電力量!B177-電力量!B176</f>
        <v>608</v>
      </c>
      <c r="C176">
        <f>電力量!C177-電力量!C176</f>
        <v>147</v>
      </c>
      <c r="D176">
        <f>電力量!D177-電力量!D176</f>
        <v>12.900000000001455</v>
      </c>
      <c r="E176">
        <f>電力量!E177-電力量!E176</f>
        <v>0</v>
      </c>
      <c r="F176">
        <f>電力量!F177-電力量!F176</f>
        <v>13</v>
      </c>
      <c r="G176">
        <f>電力量!G177-電力量!G176</f>
        <v>53.400000000001455</v>
      </c>
      <c r="H176">
        <f>電力量!H177-電力量!H176</f>
        <v>14</v>
      </c>
      <c r="I176">
        <f>電力量!I177-電力量!I176</f>
        <v>189</v>
      </c>
      <c r="J176">
        <f>電力量!J177-電力量!J176</f>
        <v>8.0999999999985448</v>
      </c>
      <c r="K176">
        <f>電力量!K177-電力量!K176</f>
        <v>2.8999999999941792</v>
      </c>
      <c r="L176">
        <f>電力量!L177-電力量!L176</f>
        <v>17.899999999994179</v>
      </c>
      <c r="M176">
        <f>電力量!M177-電力量!M176</f>
        <v>36.899999999994179</v>
      </c>
      <c r="N176">
        <f>電力量!N177-電力量!N176</f>
        <v>54.19999999999709</v>
      </c>
      <c r="O176">
        <f>電力量!O177-電力量!O176</f>
        <v>14.30000000000291</v>
      </c>
      <c r="P176">
        <f>電力量!P177-電力量!P176</f>
        <v>0</v>
      </c>
      <c r="Q176">
        <f>電力量!Q177-電力量!Q176</f>
        <v>0</v>
      </c>
      <c r="R176">
        <f>電力量!R177-電力量!R176</f>
        <v>0</v>
      </c>
    </row>
    <row r="177" spans="1:18">
      <c r="A177" s="4">
        <f t="shared" ref="A177:A225" si="75">A170+(7/24)</f>
        <v>45879.291666666664</v>
      </c>
      <c r="B177">
        <f>電力量!B178-電力量!B177</f>
        <v>602</v>
      </c>
      <c r="C177">
        <f>電力量!C178-電力量!C177</f>
        <v>145</v>
      </c>
      <c r="D177">
        <f>電力量!D178-電力量!D177</f>
        <v>12.799999999999272</v>
      </c>
      <c r="E177">
        <f>電力量!E178-電力量!E177</f>
        <v>0</v>
      </c>
      <c r="F177">
        <f>電力量!F178-電力量!F177</f>
        <v>12</v>
      </c>
      <c r="G177">
        <f>電力量!G178-電力量!G177</f>
        <v>52.200000000000728</v>
      </c>
      <c r="H177">
        <f>電力量!H178-電力量!H177</f>
        <v>14</v>
      </c>
      <c r="I177">
        <f>電力量!I178-電力量!I177</f>
        <v>190</v>
      </c>
      <c r="J177">
        <f>電力量!J178-電力量!J177</f>
        <v>8.7000000000043656</v>
      </c>
      <c r="K177">
        <f>電力量!K178-電力量!K177</f>
        <v>3.5</v>
      </c>
      <c r="L177">
        <f>電力量!L178-電力量!L177</f>
        <v>17</v>
      </c>
      <c r="M177">
        <f>電力量!M178-電力量!M177</f>
        <v>36.900000000001455</v>
      </c>
      <c r="N177">
        <f>電力量!N178-電力量!N177</f>
        <v>53.400000000001455</v>
      </c>
      <c r="O177">
        <f>電力量!O178-電力量!O177</f>
        <v>14.399999999994179</v>
      </c>
      <c r="P177">
        <f>電力量!P178-電力量!P177</f>
        <v>0</v>
      </c>
      <c r="Q177">
        <f>電力量!Q178-電力量!Q177</f>
        <v>0</v>
      </c>
      <c r="R177">
        <f>電力量!R178-電力量!R177</f>
        <v>0</v>
      </c>
    </row>
    <row r="178" spans="1:18">
      <c r="A178" s="4">
        <f t="shared" ref="A178:A226" si="76">A170+(8/24)</f>
        <v>45879.333333333336</v>
      </c>
      <c r="B178">
        <f>電力量!B179-電力量!B178</f>
        <v>612</v>
      </c>
      <c r="C178">
        <f>電力量!C179-電力量!C178</f>
        <v>148</v>
      </c>
      <c r="D178">
        <f>電力量!D179-電力量!D178</f>
        <v>13.100000000002183</v>
      </c>
      <c r="E178">
        <f>電力量!E179-電力量!E178</f>
        <v>0</v>
      </c>
      <c r="F178">
        <f>電力量!F179-電力量!F178</f>
        <v>12</v>
      </c>
      <c r="G178">
        <f>電力量!G179-電力量!G178</f>
        <v>51</v>
      </c>
      <c r="H178">
        <f>電力量!H179-電力量!H178</f>
        <v>15</v>
      </c>
      <c r="I178">
        <f>電力量!I179-電力量!I178</f>
        <v>194</v>
      </c>
      <c r="J178">
        <f>電力量!J179-電力量!J178</f>
        <v>7.7999999999956344</v>
      </c>
      <c r="K178">
        <f>電力量!K179-電力量!K178</f>
        <v>2.5</v>
      </c>
      <c r="L178">
        <f>電力量!L179-電力量!L178</f>
        <v>17.5</v>
      </c>
      <c r="M178">
        <f>電力量!M179-電力量!M178</f>
        <v>36.80000000000291</v>
      </c>
      <c r="N178">
        <f>電力量!N179-電力量!N178</f>
        <v>53.80000000000291</v>
      </c>
      <c r="O178">
        <f>電力量!O179-電力量!O178</f>
        <v>15.80000000000291</v>
      </c>
      <c r="P178">
        <f>電力量!P179-電力量!P178</f>
        <v>1</v>
      </c>
      <c r="Q178">
        <f>電力量!Q179-電力量!Q178</f>
        <v>1</v>
      </c>
      <c r="R178">
        <f>電力量!R179-電力量!R178</f>
        <v>0</v>
      </c>
    </row>
    <row r="179" spans="1:18">
      <c r="A179" s="4">
        <f t="shared" ref="A179:A227" si="77">A170+(9/24)</f>
        <v>45879.375</v>
      </c>
      <c r="B179">
        <f>電力量!B180-電力量!B179</f>
        <v>616</v>
      </c>
      <c r="C179">
        <f>電力量!C180-電力量!C179</f>
        <v>150</v>
      </c>
      <c r="D179">
        <f>電力量!D180-電力量!D179</f>
        <v>12.599999999998545</v>
      </c>
      <c r="E179">
        <f>電力量!E180-電力量!E179</f>
        <v>0</v>
      </c>
      <c r="F179">
        <f>電力量!F180-電力量!F179</f>
        <v>13</v>
      </c>
      <c r="G179">
        <f>電力量!G180-電力量!G179</f>
        <v>50.599999999998545</v>
      </c>
      <c r="H179">
        <f>電力量!H180-電力量!H179</f>
        <v>14</v>
      </c>
      <c r="I179">
        <f>電力量!I180-電力量!I179</f>
        <v>198</v>
      </c>
      <c r="J179">
        <f>電力量!J180-電力量!J179</f>
        <v>8.7000000000043656</v>
      </c>
      <c r="K179">
        <f>電力量!K180-電力量!K179</f>
        <v>2.3000000000029104</v>
      </c>
      <c r="L179">
        <f>電力量!L180-電力量!L179</f>
        <v>17.5</v>
      </c>
      <c r="M179">
        <f>電力量!M180-電力量!M179</f>
        <v>36.5</v>
      </c>
      <c r="N179">
        <f>電力量!N180-電力量!N179</f>
        <v>53</v>
      </c>
      <c r="O179">
        <f>電力量!O180-電力量!O179</f>
        <v>15.5</v>
      </c>
      <c r="P179">
        <f>電力量!P180-電力量!P179</f>
        <v>0</v>
      </c>
      <c r="Q179">
        <f>電力量!Q180-電力量!Q179</f>
        <v>1</v>
      </c>
      <c r="R179">
        <f>電力量!R180-電力量!R179</f>
        <v>0</v>
      </c>
    </row>
    <row r="180" spans="1:18">
      <c r="A180" s="4">
        <f t="shared" ref="A180:A228" si="78">A170+(10/24)</f>
        <v>45879.416666666664</v>
      </c>
      <c r="B180">
        <f>電力量!B181-電力量!B180</f>
        <v>632</v>
      </c>
      <c r="C180">
        <f>電力量!C181-電力量!C180</f>
        <v>155</v>
      </c>
      <c r="D180">
        <f>電力量!D181-電力量!D180</f>
        <v>16.5</v>
      </c>
      <c r="E180">
        <f>電力量!E181-電力量!E180</f>
        <v>0</v>
      </c>
      <c r="F180">
        <f>電力量!F181-電力量!F180</f>
        <v>13</v>
      </c>
      <c r="G180">
        <f>電力量!G181-電力量!G180</f>
        <v>52.099999999998545</v>
      </c>
      <c r="H180">
        <f>電力量!H181-電力量!H180</f>
        <v>14</v>
      </c>
      <c r="I180">
        <f>電力量!I181-電力量!I180</f>
        <v>201</v>
      </c>
      <c r="J180">
        <f>電力量!J181-電力量!J180</f>
        <v>8.8999999999941792</v>
      </c>
      <c r="K180">
        <f>電力量!K181-電力量!K180</f>
        <v>2.8000000000029104</v>
      </c>
      <c r="L180">
        <f>電力量!L181-電力量!L180</f>
        <v>18.19999999999709</v>
      </c>
      <c r="M180">
        <f>電力量!M181-電力量!M180</f>
        <v>36.69999999999709</v>
      </c>
      <c r="N180">
        <f>電力量!N181-電力量!N180</f>
        <v>53.5</v>
      </c>
      <c r="O180">
        <f>電力量!O181-電力量!O180</f>
        <v>15.099999999991269</v>
      </c>
      <c r="P180">
        <f>電力量!P181-電力量!P180</f>
        <v>1</v>
      </c>
      <c r="Q180">
        <f>電力量!Q181-電力量!Q180</f>
        <v>0</v>
      </c>
      <c r="R180">
        <f>電力量!R181-電力量!R180</f>
        <v>0</v>
      </c>
    </row>
    <row r="181" spans="1:18">
      <c r="A181" s="4">
        <f t="shared" ref="A181:A229" si="79">A170+(11/24)</f>
        <v>45879.458333333336</v>
      </c>
      <c r="B181">
        <f>電力量!B182-電力量!B181</f>
        <v>630</v>
      </c>
      <c r="C181">
        <f>電力量!C182-電力量!C181</f>
        <v>156</v>
      </c>
      <c r="D181">
        <f>電力量!D182-電力量!D181</f>
        <v>15</v>
      </c>
      <c r="E181">
        <f>電力量!E182-電力量!E181</f>
        <v>0</v>
      </c>
      <c r="F181">
        <f>電力量!F182-電力量!F181</f>
        <v>13</v>
      </c>
      <c r="G181">
        <f>電力量!G182-電力量!G181</f>
        <v>52.600000000002183</v>
      </c>
      <c r="H181">
        <f>電力量!H182-電力量!H181</f>
        <v>14</v>
      </c>
      <c r="I181">
        <f>電力量!I182-電力量!I181</f>
        <v>201</v>
      </c>
      <c r="J181">
        <f>電力量!J182-電力量!J181</f>
        <v>8.9000000000014552</v>
      </c>
      <c r="K181">
        <f>電力量!K182-電力量!K181</f>
        <v>3.1000000000058208</v>
      </c>
      <c r="L181">
        <f>電力量!L182-電力量!L181</f>
        <v>17.600000000005821</v>
      </c>
      <c r="M181">
        <f>電力量!M182-電力量!M181</f>
        <v>37</v>
      </c>
      <c r="N181">
        <f>電力量!N182-電力量!N181</f>
        <v>54.19999999999709</v>
      </c>
      <c r="O181">
        <f>電力量!O182-電力量!O181</f>
        <v>14.700000000011642</v>
      </c>
      <c r="P181">
        <f>電力量!P182-電力量!P181</f>
        <v>0</v>
      </c>
      <c r="Q181">
        <f>電力量!Q182-電力量!Q181</f>
        <v>0</v>
      </c>
      <c r="R181">
        <f>電力量!R182-電力量!R181</f>
        <v>0</v>
      </c>
    </row>
    <row r="182" spans="1:18">
      <c r="A182" s="4">
        <f t="shared" ref="A182:A230" si="80">A170+(12/24)</f>
        <v>45879.5</v>
      </c>
      <c r="B182">
        <f>電力量!B183-電力量!B182</f>
        <v>618</v>
      </c>
      <c r="C182">
        <f>電力量!C183-電力量!C182</f>
        <v>152</v>
      </c>
      <c r="D182">
        <f>電力量!D183-電力量!D182</f>
        <v>13</v>
      </c>
      <c r="E182">
        <f>電力量!E183-電力量!E182</f>
        <v>0</v>
      </c>
      <c r="F182">
        <f>電力量!F183-電力量!F182</f>
        <v>12</v>
      </c>
      <c r="G182">
        <f>電力量!G183-電力量!G182</f>
        <v>54.299999999999272</v>
      </c>
      <c r="H182">
        <f>電力量!H183-電力量!H182</f>
        <v>14</v>
      </c>
      <c r="I182">
        <f>電力量!I183-電力量!I182</f>
        <v>197</v>
      </c>
      <c r="J182">
        <f>電力量!J183-電力量!J182</f>
        <v>7.5</v>
      </c>
      <c r="K182">
        <f>電力量!K183-電力量!K182</f>
        <v>3.3999999999941792</v>
      </c>
      <c r="L182">
        <f>電力量!L183-電力量!L182</f>
        <v>16.80000000000291</v>
      </c>
      <c r="M182">
        <f>電力量!M183-電力量!M182</f>
        <v>35.900000000001455</v>
      </c>
      <c r="N182">
        <f>電力量!N183-電力量!N182</f>
        <v>53.69999999999709</v>
      </c>
      <c r="O182">
        <f>電力量!O183-電力量!O182</f>
        <v>14.19999999999709</v>
      </c>
      <c r="P182">
        <f>電力量!P183-電力量!P182</f>
        <v>0</v>
      </c>
      <c r="Q182">
        <f>電力量!Q183-電力量!Q182</f>
        <v>0</v>
      </c>
      <c r="R182">
        <f>電力量!R183-電力量!R182</f>
        <v>0</v>
      </c>
    </row>
    <row r="183" spans="1:18">
      <c r="A183" s="4">
        <f t="shared" ref="A183:A231" si="81">A170+(13/24)</f>
        <v>45879.541666666664</v>
      </c>
      <c r="B183">
        <f>電力量!B184-電力量!B183</f>
        <v>624</v>
      </c>
      <c r="C183" s="6">
        <f>1000000+電力量!C184-電力量!C183</f>
        <v>150</v>
      </c>
      <c r="D183">
        <f>電力量!D184-電力量!D183</f>
        <v>13.700000000000728</v>
      </c>
      <c r="E183">
        <f>電力量!E184-電力量!E183</f>
        <v>0</v>
      </c>
      <c r="F183">
        <f>電力量!F184-電力量!F183</f>
        <v>12</v>
      </c>
      <c r="G183">
        <f>電力量!G184-電力量!G183</f>
        <v>55.400000000001455</v>
      </c>
      <c r="H183">
        <f>電力量!H184-電力量!H183</f>
        <v>13</v>
      </c>
      <c r="I183">
        <f>電力量!I184-電力量!I183</f>
        <v>198</v>
      </c>
      <c r="J183">
        <f>電力量!J184-電力量!J183</f>
        <v>8.5</v>
      </c>
      <c r="K183">
        <f>電力量!K184-電力量!K183</f>
        <v>3.1999999999970896</v>
      </c>
      <c r="L183">
        <f>電力量!L184-電力量!L183</f>
        <v>19.099999999991269</v>
      </c>
      <c r="M183">
        <f>電力量!M184-電力量!M183</f>
        <v>36.69999999999709</v>
      </c>
      <c r="N183">
        <f>電力量!N184-電力量!N183</f>
        <v>53.900000000001455</v>
      </c>
      <c r="O183">
        <f>電力量!O184-電力量!O183</f>
        <v>14.30000000000291</v>
      </c>
      <c r="P183">
        <f>電力量!P184-電力量!P183</f>
        <v>0</v>
      </c>
      <c r="Q183">
        <f>電力量!Q184-電力量!Q183</f>
        <v>0</v>
      </c>
      <c r="R183">
        <f>電力量!R184-電力量!R183</f>
        <v>0</v>
      </c>
    </row>
    <row r="184" spans="1:18">
      <c r="A184" s="4">
        <f t="shared" ref="A184:A232" si="82">A170+(14/24)</f>
        <v>45879.583333333336</v>
      </c>
      <c r="B184">
        <f>電力量!B185-電力量!B184</f>
        <v>608</v>
      </c>
      <c r="C184">
        <f>電力量!C185-電力量!C184</f>
        <v>149</v>
      </c>
      <c r="D184">
        <f>電力量!D185-電力量!D184</f>
        <v>14.399999999997817</v>
      </c>
      <c r="E184">
        <f>電力量!E185-電力量!E184</f>
        <v>0</v>
      </c>
      <c r="F184">
        <f>電力量!F185-電力量!F184</f>
        <v>13</v>
      </c>
      <c r="G184">
        <f>電力量!G185-電力量!G184</f>
        <v>54.399999999997817</v>
      </c>
      <c r="H184">
        <f>電力量!H185-電力量!H184</f>
        <v>14</v>
      </c>
      <c r="I184">
        <f>電力量!I185-電力量!I184</f>
        <v>186</v>
      </c>
      <c r="J184">
        <f>電力量!J185-電力量!J184</f>
        <v>7.7000000000043656</v>
      </c>
      <c r="K184">
        <f>電力量!K185-電力量!K184</f>
        <v>3.4000000000087311</v>
      </c>
      <c r="L184">
        <f>電力量!L185-電力量!L184</f>
        <v>19.600000000005821</v>
      </c>
      <c r="M184">
        <f>電力量!M185-電力量!M184</f>
        <v>35.80000000000291</v>
      </c>
      <c r="N184">
        <f>電力量!N185-電力量!N184</f>
        <v>53.80000000000291</v>
      </c>
      <c r="O184">
        <f>電力量!O185-電力量!O184</f>
        <v>13.899999999994179</v>
      </c>
      <c r="P184">
        <f>電力量!P185-電力量!P184</f>
        <v>0</v>
      </c>
      <c r="Q184">
        <f>電力量!Q185-電力量!Q184</f>
        <v>0</v>
      </c>
      <c r="R184">
        <f>電力量!R185-電力量!R184</f>
        <v>0</v>
      </c>
    </row>
    <row r="185" spans="1:18">
      <c r="A185" s="4">
        <f t="shared" ref="A185:A233" si="83">A170+(15/24)</f>
        <v>45879.625</v>
      </c>
      <c r="B185">
        <f>電力量!B186-電力量!B185</f>
        <v>603</v>
      </c>
      <c r="C185">
        <f>電力量!C186-電力量!C185</f>
        <v>146</v>
      </c>
      <c r="D185">
        <f>電力量!D186-電力量!D185</f>
        <v>14.30000000000291</v>
      </c>
      <c r="E185">
        <f>電力量!E186-電力量!E185</f>
        <v>0</v>
      </c>
      <c r="F185">
        <f>電力量!F186-電力量!F185</f>
        <v>12</v>
      </c>
      <c r="G185">
        <f>電力量!G186-電力量!G185</f>
        <v>53.600000000002183</v>
      </c>
      <c r="H185">
        <f>電力量!H186-電力量!H185</f>
        <v>13</v>
      </c>
      <c r="I185">
        <f>電力量!I186-電力量!I185</f>
        <v>187</v>
      </c>
      <c r="J185">
        <f>電力量!J186-電力量!J185</f>
        <v>8.6999999999970896</v>
      </c>
      <c r="K185">
        <f>電力量!K186-電力量!K185</f>
        <v>3.2999999999883585</v>
      </c>
      <c r="L185">
        <f>電力量!L186-電力量!L185</f>
        <v>18.599999999991269</v>
      </c>
      <c r="M185">
        <f>電力量!M186-電力量!M185</f>
        <v>35.599999999998545</v>
      </c>
      <c r="N185">
        <f>電力量!N186-電力量!N185</f>
        <v>53.69999999999709</v>
      </c>
      <c r="O185">
        <f>電力量!O186-電力量!O185</f>
        <v>13.80000000000291</v>
      </c>
      <c r="P185">
        <f>電力量!P186-電力量!P185</f>
        <v>0</v>
      </c>
      <c r="Q185">
        <f>電力量!Q186-電力量!Q185</f>
        <v>0</v>
      </c>
      <c r="R185">
        <f>電力量!R186-電力量!R185</f>
        <v>0</v>
      </c>
    </row>
    <row r="186" spans="1:18">
      <c r="A186" s="4">
        <f t="shared" ref="A186:A234" si="84">A170+(16/24)</f>
        <v>45879.666666666664</v>
      </c>
      <c r="B186">
        <f>電力量!B187-電力量!B186</f>
        <v>625</v>
      </c>
      <c r="C186">
        <f>電力量!C187-電力量!C186</f>
        <v>149</v>
      </c>
      <c r="D186">
        <f>電力量!D187-電力量!D186</f>
        <v>15.099999999998545</v>
      </c>
      <c r="E186">
        <f>電力量!E187-電力量!E186</f>
        <v>0</v>
      </c>
      <c r="F186">
        <f>電力量!F187-電力量!F186</f>
        <v>13</v>
      </c>
      <c r="G186">
        <f>電力量!G187-電力量!G186</f>
        <v>53.799999999999272</v>
      </c>
      <c r="H186">
        <f>電力量!H187-電力量!H186</f>
        <v>15</v>
      </c>
      <c r="I186">
        <f>電力量!I187-電力量!I186</f>
        <v>196</v>
      </c>
      <c r="J186">
        <f>電力量!J187-電力量!J186</f>
        <v>7.9000000000014552</v>
      </c>
      <c r="K186">
        <f>電力量!K187-電力量!K186</f>
        <v>3.8000000000029104</v>
      </c>
      <c r="L186">
        <f>電力量!L187-電力量!L186</f>
        <v>19.5</v>
      </c>
      <c r="M186">
        <f>電力量!M187-電力量!M186</f>
        <v>36.80000000000291</v>
      </c>
      <c r="N186">
        <f>電力量!N187-電力量!N186</f>
        <v>53.900000000001455</v>
      </c>
      <c r="O186">
        <f>電力量!O187-電力量!O186</f>
        <v>15.80000000000291</v>
      </c>
      <c r="P186">
        <f>電力量!P187-電力量!P186</f>
        <v>0</v>
      </c>
      <c r="Q186">
        <f>電力量!Q187-電力量!Q186</f>
        <v>0</v>
      </c>
      <c r="R186">
        <f>電力量!R187-電力量!R186</f>
        <v>0</v>
      </c>
    </row>
    <row r="187" spans="1:18">
      <c r="A187" s="4">
        <f t="shared" ref="A187:A235" si="85">A170+(17/24)</f>
        <v>45879.708333333336</v>
      </c>
      <c r="B187">
        <f>電力量!B188-電力量!B187</f>
        <v>634</v>
      </c>
      <c r="C187">
        <f>電力量!C188-電力量!C187</f>
        <v>151</v>
      </c>
      <c r="D187">
        <f>電力量!D188-電力量!D187</f>
        <v>14.5</v>
      </c>
      <c r="E187">
        <f>電力量!E188-電力量!E187</f>
        <v>0</v>
      </c>
      <c r="F187">
        <f>電力量!F188-電力量!F187</f>
        <v>13</v>
      </c>
      <c r="G187">
        <f>電力量!G188-電力量!G187</f>
        <v>52.299999999999272</v>
      </c>
      <c r="H187">
        <f>電力量!H188-電力量!H187</f>
        <v>13</v>
      </c>
      <c r="I187">
        <f>電力量!I188-電力量!I187</f>
        <v>207</v>
      </c>
      <c r="J187">
        <f>電力量!J188-電力量!J187</f>
        <v>8.5999999999985448</v>
      </c>
      <c r="K187">
        <f>電力量!K188-電力量!K187</f>
        <v>3.6999999999970896</v>
      </c>
      <c r="L187">
        <f>電力量!L188-電力量!L187</f>
        <v>19.700000000011642</v>
      </c>
      <c r="M187">
        <f>電力量!M188-電力量!M187</f>
        <v>37.19999999999709</v>
      </c>
      <c r="N187">
        <f>電力量!N188-電力量!N187</f>
        <v>53.599999999998545</v>
      </c>
      <c r="O187">
        <f>電力量!O188-電力量!O187</f>
        <v>14.899999999994179</v>
      </c>
      <c r="P187">
        <f>電力量!P188-電力量!P187</f>
        <v>0</v>
      </c>
      <c r="Q187">
        <f>電力量!Q188-電力量!Q187</f>
        <v>0</v>
      </c>
      <c r="R187">
        <f>電力量!R188-電力量!R187</f>
        <v>0</v>
      </c>
    </row>
    <row r="188" spans="1:18">
      <c r="A188" s="4">
        <f t="shared" ref="A188:A236" si="86">A170+(18/24)</f>
        <v>45879.75</v>
      </c>
      <c r="B188">
        <f>電力量!B189-電力量!B188</f>
        <v>656</v>
      </c>
      <c r="C188">
        <f>電力量!C189-電力量!C188</f>
        <v>164</v>
      </c>
      <c r="D188">
        <f>電力量!D189-電力量!D188</f>
        <v>13.80000000000291</v>
      </c>
      <c r="E188">
        <f>電力量!E189-電力量!E188</f>
        <v>0</v>
      </c>
      <c r="F188">
        <f>電力量!F189-電力量!F188</f>
        <v>14</v>
      </c>
      <c r="G188">
        <f>電力量!G189-電力量!G188</f>
        <v>52.5</v>
      </c>
      <c r="H188">
        <f>電力量!H189-電力量!H188</f>
        <v>14</v>
      </c>
      <c r="I188">
        <f>電力量!I189-電力量!I188</f>
        <v>210</v>
      </c>
      <c r="J188">
        <f>電力量!J189-電力量!J188</f>
        <v>7.9000000000014552</v>
      </c>
      <c r="K188">
        <f>電力量!K189-電力量!K188</f>
        <v>3.8000000000029104</v>
      </c>
      <c r="L188">
        <f>電力量!L189-電力量!L188</f>
        <v>19.599999999991269</v>
      </c>
      <c r="M188">
        <f>電力量!M189-電力量!M188</f>
        <v>37.599999999998545</v>
      </c>
      <c r="N188">
        <f>電力量!N189-電力量!N188</f>
        <v>54.30000000000291</v>
      </c>
      <c r="O188">
        <f>電力量!O189-電力量!O188</f>
        <v>13.600000000005821</v>
      </c>
      <c r="P188">
        <f>電力量!P189-電力量!P188</f>
        <v>0</v>
      </c>
      <c r="Q188">
        <f>電力量!Q189-電力量!Q188</f>
        <v>0</v>
      </c>
      <c r="R188">
        <f>電力量!R189-電力量!R188</f>
        <v>0</v>
      </c>
    </row>
    <row r="189" spans="1:18">
      <c r="A189" s="4">
        <f t="shared" ref="A189:A237" si="87">A170+(19/24)</f>
        <v>45879.791666666664</v>
      </c>
      <c r="B189">
        <f>電力量!B190-電力量!B189</f>
        <v>651</v>
      </c>
      <c r="C189">
        <f>電力量!C190-電力量!C189</f>
        <v>166</v>
      </c>
      <c r="D189">
        <f>電力量!D190-電力量!D189</f>
        <v>13.599999999998545</v>
      </c>
      <c r="E189">
        <f>電力量!E190-電力量!E189</f>
        <v>0</v>
      </c>
      <c r="F189">
        <f>電力量!F190-電力量!F189</f>
        <v>14</v>
      </c>
      <c r="G189">
        <f>電力量!G190-電力量!G189</f>
        <v>52.799999999999272</v>
      </c>
      <c r="H189">
        <f>電力量!H190-電力量!H189</f>
        <v>15</v>
      </c>
      <c r="I189">
        <f>電力量!I190-電力量!I189</f>
        <v>204</v>
      </c>
      <c r="J189">
        <f>電力量!J190-電力量!J189</f>
        <v>8.6999999999970896</v>
      </c>
      <c r="K189">
        <f>電力量!K190-電力量!K189</f>
        <v>4</v>
      </c>
      <c r="L189">
        <f>電力量!L190-電力量!L189</f>
        <v>19.400000000008731</v>
      </c>
      <c r="M189">
        <f>電力量!M190-電力量!M189</f>
        <v>38</v>
      </c>
      <c r="N189">
        <f>電力量!N190-電力量!N189</f>
        <v>54</v>
      </c>
      <c r="O189">
        <f>電力量!O190-電力量!O189</f>
        <v>14.799999999988358</v>
      </c>
      <c r="P189">
        <f>電力量!P190-電力量!P189</f>
        <v>0</v>
      </c>
      <c r="Q189">
        <f>電力量!Q190-電力量!Q189</f>
        <v>0</v>
      </c>
      <c r="R189">
        <f>電力量!R190-電力量!R189</f>
        <v>0</v>
      </c>
    </row>
    <row r="190" spans="1:18">
      <c r="A190" s="4">
        <f t="shared" ref="A190:A238" si="88">A170+(20/24)</f>
        <v>45879.833333333336</v>
      </c>
      <c r="B190">
        <f>電力量!B191-電力量!B190</f>
        <v>643</v>
      </c>
      <c r="C190">
        <f>電力量!C191-電力量!C190</f>
        <v>156</v>
      </c>
      <c r="D190">
        <f>電力量!D191-電力量!D190</f>
        <v>15.799999999995634</v>
      </c>
      <c r="E190">
        <f>電力量!E191-電力量!E190</f>
        <v>0</v>
      </c>
      <c r="F190">
        <f>電力量!F191-電力量!F190</f>
        <v>12</v>
      </c>
      <c r="G190">
        <f>電力量!G191-電力量!G190</f>
        <v>52.5</v>
      </c>
      <c r="H190">
        <f>電力量!H191-電力量!H190</f>
        <v>14</v>
      </c>
      <c r="I190">
        <f>電力量!I191-電力量!I190</f>
        <v>205</v>
      </c>
      <c r="J190">
        <f>電力量!J191-電力量!J190</f>
        <v>8.9000000000014552</v>
      </c>
      <c r="K190">
        <f>電力量!K191-電力量!K190</f>
        <v>3.9000000000087311</v>
      </c>
      <c r="L190">
        <f>電力量!L191-電力量!L190</f>
        <v>18.399999999994179</v>
      </c>
      <c r="M190">
        <f>電力量!M191-電力量!M190</f>
        <v>38</v>
      </c>
      <c r="N190">
        <f>電力量!N191-電力量!N190</f>
        <v>54</v>
      </c>
      <c r="O190">
        <f>電力量!O191-電力量!O190</f>
        <v>15.80000000000291</v>
      </c>
      <c r="P190">
        <f>電力量!P191-電力量!P190</f>
        <v>0</v>
      </c>
      <c r="Q190">
        <f>電力量!Q191-電力量!Q190</f>
        <v>0</v>
      </c>
      <c r="R190">
        <f>電力量!R191-電力量!R190</f>
        <v>0</v>
      </c>
    </row>
    <row r="191" spans="1:18">
      <c r="A191" s="4">
        <f t="shared" ref="A191:A239" si="89">A170+(21/24)</f>
        <v>45879.875</v>
      </c>
      <c r="B191">
        <f>電力量!B192-電力量!B191</f>
        <v>634</v>
      </c>
      <c r="C191">
        <f>電力量!C192-電力量!C191</f>
        <v>157</v>
      </c>
      <c r="D191">
        <f>電力量!D192-電力量!D191</f>
        <v>13.30000000000291</v>
      </c>
      <c r="E191">
        <f>電力量!E192-電力量!E191</f>
        <v>0</v>
      </c>
      <c r="F191">
        <f>電力量!F192-電力量!F191</f>
        <v>14</v>
      </c>
      <c r="G191">
        <f>電力量!G192-電力量!G191</f>
        <v>52.5</v>
      </c>
      <c r="H191">
        <f>電力量!H192-電力量!H191</f>
        <v>14</v>
      </c>
      <c r="I191">
        <f>電力量!I192-電力量!I191</f>
        <v>200</v>
      </c>
      <c r="J191">
        <f>電力量!J192-電力量!J191</f>
        <v>7.9000000000014552</v>
      </c>
      <c r="K191">
        <f>電力量!K192-電力量!K191</f>
        <v>3.8999999999941792</v>
      </c>
      <c r="L191">
        <f>電力量!L192-電力量!L191</f>
        <v>18.19999999999709</v>
      </c>
      <c r="M191">
        <f>電力量!M192-電力量!M191</f>
        <v>37.700000000004366</v>
      </c>
      <c r="N191">
        <f>電力量!N192-電力量!N191</f>
        <v>53.900000000001455</v>
      </c>
      <c r="O191">
        <f>電力量!O192-電力量!O191</f>
        <v>16.100000000005821</v>
      </c>
      <c r="P191">
        <f>電力量!P192-電力量!P191</f>
        <v>0</v>
      </c>
      <c r="Q191">
        <f>電力量!Q192-電力量!Q191</f>
        <v>0</v>
      </c>
      <c r="R191">
        <f>電力量!R192-電力量!R191</f>
        <v>0</v>
      </c>
    </row>
    <row r="192" spans="1:18">
      <c r="A192" s="4">
        <f t="shared" ref="A192:A240" si="90">A170+(22/24)</f>
        <v>45879.916666666664</v>
      </c>
      <c r="B192">
        <f>電力量!B193-電力量!B192</f>
        <v>631</v>
      </c>
      <c r="C192">
        <f>電力量!C193-電力量!C192</f>
        <v>153</v>
      </c>
      <c r="D192">
        <f>電力量!D193-電力量!D192</f>
        <v>14.099999999998545</v>
      </c>
      <c r="E192">
        <f>電力量!E193-電力量!E192</f>
        <v>0</v>
      </c>
      <c r="F192">
        <f>電力量!F193-電力量!F192</f>
        <v>14</v>
      </c>
      <c r="G192">
        <f>電力量!G193-電力量!G192</f>
        <v>51.900000000001455</v>
      </c>
      <c r="H192">
        <f>電力量!H193-電力量!H192</f>
        <v>14</v>
      </c>
      <c r="I192">
        <f>電力量!I193-電力量!I192</f>
        <v>197</v>
      </c>
      <c r="J192">
        <f>電力量!J193-電力量!J192</f>
        <v>8.9000000000014552</v>
      </c>
      <c r="K192">
        <f>電力量!K193-電力量!K192</f>
        <v>4</v>
      </c>
      <c r="L192">
        <f>電力量!L193-電力量!L192</f>
        <v>19</v>
      </c>
      <c r="M192">
        <f>電力量!M193-電力量!M192</f>
        <v>37.5</v>
      </c>
      <c r="N192">
        <f>電力量!N193-電力量!N192</f>
        <v>53.69999999999709</v>
      </c>
      <c r="O192">
        <f>電力量!O193-電力量!O192</f>
        <v>15.5</v>
      </c>
      <c r="P192">
        <f>電力量!P193-電力量!P192</f>
        <v>0</v>
      </c>
      <c r="Q192">
        <f>電力量!Q193-電力量!Q192</f>
        <v>0</v>
      </c>
      <c r="R192">
        <f>電力量!R193-電力量!R192</f>
        <v>0</v>
      </c>
    </row>
    <row r="193" spans="1:18">
      <c r="A193" s="4">
        <f t="shared" ref="A193:A241" si="91">A170+(23/24)</f>
        <v>45879.958333333336</v>
      </c>
      <c r="B193">
        <f>電力量!B194-電力量!B193</f>
        <v>629</v>
      </c>
      <c r="C193">
        <f>電力量!C194-電力量!C193</f>
        <v>153</v>
      </c>
      <c r="D193">
        <f>電力量!D194-電力量!D193</f>
        <v>13.700000000004366</v>
      </c>
      <c r="E193">
        <f>電力量!E194-電力量!E193</f>
        <v>0</v>
      </c>
      <c r="F193">
        <f>電力量!F194-電力量!F193</f>
        <v>12</v>
      </c>
      <c r="G193">
        <f>電力量!G194-電力量!G193</f>
        <v>52</v>
      </c>
      <c r="H193">
        <f>電力量!H194-電力量!H193</f>
        <v>14</v>
      </c>
      <c r="I193">
        <f>電力量!I194-電力量!I193</f>
        <v>200</v>
      </c>
      <c r="J193">
        <f>電力量!J194-電力量!J193</f>
        <v>8.6999999999970896</v>
      </c>
      <c r="K193">
        <f>電力量!K194-電力量!K193</f>
        <v>3.8000000000029104</v>
      </c>
      <c r="L193">
        <f>電力量!L194-電力量!L193</f>
        <v>18.80000000000291</v>
      </c>
      <c r="M193">
        <f>電力量!M194-電力量!M193</f>
        <v>37.299999999995634</v>
      </c>
      <c r="N193">
        <f>電力量!N194-電力量!N193</f>
        <v>53.900000000001455</v>
      </c>
      <c r="O193">
        <f>電力量!O194-電力量!O193</f>
        <v>15.5</v>
      </c>
      <c r="P193">
        <f>電力量!P194-電力量!P193</f>
        <v>0</v>
      </c>
      <c r="Q193">
        <f>電力量!Q194-電力量!Q193</f>
        <v>0</v>
      </c>
      <c r="R193">
        <f>電力量!R194-電力量!R193</f>
        <v>0</v>
      </c>
    </row>
    <row r="194" spans="1:18">
      <c r="A194" s="4">
        <v>45880</v>
      </c>
      <c r="B194">
        <f>電力量!B195-電力量!B194</f>
        <v>629</v>
      </c>
      <c r="C194">
        <f>電力量!C195-電力量!C194</f>
        <v>153</v>
      </c>
      <c r="D194">
        <f>電力量!D195-電力量!D194</f>
        <v>13.399999999994179</v>
      </c>
      <c r="E194">
        <f>電力量!E195-電力量!E194</f>
        <v>0</v>
      </c>
      <c r="F194">
        <f>電力量!F195-電力量!F194</f>
        <v>13</v>
      </c>
      <c r="G194">
        <f>電力量!G195-電力量!G194</f>
        <v>51.299999999999272</v>
      </c>
      <c r="H194">
        <f>電力量!H195-電力量!H194</f>
        <v>14</v>
      </c>
      <c r="I194">
        <f>電力量!I195-電力量!I194</f>
        <v>202</v>
      </c>
      <c r="J194">
        <f>電力量!J195-電力量!J194</f>
        <v>8</v>
      </c>
      <c r="K194">
        <f>電力量!K195-電力量!K194</f>
        <v>4.0999999999912689</v>
      </c>
      <c r="L194">
        <f>電力量!L195-電力量!L194</f>
        <v>19</v>
      </c>
      <c r="M194">
        <f>電力量!M195-電力量!M194</f>
        <v>37.5</v>
      </c>
      <c r="N194">
        <f>電力量!N195-電力量!N194</f>
        <v>53.900000000001455</v>
      </c>
      <c r="O194">
        <f>電力量!O195-電力量!O194</f>
        <v>15.30000000000291</v>
      </c>
      <c r="P194">
        <f>電力量!P195-電力量!P194</f>
        <v>0</v>
      </c>
      <c r="Q194">
        <f>電力量!Q195-電力量!Q194</f>
        <v>0</v>
      </c>
      <c r="R194">
        <f>電力量!R195-電力量!R194</f>
        <v>0</v>
      </c>
    </row>
    <row r="195" spans="1:18">
      <c r="A195" s="4">
        <f t="shared" si="69"/>
        <v>45880.041666666664</v>
      </c>
      <c r="B195">
        <f>電力量!B196-電力量!B195</f>
        <v>615</v>
      </c>
      <c r="C195">
        <f>電力量!C196-電力量!C195</f>
        <v>147</v>
      </c>
      <c r="D195">
        <f>電力量!D196-電力量!D195</f>
        <v>13.700000000004366</v>
      </c>
      <c r="E195">
        <f>電力量!E196-電力量!E195</f>
        <v>0</v>
      </c>
      <c r="F195">
        <f>電力量!F196-電力量!F195</f>
        <v>12</v>
      </c>
      <c r="G195">
        <f>電力量!G196-電力量!G195</f>
        <v>51.799999999999272</v>
      </c>
      <c r="H195">
        <f>電力量!H196-電力量!H195</f>
        <v>13</v>
      </c>
      <c r="I195">
        <f>電力量!I196-電力量!I195</f>
        <v>194</v>
      </c>
      <c r="J195">
        <f>電力量!J196-電力量!J195</f>
        <v>8.6999999999970896</v>
      </c>
      <c r="K195">
        <f>電力量!K196-電力量!K195</f>
        <v>4.2000000000116415</v>
      </c>
      <c r="L195">
        <f>電力量!L196-電力量!L195</f>
        <v>18.899999999994179</v>
      </c>
      <c r="M195">
        <f>電力量!M196-電力量!M195</f>
        <v>36.80000000000291</v>
      </c>
      <c r="N195">
        <f>電力量!N196-電力量!N195</f>
        <v>53.799999999995634</v>
      </c>
      <c r="O195">
        <f>電力量!O196-電力量!O195</f>
        <v>15.399999999994179</v>
      </c>
      <c r="P195">
        <f>電力量!P196-電力量!P195</f>
        <v>0</v>
      </c>
      <c r="Q195">
        <f>電力量!Q196-電力量!Q195</f>
        <v>0</v>
      </c>
      <c r="R195">
        <f>電力量!R196-電力量!R195</f>
        <v>0</v>
      </c>
    </row>
    <row r="196" spans="1:18">
      <c r="A196" s="4">
        <f t="shared" si="70"/>
        <v>45880.083333333336</v>
      </c>
      <c r="B196">
        <f>電力量!B197-電力量!B196</f>
        <v>610</v>
      </c>
      <c r="C196">
        <f>電力量!C197-電力量!C196</f>
        <v>145</v>
      </c>
      <c r="D196">
        <f>電力量!D197-電力量!D196</f>
        <v>13.099999999998545</v>
      </c>
      <c r="E196">
        <f>電力量!E197-電力量!E196</f>
        <v>0</v>
      </c>
      <c r="F196">
        <f>電力量!F197-電力量!F196</f>
        <v>12</v>
      </c>
      <c r="G196">
        <f>電力量!G197-電力量!G196</f>
        <v>52.200000000000728</v>
      </c>
      <c r="H196">
        <f>電力量!H197-電力量!H196</f>
        <v>14</v>
      </c>
      <c r="I196">
        <f>電力量!I197-電力量!I196</f>
        <v>192</v>
      </c>
      <c r="J196">
        <f>電力量!J197-電力量!J196</f>
        <v>8.8000000000029104</v>
      </c>
      <c r="K196">
        <f>電力量!K197-電力量!K196</f>
        <v>3.8999999999941792</v>
      </c>
      <c r="L196">
        <f>電力量!L197-電力量!L196</f>
        <v>18.700000000011642</v>
      </c>
      <c r="M196">
        <f>電力量!M197-電力量!M196</f>
        <v>37.5</v>
      </c>
      <c r="N196">
        <f>電力量!N197-電力量!N196</f>
        <v>53.700000000004366</v>
      </c>
      <c r="O196">
        <f>電力量!O197-電力量!O196</f>
        <v>14.69999999999709</v>
      </c>
      <c r="P196">
        <f>電力量!P197-電力量!P196</f>
        <v>0</v>
      </c>
      <c r="Q196">
        <f>電力量!Q197-電力量!Q196</f>
        <v>0</v>
      </c>
      <c r="R196">
        <f>電力量!R197-電力量!R196</f>
        <v>0</v>
      </c>
    </row>
    <row r="197" spans="1:18">
      <c r="A197" s="4">
        <f t="shared" si="71"/>
        <v>45880.125</v>
      </c>
      <c r="B197">
        <f>電力量!B198-電力量!B197</f>
        <v>607</v>
      </c>
      <c r="C197">
        <f>電力量!C198-電力量!C197</f>
        <v>145</v>
      </c>
      <c r="D197">
        <f>電力量!D198-電力量!D197</f>
        <v>12.69999999999709</v>
      </c>
      <c r="E197">
        <f>電力量!E198-電力量!E197</f>
        <v>0</v>
      </c>
      <c r="F197">
        <f>電力量!F198-電力量!F197</f>
        <v>12</v>
      </c>
      <c r="G197">
        <f>電力量!G198-電力量!G197</f>
        <v>51.299999999999272</v>
      </c>
      <c r="H197">
        <f>電力量!H198-電力量!H197</f>
        <v>15</v>
      </c>
      <c r="I197">
        <f>電力量!I198-電力量!I197</f>
        <v>191</v>
      </c>
      <c r="J197">
        <f>電力量!J198-電力量!J197</f>
        <v>8</v>
      </c>
      <c r="K197">
        <f>電力量!K198-電力量!K197</f>
        <v>3.8000000000029104</v>
      </c>
      <c r="L197">
        <f>電力量!L198-電力量!L197</f>
        <v>18.69999999999709</v>
      </c>
      <c r="M197">
        <f>電力量!M198-電力量!M197</f>
        <v>36.69999999999709</v>
      </c>
      <c r="N197">
        <f>電力量!N198-電力量!N197</f>
        <v>54.099999999998545</v>
      </c>
      <c r="O197">
        <f>電力量!O198-電力量!O197</f>
        <v>14.69999999999709</v>
      </c>
      <c r="P197">
        <f>電力量!P198-電力量!P197</f>
        <v>0</v>
      </c>
      <c r="Q197">
        <f>電力量!Q198-電力量!Q197</f>
        <v>0</v>
      </c>
      <c r="R197">
        <f>電力量!R198-電力量!R197</f>
        <v>0</v>
      </c>
    </row>
    <row r="198" spans="1:18">
      <c r="A198" s="4">
        <f t="shared" si="72"/>
        <v>45880.166666666664</v>
      </c>
      <c r="B198">
        <f>電力量!B199-電力量!B198</f>
        <v>606</v>
      </c>
      <c r="C198">
        <f>電力量!C199-電力量!C198</f>
        <v>144</v>
      </c>
      <c r="D198">
        <f>電力量!D199-電力量!D198</f>
        <v>12.5</v>
      </c>
      <c r="E198">
        <f>電力量!E199-電力量!E198</f>
        <v>0</v>
      </c>
      <c r="F198">
        <f>電力量!F199-電力量!F198</f>
        <v>12</v>
      </c>
      <c r="G198">
        <f>電力量!G199-電力量!G198</f>
        <v>51.400000000001455</v>
      </c>
      <c r="H198">
        <f>電力量!H199-電力量!H198</f>
        <v>14</v>
      </c>
      <c r="I198">
        <f>電力量!I199-電力量!I198</f>
        <v>189</v>
      </c>
      <c r="J198">
        <f>電力量!J199-電力量!J198</f>
        <v>8.5999999999985448</v>
      </c>
      <c r="K198">
        <f>電力量!K199-電力量!K198</f>
        <v>4.0999999999912689</v>
      </c>
      <c r="L198">
        <f>電力量!L199-電力量!L198</f>
        <v>18.5</v>
      </c>
      <c r="M198">
        <f>電力量!M199-電力量!M198</f>
        <v>37.100000000005821</v>
      </c>
      <c r="N198">
        <f>電力量!N199-電力量!N198</f>
        <v>53.599999999998545</v>
      </c>
      <c r="O198">
        <f>電力量!O199-電力量!O198</f>
        <v>16.400000000008731</v>
      </c>
      <c r="P198">
        <f>電力量!P199-電力量!P198</f>
        <v>0</v>
      </c>
      <c r="Q198">
        <f>電力量!Q199-電力量!Q198</f>
        <v>0</v>
      </c>
      <c r="R198">
        <f>電力量!R199-電力量!R198</f>
        <v>0</v>
      </c>
    </row>
    <row r="199" spans="1:18">
      <c r="A199" s="4">
        <f t="shared" si="73"/>
        <v>45880.208333333336</v>
      </c>
      <c r="B199">
        <f>電力量!B200-電力量!B199</f>
        <v>601</v>
      </c>
      <c r="C199">
        <f>電力量!C200-電力量!C199</f>
        <v>144</v>
      </c>
      <c r="D199">
        <f>電力量!D200-電力量!D199</f>
        <v>12.600000000005821</v>
      </c>
      <c r="E199">
        <f>電力量!E200-電力量!E199</f>
        <v>0</v>
      </c>
      <c r="F199">
        <f>電力量!F200-電力量!F199</f>
        <v>12</v>
      </c>
      <c r="G199">
        <f>電力量!G200-電力量!G199</f>
        <v>51.799999999999272</v>
      </c>
      <c r="H199">
        <f>電力量!H200-電力量!H199</f>
        <v>13</v>
      </c>
      <c r="I199">
        <f>電力量!I200-電力量!I199</f>
        <v>189</v>
      </c>
      <c r="J199">
        <f>電力量!J200-電力量!J199</f>
        <v>7.9000000000014552</v>
      </c>
      <c r="K199">
        <f>電力量!K200-電力量!K199</f>
        <v>3.9000000000087311</v>
      </c>
      <c r="L199">
        <f>電力量!L200-電力量!L199</f>
        <v>18.5</v>
      </c>
      <c r="M199">
        <f>電力量!M200-電力量!M199</f>
        <v>36.19999999999709</v>
      </c>
      <c r="N199">
        <f>電力量!N200-電力量!N199</f>
        <v>53.80000000000291</v>
      </c>
      <c r="O199">
        <f>電力量!O200-電力量!O199</f>
        <v>15.19999999999709</v>
      </c>
      <c r="P199">
        <f>電力量!P200-電力量!P199</f>
        <v>0</v>
      </c>
      <c r="Q199">
        <f>電力量!Q200-電力量!Q199</f>
        <v>0</v>
      </c>
      <c r="R199">
        <f>電力量!R200-電力量!R199</f>
        <v>0</v>
      </c>
    </row>
    <row r="200" spans="1:18">
      <c r="A200" s="4">
        <f t="shared" si="74"/>
        <v>45880.25</v>
      </c>
      <c r="B200">
        <f>電力量!B201-電力量!B200</f>
        <v>610</v>
      </c>
      <c r="C200">
        <f>電力量!C201-電力量!C200</f>
        <v>149</v>
      </c>
      <c r="D200">
        <f>電力量!D201-電力量!D200</f>
        <v>12.599999999998545</v>
      </c>
      <c r="E200">
        <f>電力量!E201-電力量!E200</f>
        <v>0</v>
      </c>
      <c r="F200">
        <f>電力量!F201-電力量!F200</f>
        <v>12</v>
      </c>
      <c r="G200">
        <f>電力量!G201-電力量!G200</f>
        <v>51.700000000000728</v>
      </c>
      <c r="H200">
        <f>電力量!H201-電力量!H200</f>
        <v>14</v>
      </c>
      <c r="I200">
        <f>電力量!I201-電力量!I200</f>
        <v>189</v>
      </c>
      <c r="J200">
        <f>電力量!J201-電力量!J200</f>
        <v>8.6999999999970896</v>
      </c>
      <c r="K200">
        <f>電力量!K201-電力量!K200</f>
        <v>4</v>
      </c>
      <c r="L200">
        <f>電力量!L201-電力量!L200</f>
        <v>18</v>
      </c>
      <c r="M200">
        <f>電力量!M201-電力量!M200</f>
        <v>36.900000000001455</v>
      </c>
      <c r="N200">
        <f>電力量!N201-電力量!N200</f>
        <v>53.599999999998545</v>
      </c>
      <c r="O200">
        <f>電力量!O201-電力量!O200</f>
        <v>16.100000000005821</v>
      </c>
      <c r="P200">
        <f>電力量!P201-電力量!P200</f>
        <v>0</v>
      </c>
      <c r="Q200">
        <f>電力量!Q201-電力量!Q200</f>
        <v>0</v>
      </c>
      <c r="R200">
        <f>電力量!R201-電力量!R200</f>
        <v>0</v>
      </c>
    </row>
    <row r="201" spans="1:18">
      <c r="A201" s="4">
        <f t="shared" si="75"/>
        <v>45880.291666666664</v>
      </c>
      <c r="B201">
        <f>電力量!B202-電力量!B201</f>
        <v>594</v>
      </c>
      <c r="C201">
        <f>電力量!C202-電力量!C201</f>
        <v>143</v>
      </c>
      <c r="D201">
        <f>電力量!D202-電力量!D201</f>
        <v>11.799999999995634</v>
      </c>
      <c r="E201">
        <f>電力量!E202-電力量!E201</f>
        <v>0</v>
      </c>
      <c r="F201">
        <f>電力量!F202-電力量!F201</f>
        <v>12</v>
      </c>
      <c r="G201">
        <f>電力量!G202-電力量!G201</f>
        <v>51.200000000000728</v>
      </c>
      <c r="H201">
        <f>電力量!H202-電力量!H201</f>
        <v>13</v>
      </c>
      <c r="I201">
        <f>電力量!I202-電力量!I201</f>
        <v>187</v>
      </c>
      <c r="J201">
        <f>電力量!J202-電力量!J201</f>
        <v>8.5</v>
      </c>
      <c r="K201">
        <f>電力量!K202-電力量!K201</f>
        <v>3.5</v>
      </c>
      <c r="L201">
        <f>電力量!L202-電力量!L201</f>
        <v>17</v>
      </c>
      <c r="M201">
        <f>電力量!M202-電力量!M201</f>
        <v>36</v>
      </c>
      <c r="N201">
        <f>電力量!N202-電力量!N201</f>
        <v>53.400000000001455</v>
      </c>
      <c r="O201">
        <f>電力量!O202-電力量!O201</f>
        <v>14.599999999991269</v>
      </c>
      <c r="P201">
        <f>電力量!P202-電力量!P201</f>
        <v>0</v>
      </c>
      <c r="Q201">
        <f>電力量!Q202-電力量!Q201</f>
        <v>0</v>
      </c>
      <c r="R201">
        <f>電力量!R202-電力量!R201</f>
        <v>0</v>
      </c>
    </row>
    <row r="202" spans="1:18">
      <c r="A202" s="4">
        <f t="shared" si="76"/>
        <v>45880.333333333336</v>
      </c>
      <c r="B202">
        <f>電力量!B203-電力量!B202</f>
        <v>608</v>
      </c>
      <c r="C202">
        <f>電力量!C203-電力量!C202</f>
        <v>143</v>
      </c>
      <c r="D202">
        <f>電力量!D203-電力量!D202</f>
        <v>13.200000000004366</v>
      </c>
      <c r="E202">
        <f>電力量!E203-電力量!E202</f>
        <v>0</v>
      </c>
      <c r="F202">
        <f>電力量!F203-電力量!F202</f>
        <v>12</v>
      </c>
      <c r="G202">
        <f>電力量!G203-電力量!G202</f>
        <v>49.399999999997817</v>
      </c>
      <c r="H202">
        <f>電力量!H203-電力量!H202</f>
        <v>24</v>
      </c>
      <c r="I202">
        <f>電力量!I203-電力量!I202</f>
        <v>189</v>
      </c>
      <c r="J202">
        <f>電力量!J203-電力量!J202</f>
        <v>7.7000000000043656</v>
      </c>
      <c r="K202">
        <f>電力量!K203-電力量!K202</f>
        <v>2.8999999999941792</v>
      </c>
      <c r="L202">
        <f>電力量!L203-電力量!L202</f>
        <v>16.899999999994179</v>
      </c>
      <c r="M202">
        <f>電力量!M203-電力量!M202</f>
        <v>36.099999999998545</v>
      </c>
      <c r="N202">
        <f>電力量!N203-電力量!N202</f>
        <v>53.399999999994179</v>
      </c>
      <c r="O202">
        <f>電力量!O203-電力量!O202</f>
        <v>16.5</v>
      </c>
      <c r="P202">
        <f>電力量!P203-電力量!P202</f>
        <v>0</v>
      </c>
      <c r="Q202">
        <f>電力量!Q203-電力量!Q202</f>
        <v>1</v>
      </c>
      <c r="R202">
        <f>電力量!R203-電力量!R202</f>
        <v>0</v>
      </c>
    </row>
    <row r="203" spans="1:18">
      <c r="A203" s="4">
        <f t="shared" si="77"/>
        <v>45880.375</v>
      </c>
      <c r="B203">
        <f>電力量!B204-電力量!B203</f>
        <v>652</v>
      </c>
      <c r="C203">
        <f>電力量!C204-電力量!C203</f>
        <v>145</v>
      </c>
      <c r="D203">
        <f>電力量!D204-電力量!D203</f>
        <v>13.400000000001455</v>
      </c>
      <c r="E203">
        <f>電力量!E204-電力量!E203</f>
        <v>0</v>
      </c>
      <c r="F203">
        <f>電力量!F204-電力量!F203</f>
        <v>13</v>
      </c>
      <c r="G203">
        <f>電力量!G204-電力量!G203</f>
        <v>48.299999999999272</v>
      </c>
      <c r="H203">
        <f>電力量!H204-電力量!H203</f>
        <v>51</v>
      </c>
      <c r="I203">
        <f>電力量!I204-電力量!I203</f>
        <v>205</v>
      </c>
      <c r="J203">
        <f>電力量!J204-電力量!J203</f>
        <v>8.5</v>
      </c>
      <c r="K203">
        <f>電力量!K204-電力量!K203</f>
        <v>1.9000000000087311</v>
      </c>
      <c r="L203">
        <f>電力量!L204-電力量!L203</f>
        <v>17.900000000008731</v>
      </c>
      <c r="M203">
        <f>電力量!M204-電力量!M203</f>
        <v>36.5</v>
      </c>
      <c r="N203">
        <f>電力量!N204-電力量!N203</f>
        <v>51.900000000001455</v>
      </c>
      <c r="O203">
        <f>電力量!O204-電力量!O203</f>
        <v>15.69999999999709</v>
      </c>
      <c r="P203">
        <f>電力量!P204-電力量!P203</f>
        <v>1</v>
      </c>
      <c r="Q203">
        <f>電力量!Q204-電力量!Q203</f>
        <v>1</v>
      </c>
      <c r="R203">
        <f>電力量!R204-電力量!R203</f>
        <v>0</v>
      </c>
    </row>
    <row r="204" spans="1:18">
      <c r="A204" s="4">
        <f t="shared" si="78"/>
        <v>45880.416666666664</v>
      </c>
      <c r="B204">
        <f>電力量!B205-電力量!B204</f>
        <v>664</v>
      </c>
      <c r="C204">
        <f>電力量!C205-電力量!C204</f>
        <v>147</v>
      </c>
      <c r="D204">
        <f>電力量!D205-電力量!D204</f>
        <v>16.69999999999709</v>
      </c>
      <c r="E204">
        <f>電力量!E205-電力量!E204</f>
        <v>0</v>
      </c>
      <c r="F204">
        <f>電力量!F205-電力量!F204</f>
        <v>12</v>
      </c>
      <c r="G204">
        <f>電力量!G205-電力量!G204</f>
        <v>45.5</v>
      </c>
      <c r="H204">
        <f>電力量!H205-電力量!H204</f>
        <v>62</v>
      </c>
      <c r="I204">
        <f>電力量!I205-電力量!I204</f>
        <v>206</v>
      </c>
      <c r="J204">
        <f>電力量!J205-電力量!J204</f>
        <v>7.9000000000014552</v>
      </c>
      <c r="K204">
        <f>電力量!K205-電力量!K204</f>
        <v>0.29999999998835847</v>
      </c>
      <c r="L204">
        <f>電力量!L205-電力量!L204</f>
        <v>18.599999999991269</v>
      </c>
      <c r="M204">
        <f>電力量!M205-電力量!M204</f>
        <v>37</v>
      </c>
      <c r="N204">
        <f>電力量!N205-電力量!N204</f>
        <v>49.900000000001455</v>
      </c>
      <c r="O204">
        <f>電力量!O205-電力量!O204</f>
        <v>15.700000000011642</v>
      </c>
      <c r="P204">
        <f>電力量!P205-電力量!P204</f>
        <v>3</v>
      </c>
      <c r="Q204">
        <f>電力量!Q205-電力量!Q204</f>
        <v>5</v>
      </c>
      <c r="R204">
        <f>電力量!R205-電力量!R204</f>
        <v>0</v>
      </c>
    </row>
    <row r="205" spans="1:18">
      <c r="A205" s="4">
        <f t="shared" si="79"/>
        <v>45880.458333333336</v>
      </c>
      <c r="B205">
        <f>電力量!B206-電力量!B205</f>
        <v>679</v>
      </c>
      <c r="C205">
        <f>電力量!C206-電力量!C205</f>
        <v>151</v>
      </c>
      <c r="D205">
        <f>電力量!D206-電力量!D205</f>
        <v>16.69999999999709</v>
      </c>
      <c r="E205">
        <f>電力量!E206-電力量!E205</f>
        <v>0</v>
      </c>
      <c r="F205">
        <f>電力量!F206-電力量!F205</f>
        <v>13</v>
      </c>
      <c r="G205">
        <f>電力量!G206-電力量!G205</f>
        <v>46.600000000002183</v>
      </c>
      <c r="H205">
        <f>電力量!H206-電力量!H205</f>
        <v>65</v>
      </c>
      <c r="I205">
        <f>電力量!I206-電力量!I205</f>
        <v>218</v>
      </c>
      <c r="J205">
        <f>電力量!J206-電力量!J205</f>
        <v>9.1999999999970896</v>
      </c>
      <c r="K205">
        <f>電力量!K206-電力量!K205</f>
        <v>0</v>
      </c>
      <c r="L205">
        <f>電力量!L206-電力量!L205</f>
        <v>18.900000000008731</v>
      </c>
      <c r="M205">
        <f>電力量!M206-電力量!M205</f>
        <v>36.69999999999709</v>
      </c>
      <c r="N205">
        <f>電力量!N206-電力量!N205</f>
        <v>46.900000000001455</v>
      </c>
      <c r="O205">
        <f>電力量!O206-電力量!O205</f>
        <v>15.399999999994179</v>
      </c>
      <c r="P205">
        <f>電力量!P206-電力量!P205</f>
        <v>4</v>
      </c>
      <c r="Q205">
        <f>電力量!Q206-電力量!Q205</f>
        <v>7</v>
      </c>
      <c r="R205">
        <f>電力量!R206-電力量!R205</f>
        <v>0</v>
      </c>
    </row>
    <row r="206" spans="1:18">
      <c r="A206" s="4">
        <f t="shared" si="80"/>
        <v>45880.5</v>
      </c>
      <c r="B206">
        <f>電力量!B207-電力量!B206</f>
        <v>681</v>
      </c>
      <c r="C206">
        <f>電力量!C207-電力量!C206</f>
        <v>158</v>
      </c>
      <c r="D206">
        <f>電力量!D207-電力量!D206</f>
        <v>17.700000000004366</v>
      </c>
      <c r="E206">
        <f>電力量!E207-電力量!E206</f>
        <v>0</v>
      </c>
      <c r="F206">
        <f>電力量!F207-電力量!F206</f>
        <v>15</v>
      </c>
      <c r="G206">
        <f>電力量!G207-電力量!G206</f>
        <v>51.599999999998545</v>
      </c>
      <c r="H206">
        <f>電力量!H207-電力量!H206</f>
        <v>44</v>
      </c>
      <c r="I206">
        <f>電力量!I207-電力量!I206</f>
        <v>221</v>
      </c>
      <c r="J206">
        <f>電力量!J207-電力量!J206</f>
        <v>9.1999999999970896</v>
      </c>
      <c r="K206">
        <f>電力量!K207-電力量!K206</f>
        <v>0</v>
      </c>
      <c r="L206">
        <f>電力量!L207-電力量!L206</f>
        <v>19.5</v>
      </c>
      <c r="M206">
        <f>電力量!M207-電力量!M206</f>
        <v>37.100000000005821</v>
      </c>
      <c r="N206">
        <f>電力量!N207-電力量!N206</f>
        <v>48.19999999999709</v>
      </c>
      <c r="O206">
        <f>電力量!O207-電力量!O206</f>
        <v>14.899999999994179</v>
      </c>
      <c r="P206">
        <f>電力量!P207-電力量!P206</f>
        <v>4</v>
      </c>
      <c r="Q206">
        <f>電力量!Q207-電力量!Q206</f>
        <v>6</v>
      </c>
      <c r="R206">
        <f>電力量!R207-電力量!R206</f>
        <v>0</v>
      </c>
    </row>
    <row r="207" spans="1:18">
      <c r="A207" s="4">
        <f t="shared" si="81"/>
        <v>45880.541666666664</v>
      </c>
      <c r="B207">
        <f>電力量!B208-電力量!B207</f>
        <v>724</v>
      </c>
      <c r="C207">
        <f>電力量!C208-電力量!C207</f>
        <v>158</v>
      </c>
      <c r="D207">
        <f>電力量!D208-電力量!D207</f>
        <v>19.69999999999709</v>
      </c>
      <c r="E207">
        <f>電力量!E208-電力量!E207</f>
        <v>0</v>
      </c>
      <c r="F207">
        <f>電力量!F208-電力量!F207</f>
        <v>14</v>
      </c>
      <c r="G207">
        <f>電力量!G208-電力量!G207</f>
        <v>55.299999999999272</v>
      </c>
      <c r="H207">
        <f>電力量!H208-電力量!H207</f>
        <v>75</v>
      </c>
      <c r="I207">
        <f>電力量!I208-電力量!I207</f>
        <v>223</v>
      </c>
      <c r="J207">
        <f>電力量!J208-電力量!J207</f>
        <v>9</v>
      </c>
      <c r="K207">
        <f>電力量!K208-電力量!K207</f>
        <v>0.70000000001164153</v>
      </c>
      <c r="L207">
        <f>電力量!L208-電力量!L207</f>
        <v>18.799999999988358</v>
      </c>
      <c r="M207">
        <f>電力量!M208-電力量!M207</f>
        <v>37.399999999994179</v>
      </c>
      <c r="N207">
        <f>電力量!N208-電力量!N207</f>
        <v>49.80000000000291</v>
      </c>
      <c r="O207">
        <f>電力量!O208-電力量!O207</f>
        <v>16.100000000005821</v>
      </c>
      <c r="P207">
        <f>電力量!P208-電力量!P207</f>
        <v>2</v>
      </c>
      <c r="Q207">
        <f>電力量!Q208-電力量!Q207</f>
        <v>4</v>
      </c>
      <c r="R207">
        <f>電力量!R208-電力量!R207</f>
        <v>0</v>
      </c>
    </row>
    <row r="208" spans="1:18">
      <c r="A208" s="4">
        <f t="shared" si="82"/>
        <v>45880.583333333336</v>
      </c>
      <c r="B208">
        <f>電力量!B209-電力量!B208</f>
        <v>701</v>
      </c>
      <c r="C208">
        <f>電力量!C209-電力量!C208</f>
        <v>156</v>
      </c>
      <c r="D208">
        <f>電力量!D209-電力量!D208</f>
        <v>16.900000000001455</v>
      </c>
      <c r="E208">
        <f>電力量!E209-電力量!E208</f>
        <v>0</v>
      </c>
      <c r="F208">
        <f>電力量!F209-電力量!F208</f>
        <v>15</v>
      </c>
      <c r="G208">
        <f>電力量!G209-電力量!G208</f>
        <v>61</v>
      </c>
      <c r="H208">
        <f>電力量!H209-電力量!H208</f>
        <v>57</v>
      </c>
      <c r="I208">
        <f>電力量!I209-電力量!I208</f>
        <v>217</v>
      </c>
      <c r="J208">
        <f>電力量!J209-電力量!J208</f>
        <v>9</v>
      </c>
      <c r="K208">
        <f>電力量!K209-電力量!K208</f>
        <v>1.0999999999912689</v>
      </c>
      <c r="L208">
        <f>電力量!L209-電力量!L208</f>
        <v>18.400000000008731</v>
      </c>
      <c r="M208">
        <f>電力量!M209-電力量!M208</f>
        <v>37.200000000004366</v>
      </c>
      <c r="N208">
        <f>電力量!N209-電力量!N208</f>
        <v>50.299999999995634</v>
      </c>
      <c r="O208">
        <f>電力量!O209-電力量!O208</f>
        <v>15.19999999999709</v>
      </c>
      <c r="P208">
        <f>電力量!P209-電力量!P208</f>
        <v>2</v>
      </c>
      <c r="Q208">
        <f>電力量!Q209-電力量!Q208</f>
        <v>2</v>
      </c>
      <c r="R208">
        <f>電力量!R209-電力量!R208</f>
        <v>0</v>
      </c>
    </row>
    <row r="209" spans="1:18">
      <c r="A209" s="4">
        <f t="shared" si="83"/>
        <v>45880.625</v>
      </c>
      <c r="B209">
        <f>電力量!B210-電力量!B209</f>
        <v>685</v>
      </c>
      <c r="C209">
        <f>電力量!C210-電力量!C209</f>
        <v>159</v>
      </c>
      <c r="D209">
        <f>電力量!D210-電力量!D209</f>
        <v>17.400000000001455</v>
      </c>
      <c r="E209">
        <f>電力量!E210-電力量!E209</f>
        <v>0</v>
      </c>
      <c r="F209">
        <f>電力量!F210-電力量!F209</f>
        <v>15</v>
      </c>
      <c r="G209">
        <f>電力量!G210-電力量!G209</f>
        <v>58.900000000001455</v>
      </c>
      <c r="H209">
        <f>電力量!H210-電力量!H209</f>
        <v>38</v>
      </c>
      <c r="I209">
        <f>電力量!I210-電力量!I209</f>
        <v>217</v>
      </c>
      <c r="J209">
        <f>電力量!J210-電力量!J209</f>
        <v>8.7000000000043656</v>
      </c>
      <c r="K209">
        <f>電力量!K210-電力量!K209</f>
        <v>2.5</v>
      </c>
      <c r="L209">
        <f>電力量!L210-電力量!L209</f>
        <v>19</v>
      </c>
      <c r="M209">
        <f>電力量!M210-電力量!M209</f>
        <v>36.799999999995634</v>
      </c>
      <c r="N209">
        <f>電力量!N210-電力量!N209</f>
        <v>51.80000000000291</v>
      </c>
      <c r="O209">
        <f>電力量!O210-電力量!O209</f>
        <v>16.30000000000291</v>
      </c>
      <c r="P209">
        <f>電力量!P210-電力量!P209</f>
        <v>0</v>
      </c>
      <c r="Q209">
        <f>電力量!Q210-電力量!Q209</f>
        <v>1</v>
      </c>
      <c r="R209">
        <f>電力量!R210-電力量!R209</f>
        <v>0</v>
      </c>
    </row>
    <row r="210" spans="1:18">
      <c r="A210" s="4">
        <f t="shared" si="84"/>
        <v>45880.666666666664</v>
      </c>
      <c r="B210">
        <f>電力量!B211-電力量!B210</f>
        <v>658</v>
      </c>
      <c r="C210">
        <f>電力量!C211-電力量!C210</f>
        <v>158</v>
      </c>
      <c r="D210">
        <f>電力量!D211-電力量!D210</f>
        <v>17.5</v>
      </c>
      <c r="E210">
        <f>電力量!E211-電力量!E210</f>
        <v>0</v>
      </c>
      <c r="F210">
        <f>電力量!F211-電力量!F210</f>
        <v>14</v>
      </c>
      <c r="G210">
        <f>電力量!G211-電力量!G210</f>
        <v>54.400000000001455</v>
      </c>
      <c r="H210">
        <f>電力量!H211-電力量!H210</f>
        <v>13</v>
      </c>
      <c r="I210">
        <f>電力量!I211-電力量!I210</f>
        <v>217</v>
      </c>
      <c r="J210">
        <f>電力量!J211-電力量!J210</f>
        <v>8.9000000000014552</v>
      </c>
      <c r="K210">
        <f>電力量!K211-電力量!K210</f>
        <v>3.6000000000058208</v>
      </c>
      <c r="L210">
        <f>電力量!L211-電力量!L210</f>
        <v>18.30000000000291</v>
      </c>
      <c r="M210">
        <f>電力量!M211-電力量!M210</f>
        <v>36.700000000004366</v>
      </c>
      <c r="N210">
        <f>電力量!N211-電力量!N210</f>
        <v>52.400000000001455</v>
      </c>
      <c r="O210">
        <f>電力量!O211-電力量!O210</f>
        <v>15.899999999994179</v>
      </c>
      <c r="P210">
        <f>電力量!P211-電力量!P210</f>
        <v>0</v>
      </c>
      <c r="Q210">
        <f>電力量!Q211-電力量!Q210</f>
        <v>0</v>
      </c>
      <c r="R210">
        <f>電力量!R211-電力量!R210</f>
        <v>0</v>
      </c>
    </row>
    <row r="211" spans="1:18">
      <c r="A211" s="4">
        <f t="shared" si="85"/>
        <v>45880.708333333336</v>
      </c>
      <c r="B211">
        <f>電力量!B212-電力量!B211</f>
        <v>649</v>
      </c>
      <c r="C211">
        <f>電力量!C212-電力量!C211</f>
        <v>159</v>
      </c>
      <c r="D211">
        <f>電力量!D212-電力量!D211</f>
        <v>13.900000000001455</v>
      </c>
      <c r="E211">
        <f>電力量!E212-電力量!E211</f>
        <v>0</v>
      </c>
      <c r="F211">
        <f>電力量!F212-電力量!F211</f>
        <v>14</v>
      </c>
      <c r="G211">
        <f>電力量!G212-電力量!G211</f>
        <v>56.099999999998545</v>
      </c>
      <c r="H211">
        <f>電力量!H212-電力量!H211</f>
        <v>11</v>
      </c>
      <c r="I211">
        <f>電力量!I212-電力量!I211</f>
        <v>214</v>
      </c>
      <c r="J211">
        <f>電力量!J212-電力量!J211</f>
        <v>8.6999999999970896</v>
      </c>
      <c r="K211">
        <f>電力量!K212-電力量!K211</f>
        <v>3.5</v>
      </c>
      <c r="L211">
        <f>電力量!L212-電力量!L211</f>
        <v>18.299999999988358</v>
      </c>
      <c r="M211">
        <f>電力量!M212-電力量!M211</f>
        <v>37.099999999998545</v>
      </c>
      <c r="N211">
        <f>電力量!N212-電力量!N211</f>
        <v>52.599999999998545</v>
      </c>
      <c r="O211">
        <f>電力量!O212-電力量!O211</f>
        <v>14.80000000000291</v>
      </c>
      <c r="P211">
        <f>電力量!P212-電力量!P211</f>
        <v>0</v>
      </c>
      <c r="Q211">
        <f>電力量!Q212-電力量!Q211</f>
        <v>0</v>
      </c>
      <c r="R211">
        <f>電力量!R212-電力量!R211</f>
        <v>0</v>
      </c>
    </row>
    <row r="212" spans="1:18">
      <c r="A212" s="4">
        <f t="shared" si="86"/>
        <v>45880.75</v>
      </c>
      <c r="B212">
        <f>電力量!B213-電力量!B212</f>
        <v>650</v>
      </c>
      <c r="C212">
        <f>電力量!C213-電力量!C212</f>
        <v>161</v>
      </c>
      <c r="D212">
        <f>電力量!D213-電力量!D212</f>
        <v>14.599999999998545</v>
      </c>
      <c r="E212">
        <f>電力量!E213-電力量!E212</f>
        <v>0</v>
      </c>
      <c r="F212">
        <f>電力量!F213-電力量!F212</f>
        <v>13</v>
      </c>
      <c r="G212">
        <f>電力量!G213-電力量!G212</f>
        <v>54.69999999999709</v>
      </c>
      <c r="H212">
        <f>電力量!H213-電力量!H212</f>
        <v>11</v>
      </c>
      <c r="I212">
        <f>電力量!I213-電力量!I212</f>
        <v>217</v>
      </c>
      <c r="J212">
        <f>電力量!J213-電力量!J212</f>
        <v>8.5</v>
      </c>
      <c r="K212">
        <f>電力量!K213-電力量!K212</f>
        <v>3.3000000000029104</v>
      </c>
      <c r="L212">
        <f>電力量!L213-電力量!L212</f>
        <v>18.30000000000291</v>
      </c>
      <c r="M212">
        <f>電力量!M213-電力量!M212</f>
        <v>37</v>
      </c>
      <c r="N212">
        <f>電力量!N213-電力量!N212</f>
        <v>52.5</v>
      </c>
      <c r="O212">
        <f>電力量!O213-電力量!O212</f>
        <v>14.100000000005821</v>
      </c>
      <c r="P212">
        <f>電力量!P213-電力量!P212</f>
        <v>0</v>
      </c>
      <c r="Q212">
        <f>電力量!Q213-電力量!Q212</f>
        <v>0</v>
      </c>
      <c r="R212">
        <f>電力量!R213-電力量!R212</f>
        <v>0</v>
      </c>
    </row>
    <row r="213" spans="1:18">
      <c r="A213" s="4">
        <f t="shared" si="87"/>
        <v>45880.791666666664</v>
      </c>
      <c r="B213">
        <f>電力量!B214-電力量!B213</f>
        <v>629</v>
      </c>
      <c r="C213">
        <f>電力量!C214-電力量!C213</f>
        <v>154</v>
      </c>
      <c r="D213">
        <f>電力量!D214-電力量!D213</f>
        <v>13.5</v>
      </c>
      <c r="E213">
        <f>電力量!E214-電力量!E213</f>
        <v>0</v>
      </c>
      <c r="F213">
        <f>電力量!F214-電力量!F213</f>
        <v>12</v>
      </c>
      <c r="G213">
        <f>電力量!G214-電力量!G213</f>
        <v>55.400000000001455</v>
      </c>
      <c r="H213">
        <f>電力量!H214-電力量!H213</f>
        <v>11</v>
      </c>
      <c r="I213">
        <f>電力量!I214-電力量!I213</f>
        <v>201</v>
      </c>
      <c r="J213">
        <f>電力量!J214-電力量!J213</f>
        <v>8</v>
      </c>
      <c r="K213">
        <f>電力量!K214-電力量!K213</f>
        <v>3.3999999999941792</v>
      </c>
      <c r="L213">
        <f>電力量!L214-電力量!L213</f>
        <v>19.5</v>
      </c>
      <c r="M213">
        <f>電力量!M214-電力量!M213</f>
        <v>37.400000000001455</v>
      </c>
      <c r="N213">
        <f>電力量!N214-電力量!N213</f>
        <v>52.69999999999709</v>
      </c>
      <c r="O213">
        <f>電力量!O214-電力量!O213</f>
        <v>15.599999999991269</v>
      </c>
      <c r="P213">
        <f>電力量!P214-電力量!P213</f>
        <v>0</v>
      </c>
      <c r="Q213">
        <f>電力量!Q214-電力量!Q213</f>
        <v>0</v>
      </c>
      <c r="R213">
        <f>電力量!R214-電力量!R213</f>
        <v>0</v>
      </c>
    </row>
    <row r="214" spans="1:18">
      <c r="A214" s="4">
        <f t="shared" si="88"/>
        <v>45880.833333333336</v>
      </c>
      <c r="B214">
        <f>電力量!B215-電力量!B214</f>
        <v>630</v>
      </c>
      <c r="C214">
        <f>電力量!C215-電力量!C214</f>
        <v>157</v>
      </c>
      <c r="D214">
        <f>電力量!D215-電力量!D214</f>
        <v>14.599999999998545</v>
      </c>
      <c r="E214">
        <f>電力量!E215-電力量!E214</f>
        <v>0</v>
      </c>
      <c r="F214">
        <f>電力量!F215-電力量!F214</f>
        <v>14</v>
      </c>
      <c r="G214">
        <f>電力量!G215-電力量!G214</f>
        <v>54.30000000000291</v>
      </c>
      <c r="H214">
        <f>電力量!H215-電力量!H214</f>
        <v>10</v>
      </c>
      <c r="I214">
        <f>電力量!I215-電力量!I214</f>
        <v>197</v>
      </c>
      <c r="J214">
        <f>電力量!J215-電力量!J214</f>
        <v>8.6999999999970896</v>
      </c>
      <c r="K214">
        <f>電力量!K215-電力量!K214</f>
        <v>3.5</v>
      </c>
      <c r="L214">
        <f>電力量!L215-電力量!L214</f>
        <v>19.100000000005821</v>
      </c>
      <c r="M214">
        <f>電力量!M215-電力量!M214</f>
        <v>37.69999999999709</v>
      </c>
      <c r="N214">
        <f>電力量!N215-電力量!N214</f>
        <v>52.700000000004366</v>
      </c>
      <c r="O214">
        <f>電力量!O215-電力量!O214</f>
        <v>15.900000000008731</v>
      </c>
      <c r="P214">
        <f>電力量!P215-電力量!P214</f>
        <v>0</v>
      </c>
      <c r="Q214">
        <f>電力量!Q215-電力量!Q214</f>
        <v>0</v>
      </c>
      <c r="R214">
        <f>電力量!R215-電力量!R214</f>
        <v>0</v>
      </c>
    </row>
    <row r="215" spans="1:18">
      <c r="A215" s="4">
        <f t="shared" si="89"/>
        <v>45880.875</v>
      </c>
      <c r="B215">
        <f>電力量!B216-電力量!B215</f>
        <v>630</v>
      </c>
      <c r="C215">
        <f>電力量!C216-電力量!C215</f>
        <v>159</v>
      </c>
      <c r="D215">
        <f>電力量!D216-電力量!D215</f>
        <v>14</v>
      </c>
      <c r="E215">
        <f>電力量!E216-電力量!E215</f>
        <v>0</v>
      </c>
      <c r="F215">
        <f>電力量!F216-電力量!F215</f>
        <v>12</v>
      </c>
      <c r="G215">
        <f>電力量!G216-電力量!G215</f>
        <v>54.5</v>
      </c>
      <c r="H215">
        <f>電力量!H216-電力量!H215</f>
        <v>11</v>
      </c>
      <c r="I215">
        <f>電力量!I216-電力量!I215</f>
        <v>195</v>
      </c>
      <c r="J215">
        <f>電力量!J216-電力量!J215</f>
        <v>9.1000000000058208</v>
      </c>
      <c r="K215">
        <f>電力量!K216-電力量!K215</f>
        <v>3.5</v>
      </c>
      <c r="L215">
        <f>電力量!L216-電力量!L215</f>
        <v>19</v>
      </c>
      <c r="M215">
        <f>電力量!M216-電力量!M215</f>
        <v>38.5</v>
      </c>
      <c r="N215">
        <f>電力量!N216-電力量!N215</f>
        <v>52.599999999998545</v>
      </c>
      <c r="O215">
        <f>電力量!O216-電力量!O215</f>
        <v>15.80000000000291</v>
      </c>
      <c r="P215">
        <f>電力量!P216-電力量!P215</f>
        <v>0</v>
      </c>
      <c r="Q215">
        <f>電力量!Q216-電力量!Q215</f>
        <v>0</v>
      </c>
      <c r="R215">
        <f>電力量!R216-電力量!R215</f>
        <v>0</v>
      </c>
    </row>
    <row r="216" spans="1:18">
      <c r="A216" s="4">
        <f t="shared" si="90"/>
        <v>45880.916666666664</v>
      </c>
      <c r="B216">
        <f>電力量!B217-電力量!B216</f>
        <v>634</v>
      </c>
      <c r="C216">
        <f>電力量!C217-電力量!C216</f>
        <v>162</v>
      </c>
      <c r="D216">
        <f>電力量!D217-電力量!D216</f>
        <v>13.5</v>
      </c>
      <c r="E216">
        <f>電力量!E217-電力量!E216</f>
        <v>0</v>
      </c>
      <c r="F216">
        <f>電力量!F217-電力量!F216</f>
        <v>14</v>
      </c>
      <c r="G216">
        <f>電力量!G217-電力量!G216</f>
        <v>53.69999999999709</v>
      </c>
      <c r="H216">
        <f>電力量!H217-電力量!H216</f>
        <v>11</v>
      </c>
      <c r="I216">
        <f>電力量!I217-電力量!I216</f>
        <v>195</v>
      </c>
      <c r="J216">
        <f>電力量!J217-電力量!J216</f>
        <v>8.7999999999956344</v>
      </c>
      <c r="K216">
        <f>電力量!K217-電力量!K216</f>
        <v>3.5</v>
      </c>
      <c r="L216">
        <f>電力量!L217-電力量!L216</f>
        <v>18.80000000000291</v>
      </c>
      <c r="M216">
        <f>電力量!M217-電力量!M216</f>
        <v>38.200000000004366</v>
      </c>
      <c r="N216">
        <f>電力量!N217-電力量!N216</f>
        <v>52.5</v>
      </c>
      <c r="O216">
        <f>電力量!O217-電力量!O216</f>
        <v>15.69999999999709</v>
      </c>
      <c r="P216">
        <f>電力量!P217-電力量!P216</f>
        <v>0</v>
      </c>
      <c r="Q216">
        <f>電力量!Q217-電力量!Q216</f>
        <v>0</v>
      </c>
      <c r="R216">
        <f>電力量!R217-電力量!R216</f>
        <v>0</v>
      </c>
    </row>
    <row r="217" spans="1:18">
      <c r="A217" s="4">
        <f t="shared" si="91"/>
        <v>45880.958333333336</v>
      </c>
      <c r="B217">
        <f>電力量!B218-電力量!B217</f>
        <v>632</v>
      </c>
      <c r="C217">
        <f>電力量!C218-電力量!C217</f>
        <v>160</v>
      </c>
      <c r="D217">
        <f>電力量!D218-電力量!D217</f>
        <v>13.30000000000291</v>
      </c>
      <c r="E217">
        <f>電力量!E218-電力量!E217</f>
        <v>0</v>
      </c>
      <c r="F217">
        <f>電力量!F218-電力量!F217</f>
        <v>14</v>
      </c>
      <c r="G217">
        <f>電力量!G218-電力量!G217</f>
        <v>53.200000000004366</v>
      </c>
      <c r="H217">
        <f>電力量!H218-電力量!H217</f>
        <v>11</v>
      </c>
      <c r="I217">
        <f>電力量!I218-電力量!I217</f>
        <v>195</v>
      </c>
      <c r="J217">
        <f>電力量!J218-電力量!J217</f>
        <v>8.9000000000014552</v>
      </c>
      <c r="K217">
        <f>電力量!K218-電力量!K217</f>
        <v>3.3999999999941792</v>
      </c>
      <c r="L217">
        <f>電力量!L218-電力量!L217</f>
        <v>21.5</v>
      </c>
      <c r="M217">
        <f>電力量!M218-電力量!M217</f>
        <v>37.599999999998545</v>
      </c>
      <c r="N217">
        <f>電力量!N218-電力量!N217</f>
        <v>52.5</v>
      </c>
      <c r="O217">
        <f>電力量!O218-電力量!O217</f>
        <v>16.19999999999709</v>
      </c>
      <c r="P217">
        <f>電力量!P218-電力量!P217</f>
        <v>0</v>
      </c>
      <c r="Q217">
        <f>電力量!Q218-電力量!Q217</f>
        <v>0</v>
      </c>
      <c r="R217">
        <f>電力量!R218-電力量!R217</f>
        <v>0</v>
      </c>
    </row>
    <row r="218" spans="1:18">
      <c r="A218" s="4">
        <v>45881</v>
      </c>
      <c r="B218">
        <f>電力量!B219-電力量!B218</f>
        <v>619</v>
      </c>
      <c r="C218">
        <f>電力量!C219-電力量!C218</f>
        <v>153</v>
      </c>
      <c r="D218">
        <f>電力量!D219-電力量!D218</f>
        <v>12.5</v>
      </c>
      <c r="E218">
        <f>電力量!E219-電力量!E218</f>
        <v>0</v>
      </c>
      <c r="F218">
        <f>電力量!F219-電力量!F218</f>
        <v>13</v>
      </c>
      <c r="G218">
        <f>電力量!G219-電力量!G218</f>
        <v>53</v>
      </c>
      <c r="H218">
        <f>電力量!H219-電力量!H218</f>
        <v>12</v>
      </c>
      <c r="I218">
        <f>電力量!I219-電力量!I218</f>
        <v>193</v>
      </c>
      <c r="J218">
        <f>電力量!J219-電力量!J218</f>
        <v>8</v>
      </c>
      <c r="K218">
        <f>電力量!K219-電力量!K218</f>
        <v>3.7000000000116415</v>
      </c>
      <c r="L218">
        <f>電力量!L219-電力量!L218</f>
        <v>21</v>
      </c>
      <c r="M218">
        <f>電力量!M219-電力量!M218</f>
        <v>37.69999999999709</v>
      </c>
      <c r="N218">
        <f>電力量!N219-電力量!N218</f>
        <v>52.599999999998545</v>
      </c>
      <c r="O218">
        <f>電力量!O219-電力量!O218</f>
        <v>15.5</v>
      </c>
      <c r="P218">
        <f>電力量!P219-電力量!P218</f>
        <v>0</v>
      </c>
      <c r="Q218">
        <f>電力量!Q219-電力量!Q218</f>
        <v>0</v>
      </c>
      <c r="R218">
        <f>電力量!R219-電力量!R218</f>
        <v>0</v>
      </c>
    </row>
    <row r="219" spans="1:18">
      <c r="A219" s="4">
        <f t="shared" si="69"/>
        <v>45881.041666666664</v>
      </c>
      <c r="B219">
        <f>電力量!B220-電力量!B219</f>
        <v>610</v>
      </c>
      <c r="C219">
        <f>電力量!C220-電力量!C219</f>
        <v>148</v>
      </c>
      <c r="D219">
        <f>電力量!D220-電力量!D219</f>
        <v>12.5</v>
      </c>
      <c r="E219">
        <f>電力量!E220-電力量!E219</f>
        <v>0</v>
      </c>
      <c r="F219">
        <f>電力量!F220-電力量!F219</f>
        <v>12</v>
      </c>
      <c r="G219">
        <f>電力量!G220-電力量!G219</f>
        <v>52.899999999994179</v>
      </c>
      <c r="H219">
        <f>電力量!H220-電力量!H219</f>
        <v>10</v>
      </c>
      <c r="I219">
        <f>電力量!I220-電力量!I219</f>
        <v>191</v>
      </c>
      <c r="J219">
        <f>電力量!J220-電力量!J219</f>
        <v>8.6999999999970896</v>
      </c>
      <c r="K219">
        <f>電力量!K220-電力量!K219</f>
        <v>3.5</v>
      </c>
      <c r="L219">
        <f>電力量!L220-電力量!L219</f>
        <v>20.5</v>
      </c>
      <c r="M219">
        <f>電力量!M220-電力量!M219</f>
        <v>37.5</v>
      </c>
      <c r="N219">
        <f>電力量!N220-電力量!N219</f>
        <v>52.599999999998545</v>
      </c>
      <c r="O219">
        <f>電力量!O220-電力量!O219</f>
        <v>15.899999999994179</v>
      </c>
      <c r="P219">
        <f>電力量!P220-電力量!P219</f>
        <v>0</v>
      </c>
      <c r="Q219">
        <f>電力量!Q220-電力量!Q219</f>
        <v>0</v>
      </c>
      <c r="R219">
        <f>電力量!R220-電力量!R219</f>
        <v>0</v>
      </c>
    </row>
    <row r="220" spans="1:18">
      <c r="A220" s="4">
        <f t="shared" si="70"/>
        <v>45881.083333333336</v>
      </c>
      <c r="B220">
        <f>電力量!B221-電力量!B220</f>
        <v>607</v>
      </c>
      <c r="C220">
        <f>電力量!C221-電力量!C220</f>
        <v>148</v>
      </c>
      <c r="D220">
        <f>電力量!D221-電力量!D220</f>
        <v>12.5</v>
      </c>
      <c r="E220">
        <f>電力量!E221-電力量!E220</f>
        <v>0</v>
      </c>
      <c r="F220">
        <f>電力量!F221-電力量!F220</f>
        <v>12</v>
      </c>
      <c r="G220">
        <f>電力量!G221-電力量!G220</f>
        <v>51.600000000005821</v>
      </c>
      <c r="H220">
        <f>電力量!H221-電力量!H220</f>
        <v>11</v>
      </c>
      <c r="I220">
        <f>電力量!I221-電力量!I220</f>
        <v>192</v>
      </c>
      <c r="J220">
        <f>電力量!J221-電力量!J220</f>
        <v>8.9000000000014552</v>
      </c>
      <c r="K220">
        <f>電力量!K221-電力量!K220</f>
        <v>3.1999999999970896</v>
      </c>
      <c r="L220">
        <f>電力量!L221-電力量!L220</f>
        <v>18.799999999988358</v>
      </c>
      <c r="M220">
        <f>電力量!M221-電力量!M220</f>
        <v>37.900000000001455</v>
      </c>
      <c r="N220">
        <f>電力量!N221-電力量!N220</f>
        <v>52.400000000001455</v>
      </c>
      <c r="O220">
        <f>電力量!O221-電力量!O220</f>
        <v>15.600000000005821</v>
      </c>
      <c r="P220">
        <f>電力量!P221-電力量!P220</f>
        <v>0</v>
      </c>
      <c r="Q220">
        <f>電力量!Q221-電力量!Q220</f>
        <v>0</v>
      </c>
      <c r="R220">
        <f>電力量!R221-電力量!R220</f>
        <v>0</v>
      </c>
    </row>
    <row r="221" spans="1:18">
      <c r="A221" s="4">
        <f t="shared" si="71"/>
        <v>45881.125</v>
      </c>
      <c r="B221">
        <f>電力量!B222-電力量!B221</f>
        <v>597</v>
      </c>
      <c r="C221">
        <f>電力量!C222-電力量!C221</f>
        <v>146</v>
      </c>
      <c r="D221">
        <f>電力量!D222-電力量!D221</f>
        <v>12.69999999999709</v>
      </c>
      <c r="E221">
        <f>電力量!E222-電力量!E221</f>
        <v>0</v>
      </c>
      <c r="F221">
        <f>電力量!F222-電力量!F221</f>
        <v>12</v>
      </c>
      <c r="G221">
        <f>電力量!G222-電力量!G221</f>
        <v>51.19999999999709</v>
      </c>
      <c r="H221">
        <f>電力量!H222-電力量!H221</f>
        <v>10</v>
      </c>
      <c r="I221">
        <f>電力量!I222-電力量!I221</f>
        <v>184</v>
      </c>
      <c r="J221">
        <f>電力量!J222-電力量!J221</f>
        <v>7.9000000000014552</v>
      </c>
      <c r="K221">
        <f>電力量!K222-電力量!K221</f>
        <v>3.1999999999970896</v>
      </c>
      <c r="L221">
        <f>電力量!L222-電力量!L221</f>
        <v>19.30000000000291</v>
      </c>
      <c r="M221">
        <f>電力量!M222-電力量!M221</f>
        <v>38</v>
      </c>
      <c r="N221">
        <f>電力量!N222-電力量!N221</f>
        <v>52.599999999998545</v>
      </c>
      <c r="O221">
        <f>電力量!O222-電力量!O221</f>
        <v>15.600000000005821</v>
      </c>
      <c r="P221">
        <f>電力量!P222-電力量!P221</f>
        <v>0</v>
      </c>
      <c r="Q221">
        <f>電力量!Q222-電力量!Q221</f>
        <v>0</v>
      </c>
      <c r="R221">
        <f>電力量!R222-電力量!R221</f>
        <v>0</v>
      </c>
    </row>
    <row r="222" spans="1:18">
      <c r="A222" s="4">
        <f t="shared" si="72"/>
        <v>45881.166666666664</v>
      </c>
      <c r="B222">
        <f>電力量!B223-電力量!B222</f>
        <v>602</v>
      </c>
      <c r="C222">
        <f>電力量!C223-電力量!C222</f>
        <v>146</v>
      </c>
      <c r="D222">
        <f>電力量!D223-電力量!D222</f>
        <v>12.5</v>
      </c>
      <c r="E222">
        <f>電力量!E223-電力量!E222</f>
        <v>0</v>
      </c>
      <c r="F222">
        <f>電力量!F223-電力量!F222</f>
        <v>12</v>
      </c>
      <c r="G222">
        <f>電力量!G223-電力量!G222</f>
        <v>51.400000000001455</v>
      </c>
      <c r="H222">
        <f>電力量!H223-電力量!H222</f>
        <v>10</v>
      </c>
      <c r="I222">
        <f>電力量!I223-電力量!I222</f>
        <v>184</v>
      </c>
      <c r="J222">
        <f>電力量!J223-電力量!J222</f>
        <v>9</v>
      </c>
      <c r="K222">
        <f>電力量!K223-電力量!K222</f>
        <v>3.1000000000058208</v>
      </c>
      <c r="L222">
        <f>電力量!L223-電力量!L222</f>
        <v>18.900000000008731</v>
      </c>
      <c r="M222">
        <f>電力量!M223-電力量!M222</f>
        <v>37.400000000001455</v>
      </c>
      <c r="N222">
        <f>電力量!N223-電力量!N222</f>
        <v>55.200000000004366</v>
      </c>
      <c r="O222">
        <f>電力量!O223-電力量!O222</f>
        <v>16.599999999991269</v>
      </c>
      <c r="P222">
        <f>電力量!P223-電力量!P222</f>
        <v>0</v>
      </c>
      <c r="Q222">
        <f>電力量!Q223-電力量!Q222</f>
        <v>0</v>
      </c>
      <c r="R222">
        <f>電力量!R223-電力量!R222</f>
        <v>0</v>
      </c>
    </row>
    <row r="223" spans="1:18">
      <c r="A223" s="4">
        <f t="shared" si="73"/>
        <v>45881.208333333336</v>
      </c>
      <c r="B223">
        <f>電力量!B224-電力量!B223</f>
        <v>586</v>
      </c>
      <c r="C223">
        <f>電力量!C224-電力量!C223</f>
        <v>141</v>
      </c>
      <c r="D223">
        <f>電力量!D224-電力量!D223</f>
        <v>12.19999999999709</v>
      </c>
      <c r="E223">
        <f>電力量!E224-電力量!E223</f>
        <v>0</v>
      </c>
      <c r="F223">
        <f>電力量!F224-電力量!F223</f>
        <v>12</v>
      </c>
      <c r="G223">
        <f>電力量!G224-電力量!G223</f>
        <v>51.799999999995634</v>
      </c>
      <c r="H223">
        <f>電力量!H224-電力量!H223</f>
        <v>10</v>
      </c>
      <c r="I223">
        <f>電力量!I224-電力量!I223</f>
        <v>182</v>
      </c>
      <c r="J223">
        <f>電力量!J224-電力量!J223</f>
        <v>7.6999999999970896</v>
      </c>
      <c r="K223">
        <f>電力量!K224-電力量!K223</f>
        <v>3</v>
      </c>
      <c r="L223">
        <f>電力量!L224-電力量!L223</f>
        <v>18.599999999991269</v>
      </c>
      <c r="M223">
        <f>電力量!M224-電力量!M223</f>
        <v>37.299999999995634</v>
      </c>
      <c r="N223">
        <f>電力量!N224-電力量!N223</f>
        <v>52.599999999998545</v>
      </c>
      <c r="O223">
        <f>電力量!O224-電力量!O223</f>
        <v>15.30000000000291</v>
      </c>
      <c r="P223">
        <f>電力量!P224-電力量!P223</f>
        <v>0</v>
      </c>
      <c r="Q223">
        <f>電力量!Q224-電力量!Q223</f>
        <v>0</v>
      </c>
      <c r="R223">
        <f>電力量!R224-電力量!R223</f>
        <v>0</v>
      </c>
    </row>
    <row r="224" spans="1:18">
      <c r="A224" s="4">
        <f t="shared" si="74"/>
        <v>45881.25</v>
      </c>
      <c r="B224">
        <f>電力量!B225-電力量!B224</f>
        <v>581</v>
      </c>
      <c r="C224">
        <f>電力量!C225-電力量!C224</f>
        <v>139</v>
      </c>
      <c r="D224">
        <f>電力量!D225-電力量!D224</f>
        <v>12.5</v>
      </c>
      <c r="E224">
        <f>電力量!E225-電力量!E224</f>
        <v>0</v>
      </c>
      <c r="F224">
        <f>電力量!F225-電力量!F224</f>
        <v>12</v>
      </c>
      <c r="G224">
        <f>電力量!G225-電力量!G224</f>
        <v>49.100000000005821</v>
      </c>
      <c r="H224">
        <f>電力量!H225-電力量!H224</f>
        <v>12</v>
      </c>
      <c r="I224">
        <f>電力量!I225-電力量!I224</f>
        <v>180</v>
      </c>
      <c r="J224">
        <f>電力量!J225-電力量!J224</f>
        <v>8.5</v>
      </c>
      <c r="K224">
        <f>電力量!K225-電力量!K224</f>
        <v>2.7999999999883585</v>
      </c>
      <c r="L224">
        <f>電力量!L225-電力量!L224</f>
        <v>18.100000000005821</v>
      </c>
      <c r="M224">
        <f>電力量!M225-電力量!M224</f>
        <v>36.600000000005821</v>
      </c>
      <c r="N224">
        <f>電力量!N225-電力量!N224</f>
        <v>52.30000000000291</v>
      </c>
      <c r="O224">
        <f>電力量!O225-電力量!O224</f>
        <v>14.600000000005821</v>
      </c>
      <c r="P224">
        <f>電力量!P225-電力量!P224</f>
        <v>0</v>
      </c>
      <c r="Q224">
        <f>電力量!Q225-電力量!Q224</f>
        <v>0</v>
      </c>
      <c r="R224">
        <f>電力量!R225-電力量!R224</f>
        <v>0</v>
      </c>
    </row>
    <row r="225" spans="1:18">
      <c r="A225" s="4">
        <f t="shared" si="75"/>
        <v>45881.291666666664</v>
      </c>
      <c r="B225">
        <f>電力量!B226-電力量!B225</f>
        <v>579</v>
      </c>
      <c r="C225">
        <f>電力量!C226-電力量!C225</f>
        <v>141</v>
      </c>
      <c r="D225">
        <f>電力量!D226-電力量!D225</f>
        <v>12.700000000004366</v>
      </c>
      <c r="E225">
        <f>電力量!E226-電力量!E225</f>
        <v>0</v>
      </c>
      <c r="F225">
        <f>電力量!F226-電力量!F225</f>
        <v>12</v>
      </c>
      <c r="G225">
        <f>電力量!G226-電力量!G225</f>
        <v>48.899999999994179</v>
      </c>
      <c r="H225">
        <f>電力量!H226-電力量!H225</f>
        <v>10</v>
      </c>
      <c r="I225">
        <f>電力量!I226-電力量!I225</f>
        <v>179</v>
      </c>
      <c r="J225">
        <f>電力量!J226-電力量!J225</f>
        <v>7.8000000000029104</v>
      </c>
      <c r="K225">
        <f>電力量!K226-電力量!K225</f>
        <v>2.4000000000087311</v>
      </c>
      <c r="L225">
        <f>電力量!L226-電力量!L225</f>
        <v>18.599999999991269</v>
      </c>
      <c r="M225">
        <f>電力量!M226-電力量!M225</f>
        <v>36.599999999998545</v>
      </c>
      <c r="N225">
        <f>電力量!N226-電力量!N225</f>
        <v>52.599999999998545</v>
      </c>
      <c r="O225">
        <f>電力量!O226-電力量!O225</f>
        <v>14.899999999994179</v>
      </c>
      <c r="P225">
        <f>電力量!P226-電力量!P225</f>
        <v>1</v>
      </c>
      <c r="Q225">
        <f>電力量!Q226-電力量!Q225</f>
        <v>1</v>
      </c>
      <c r="R225">
        <f>電力量!R226-電力量!R225</f>
        <v>0</v>
      </c>
    </row>
    <row r="226" spans="1:18">
      <c r="A226" s="4">
        <f t="shared" si="76"/>
        <v>45881.333333333336</v>
      </c>
      <c r="B226">
        <f>電力量!B227-電力量!B226</f>
        <v>605</v>
      </c>
      <c r="C226">
        <f>電力量!C227-電力量!C226</f>
        <v>150</v>
      </c>
      <c r="D226">
        <f>電力量!D227-電力量!D226</f>
        <v>12.299999999995634</v>
      </c>
      <c r="E226">
        <f>電力量!E227-電力量!E226</f>
        <v>0</v>
      </c>
      <c r="F226">
        <f>電力量!F227-電力量!F226</f>
        <v>13</v>
      </c>
      <c r="G226">
        <f>電力量!G227-電力量!G226</f>
        <v>44</v>
      </c>
      <c r="H226">
        <f>電力量!H227-電力量!H226</f>
        <v>18</v>
      </c>
      <c r="I226">
        <f>電力量!I227-電力量!I226</f>
        <v>189</v>
      </c>
      <c r="J226">
        <f>電力量!J227-電力量!J226</f>
        <v>8.8000000000029104</v>
      </c>
      <c r="K226">
        <f>電力量!K227-電力量!K226</f>
        <v>9.9999999991268851E-2</v>
      </c>
      <c r="L226">
        <f>電力量!L227-電力量!L226</f>
        <v>18.400000000008731</v>
      </c>
      <c r="M226">
        <f>電力量!M227-電力量!M226</f>
        <v>40.900000000001455</v>
      </c>
      <c r="N226">
        <f>電力量!N227-電力量!N226</f>
        <v>49.69999999999709</v>
      </c>
      <c r="O226">
        <f>電力量!O227-電力量!O226</f>
        <v>16.100000000005821</v>
      </c>
      <c r="P226">
        <f>電力量!P227-電力量!P226</f>
        <v>2</v>
      </c>
      <c r="Q226">
        <f>電力量!Q227-電力量!Q226</f>
        <v>4</v>
      </c>
      <c r="R226">
        <f>電力量!R227-電力量!R226</f>
        <v>0</v>
      </c>
    </row>
    <row r="227" spans="1:18">
      <c r="A227" s="4">
        <f t="shared" si="77"/>
        <v>45881.375</v>
      </c>
      <c r="B227">
        <f>電力量!B228-電力量!B227</f>
        <v>637</v>
      </c>
      <c r="C227">
        <f>電力量!C228-電力量!C227</f>
        <v>171</v>
      </c>
      <c r="D227">
        <f>電力量!D228-電力量!D227</f>
        <v>15.600000000005821</v>
      </c>
      <c r="E227">
        <f>電力量!E228-電力量!E227</f>
        <v>0</v>
      </c>
      <c r="F227">
        <f>電力量!F228-電力量!F227</f>
        <v>15</v>
      </c>
      <c r="G227">
        <f>電力量!G228-電力量!G227</f>
        <v>40.5</v>
      </c>
      <c r="H227">
        <f>電力量!H228-電力量!H227</f>
        <v>15</v>
      </c>
      <c r="I227">
        <f>電力量!I228-電力量!I227</f>
        <v>204</v>
      </c>
      <c r="J227">
        <f>電力量!J228-電力量!J227</f>
        <v>8.2999999999956344</v>
      </c>
      <c r="K227">
        <f>電力量!K228-電力量!K227</f>
        <v>0</v>
      </c>
      <c r="L227">
        <f>電力量!L228-電力量!L227</f>
        <v>18.599999999991269</v>
      </c>
      <c r="M227">
        <f>電力量!M228-電力量!M227</f>
        <v>41.099999999998545</v>
      </c>
      <c r="N227">
        <f>電力量!N228-電力量!N227</f>
        <v>46.900000000001455</v>
      </c>
      <c r="O227">
        <f>電力量!O228-電力量!O227</f>
        <v>15.599999999991269</v>
      </c>
      <c r="P227">
        <f>電力量!P228-電力量!P227</f>
        <v>5</v>
      </c>
      <c r="Q227">
        <f>電力量!Q228-電力量!Q227</f>
        <v>8</v>
      </c>
      <c r="R227">
        <f>電力量!R228-電力量!R227</f>
        <v>0</v>
      </c>
    </row>
    <row r="228" spans="1:18">
      <c r="A228" s="4">
        <f t="shared" si="78"/>
        <v>45881.416666666664</v>
      </c>
      <c r="B228">
        <f>電力量!B229-電力量!B228</f>
        <v>671</v>
      </c>
      <c r="C228">
        <f>電力量!C229-電力量!C228</f>
        <v>172</v>
      </c>
      <c r="D228">
        <f>電力量!D229-電力量!D228</f>
        <v>20</v>
      </c>
      <c r="E228">
        <f>電力量!E229-電力量!E228</f>
        <v>0</v>
      </c>
      <c r="F228">
        <f>電力量!F229-電力量!F228</f>
        <v>16</v>
      </c>
      <c r="G228">
        <f>電力量!G229-電力量!G228</f>
        <v>40.900000000001455</v>
      </c>
      <c r="H228">
        <f>電力量!H229-電力量!H228</f>
        <v>11</v>
      </c>
      <c r="I228">
        <f>電力量!I229-電力量!I228</f>
        <v>225</v>
      </c>
      <c r="J228">
        <f>電力量!J229-電力量!J228</f>
        <v>9.2000000000043656</v>
      </c>
      <c r="K228">
        <f>電力量!K229-電力量!K228</f>
        <v>0</v>
      </c>
      <c r="L228">
        <f>電力量!L229-電力量!L228</f>
        <v>22.30000000000291</v>
      </c>
      <c r="M228">
        <f>電力量!M229-電力量!M228</f>
        <v>42.799999999995634</v>
      </c>
      <c r="N228">
        <f>電力量!N229-電力量!N228</f>
        <v>47.19999999999709</v>
      </c>
      <c r="O228">
        <f>電力量!O229-電力量!O228</f>
        <v>20.400000000008731</v>
      </c>
      <c r="P228">
        <f>電力量!P229-電力量!P228</f>
        <v>7</v>
      </c>
      <c r="Q228">
        <f>電力量!Q229-電力量!Q228</f>
        <v>10</v>
      </c>
      <c r="R228">
        <f>電力量!R229-電力量!R228</f>
        <v>0</v>
      </c>
    </row>
    <row r="229" spans="1:18">
      <c r="A229" s="4">
        <f t="shared" si="79"/>
        <v>45881.458333333336</v>
      </c>
      <c r="B229">
        <f>電力量!B230-電力量!B229</f>
        <v>675</v>
      </c>
      <c r="C229">
        <f>電力量!C230-電力量!C229</f>
        <v>174</v>
      </c>
      <c r="D229">
        <f>電力量!D230-電力量!D229</f>
        <v>20.5</v>
      </c>
      <c r="E229">
        <f>電力量!E230-電力量!E229</f>
        <v>0</v>
      </c>
      <c r="F229">
        <f>電力量!F230-電力量!F229</f>
        <v>21</v>
      </c>
      <c r="G229">
        <f>電力量!G230-電力量!G229</f>
        <v>32.599999999998545</v>
      </c>
      <c r="H229">
        <f>電力量!H230-電力量!H229</f>
        <v>10</v>
      </c>
      <c r="I229">
        <f>電力量!I230-電力量!I229</f>
        <v>237</v>
      </c>
      <c r="J229">
        <f>電力量!J230-電力量!J229</f>
        <v>9.7999999999956344</v>
      </c>
      <c r="K229">
        <f>電力量!K230-電力量!K229</f>
        <v>0</v>
      </c>
      <c r="L229">
        <f>電力量!L230-電力量!L229</f>
        <v>21.80000000000291</v>
      </c>
      <c r="M229">
        <f>電力量!M230-電力量!M229</f>
        <v>43.100000000005821</v>
      </c>
      <c r="N229">
        <f>電力量!N230-電力量!N229</f>
        <v>44.400000000001455</v>
      </c>
      <c r="O229">
        <f>電力量!O230-電力量!O229</f>
        <v>21.799999999988358</v>
      </c>
      <c r="P229">
        <f>電力量!P230-電力量!P229</f>
        <v>10</v>
      </c>
      <c r="Q229">
        <f>電力量!Q230-電力量!Q229</f>
        <v>16</v>
      </c>
      <c r="R229">
        <f>電力量!R230-電力量!R229</f>
        <v>0</v>
      </c>
    </row>
    <row r="230" spans="1:18">
      <c r="A230" s="4">
        <f t="shared" si="80"/>
        <v>45881.5</v>
      </c>
      <c r="B230">
        <f>電力量!B231-電力量!B230</f>
        <v>689</v>
      </c>
      <c r="C230">
        <f>電力量!C231-電力量!C230</f>
        <v>181</v>
      </c>
      <c r="D230">
        <f>電力量!D231-電力量!D230</f>
        <v>20.599999999998545</v>
      </c>
      <c r="E230">
        <f>電力量!E231-電力量!E230</f>
        <v>0</v>
      </c>
      <c r="F230">
        <f>電力量!F231-電力量!F230</f>
        <v>25</v>
      </c>
      <c r="G230">
        <f>電力量!G231-電力量!G230</f>
        <v>32.400000000001455</v>
      </c>
      <c r="H230">
        <f>電力量!H231-電力量!H230</f>
        <v>11</v>
      </c>
      <c r="I230">
        <f>電力量!I231-電力量!I230</f>
        <v>245</v>
      </c>
      <c r="J230">
        <f>電力量!J231-電力量!J230</f>
        <v>10.30000000000291</v>
      </c>
      <c r="K230">
        <f>電力量!K231-電力量!K230</f>
        <v>0</v>
      </c>
      <c r="L230">
        <f>電力量!L231-電力量!L230</f>
        <v>23</v>
      </c>
      <c r="M230">
        <f>電力量!M231-電力量!M230</f>
        <v>45.399999999994179</v>
      </c>
      <c r="N230">
        <f>電力量!N231-電力量!N230</f>
        <v>44.80000000000291</v>
      </c>
      <c r="O230">
        <f>電力量!O231-電力量!O230</f>
        <v>16.100000000005821</v>
      </c>
      <c r="P230">
        <f>電力量!P231-電力量!P230</f>
        <v>14</v>
      </c>
      <c r="Q230">
        <f>電力量!Q231-電力量!Q230</f>
        <v>21</v>
      </c>
      <c r="R230">
        <f>電力量!R231-電力量!R230</f>
        <v>0</v>
      </c>
    </row>
    <row r="231" spans="1:18">
      <c r="A231" s="4">
        <f t="shared" si="81"/>
        <v>45881.541666666664</v>
      </c>
      <c r="B231">
        <f>電力量!B232-電力量!B231</f>
        <v>752</v>
      </c>
      <c r="C231">
        <f>電力量!C232-電力量!C231</f>
        <v>183</v>
      </c>
      <c r="D231">
        <f>電力量!D232-電力量!D231</f>
        <v>23.400000000001455</v>
      </c>
      <c r="E231">
        <f>電力量!E232-電力量!E231</f>
        <v>0</v>
      </c>
      <c r="F231">
        <f>電力量!F232-電力量!F231</f>
        <v>24</v>
      </c>
      <c r="G231">
        <f>電力量!G232-電力量!G231</f>
        <v>44</v>
      </c>
      <c r="H231">
        <f>電力量!H232-電力量!H231</f>
        <v>10</v>
      </c>
      <c r="I231">
        <f>電力量!I232-電力量!I231</f>
        <v>247</v>
      </c>
      <c r="J231">
        <f>電力量!J232-電力量!J231</f>
        <v>10.599999999998545</v>
      </c>
      <c r="K231">
        <f>電力量!K232-電力量!K231</f>
        <v>0</v>
      </c>
      <c r="L231">
        <f>電力量!L232-電力量!L231</f>
        <v>66.69999999999709</v>
      </c>
      <c r="M231">
        <f>電力量!M232-電力量!M231</f>
        <v>45</v>
      </c>
      <c r="N231">
        <f>電力量!N232-電力量!N231</f>
        <v>44.19999999999709</v>
      </c>
      <c r="O231">
        <f>電力量!O232-電力量!O231</f>
        <v>16.69999999999709</v>
      </c>
      <c r="P231">
        <f>電力量!P232-電力量!P231</f>
        <v>14</v>
      </c>
      <c r="Q231">
        <f>電力量!Q232-電力量!Q231</f>
        <v>21</v>
      </c>
      <c r="R231">
        <f>電力量!R232-電力量!R231</f>
        <v>0</v>
      </c>
    </row>
    <row r="232" spans="1:18">
      <c r="A232" s="4">
        <f t="shared" si="82"/>
        <v>45881.583333333336</v>
      </c>
      <c r="B232">
        <f>電力量!B233-電力量!B232</f>
        <v>765</v>
      </c>
      <c r="C232">
        <f>電力量!C233-電力量!C232</f>
        <v>196</v>
      </c>
      <c r="D232">
        <f>電力量!D233-電力量!D232</f>
        <v>24.19999999999709</v>
      </c>
      <c r="E232">
        <f>電力量!E233-電力量!E232</f>
        <v>0</v>
      </c>
      <c r="F232">
        <f>電力量!F233-電力量!F232</f>
        <v>26</v>
      </c>
      <c r="G232">
        <f>電力量!G233-電力量!G232</f>
        <v>47.80000000000291</v>
      </c>
      <c r="H232">
        <f>電力量!H233-電力量!H232</f>
        <v>11</v>
      </c>
      <c r="I232">
        <f>電力量!I233-電力量!I232</f>
        <v>248</v>
      </c>
      <c r="J232">
        <f>電力量!J233-電力量!J232</f>
        <v>11</v>
      </c>
      <c r="K232">
        <f>電力量!K233-電力量!K232</f>
        <v>0</v>
      </c>
      <c r="L232">
        <f>電力量!L233-電力量!L232</f>
        <v>54.80000000000291</v>
      </c>
      <c r="M232">
        <f>電力量!M233-電力量!M232</f>
        <v>46</v>
      </c>
      <c r="N232">
        <f>電力量!N233-電力量!N232</f>
        <v>44.200000000004366</v>
      </c>
      <c r="O232">
        <f>電力量!O233-電力量!O232</f>
        <v>16.900000000008731</v>
      </c>
      <c r="P232">
        <f>電力量!P233-電力量!P232</f>
        <v>13</v>
      </c>
      <c r="Q232">
        <f>電力量!Q233-電力量!Q232</f>
        <v>21</v>
      </c>
      <c r="R232">
        <f>電力量!R233-電力量!R232</f>
        <v>0</v>
      </c>
    </row>
    <row r="233" spans="1:18">
      <c r="A233" s="4">
        <f t="shared" si="83"/>
        <v>45881.625</v>
      </c>
      <c r="B233">
        <f>電力量!B234-電力量!B233</f>
        <v>771</v>
      </c>
      <c r="C233">
        <f>電力量!C234-電力量!C233</f>
        <v>191</v>
      </c>
      <c r="D233">
        <f>電力量!D234-電力量!D233</f>
        <v>21.900000000001455</v>
      </c>
      <c r="E233">
        <f>電力量!E234-電力量!E233</f>
        <v>0</v>
      </c>
      <c r="F233">
        <f>電力量!F234-電力量!F233</f>
        <v>24</v>
      </c>
      <c r="G233">
        <f>電力量!G234-電力量!G233</f>
        <v>54</v>
      </c>
      <c r="H233">
        <f>電力量!H234-電力量!H233</f>
        <v>12</v>
      </c>
      <c r="I233">
        <f>電力量!I234-電力量!I233</f>
        <v>262</v>
      </c>
      <c r="J233">
        <f>電力量!J234-電力量!J233</f>
        <v>10.599999999998545</v>
      </c>
      <c r="K233">
        <f>電力量!K234-電力量!K233</f>
        <v>0</v>
      </c>
      <c r="L233">
        <f>電力量!L234-電力量!L233</f>
        <v>42.80000000000291</v>
      </c>
      <c r="M233">
        <f>電力量!M234-電力量!M233</f>
        <v>44.700000000004366</v>
      </c>
      <c r="N233">
        <f>電力量!N234-電力量!N233</f>
        <v>45.19999999999709</v>
      </c>
      <c r="O233">
        <f>電力量!O234-電力量!O233</f>
        <v>17.599999999991269</v>
      </c>
      <c r="P233">
        <f>電力量!P234-電力量!P233</f>
        <v>9</v>
      </c>
      <c r="Q233">
        <f>電力量!Q234-電力量!Q233</f>
        <v>13</v>
      </c>
      <c r="R233">
        <f>電力量!R234-電力量!R233</f>
        <v>0</v>
      </c>
    </row>
    <row r="234" spans="1:18">
      <c r="A234" s="4">
        <f t="shared" si="84"/>
        <v>45881.666666666664</v>
      </c>
      <c r="B234">
        <f>電力量!B235-電力量!B234</f>
        <v>763</v>
      </c>
      <c r="C234">
        <f>電力量!C235-電力量!C234</f>
        <v>190</v>
      </c>
      <c r="D234">
        <f>電力量!D235-電力量!D234</f>
        <v>24.19999999999709</v>
      </c>
      <c r="E234">
        <f>電力量!E235-電力量!E234</f>
        <v>0</v>
      </c>
      <c r="F234">
        <f>電力量!F235-電力量!F234</f>
        <v>22</v>
      </c>
      <c r="G234">
        <f>電力量!G235-電力量!G234</f>
        <v>57.400000000001455</v>
      </c>
      <c r="H234">
        <f>電力量!H235-電力量!H234</f>
        <v>17</v>
      </c>
      <c r="I234">
        <f>電力量!I235-電力量!I234</f>
        <v>261</v>
      </c>
      <c r="J234">
        <f>電力量!J235-電力量!J234</f>
        <v>10.900000000001455</v>
      </c>
      <c r="K234">
        <f>電力量!K235-電力量!K234</f>
        <v>0</v>
      </c>
      <c r="L234">
        <f>電力量!L235-電力量!L234</f>
        <v>22.69999999999709</v>
      </c>
      <c r="M234">
        <f>電力量!M235-電力量!M234</f>
        <v>42.900000000001455</v>
      </c>
      <c r="N234">
        <f>電力量!N235-電力量!N234</f>
        <v>48.30000000000291</v>
      </c>
      <c r="O234">
        <f>電力量!O235-電力量!O234</f>
        <v>16.900000000008731</v>
      </c>
      <c r="P234">
        <f>電力量!P235-電力量!P234</f>
        <v>6</v>
      </c>
      <c r="Q234">
        <f>電力量!Q235-電力量!Q234</f>
        <v>9</v>
      </c>
      <c r="R234">
        <f>電力量!R235-電力量!R234</f>
        <v>0</v>
      </c>
    </row>
    <row r="235" spans="1:18">
      <c r="A235" s="4">
        <f t="shared" si="85"/>
        <v>45881.708333333336</v>
      </c>
      <c r="B235">
        <f>電力量!B236-電力量!B235</f>
        <v>736</v>
      </c>
      <c r="C235">
        <f>電力量!C236-電力量!C235</f>
        <v>173</v>
      </c>
      <c r="D235">
        <f>電力量!D236-電力量!D235</f>
        <v>19.400000000001455</v>
      </c>
      <c r="E235">
        <f>電力量!E236-電力量!E235</f>
        <v>0</v>
      </c>
      <c r="F235">
        <f>電力量!F236-電力量!F235</f>
        <v>21</v>
      </c>
      <c r="G235">
        <f>電力量!G236-電力量!G235</f>
        <v>63.599999999998545</v>
      </c>
      <c r="H235">
        <f>電力量!H236-電力量!H235</f>
        <v>11</v>
      </c>
      <c r="I235">
        <f>電力量!I236-電力量!I235</f>
        <v>252</v>
      </c>
      <c r="J235">
        <f>電力量!J236-電力量!J235</f>
        <v>10.400000000001455</v>
      </c>
      <c r="K235">
        <f>電力量!K236-電力量!K235</f>
        <v>1.9000000000087311</v>
      </c>
      <c r="L235">
        <f>電力量!L236-電力量!L235</f>
        <v>19.80000000000291</v>
      </c>
      <c r="M235">
        <f>電力量!M236-電力量!M235</f>
        <v>42.099999999998545</v>
      </c>
      <c r="N235">
        <f>電力量!N236-電力量!N235</f>
        <v>53.099999999998545</v>
      </c>
      <c r="O235">
        <f>電力量!O236-電力量!O235</f>
        <v>16.399999999994179</v>
      </c>
      <c r="P235">
        <f>電力量!P236-電力量!P235</f>
        <v>0</v>
      </c>
      <c r="Q235">
        <f>電力量!Q236-電力量!Q235</f>
        <v>1</v>
      </c>
      <c r="R235">
        <f>電力量!R236-電力量!R235</f>
        <v>0</v>
      </c>
    </row>
    <row r="236" spans="1:18">
      <c r="A236" s="4">
        <f t="shared" si="86"/>
        <v>45881.75</v>
      </c>
      <c r="B236">
        <f>電力量!B237-電力量!B236</f>
        <v>699</v>
      </c>
      <c r="C236">
        <f>電力量!C237-電力量!C236</f>
        <v>163</v>
      </c>
      <c r="D236">
        <f>電力量!D237-電力量!D236</f>
        <v>17.30000000000291</v>
      </c>
      <c r="E236">
        <f>電力量!E237-電力量!E236</f>
        <v>0</v>
      </c>
      <c r="F236">
        <f>電力量!F237-電力量!F236</f>
        <v>18</v>
      </c>
      <c r="G236">
        <f>電力量!G237-電力量!G236</f>
        <v>61.400000000001455</v>
      </c>
      <c r="H236">
        <f>電力量!H237-電力量!H236</f>
        <v>11</v>
      </c>
      <c r="I236">
        <f>電力量!I237-電力量!I236</f>
        <v>241</v>
      </c>
      <c r="J236">
        <f>電力量!J237-電力量!J236</f>
        <v>9.5999999999985448</v>
      </c>
      <c r="K236">
        <f>電力量!K237-電力量!K236</f>
        <v>2.5</v>
      </c>
      <c r="L236">
        <f>電力量!L237-電力量!L236</f>
        <v>17.599999999991269</v>
      </c>
      <c r="M236">
        <f>電力量!M237-電力量!M236</f>
        <v>38.400000000001455</v>
      </c>
      <c r="N236">
        <f>電力量!N237-電力量!N236</f>
        <v>53.69999999999709</v>
      </c>
      <c r="O236">
        <f>電力量!O237-電力量!O236</f>
        <v>14.899999999994179</v>
      </c>
      <c r="P236">
        <f>電力量!P237-電力量!P236</f>
        <v>0</v>
      </c>
      <c r="Q236">
        <f>電力量!Q237-電力量!Q236</f>
        <v>0</v>
      </c>
      <c r="R236">
        <f>電力量!R237-電力量!R236</f>
        <v>0</v>
      </c>
    </row>
    <row r="237" spans="1:18">
      <c r="A237" s="4">
        <f t="shared" si="87"/>
        <v>45881.791666666664</v>
      </c>
      <c r="B237">
        <f>電力量!B238-電力量!B237</f>
        <v>689</v>
      </c>
      <c r="C237">
        <f>電力量!C238-電力量!C237</f>
        <v>163</v>
      </c>
      <c r="D237">
        <f>電力量!D238-電力量!D237</f>
        <v>15.599999999998545</v>
      </c>
      <c r="E237">
        <f>電力量!E238-電力量!E237</f>
        <v>0</v>
      </c>
      <c r="F237">
        <f>電力量!F238-電力量!F237</f>
        <v>17</v>
      </c>
      <c r="G237">
        <f>電力量!G238-電力量!G237</f>
        <v>58.19999999999709</v>
      </c>
      <c r="H237">
        <f>電力量!H238-電力量!H237</f>
        <v>10</v>
      </c>
      <c r="I237">
        <f>電力量!I238-電力量!I237</f>
        <v>234</v>
      </c>
      <c r="J237">
        <f>電力量!J238-電力量!J237</f>
        <v>9.5999999999985448</v>
      </c>
      <c r="K237">
        <f>電力量!K238-電力量!K237</f>
        <v>3.0999999999912689</v>
      </c>
      <c r="L237">
        <f>電力量!L238-電力量!L237</f>
        <v>18.700000000011642</v>
      </c>
      <c r="M237">
        <f>電力量!M238-電力量!M237</f>
        <v>38</v>
      </c>
      <c r="N237">
        <f>電力量!N238-電力量!N237</f>
        <v>54.400000000001455</v>
      </c>
      <c r="O237">
        <f>電力量!O238-電力量!O237</f>
        <v>16.30000000000291</v>
      </c>
      <c r="P237">
        <f>電力量!P238-電力量!P237</f>
        <v>0</v>
      </c>
      <c r="Q237">
        <f>電力量!Q238-電力量!Q237</f>
        <v>0</v>
      </c>
      <c r="R237">
        <f>電力量!R238-電力量!R237</f>
        <v>0</v>
      </c>
    </row>
    <row r="238" spans="1:18">
      <c r="A238" s="4">
        <f t="shared" si="88"/>
        <v>45881.833333333336</v>
      </c>
      <c r="B238">
        <f>電力量!B239-電力量!B238</f>
        <v>671</v>
      </c>
      <c r="C238">
        <f>電力量!C239-電力量!C238</f>
        <v>159</v>
      </c>
      <c r="D238">
        <f>電力量!D239-電力量!D238</f>
        <v>14.900000000001455</v>
      </c>
      <c r="E238">
        <f>電力量!E239-電力量!E238</f>
        <v>0</v>
      </c>
      <c r="F238">
        <f>電力量!F239-電力量!F238</f>
        <v>17</v>
      </c>
      <c r="G238">
        <f>電力量!G239-電力量!G238</f>
        <v>54.599999999998545</v>
      </c>
      <c r="H238">
        <f>電力量!H239-電力量!H238</f>
        <v>10</v>
      </c>
      <c r="I238">
        <f>電力量!I239-電力量!I238</f>
        <v>224</v>
      </c>
      <c r="J238">
        <f>電力量!J239-電力量!J238</f>
        <v>9.3000000000029104</v>
      </c>
      <c r="K238">
        <f>電力量!K239-電力量!K238</f>
        <v>3.5</v>
      </c>
      <c r="L238">
        <f>電力量!L239-電力量!L238</f>
        <v>21.5</v>
      </c>
      <c r="M238">
        <f>電力量!M239-電力量!M238</f>
        <v>38.5</v>
      </c>
      <c r="N238">
        <f>電力量!N239-電力量!N238</f>
        <v>54.100000000005821</v>
      </c>
      <c r="O238">
        <f>電力量!O239-電力量!O238</f>
        <v>17</v>
      </c>
      <c r="P238">
        <f>電力量!P239-電力量!P238</f>
        <v>0</v>
      </c>
      <c r="Q238">
        <f>電力量!Q239-電力量!Q238</f>
        <v>0</v>
      </c>
      <c r="R238">
        <f>電力量!R239-電力量!R238</f>
        <v>0</v>
      </c>
    </row>
    <row r="239" spans="1:18">
      <c r="A239" s="4">
        <f t="shared" si="89"/>
        <v>45881.875</v>
      </c>
      <c r="B239">
        <f>電力量!B240-電力量!B239</f>
        <v>664</v>
      </c>
      <c r="C239">
        <f>電力量!C240-電力量!C239</f>
        <v>155</v>
      </c>
      <c r="D239">
        <f>電力量!D240-電力量!D239</f>
        <v>14</v>
      </c>
      <c r="E239">
        <f>電力量!E240-電力量!E239</f>
        <v>0</v>
      </c>
      <c r="F239">
        <f>電力量!F240-電力量!F239</f>
        <v>17</v>
      </c>
      <c r="G239">
        <f>電力量!G240-電力量!G239</f>
        <v>53.900000000001455</v>
      </c>
      <c r="H239">
        <f>電力量!H240-電力量!H239</f>
        <v>11</v>
      </c>
      <c r="I239">
        <f>電力量!I240-電力量!I239</f>
        <v>221</v>
      </c>
      <c r="J239">
        <f>電力量!J240-電力量!J239</f>
        <v>9.4000000000014552</v>
      </c>
      <c r="K239">
        <f>電力量!K240-電力量!K239</f>
        <v>3.4000000000087311</v>
      </c>
      <c r="L239">
        <f>電力量!L240-電力量!L239</f>
        <v>22.599999999991269</v>
      </c>
      <c r="M239">
        <f>電力量!M240-電力量!M239</f>
        <v>38.099999999998545</v>
      </c>
      <c r="N239">
        <f>電力量!N240-電力量!N239</f>
        <v>53.69999999999709</v>
      </c>
      <c r="O239">
        <f>電力量!O240-電力量!O239</f>
        <v>16.80000000000291</v>
      </c>
      <c r="P239">
        <f>電力量!P240-電力量!P239</f>
        <v>0</v>
      </c>
      <c r="Q239">
        <f>電力量!Q240-電力量!Q239</f>
        <v>0</v>
      </c>
      <c r="R239">
        <f>電力量!R240-電力量!R239</f>
        <v>0</v>
      </c>
    </row>
    <row r="240" spans="1:18">
      <c r="A240" s="4">
        <f t="shared" si="90"/>
        <v>45881.916666666664</v>
      </c>
      <c r="B240">
        <f>電力量!B241-電力量!B240</f>
        <v>656</v>
      </c>
      <c r="C240">
        <f>電力量!C241-電力量!C240</f>
        <v>151</v>
      </c>
      <c r="D240">
        <f>電力量!D241-電力量!D240</f>
        <v>14.799999999995634</v>
      </c>
      <c r="E240">
        <f>電力量!E241-電力量!E240</f>
        <v>0</v>
      </c>
      <c r="F240">
        <f>電力量!F241-電力量!F240</f>
        <v>16</v>
      </c>
      <c r="G240">
        <f>電力量!G241-電力量!G240</f>
        <v>53.099999999998545</v>
      </c>
      <c r="H240">
        <f>電力量!H241-電力量!H240</f>
        <v>12</v>
      </c>
      <c r="I240">
        <f>電力量!I241-電力量!I240</f>
        <v>212</v>
      </c>
      <c r="J240">
        <f>電力量!J241-電力量!J240</f>
        <v>9.5</v>
      </c>
      <c r="K240">
        <f>電力量!K241-電力量!K240</f>
        <v>3.0999999999912689</v>
      </c>
      <c r="L240">
        <f>電力量!L241-電力量!L240</f>
        <v>23.30000000000291</v>
      </c>
      <c r="M240">
        <f>電力量!M241-電力量!M240</f>
        <v>41</v>
      </c>
      <c r="N240">
        <f>電力量!N241-電力量!N240</f>
        <v>55.399999999994179</v>
      </c>
      <c r="O240">
        <f>電力量!O241-電力量!O240</f>
        <v>16.80000000000291</v>
      </c>
      <c r="P240">
        <f>電力量!P241-電力量!P240</f>
        <v>0</v>
      </c>
      <c r="Q240">
        <f>電力量!Q241-電力量!Q240</f>
        <v>0</v>
      </c>
      <c r="R240">
        <f>電力量!R241-電力量!R240</f>
        <v>0</v>
      </c>
    </row>
    <row r="241" spans="1:18">
      <c r="A241" s="4">
        <f t="shared" si="91"/>
        <v>45881.958333333336</v>
      </c>
      <c r="B241">
        <f>電力量!B242-電力量!B241</f>
        <v>648</v>
      </c>
      <c r="C241">
        <f>電力量!C242-電力量!C241</f>
        <v>152</v>
      </c>
      <c r="D241">
        <f>電力量!D242-電力量!D241</f>
        <v>13.400000000001455</v>
      </c>
      <c r="E241">
        <f>電力量!E242-電力量!E241</f>
        <v>0</v>
      </c>
      <c r="F241">
        <f>電力量!F242-電力量!F241</f>
        <v>16</v>
      </c>
      <c r="G241">
        <f>電力量!G242-電力量!G241</f>
        <v>53.80000000000291</v>
      </c>
      <c r="H241">
        <f>電力量!H242-電力量!H241</f>
        <v>10</v>
      </c>
      <c r="I241">
        <f>電力量!I242-電力量!I241</f>
        <v>211</v>
      </c>
      <c r="J241">
        <f>電力量!J242-電力量!J241</f>
        <v>9.5</v>
      </c>
      <c r="K241">
        <f>電力量!K242-電力量!K241</f>
        <v>3</v>
      </c>
      <c r="L241">
        <f>電力量!L242-電力量!L241</f>
        <v>23.5</v>
      </c>
      <c r="M241">
        <f>電力量!M242-電力量!M241</f>
        <v>38.69999999999709</v>
      </c>
      <c r="N241">
        <f>電力量!N242-電力量!N241</f>
        <v>53.400000000008731</v>
      </c>
      <c r="O241">
        <f>電力量!O242-電力量!O241</f>
        <v>15.69999999999709</v>
      </c>
      <c r="P241">
        <f>電力量!P242-電力量!P241</f>
        <v>0</v>
      </c>
      <c r="Q241">
        <f>電力量!Q242-電力量!Q241</f>
        <v>0</v>
      </c>
      <c r="R241">
        <f>電力量!R242-電力量!R241</f>
        <v>0</v>
      </c>
    </row>
    <row r="242" spans="1:18">
      <c r="A242" s="4">
        <v>45882</v>
      </c>
      <c r="B242">
        <f>電力量!B243-電力量!B242</f>
        <v>637</v>
      </c>
      <c r="C242">
        <f>電力量!C243-電力量!C242</f>
        <v>149</v>
      </c>
      <c r="D242">
        <f>電力量!D243-電力量!D242</f>
        <v>12.400000000001455</v>
      </c>
      <c r="E242">
        <f>電力量!E243-電力量!E242</f>
        <v>0</v>
      </c>
      <c r="F242">
        <f>電力量!F243-電力量!F242</f>
        <v>16</v>
      </c>
      <c r="G242">
        <f>電力量!G243-電力量!G242</f>
        <v>51.799999999995634</v>
      </c>
      <c r="H242">
        <f>電力量!H243-電力量!H242</f>
        <v>10</v>
      </c>
      <c r="I242">
        <f>電力量!I243-電力量!I242</f>
        <v>207</v>
      </c>
      <c r="J242">
        <f>電力量!J243-電力量!J242</f>
        <v>9.3999999999941792</v>
      </c>
      <c r="K242">
        <f>電力量!K243-電力量!K242</f>
        <v>3.1000000000058208</v>
      </c>
      <c r="L242">
        <f>電力量!L243-電力量!L242</f>
        <v>22.600000000005821</v>
      </c>
      <c r="M242">
        <f>電力量!M243-電力量!M242</f>
        <v>38.599999999998545</v>
      </c>
      <c r="N242">
        <f>電力量!N243-電力量!N242</f>
        <v>53.399999999994179</v>
      </c>
      <c r="O242">
        <f>電力量!O243-電力量!O242</f>
        <v>15.100000000005821</v>
      </c>
      <c r="P242">
        <f>電力量!P243-電力量!P242</f>
        <v>0</v>
      </c>
      <c r="Q242">
        <f>電力量!Q243-電力量!Q242</f>
        <v>0</v>
      </c>
      <c r="R242">
        <f>電力量!R243-電力量!R242</f>
        <v>0</v>
      </c>
    </row>
    <row r="243" spans="1:18">
      <c r="A243" s="4">
        <f t="shared" ref="A243:A291" si="92">A242+(1/24)</f>
        <v>45882.041666666664</v>
      </c>
      <c r="B243">
        <f>電力量!B244-電力量!B243</f>
        <v>626</v>
      </c>
      <c r="C243">
        <f>電力量!C244-電力量!C243</f>
        <v>147</v>
      </c>
      <c r="D243">
        <f>電力量!D244-電力量!D243</f>
        <v>11.599999999998545</v>
      </c>
      <c r="E243">
        <f>電力量!E244-電力量!E243</f>
        <v>0</v>
      </c>
      <c r="F243">
        <f>電力量!F244-電力量!F243</f>
        <v>14</v>
      </c>
      <c r="G243">
        <f>電力量!G244-電力量!G243</f>
        <v>51</v>
      </c>
      <c r="H243">
        <f>電力量!H244-電力量!H243</f>
        <v>10</v>
      </c>
      <c r="I243">
        <f>電力量!I244-電力量!I243</f>
        <v>203</v>
      </c>
      <c r="J243">
        <f>電力量!J244-電力量!J243</f>
        <v>9.4000000000014552</v>
      </c>
      <c r="K243">
        <f>電力量!K244-電力量!K243</f>
        <v>3</v>
      </c>
      <c r="L243">
        <f>電力量!L244-電力量!L243</f>
        <v>22</v>
      </c>
      <c r="M243">
        <f>電力量!M244-電力量!M243</f>
        <v>38.30000000000291</v>
      </c>
      <c r="N243">
        <f>電力量!N244-電力量!N243</f>
        <v>53.100000000005821</v>
      </c>
      <c r="O243">
        <f>電力量!O244-電力量!O243</f>
        <v>16.899999999994179</v>
      </c>
      <c r="P243">
        <f>電力量!P244-電力量!P243</f>
        <v>0</v>
      </c>
      <c r="Q243">
        <f>電力量!Q244-電力量!Q243</f>
        <v>0</v>
      </c>
      <c r="R243">
        <f>電力量!R244-電力量!R243</f>
        <v>0</v>
      </c>
    </row>
    <row r="244" spans="1:18">
      <c r="A244" s="4">
        <f t="shared" ref="A244:A292" si="93">A242+(2/24)</f>
        <v>45882.083333333336</v>
      </c>
      <c r="B244">
        <f>電力量!B245-電力量!B244</f>
        <v>618</v>
      </c>
      <c r="C244">
        <f>電力量!C245-電力量!C244</f>
        <v>147</v>
      </c>
      <c r="D244">
        <f>電力量!D245-電力量!D244</f>
        <v>12.099999999998545</v>
      </c>
      <c r="E244">
        <f>電力量!E245-電力量!E244</f>
        <v>0</v>
      </c>
      <c r="F244">
        <f>電力量!F245-電力量!F244</f>
        <v>14</v>
      </c>
      <c r="G244">
        <f>電力量!G245-電力量!G244</f>
        <v>50.400000000001455</v>
      </c>
      <c r="H244">
        <f>電力量!H245-電力量!H244</f>
        <v>10</v>
      </c>
      <c r="I244">
        <f>電力量!I245-電力量!I244</f>
        <v>198</v>
      </c>
      <c r="J244">
        <f>電力量!J245-電力量!J244</f>
        <v>9.3000000000029104</v>
      </c>
      <c r="K244">
        <f>電力量!K245-電力量!K244</f>
        <v>3.1000000000058208</v>
      </c>
      <c r="L244">
        <f>電力量!L245-電力量!L244</f>
        <v>21</v>
      </c>
      <c r="M244">
        <f>電力量!M245-電力量!M244</f>
        <v>38.69999999999709</v>
      </c>
      <c r="N244">
        <f>電力量!N245-電力量!N244</f>
        <v>53.099999999991269</v>
      </c>
      <c r="O244">
        <f>電力量!O245-電力量!O244</f>
        <v>15.69999999999709</v>
      </c>
      <c r="P244">
        <f>電力量!P245-電力量!P244</f>
        <v>0</v>
      </c>
      <c r="Q244">
        <f>電力量!Q245-電力量!Q244</f>
        <v>0</v>
      </c>
      <c r="R244">
        <f>電力量!R245-電力量!R244</f>
        <v>0</v>
      </c>
    </row>
    <row r="245" spans="1:18">
      <c r="A245" s="4">
        <f t="shared" ref="A245:A293" si="94">A242+(3/24)</f>
        <v>45882.125</v>
      </c>
      <c r="B245">
        <f>電力量!B246-電力量!B245</f>
        <v>610</v>
      </c>
      <c r="C245">
        <f>電力量!C246-電力量!C245</f>
        <v>145</v>
      </c>
      <c r="D245">
        <f>電力量!D246-電力量!D245</f>
        <v>12.30000000000291</v>
      </c>
      <c r="E245">
        <f>電力量!E246-電力量!E245</f>
        <v>0</v>
      </c>
      <c r="F245">
        <f>電力量!F246-電力量!F245</f>
        <v>14</v>
      </c>
      <c r="G245">
        <f>電力量!G246-電力量!G245</f>
        <v>50.200000000004366</v>
      </c>
      <c r="H245">
        <f>電力量!H246-電力量!H245</f>
        <v>10</v>
      </c>
      <c r="I245">
        <f>電力量!I246-電力量!I245</f>
        <v>195</v>
      </c>
      <c r="J245">
        <f>電力量!J246-電力量!J245</f>
        <v>9.2999999999956344</v>
      </c>
      <c r="K245">
        <f>電力量!K246-電力量!K245</f>
        <v>2.8999999999941792</v>
      </c>
      <c r="L245">
        <f>電力量!L246-電力量!L245</f>
        <v>18.899999999994179</v>
      </c>
      <c r="M245">
        <f>電力量!M246-電力量!M245</f>
        <v>37.5</v>
      </c>
      <c r="N245">
        <f>電力量!N246-電力量!N245</f>
        <v>53.19999999999709</v>
      </c>
      <c r="O245">
        <f>電力量!O246-電力量!O245</f>
        <v>15.5</v>
      </c>
      <c r="P245">
        <f>電力量!P246-電力量!P245</f>
        <v>0</v>
      </c>
      <c r="Q245">
        <f>電力量!Q246-電力量!Q245</f>
        <v>0</v>
      </c>
      <c r="R245">
        <f>電力量!R246-電力量!R245</f>
        <v>0</v>
      </c>
    </row>
    <row r="246" spans="1:18">
      <c r="A246" s="4">
        <f t="shared" ref="A246:A294" si="95">A242+(4/24)</f>
        <v>45882.166666666664</v>
      </c>
      <c r="B246">
        <f>電力量!B247-電力量!B246</f>
        <v>609</v>
      </c>
      <c r="C246">
        <f>電力量!C247-電力量!C246</f>
        <v>143</v>
      </c>
      <c r="D246">
        <f>電力量!D247-電力量!D246</f>
        <v>12.599999999998545</v>
      </c>
      <c r="E246">
        <f>電力量!E247-電力量!E246</f>
        <v>0</v>
      </c>
      <c r="F246">
        <f>電力量!F247-電力量!F246</f>
        <v>14</v>
      </c>
      <c r="G246">
        <f>電力量!G247-電力量!G246</f>
        <v>48.899999999994179</v>
      </c>
      <c r="H246">
        <f>電力量!H247-電力量!H246</f>
        <v>11</v>
      </c>
      <c r="I246">
        <f>電力量!I247-電力量!I246</f>
        <v>193</v>
      </c>
      <c r="J246">
        <f>電力量!J247-電力量!J246</f>
        <v>9.1000000000058208</v>
      </c>
      <c r="K246">
        <f>電力量!K247-電力量!K246</f>
        <v>3.1999999999970896</v>
      </c>
      <c r="L246">
        <f>電力量!L247-電力量!L246</f>
        <v>19.100000000005821</v>
      </c>
      <c r="M246">
        <f>電力量!M247-電力量!M246</f>
        <v>38.200000000004366</v>
      </c>
      <c r="N246">
        <f>電力量!N247-電力量!N246</f>
        <v>55.900000000008731</v>
      </c>
      <c r="O246">
        <f>電力量!O247-電力量!O246</f>
        <v>16.5</v>
      </c>
      <c r="P246">
        <f>電力量!P247-電力量!P246</f>
        <v>0</v>
      </c>
      <c r="Q246">
        <f>電力量!Q247-電力量!Q246</f>
        <v>0</v>
      </c>
      <c r="R246">
        <f>電力量!R247-電力量!R246</f>
        <v>0</v>
      </c>
    </row>
    <row r="247" spans="1:18">
      <c r="A247" s="4">
        <f t="shared" ref="A247:A295" si="96">A242+(5/24)</f>
        <v>45882.208333333336</v>
      </c>
      <c r="B247">
        <f>電力量!B248-電力量!B247</f>
        <v>602</v>
      </c>
      <c r="C247">
        <f>電力量!C248-電力量!C247</f>
        <v>143</v>
      </c>
      <c r="D247">
        <f>電力量!D248-電力量!D247</f>
        <v>11.900000000001455</v>
      </c>
      <c r="E247">
        <f>電力量!E248-電力量!E247</f>
        <v>0</v>
      </c>
      <c r="F247">
        <f>電力量!F248-電力量!F247</f>
        <v>14</v>
      </c>
      <c r="G247">
        <f>電力量!G248-電力量!G247</f>
        <v>49.5</v>
      </c>
      <c r="H247">
        <f>電力量!H248-電力量!H247</f>
        <v>10</v>
      </c>
      <c r="I247">
        <f>電力量!I248-電力量!I247</f>
        <v>192</v>
      </c>
      <c r="J247">
        <f>電力量!J248-電力量!J247</f>
        <v>9.0999999999985448</v>
      </c>
      <c r="K247">
        <f>電力量!K248-電力量!K247</f>
        <v>3.4000000000087311</v>
      </c>
      <c r="L247">
        <f>電力量!L248-電力量!L247</f>
        <v>18.799999999988358</v>
      </c>
      <c r="M247">
        <f>電力量!M248-電力量!M247</f>
        <v>36.900000000001455</v>
      </c>
      <c r="N247">
        <f>電力量!N248-電力量!N247</f>
        <v>53.69999999999709</v>
      </c>
      <c r="O247">
        <f>電力量!O248-電力量!O247</f>
        <v>15.30000000000291</v>
      </c>
      <c r="P247">
        <f>電力量!P248-電力量!P247</f>
        <v>0</v>
      </c>
      <c r="Q247">
        <f>電力量!Q248-電力量!Q247</f>
        <v>0</v>
      </c>
      <c r="R247">
        <f>電力量!R248-電力量!R247</f>
        <v>0</v>
      </c>
    </row>
    <row r="248" spans="1:18">
      <c r="A248" s="4">
        <f t="shared" ref="A248:A296" si="97">A242+(6/24)</f>
        <v>45882.25</v>
      </c>
      <c r="B248">
        <f>電力量!B249-電力量!B248</f>
        <v>605</v>
      </c>
      <c r="C248">
        <f>電力量!C249-電力量!C248</f>
        <v>147</v>
      </c>
      <c r="D248">
        <f>電力量!D249-電力量!D248</f>
        <v>12.5</v>
      </c>
      <c r="E248">
        <f>電力量!E249-電力量!E248</f>
        <v>0</v>
      </c>
      <c r="F248">
        <f>電力量!F249-電力量!F248</f>
        <v>14</v>
      </c>
      <c r="G248">
        <f>電力量!G249-電力量!G248</f>
        <v>48</v>
      </c>
      <c r="H248">
        <f>電力量!H249-電力量!H248</f>
        <v>11</v>
      </c>
      <c r="I248">
        <f>電力量!I249-電力量!I248</f>
        <v>192</v>
      </c>
      <c r="J248">
        <f>電力量!J249-電力量!J248</f>
        <v>8.9000000000014552</v>
      </c>
      <c r="K248">
        <f>電力量!K249-電力量!K248</f>
        <v>2.2999999999883585</v>
      </c>
      <c r="L248">
        <f>電力量!L249-電力量!L248</f>
        <v>18.100000000005821</v>
      </c>
      <c r="M248">
        <f>電力量!M249-電力量!M248</f>
        <v>37.5</v>
      </c>
      <c r="N248">
        <f>電力量!N249-電力量!N248</f>
        <v>52.899999999994179</v>
      </c>
      <c r="O248">
        <f>電力量!O249-電力量!O248</f>
        <v>15.399999999994179</v>
      </c>
      <c r="P248">
        <f>電力量!P249-電力量!P248</f>
        <v>1</v>
      </c>
      <c r="Q248">
        <f>電力量!Q249-電力量!Q248</f>
        <v>1</v>
      </c>
      <c r="R248">
        <f>電力量!R249-電力量!R248</f>
        <v>0</v>
      </c>
    </row>
    <row r="249" spans="1:18">
      <c r="A249" s="4">
        <f t="shared" ref="A249:A297" si="98">A242+(7/24)</f>
        <v>45882.291666666664</v>
      </c>
      <c r="B249">
        <f>電力量!B250-電力量!B249</f>
        <v>626</v>
      </c>
      <c r="C249">
        <f>電力量!C250-電力量!C249</f>
        <v>157</v>
      </c>
      <c r="D249">
        <f>電力量!D250-電力量!D249</f>
        <v>12.299999999995634</v>
      </c>
      <c r="E249">
        <f>電力量!E250-電力量!E249</f>
        <v>0</v>
      </c>
      <c r="F249">
        <f>電力量!F250-電力量!F249</f>
        <v>15</v>
      </c>
      <c r="G249">
        <f>電力量!G250-電力量!G249</f>
        <v>48</v>
      </c>
      <c r="H249">
        <f>電力量!H250-電力量!H249</f>
        <v>10</v>
      </c>
      <c r="I249">
        <f>電力量!I250-電力量!I249</f>
        <v>205</v>
      </c>
      <c r="J249">
        <f>電力量!J250-電力量!J249</f>
        <v>9.6999999999970896</v>
      </c>
      <c r="K249">
        <f>電力量!K250-電力量!K249</f>
        <v>0.60000000000582077</v>
      </c>
      <c r="L249">
        <f>電力量!L250-電力量!L249</f>
        <v>18.69999999999709</v>
      </c>
      <c r="M249">
        <f>電力量!M250-電力量!M249</f>
        <v>37.399999999994179</v>
      </c>
      <c r="N249">
        <f>電力量!N250-電力量!N249</f>
        <v>50.200000000011642</v>
      </c>
      <c r="O249">
        <f>電力量!O250-電力量!O249</f>
        <v>15.30000000000291</v>
      </c>
      <c r="P249">
        <f>電力量!P250-電力量!P249</f>
        <v>1</v>
      </c>
      <c r="Q249">
        <f>電力量!Q250-電力量!Q249</f>
        <v>3</v>
      </c>
      <c r="R249">
        <f>電力量!R250-電力量!R249</f>
        <v>0</v>
      </c>
    </row>
    <row r="250" spans="1:18">
      <c r="A250" s="4">
        <f t="shared" ref="A250:A298" si="99">A242+(8/24)</f>
        <v>45882.333333333336</v>
      </c>
      <c r="B250">
        <f>電力量!B251-電力量!B250</f>
        <v>640</v>
      </c>
      <c r="C250">
        <f>電力量!C251-電力量!C250</f>
        <v>160</v>
      </c>
      <c r="D250">
        <f>電力量!D251-電力量!D250</f>
        <v>12</v>
      </c>
      <c r="E250">
        <f>電力量!E251-電力量!E250</f>
        <v>0</v>
      </c>
      <c r="F250">
        <f>電力量!F251-電力量!F250</f>
        <v>16</v>
      </c>
      <c r="G250">
        <f>電力量!G251-電力量!G250</f>
        <v>40.5</v>
      </c>
      <c r="H250">
        <f>電力量!H251-電力量!H250</f>
        <v>10</v>
      </c>
      <c r="I250">
        <f>電力量!I251-電力量!I250</f>
        <v>223</v>
      </c>
      <c r="J250">
        <f>電力量!J251-電力量!J250</f>
        <v>11.19999999999709</v>
      </c>
      <c r="K250">
        <f>電力量!K251-電力量!K250</f>
        <v>0</v>
      </c>
      <c r="L250">
        <f>電力量!L251-電力量!L250</f>
        <v>18.600000000005821</v>
      </c>
      <c r="M250">
        <f>電力量!M251-電力量!M250</f>
        <v>41.600000000005821</v>
      </c>
      <c r="N250">
        <f>電力量!N251-電力量!N250</f>
        <v>46.599999999991269</v>
      </c>
      <c r="O250">
        <f>電力量!O251-電力量!O250</f>
        <v>17</v>
      </c>
      <c r="P250">
        <f>電力量!P251-電力量!P250</f>
        <v>6</v>
      </c>
      <c r="Q250">
        <f>電力量!Q251-電力量!Q250</f>
        <v>10</v>
      </c>
      <c r="R250">
        <f>電力量!R251-電力量!R250</f>
        <v>0</v>
      </c>
    </row>
    <row r="251" spans="1:18">
      <c r="A251" s="4">
        <f t="shared" ref="A251:A299" si="100">A242+(9/24)</f>
        <v>45882.375</v>
      </c>
      <c r="B251">
        <f>電力量!B252-電力量!B251</f>
        <v>664</v>
      </c>
      <c r="C251">
        <f>電力量!C252-電力量!C251</f>
        <v>171</v>
      </c>
      <c r="D251">
        <f>電力量!D252-電力量!D251</f>
        <v>12.30000000000291</v>
      </c>
      <c r="E251">
        <f>電力量!E252-電力量!E251</f>
        <v>0</v>
      </c>
      <c r="F251">
        <f>電力量!F252-電力量!F251</f>
        <v>20</v>
      </c>
      <c r="G251">
        <f>電力量!G252-電力量!G251</f>
        <v>38</v>
      </c>
      <c r="H251">
        <f>電力量!H252-電力量!H251</f>
        <v>10</v>
      </c>
      <c r="I251">
        <f>電力量!I252-電力量!I251</f>
        <v>232</v>
      </c>
      <c r="J251">
        <f>電力量!J252-電力量!J251</f>
        <v>12.30000000000291</v>
      </c>
      <c r="K251">
        <f>電力量!K252-電力量!K251</f>
        <v>0</v>
      </c>
      <c r="L251">
        <f>電力量!L252-電力量!L251</f>
        <v>18.80000000000291</v>
      </c>
      <c r="M251">
        <f>電力量!M252-電力量!M251</f>
        <v>42.5</v>
      </c>
      <c r="N251">
        <f>電力量!N252-電力量!N251</f>
        <v>44.69999999999709</v>
      </c>
      <c r="O251">
        <f>電力量!O252-電力量!O251</f>
        <v>16.600000000005821</v>
      </c>
      <c r="P251">
        <f>電力量!P252-電力量!P251</f>
        <v>8</v>
      </c>
      <c r="Q251">
        <f>電力量!Q252-電力量!Q251</f>
        <v>12</v>
      </c>
      <c r="R251">
        <f>電力量!R252-電力量!R251</f>
        <v>0</v>
      </c>
    </row>
    <row r="252" spans="1:18">
      <c r="A252" s="4">
        <f t="shared" ref="A252:A300" si="101">A242+(10/24)</f>
        <v>45882.416666666664</v>
      </c>
      <c r="B252">
        <f>電力量!B253-電力量!B252</f>
        <v>696</v>
      </c>
      <c r="C252">
        <f>電力量!C253-電力量!C252</f>
        <v>183</v>
      </c>
      <c r="D252">
        <f>電力量!D253-電力量!D252</f>
        <v>23</v>
      </c>
      <c r="E252">
        <f>電力量!E253-電力量!E252</f>
        <v>0</v>
      </c>
      <c r="F252">
        <f>電力量!F253-電力量!F252</f>
        <v>23</v>
      </c>
      <c r="G252">
        <f>電力量!G253-電力量!G252</f>
        <v>30.700000000004366</v>
      </c>
      <c r="H252">
        <f>電力量!H253-電力量!H252</f>
        <v>10</v>
      </c>
      <c r="I252">
        <f>電力量!I253-電力量!I252</f>
        <v>246</v>
      </c>
      <c r="J252">
        <f>電力量!J253-電力量!J252</f>
        <v>15.400000000001455</v>
      </c>
      <c r="K252">
        <f>電力量!K253-電力量!K252</f>
        <v>0</v>
      </c>
      <c r="L252">
        <f>電力量!L253-電力量!L252</f>
        <v>20.5</v>
      </c>
      <c r="M252">
        <f>電力量!M253-電力量!M252</f>
        <v>42.599999999998545</v>
      </c>
      <c r="N252">
        <f>電力量!N253-電力量!N252</f>
        <v>44.700000000011642</v>
      </c>
      <c r="O252">
        <f>電力量!O253-電力量!O252</f>
        <v>16.599999999991269</v>
      </c>
      <c r="P252">
        <f>電力量!P253-電力量!P252</f>
        <v>13</v>
      </c>
      <c r="Q252">
        <f>電力量!Q253-電力量!Q252</f>
        <v>20</v>
      </c>
      <c r="R252">
        <f>電力量!R253-電力量!R252</f>
        <v>0</v>
      </c>
    </row>
    <row r="253" spans="1:18">
      <c r="A253" s="4">
        <f t="shared" ref="A253:A301" si="102">A242+(11/24)</f>
        <v>45882.458333333336</v>
      </c>
      <c r="B253">
        <f>電力量!B254-電力量!B253</f>
        <v>690</v>
      </c>
      <c r="C253">
        <f>電力量!C254-電力量!C253</f>
        <v>183</v>
      </c>
      <c r="D253">
        <f>電力量!D254-電力量!D253</f>
        <v>18.5</v>
      </c>
      <c r="E253">
        <f>電力量!E254-電力量!E253</f>
        <v>0</v>
      </c>
      <c r="F253">
        <f>電力量!F254-電力量!F253</f>
        <v>25</v>
      </c>
      <c r="G253">
        <f>電力量!G254-電力量!G253</f>
        <v>30.19999999999709</v>
      </c>
      <c r="H253">
        <f>電力量!H254-電力量!H253</f>
        <v>10</v>
      </c>
      <c r="I253">
        <f>電力量!I254-電力量!I253</f>
        <v>251</v>
      </c>
      <c r="J253">
        <f>電力量!J254-電力量!J253</f>
        <v>14.299999999995634</v>
      </c>
      <c r="K253">
        <f>電力量!K254-電力量!K253</f>
        <v>0</v>
      </c>
      <c r="L253">
        <f>電力量!L254-電力量!L253</f>
        <v>20.399999999994179</v>
      </c>
      <c r="M253">
        <f>電力量!M254-電力量!M253</f>
        <v>42.900000000001455</v>
      </c>
      <c r="N253">
        <f>電力量!N254-電力量!N253</f>
        <v>41.19999999999709</v>
      </c>
      <c r="O253">
        <f>電力量!O254-電力量!O253</f>
        <v>16.30000000000291</v>
      </c>
      <c r="P253">
        <f>電力量!P254-電力量!P253</f>
        <v>15</v>
      </c>
      <c r="Q253">
        <f>電力量!Q254-電力量!Q253</f>
        <v>22</v>
      </c>
      <c r="R253">
        <f>電力量!R254-電力量!R253</f>
        <v>0</v>
      </c>
    </row>
    <row r="254" spans="1:18">
      <c r="A254" s="4">
        <f t="shared" ref="A254:A302" si="103">A242+(12/24)</f>
        <v>45882.5</v>
      </c>
      <c r="B254">
        <f>電力量!B255-電力量!B254</f>
        <v>696</v>
      </c>
      <c r="C254">
        <f>電力量!C255-電力量!C254</f>
        <v>192</v>
      </c>
      <c r="D254">
        <f>電力量!D255-電力量!D254</f>
        <v>16.69999999999709</v>
      </c>
      <c r="E254">
        <f>電力量!E255-電力量!E254</f>
        <v>0</v>
      </c>
      <c r="F254">
        <f>電力量!F255-電力量!F254</f>
        <v>26</v>
      </c>
      <c r="G254">
        <f>電力量!G255-電力量!G254</f>
        <v>30.200000000004366</v>
      </c>
      <c r="H254">
        <f>電力量!H255-電力量!H254</f>
        <v>11</v>
      </c>
      <c r="I254">
        <f>電力量!I255-電力量!I254</f>
        <v>252</v>
      </c>
      <c r="J254">
        <f>電力量!J255-電力量!J254</f>
        <v>14.30000000000291</v>
      </c>
      <c r="K254">
        <f>電力量!K255-電力量!K254</f>
        <v>0</v>
      </c>
      <c r="L254">
        <f>電力量!L255-電力量!L254</f>
        <v>21.100000000005821</v>
      </c>
      <c r="M254">
        <f>電力量!M255-電力量!M254</f>
        <v>44.599999999998545</v>
      </c>
      <c r="N254">
        <f>電力量!N255-電力量!N254</f>
        <v>39.099999999991269</v>
      </c>
      <c r="O254">
        <f>電力量!O255-電力量!O254</f>
        <v>15.69999999999709</v>
      </c>
      <c r="P254">
        <f>電力量!P255-電力量!P254</f>
        <v>16</v>
      </c>
      <c r="Q254">
        <f>電力量!Q255-電力量!Q254</f>
        <v>25</v>
      </c>
      <c r="R254">
        <f>電力量!R255-電力量!R254</f>
        <v>0</v>
      </c>
    </row>
    <row r="255" spans="1:18">
      <c r="A255" s="4">
        <f t="shared" ref="A255:A303" si="104">A242+(13/24)</f>
        <v>45882.541666666664</v>
      </c>
      <c r="B255">
        <f>電力量!B256-電力量!B255</f>
        <v>743</v>
      </c>
      <c r="C255">
        <f>電力量!C256-電力量!C255</f>
        <v>197</v>
      </c>
      <c r="D255">
        <f>電力量!D256-電力量!D255</f>
        <v>17.700000000004366</v>
      </c>
      <c r="E255">
        <f>電力量!E256-電力量!E255</f>
        <v>0</v>
      </c>
      <c r="F255">
        <f>電力量!F256-電力量!F255</f>
        <v>23</v>
      </c>
      <c r="G255">
        <f>電力量!G256-電力量!G255</f>
        <v>48.899999999994179</v>
      </c>
      <c r="H255">
        <f>電力量!H256-電力量!H255</f>
        <v>10</v>
      </c>
      <c r="I255">
        <f>電力量!I256-電力量!I255</f>
        <v>263</v>
      </c>
      <c r="J255">
        <f>電力量!J256-電力量!J255</f>
        <v>14.400000000001455</v>
      </c>
      <c r="K255">
        <f>電力量!K256-電力量!K255</f>
        <v>0</v>
      </c>
      <c r="L255">
        <f>電力量!L256-電力量!L255</f>
        <v>27.19999999999709</v>
      </c>
      <c r="M255">
        <f>電力量!M256-電力量!M255</f>
        <v>47.400000000001455</v>
      </c>
      <c r="N255">
        <f>電力量!N256-電力量!N255</f>
        <v>39.5</v>
      </c>
      <c r="O255">
        <f>電力量!O256-電力量!O255</f>
        <v>16.200000000011642</v>
      </c>
      <c r="P255">
        <f>電力量!P256-電力量!P255</f>
        <v>16</v>
      </c>
      <c r="Q255">
        <f>電力量!Q256-電力量!Q255</f>
        <v>24</v>
      </c>
      <c r="R255">
        <f>電力量!R256-電力量!R255</f>
        <v>0</v>
      </c>
    </row>
    <row r="256" spans="1:18">
      <c r="A256" s="4">
        <f t="shared" ref="A256:A304" si="105">A242+(14/24)</f>
        <v>45882.583333333336</v>
      </c>
      <c r="B256">
        <f>電力量!B257-電力量!B256</f>
        <v>767</v>
      </c>
      <c r="C256">
        <f>電力量!C257-電力量!C256</f>
        <v>198</v>
      </c>
      <c r="D256">
        <f>電力量!D257-電力量!D256</f>
        <v>22.5</v>
      </c>
      <c r="E256">
        <f>電力量!E257-電力量!E256</f>
        <v>0</v>
      </c>
      <c r="F256">
        <f>電力量!F257-電力量!F256</f>
        <v>23</v>
      </c>
      <c r="G256">
        <f>電力量!G257-電力量!G256</f>
        <v>59.30000000000291</v>
      </c>
      <c r="H256">
        <f>電力量!H257-電力量!H256</f>
        <v>12</v>
      </c>
      <c r="I256">
        <f>電力量!I257-電力量!I256</f>
        <v>266</v>
      </c>
      <c r="J256">
        <f>電力量!J257-電力量!J256</f>
        <v>12.5</v>
      </c>
      <c r="K256">
        <f>電力量!K257-電力量!K256</f>
        <v>0</v>
      </c>
      <c r="L256">
        <f>電力量!L257-電力量!L256</f>
        <v>26.80000000000291</v>
      </c>
      <c r="M256">
        <f>電力量!M257-電力量!M256</f>
        <v>48.19999999999709</v>
      </c>
      <c r="N256">
        <f>電力量!N257-電力量!N256</f>
        <v>41</v>
      </c>
      <c r="O256">
        <f>電力量!O257-電力量!O256</f>
        <v>16.899999999994179</v>
      </c>
      <c r="P256">
        <f>電力量!P257-電力量!P256</f>
        <v>15</v>
      </c>
      <c r="Q256">
        <f>電力量!Q257-電力量!Q256</f>
        <v>23</v>
      </c>
      <c r="R256">
        <f>電力量!R257-電力量!R256</f>
        <v>0</v>
      </c>
    </row>
    <row r="257" spans="1:18">
      <c r="A257" s="4">
        <f t="shared" ref="A257:A305" si="106">A242+(15/24)</f>
        <v>45882.625</v>
      </c>
      <c r="B257">
        <f>電力量!B258-電力量!B257</f>
        <v>771</v>
      </c>
      <c r="C257">
        <f>電力量!C258-電力量!C257</f>
        <v>201</v>
      </c>
      <c r="D257">
        <f>電力量!D258-電力量!D257</f>
        <v>23.19999999999709</v>
      </c>
      <c r="E257">
        <f>電力量!E258-電力量!E257</f>
        <v>0</v>
      </c>
      <c r="F257">
        <f>電力量!F258-電力量!F257</f>
        <v>23</v>
      </c>
      <c r="G257">
        <f>電力量!G258-電力量!G257</f>
        <v>59.19999999999709</v>
      </c>
      <c r="H257">
        <f>電力量!H258-電力量!H257</f>
        <v>10</v>
      </c>
      <c r="I257">
        <f>電力量!I258-電力量!I257</f>
        <v>260</v>
      </c>
      <c r="J257">
        <f>電力量!J258-電力量!J257</f>
        <v>13.900000000001455</v>
      </c>
      <c r="K257">
        <f>電力量!K258-電力量!K257</f>
        <v>0</v>
      </c>
      <c r="L257">
        <f>電力量!L258-電力量!L257</f>
        <v>25.399999999994179</v>
      </c>
      <c r="M257">
        <f>電力量!M258-電力量!M257</f>
        <v>47.30000000000291</v>
      </c>
      <c r="N257">
        <f>電力量!N258-電力量!N257</f>
        <v>43.700000000011642</v>
      </c>
      <c r="O257">
        <f>電力量!O258-電力量!O257</f>
        <v>16.899999999994179</v>
      </c>
      <c r="P257">
        <f>電力量!P258-電力量!P257</f>
        <v>12</v>
      </c>
      <c r="Q257">
        <f>電力量!Q258-電力量!Q257</f>
        <v>19</v>
      </c>
      <c r="R257">
        <f>電力量!R258-電力量!R257</f>
        <v>0</v>
      </c>
    </row>
    <row r="258" spans="1:18">
      <c r="A258" s="4">
        <f t="shared" ref="A258:A306" si="107">A242+(16/24)</f>
        <v>45882.666666666664</v>
      </c>
      <c r="B258">
        <f>電力量!B259-電力量!B258</f>
        <v>774</v>
      </c>
      <c r="C258">
        <f>電力量!C259-電力量!C258</f>
        <v>197</v>
      </c>
      <c r="D258">
        <f>電力量!D259-電力量!D258</f>
        <v>19.900000000001455</v>
      </c>
      <c r="E258">
        <f>電力量!E259-電力量!E258</f>
        <v>0</v>
      </c>
      <c r="F258">
        <f>電力量!F259-電力量!F258</f>
        <v>27</v>
      </c>
      <c r="G258">
        <f>電力量!G259-電力量!G258</f>
        <v>63.900000000001455</v>
      </c>
      <c r="H258">
        <f>電力量!H259-電力量!H258</f>
        <v>11</v>
      </c>
      <c r="I258">
        <f>電力量!I259-電力量!I258</f>
        <v>256</v>
      </c>
      <c r="J258">
        <f>電力量!J259-電力量!J258</f>
        <v>15.19999999999709</v>
      </c>
      <c r="K258">
        <f>電力量!K259-電力量!K258</f>
        <v>0</v>
      </c>
      <c r="L258">
        <f>電力量!L259-電力量!L258</f>
        <v>20.5</v>
      </c>
      <c r="M258">
        <f>電力量!M259-電力量!M258</f>
        <v>45.099999999998545</v>
      </c>
      <c r="N258">
        <f>電力量!N259-電力量!N258</f>
        <v>47.899999999994179</v>
      </c>
      <c r="O258">
        <f>電力量!O259-電力量!O258</f>
        <v>17.30000000000291</v>
      </c>
      <c r="P258">
        <f>電力量!P259-電力量!P258</f>
        <v>9</v>
      </c>
      <c r="Q258">
        <f>電力量!Q259-電力量!Q258</f>
        <v>13</v>
      </c>
      <c r="R258">
        <f>電力量!R259-電力量!R258</f>
        <v>0</v>
      </c>
    </row>
    <row r="259" spans="1:18">
      <c r="A259" s="4">
        <f t="shared" ref="A259:A307" si="108">A242+(17/24)</f>
        <v>45882.708333333336</v>
      </c>
      <c r="B259">
        <f>電力量!B260-電力量!B259</f>
        <v>764</v>
      </c>
      <c r="C259">
        <f>電力量!C260-電力量!C259</f>
        <v>194</v>
      </c>
      <c r="D259">
        <f>電力量!D260-電力量!D259</f>
        <v>14.5</v>
      </c>
      <c r="E259">
        <f>電力量!E260-電力量!E259</f>
        <v>0</v>
      </c>
      <c r="F259">
        <f>電力量!F260-電力量!F259</f>
        <v>27</v>
      </c>
      <c r="G259">
        <f>電力量!G260-電力量!G259</f>
        <v>73.599999999998545</v>
      </c>
      <c r="H259">
        <f>電力量!H260-電力量!H259</f>
        <v>12</v>
      </c>
      <c r="I259">
        <f>電力量!I260-電力量!I259</f>
        <v>243</v>
      </c>
      <c r="J259">
        <f>電力量!J260-電力量!J259</f>
        <v>13.30000000000291</v>
      </c>
      <c r="K259">
        <f>電力量!K260-電力量!K259</f>
        <v>0.80000000000291038</v>
      </c>
      <c r="L259">
        <f>電力量!L260-電力量!L259</f>
        <v>19.399999999994179</v>
      </c>
      <c r="M259">
        <f>電力量!M260-電力量!M259</f>
        <v>44</v>
      </c>
      <c r="N259">
        <f>電力量!N260-電力量!N259</f>
        <v>52.600000000005821</v>
      </c>
      <c r="O259">
        <f>電力量!O260-電力量!O259</f>
        <v>16.69999999999709</v>
      </c>
      <c r="P259">
        <f>電力量!P260-電力量!P259</f>
        <v>3</v>
      </c>
      <c r="Q259">
        <f>電力量!Q260-電力量!Q259</f>
        <v>5</v>
      </c>
      <c r="R259">
        <f>電力量!R260-電力量!R259</f>
        <v>0</v>
      </c>
    </row>
    <row r="260" spans="1:18">
      <c r="A260" s="4">
        <f t="shared" ref="A260:A308" si="109">A242+(18/24)</f>
        <v>45882.75</v>
      </c>
      <c r="B260">
        <f>電力量!B261-電力量!B260</f>
        <v>723</v>
      </c>
      <c r="C260">
        <f>電力量!C261-電力量!C260</f>
        <v>181</v>
      </c>
      <c r="D260">
        <f>電力量!D261-電力量!D260</f>
        <v>13.30000000000291</v>
      </c>
      <c r="E260">
        <f>電力量!E261-電力量!E260</f>
        <v>0</v>
      </c>
      <c r="F260">
        <f>電力量!F261-電力量!F260</f>
        <v>22</v>
      </c>
      <c r="G260">
        <f>電力量!G261-電力量!G260</f>
        <v>73.5</v>
      </c>
      <c r="H260">
        <f>電力量!H261-電力量!H260</f>
        <v>11</v>
      </c>
      <c r="I260">
        <f>電力量!I261-電力量!I260</f>
        <v>226</v>
      </c>
      <c r="J260">
        <f>電力量!J261-電力量!J260</f>
        <v>10.599999999998545</v>
      </c>
      <c r="K260">
        <f>電力量!K261-電力量!K260</f>
        <v>2.3999999999941792</v>
      </c>
      <c r="L260">
        <f>電力量!L261-電力量!L260</f>
        <v>19</v>
      </c>
      <c r="M260">
        <f>電力量!M261-電力量!M260</f>
        <v>42.299999999995634</v>
      </c>
      <c r="N260">
        <f>電力量!N261-電力量!N260</f>
        <v>54.69999999999709</v>
      </c>
      <c r="O260">
        <f>電力量!O261-電力量!O260</f>
        <v>15.5</v>
      </c>
      <c r="P260">
        <f>電力量!P261-電力量!P260</f>
        <v>0</v>
      </c>
      <c r="Q260">
        <f>電力量!Q261-電力量!Q260</f>
        <v>0</v>
      </c>
      <c r="R260">
        <f>電力量!R261-電力量!R260</f>
        <v>0</v>
      </c>
    </row>
    <row r="261" spans="1:18">
      <c r="A261" s="4">
        <f t="shared" ref="A261:A309" si="110">A242+(19/24)</f>
        <v>45882.791666666664</v>
      </c>
      <c r="B261">
        <f>電力量!B262-電力量!B261</f>
        <v>703</v>
      </c>
      <c r="C261">
        <f>電力量!C262-電力量!C261</f>
        <v>170</v>
      </c>
      <c r="D261">
        <f>電力量!D262-電力量!D261</f>
        <v>13.099999999998545</v>
      </c>
      <c r="E261">
        <f>電力量!E262-電力量!E261</f>
        <v>0</v>
      </c>
      <c r="F261">
        <f>電力量!F262-電力量!F261</f>
        <v>20</v>
      </c>
      <c r="G261">
        <f>電力量!G262-電力量!G261</f>
        <v>63.100000000005821</v>
      </c>
      <c r="H261">
        <f>電力量!H262-電力量!H261</f>
        <v>11</v>
      </c>
      <c r="I261">
        <f>電力量!I262-電力量!I261</f>
        <v>227</v>
      </c>
      <c r="J261">
        <f>電力量!J262-電力量!J261</f>
        <v>10.599999999998545</v>
      </c>
      <c r="K261">
        <f>電力量!K262-電力量!K261</f>
        <v>3.3000000000029104</v>
      </c>
      <c r="L261">
        <f>電力量!L262-電力量!L261</f>
        <v>20.100000000005821</v>
      </c>
      <c r="M261">
        <f>電力量!M262-電力量!M261</f>
        <v>39.5</v>
      </c>
      <c r="N261">
        <f>電力量!N262-電力量!N261</f>
        <v>55.899999999994179</v>
      </c>
      <c r="O261">
        <f>電力量!O262-電力量!O261</f>
        <v>16.5</v>
      </c>
      <c r="P261">
        <f>電力量!P262-電力量!P261</f>
        <v>0</v>
      </c>
      <c r="Q261">
        <f>電力量!Q262-電力量!Q261</f>
        <v>0</v>
      </c>
      <c r="R261">
        <f>電力量!R262-電力量!R261</f>
        <v>0</v>
      </c>
    </row>
    <row r="262" spans="1:18">
      <c r="A262" s="4">
        <f t="shared" ref="A262:A310" si="111">A242+(20/24)</f>
        <v>45882.833333333336</v>
      </c>
      <c r="B262">
        <f>電力量!B263-電力量!B262</f>
        <v>690</v>
      </c>
      <c r="C262">
        <f>電力量!C263-電力量!C262</f>
        <v>168</v>
      </c>
      <c r="D262">
        <f>電力量!D263-電力量!D262</f>
        <v>13.5</v>
      </c>
      <c r="E262">
        <f>電力量!E263-電力量!E262</f>
        <v>0</v>
      </c>
      <c r="F262">
        <f>電力量!F263-電力量!F262</f>
        <v>20</v>
      </c>
      <c r="G262">
        <f>電力量!G263-電力量!G262</f>
        <v>61.19999999999709</v>
      </c>
      <c r="H262">
        <f>電力量!H263-電力量!H262</f>
        <v>10</v>
      </c>
      <c r="I262">
        <f>電力量!I263-電力量!I262</f>
        <v>216</v>
      </c>
      <c r="J262">
        <f>電力量!J263-電力量!J262</f>
        <v>10.099999999998545</v>
      </c>
      <c r="K262">
        <f>電力量!K263-電力量!K262</f>
        <v>3.5</v>
      </c>
      <c r="L262">
        <f>電力量!L263-電力量!L262</f>
        <v>23</v>
      </c>
      <c r="M262">
        <f>電力量!M263-電力量!M262</f>
        <v>39.100000000005821</v>
      </c>
      <c r="N262">
        <f>電力量!N263-電力量!N262</f>
        <v>55.400000000008731</v>
      </c>
      <c r="O262">
        <f>電力量!O263-電力量!O262</f>
        <v>17.400000000008731</v>
      </c>
      <c r="P262">
        <f>電力量!P263-電力量!P262</f>
        <v>0</v>
      </c>
      <c r="Q262">
        <f>電力量!Q263-電力量!Q262</f>
        <v>0</v>
      </c>
      <c r="R262">
        <f>電力量!R263-電力量!R262</f>
        <v>0</v>
      </c>
    </row>
    <row r="263" spans="1:18">
      <c r="A263" s="4">
        <f t="shared" ref="A263:A311" si="112">A242+(21/24)</f>
        <v>45882.875</v>
      </c>
      <c r="B263">
        <f>電力量!B264-電力量!B263</f>
        <v>678</v>
      </c>
      <c r="C263">
        <f>電力量!C264-電力量!C263</f>
        <v>164</v>
      </c>
      <c r="D263">
        <f>電力量!D264-電力量!D263</f>
        <v>12.900000000001455</v>
      </c>
      <c r="E263">
        <f>電力量!E264-電力量!E263</f>
        <v>0</v>
      </c>
      <c r="F263">
        <f>電力量!F264-電力量!F263</f>
        <v>20</v>
      </c>
      <c r="G263">
        <f>電力量!G264-電力量!G263</f>
        <v>60.30000000000291</v>
      </c>
      <c r="H263">
        <f>電力量!H264-電力量!H263</f>
        <v>12</v>
      </c>
      <c r="I263">
        <f>電力量!I264-電力量!I263</f>
        <v>212</v>
      </c>
      <c r="J263">
        <f>電力量!J264-電力量!J263</f>
        <v>10.099999999998545</v>
      </c>
      <c r="K263">
        <f>電力量!K264-電力量!K263</f>
        <v>3</v>
      </c>
      <c r="L263">
        <f>電力量!L264-電力量!L263</f>
        <v>22.30000000000291</v>
      </c>
      <c r="M263">
        <f>電力量!M264-電力量!M263</f>
        <v>39.799999999995634</v>
      </c>
      <c r="N263">
        <f>電力量!N264-電力量!N263</f>
        <v>55</v>
      </c>
      <c r="O263">
        <f>電力量!O264-電力量!O263</f>
        <v>17.19999999999709</v>
      </c>
      <c r="P263">
        <f>電力量!P264-電力量!P263</f>
        <v>0</v>
      </c>
      <c r="Q263">
        <f>電力量!Q264-電力量!Q263</f>
        <v>0</v>
      </c>
      <c r="R263">
        <f>電力量!R264-電力量!R263</f>
        <v>0</v>
      </c>
    </row>
    <row r="264" spans="1:18">
      <c r="A264" s="4">
        <f t="shared" ref="A264:A312" si="113">A242+(22/24)</f>
        <v>45882.916666666664</v>
      </c>
      <c r="B264">
        <f>電力量!B265-電力量!B264</f>
        <v>669</v>
      </c>
      <c r="C264">
        <f>電力量!C265-電力量!C264</f>
        <v>164</v>
      </c>
      <c r="D264">
        <f>電力量!D265-電力量!D264</f>
        <v>12.899999999994179</v>
      </c>
      <c r="E264">
        <f>電力量!E265-電力量!E264</f>
        <v>0</v>
      </c>
      <c r="F264">
        <f>電力量!F265-電力量!F264</f>
        <v>19</v>
      </c>
      <c r="G264">
        <f>電力量!G265-電力量!G264</f>
        <v>59</v>
      </c>
      <c r="H264">
        <f>電力量!H265-電力量!H264</f>
        <v>11</v>
      </c>
      <c r="I264">
        <f>電力量!I265-電力量!I264</f>
        <v>211</v>
      </c>
      <c r="J264">
        <f>電力量!J265-電力量!J264</f>
        <v>10.100000000005821</v>
      </c>
      <c r="K264">
        <f>電力量!K265-電力量!K264</f>
        <v>3</v>
      </c>
      <c r="L264">
        <f>電力量!L265-電力量!L264</f>
        <v>21.5</v>
      </c>
      <c r="M264">
        <f>電力量!M265-電力量!M264</f>
        <v>39.099999999998545</v>
      </c>
      <c r="N264">
        <f>電力量!N265-電力量!N264</f>
        <v>54.099999999991269</v>
      </c>
      <c r="O264">
        <f>電力量!O265-電力量!O264</f>
        <v>17</v>
      </c>
      <c r="P264">
        <f>電力量!P265-電力量!P264</f>
        <v>0</v>
      </c>
      <c r="Q264">
        <f>電力量!Q265-電力量!Q264</f>
        <v>0</v>
      </c>
      <c r="R264">
        <f>電力量!R265-電力量!R264</f>
        <v>0</v>
      </c>
    </row>
    <row r="265" spans="1:18">
      <c r="A265" s="4">
        <f t="shared" ref="A265:A313" si="114">A242+(23/24)</f>
        <v>45882.958333333336</v>
      </c>
      <c r="B265">
        <f>電力量!B266-電力量!B265</f>
        <v>658</v>
      </c>
      <c r="C265">
        <f>電力量!C266-電力量!C265</f>
        <v>163</v>
      </c>
      <c r="D265">
        <f>電力量!D266-電力量!D265</f>
        <v>12.5</v>
      </c>
      <c r="E265">
        <f>電力量!E266-電力量!E265</f>
        <v>0</v>
      </c>
      <c r="F265">
        <f>電力量!F266-電力量!F265</f>
        <v>18</v>
      </c>
      <c r="G265">
        <f>電力量!G266-電力量!G265</f>
        <v>55.399999999994179</v>
      </c>
      <c r="H265">
        <f>電力量!H266-電力量!H265</f>
        <v>10</v>
      </c>
      <c r="I265">
        <f>電力量!I266-電力量!I265</f>
        <v>206</v>
      </c>
      <c r="J265">
        <f>電力量!J266-電力量!J265</f>
        <v>9.7999999999956344</v>
      </c>
      <c r="K265">
        <f>電力量!K266-電力量!K265</f>
        <v>2.8000000000029104</v>
      </c>
      <c r="L265">
        <f>電力量!L266-電力量!L265</f>
        <v>22.19999999999709</v>
      </c>
      <c r="M265">
        <f>電力量!M266-電力量!M265</f>
        <v>38.400000000001455</v>
      </c>
      <c r="N265">
        <f>電力量!N266-電力量!N265</f>
        <v>54.80000000000291</v>
      </c>
      <c r="O265">
        <f>電力量!O266-電力量!O265</f>
        <v>17</v>
      </c>
      <c r="P265">
        <f>電力量!P266-電力量!P265</f>
        <v>0</v>
      </c>
      <c r="Q265">
        <f>電力量!Q266-電力量!Q265</f>
        <v>0</v>
      </c>
      <c r="R265">
        <f>電力量!R266-電力量!R265</f>
        <v>0</v>
      </c>
    </row>
    <row r="266" spans="1:18">
      <c r="A266" s="4">
        <v>45883</v>
      </c>
      <c r="B266">
        <f>電力量!B267-電力量!B266</f>
        <v>644</v>
      </c>
      <c r="C266">
        <f>電力量!C267-電力量!C266</f>
        <v>153</v>
      </c>
      <c r="D266">
        <f>電力量!D267-電力量!D266</f>
        <v>12.80000000000291</v>
      </c>
      <c r="E266">
        <f>電力量!E267-電力量!E266</f>
        <v>0</v>
      </c>
      <c r="F266">
        <f>電力量!F267-電力量!F266</f>
        <v>16</v>
      </c>
      <c r="G266">
        <f>電力量!G267-電力量!G266</f>
        <v>54.200000000004366</v>
      </c>
      <c r="H266">
        <f>電力量!H267-電力量!H266</f>
        <v>10</v>
      </c>
      <c r="I266">
        <f>電力量!I267-電力量!I266</f>
        <v>207</v>
      </c>
      <c r="J266">
        <f>電力量!J267-電力量!J266</f>
        <v>9.5999999999985448</v>
      </c>
      <c r="K266">
        <f>電力量!K267-電力量!K266</f>
        <v>2.8999999999941792</v>
      </c>
      <c r="L266">
        <f>電力量!L267-電力量!L266</f>
        <v>22</v>
      </c>
      <c r="M266">
        <f>電力量!M267-電力量!M266</f>
        <v>37.900000000001455</v>
      </c>
      <c r="N266">
        <f>電力量!N267-電力量!N266</f>
        <v>54.600000000005821</v>
      </c>
      <c r="O266">
        <f>電力量!O267-電力量!O266</f>
        <v>15.399999999994179</v>
      </c>
      <c r="P266">
        <f>電力量!P267-電力量!P266</f>
        <v>0</v>
      </c>
      <c r="Q266">
        <f>電力量!Q267-電力量!Q266</f>
        <v>0</v>
      </c>
      <c r="R266">
        <f>電力量!R267-電力量!R266</f>
        <v>0</v>
      </c>
    </row>
    <row r="267" spans="1:18">
      <c r="A267" s="4">
        <f t="shared" si="92"/>
        <v>45883.041666666664</v>
      </c>
      <c r="B267">
        <f>電力量!B268-電力量!B267</f>
        <v>638</v>
      </c>
      <c r="C267">
        <f>電力量!C268-電力量!C267</f>
        <v>153</v>
      </c>
      <c r="D267">
        <f>電力量!D268-電力量!D267</f>
        <v>12.19999999999709</v>
      </c>
      <c r="E267">
        <f>電力量!E268-電力量!E267</f>
        <v>0</v>
      </c>
      <c r="F267">
        <f>電力量!F268-電力量!F267</f>
        <v>17</v>
      </c>
      <c r="G267">
        <f>電力量!G268-電力量!G267</f>
        <v>54</v>
      </c>
      <c r="H267">
        <f>電力量!H268-電力量!H267</f>
        <v>11</v>
      </c>
      <c r="I267">
        <f>電力量!I268-電力量!I267</f>
        <v>202</v>
      </c>
      <c r="J267">
        <f>電力量!J268-電力量!J267</f>
        <v>9.7000000000043656</v>
      </c>
      <c r="K267">
        <f>電力量!K268-電力量!K267</f>
        <v>2.9000000000087311</v>
      </c>
      <c r="L267">
        <f>電力量!L268-電力量!L267</f>
        <v>21.80000000000291</v>
      </c>
      <c r="M267">
        <f>電力量!M268-電力量!M267</f>
        <v>38</v>
      </c>
      <c r="N267">
        <f>電力量!N268-電力量!N267</f>
        <v>54.299999999988358</v>
      </c>
      <c r="O267">
        <f>電力量!O268-電力量!O267</f>
        <v>16.900000000008731</v>
      </c>
      <c r="P267">
        <f>電力量!P268-電力量!P267</f>
        <v>0</v>
      </c>
      <c r="Q267">
        <f>電力量!Q268-電力量!Q267</f>
        <v>0</v>
      </c>
      <c r="R267">
        <f>電力量!R268-電力量!R267</f>
        <v>0</v>
      </c>
    </row>
    <row r="268" spans="1:18">
      <c r="A268" s="4">
        <f t="shared" si="93"/>
        <v>45883.083333333336</v>
      </c>
      <c r="B268">
        <f>電力量!B269-電力量!B268</f>
        <v>628</v>
      </c>
      <c r="C268">
        <f>電力量!C269-電力量!C268</f>
        <v>150</v>
      </c>
      <c r="D268">
        <f>電力量!D269-電力量!D268</f>
        <v>12.700000000004366</v>
      </c>
      <c r="E268">
        <f>電力量!E269-電力量!E268</f>
        <v>0</v>
      </c>
      <c r="F268">
        <f>電力量!F269-電力量!F268</f>
        <v>16</v>
      </c>
      <c r="G268">
        <f>電力量!G269-電力量!G268</f>
        <v>53.099999999998545</v>
      </c>
      <c r="H268">
        <f>電力量!H269-電力量!H268</f>
        <v>10</v>
      </c>
      <c r="I268">
        <f>電力量!I269-電力量!I268</f>
        <v>199</v>
      </c>
      <c r="J268">
        <f>電力量!J269-電力量!J268</f>
        <v>9.4000000000014552</v>
      </c>
      <c r="K268">
        <f>電力量!K269-電力量!K268</f>
        <v>2.8999999999941792</v>
      </c>
      <c r="L268">
        <f>電力量!L269-電力量!L268</f>
        <v>20.19999999999709</v>
      </c>
      <c r="M268">
        <f>電力量!M269-電力量!M268</f>
        <v>38.099999999998545</v>
      </c>
      <c r="N268">
        <f>電力量!N269-電力量!N268</f>
        <v>54.30000000000291</v>
      </c>
      <c r="O268">
        <f>電力量!O269-電力量!O268</f>
        <v>16.19999999999709</v>
      </c>
      <c r="P268">
        <f>電力量!P269-電力量!P268</f>
        <v>0</v>
      </c>
      <c r="Q268">
        <f>電力量!Q269-電力量!Q268</f>
        <v>0</v>
      </c>
      <c r="R268">
        <f>電力量!R269-電力量!R268</f>
        <v>0</v>
      </c>
    </row>
    <row r="269" spans="1:18">
      <c r="A269" s="4">
        <f t="shared" si="94"/>
        <v>45883.125</v>
      </c>
      <c r="B269">
        <f>電力量!B270-電力量!B269</f>
        <v>624</v>
      </c>
      <c r="C269">
        <f>電力量!C270-電力量!C269</f>
        <v>149</v>
      </c>
      <c r="D269">
        <f>電力量!D270-電力量!D269</f>
        <v>12.799999999995634</v>
      </c>
      <c r="E269">
        <f>電力量!E270-電力量!E269</f>
        <v>0</v>
      </c>
      <c r="F269">
        <f>電力量!F270-電力量!F269</f>
        <v>15</v>
      </c>
      <c r="G269">
        <f>電力量!G270-電力量!G269</f>
        <v>53.19999999999709</v>
      </c>
      <c r="H269">
        <f>電力量!H270-電力量!H269</f>
        <v>10</v>
      </c>
      <c r="I269">
        <f>電力量!I270-電力量!I269</f>
        <v>197</v>
      </c>
      <c r="J269">
        <f>電力量!J270-電力量!J269</f>
        <v>9.1999999999970896</v>
      </c>
      <c r="K269">
        <f>電力量!K270-電力量!K269</f>
        <v>2.8999999999941792</v>
      </c>
      <c r="L269">
        <f>電力量!L270-電力量!L269</f>
        <v>19.80000000000291</v>
      </c>
      <c r="M269">
        <f>電力量!M270-電力量!M269</f>
        <v>37.900000000001455</v>
      </c>
      <c r="N269">
        <f>電力量!N270-電力量!N269</f>
        <v>54.400000000008731</v>
      </c>
      <c r="O269">
        <f>電力量!O270-電力量!O269</f>
        <v>15.80000000000291</v>
      </c>
      <c r="P269">
        <f>電力量!P270-電力量!P269</f>
        <v>0</v>
      </c>
      <c r="Q269">
        <f>電力量!Q270-電力量!Q269</f>
        <v>0</v>
      </c>
      <c r="R269">
        <f>電力量!R270-電力量!R269</f>
        <v>0</v>
      </c>
    </row>
    <row r="270" spans="1:18">
      <c r="A270" s="4">
        <f t="shared" si="95"/>
        <v>45883.166666666664</v>
      </c>
      <c r="B270">
        <f>電力量!B271-電力量!B270</f>
        <v>616</v>
      </c>
      <c r="C270">
        <f>電力量!C271-電力量!C270</f>
        <v>146</v>
      </c>
      <c r="D270">
        <f>電力量!D271-電力量!D270</f>
        <v>13.30000000000291</v>
      </c>
      <c r="E270">
        <f>電力量!E271-電力量!E270</f>
        <v>0</v>
      </c>
      <c r="F270">
        <f>電力量!F271-電力量!F270</f>
        <v>16</v>
      </c>
      <c r="G270">
        <f>電力量!G271-電力量!G270</f>
        <v>52.100000000005821</v>
      </c>
      <c r="H270">
        <f>電力量!H271-電力量!H270</f>
        <v>11</v>
      </c>
      <c r="I270">
        <f>電力量!I271-電力量!I270</f>
        <v>193</v>
      </c>
      <c r="J270">
        <f>電力量!J271-電力量!J270</f>
        <v>9.1999999999970896</v>
      </c>
      <c r="K270">
        <f>電力量!K271-電力量!K270</f>
        <v>2.8000000000029104</v>
      </c>
      <c r="L270">
        <f>電力量!L271-電力量!L270</f>
        <v>19.19999999999709</v>
      </c>
      <c r="M270">
        <f>電力量!M271-電力量!M270</f>
        <v>37.5</v>
      </c>
      <c r="N270">
        <f>電力量!N271-電力量!N270</f>
        <v>54.799999999988358</v>
      </c>
      <c r="O270">
        <f>電力量!O271-電力量!O270</f>
        <v>16.599999999991269</v>
      </c>
      <c r="P270">
        <f>電力量!P271-電力量!P270</f>
        <v>0</v>
      </c>
      <c r="Q270">
        <f>電力量!Q271-電力量!Q270</f>
        <v>0</v>
      </c>
      <c r="R270">
        <f>電力量!R271-電力量!R270</f>
        <v>0</v>
      </c>
    </row>
    <row r="271" spans="1:18">
      <c r="A271" s="4">
        <f t="shared" si="96"/>
        <v>45883.208333333336</v>
      </c>
      <c r="B271">
        <f>電力量!B272-電力量!B271</f>
        <v>610</v>
      </c>
      <c r="C271">
        <f>電力量!C272-電力量!C271</f>
        <v>146</v>
      </c>
      <c r="D271">
        <f>電力量!D272-電力量!D271</f>
        <v>12</v>
      </c>
      <c r="E271">
        <f>電力量!E272-電力量!E271</f>
        <v>0</v>
      </c>
      <c r="F271">
        <f>電力量!F272-電力量!F271</f>
        <v>16</v>
      </c>
      <c r="G271">
        <f>電力量!G272-電力量!G271</f>
        <v>52.5</v>
      </c>
      <c r="H271">
        <f>電力量!H272-電力量!H271</f>
        <v>11</v>
      </c>
      <c r="I271">
        <f>電力量!I272-電力量!I271</f>
        <v>190</v>
      </c>
      <c r="J271">
        <f>電力量!J272-電力量!J271</f>
        <v>8.8000000000029104</v>
      </c>
      <c r="K271">
        <f>電力量!K272-電力量!K271</f>
        <v>2.6999999999970896</v>
      </c>
      <c r="L271">
        <f>電力量!L272-電力量!L271</f>
        <v>18.600000000005821</v>
      </c>
      <c r="M271">
        <f>電力量!M272-電力量!M271</f>
        <v>37.19999999999709</v>
      </c>
      <c r="N271">
        <f>電力量!N272-電力量!N271</f>
        <v>54.200000000011642</v>
      </c>
      <c r="O271">
        <f>電力量!O272-電力量!O271</f>
        <v>15.80000000000291</v>
      </c>
      <c r="P271">
        <f>電力量!P272-電力量!P271</f>
        <v>0</v>
      </c>
      <c r="Q271">
        <f>電力量!Q272-電力量!Q271</f>
        <v>0</v>
      </c>
      <c r="R271">
        <f>電力量!R272-電力量!R271</f>
        <v>0</v>
      </c>
    </row>
    <row r="272" spans="1:18">
      <c r="A272" s="4">
        <f t="shared" si="97"/>
        <v>45883.25</v>
      </c>
      <c r="B272">
        <f>電力量!B273-電力量!B272</f>
        <v>609</v>
      </c>
      <c r="C272">
        <f>電力量!C273-電力量!C272</f>
        <v>146</v>
      </c>
      <c r="D272">
        <f>電力量!D273-電力量!D272</f>
        <v>12.5</v>
      </c>
      <c r="E272">
        <f>電力量!E273-電力量!E272</f>
        <v>0</v>
      </c>
      <c r="F272">
        <f>電力量!F273-電力量!F272</f>
        <v>16</v>
      </c>
      <c r="G272">
        <f>電力量!G273-電力量!G272</f>
        <v>51.799999999995634</v>
      </c>
      <c r="H272">
        <f>電力量!H273-電力量!H272</f>
        <v>11</v>
      </c>
      <c r="I272">
        <f>電力量!I273-電力量!I272</f>
        <v>191</v>
      </c>
      <c r="J272">
        <f>電力量!J273-電力量!J272</f>
        <v>8.8000000000029104</v>
      </c>
      <c r="K272">
        <f>電力量!K273-電力量!K272</f>
        <v>2.1000000000058208</v>
      </c>
      <c r="L272">
        <f>電力量!L273-電力量!L272</f>
        <v>18.599999999991269</v>
      </c>
      <c r="M272">
        <f>電力量!M273-電力量!M272</f>
        <v>37.600000000005821</v>
      </c>
      <c r="N272">
        <f>電力量!N273-電力量!N272</f>
        <v>53.5</v>
      </c>
      <c r="O272">
        <f>電力量!O273-電力量!O272</f>
        <v>15.400000000008731</v>
      </c>
      <c r="P272">
        <f>電力量!P273-電力量!P272</f>
        <v>1</v>
      </c>
      <c r="Q272">
        <f>電力量!Q273-電力量!Q272</f>
        <v>1</v>
      </c>
      <c r="R272">
        <f>電力量!R273-電力量!R272</f>
        <v>0</v>
      </c>
    </row>
    <row r="273" spans="1:18">
      <c r="A273" s="4">
        <f t="shared" si="98"/>
        <v>45883.291666666664</v>
      </c>
      <c r="B273">
        <f>電力量!B274-電力量!B273</f>
        <v>634</v>
      </c>
      <c r="C273">
        <f>電力量!C274-電力量!C273</f>
        <v>157</v>
      </c>
      <c r="D273">
        <f>電力量!D274-電力量!D273</f>
        <v>12.099999999998545</v>
      </c>
      <c r="E273">
        <f>電力量!E274-電力量!E273</f>
        <v>0</v>
      </c>
      <c r="F273">
        <f>電力量!F274-電力量!F273</f>
        <v>17</v>
      </c>
      <c r="G273">
        <f>電力量!G274-電力量!G273</f>
        <v>51.700000000004366</v>
      </c>
      <c r="H273">
        <f>電力量!H274-電力量!H273</f>
        <v>10</v>
      </c>
      <c r="I273">
        <f>電力量!I274-電力量!I273</f>
        <v>204</v>
      </c>
      <c r="J273">
        <f>電力量!J274-電力量!J273</f>
        <v>9.7999999999956344</v>
      </c>
      <c r="K273">
        <f>電力量!K274-電力量!K273</f>
        <v>0.39999999999417923</v>
      </c>
      <c r="L273">
        <f>電力量!L274-電力量!L273</f>
        <v>19.19999999999709</v>
      </c>
      <c r="M273">
        <f>電力量!M274-電力量!M273</f>
        <v>38.5</v>
      </c>
      <c r="N273">
        <f>電力量!N274-電力量!N273</f>
        <v>50.599999999991269</v>
      </c>
      <c r="O273">
        <f>電力量!O274-電力量!O273</f>
        <v>15.5</v>
      </c>
      <c r="P273">
        <f>電力量!P274-電力量!P273</f>
        <v>1</v>
      </c>
      <c r="Q273">
        <f>電力量!Q274-電力量!Q273</f>
        <v>4</v>
      </c>
      <c r="R273">
        <f>電力量!R274-電力量!R273</f>
        <v>0</v>
      </c>
    </row>
    <row r="274" spans="1:18">
      <c r="A274" s="4">
        <f t="shared" si="99"/>
        <v>45883.333333333336</v>
      </c>
      <c r="B274">
        <f>電力量!B275-電力量!B274</f>
        <v>655</v>
      </c>
      <c r="C274">
        <f>電力量!C275-電力量!C274</f>
        <v>161</v>
      </c>
      <c r="D274">
        <f>電力量!D275-電力量!D274</f>
        <v>12.099999999998545</v>
      </c>
      <c r="E274">
        <f>電力量!E275-電力量!E274</f>
        <v>0</v>
      </c>
      <c r="F274">
        <f>電力量!F275-電力量!F274</f>
        <v>19</v>
      </c>
      <c r="G274">
        <f>電力量!G275-電力量!G274</f>
        <v>46.69999999999709</v>
      </c>
      <c r="H274">
        <f>電力量!H275-電力量!H274</f>
        <v>10</v>
      </c>
      <c r="I274">
        <f>電力量!I275-電力量!I274</f>
        <v>215</v>
      </c>
      <c r="J274">
        <f>電力量!J275-電力量!J274</f>
        <v>10.400000000001455</v>
      </c>
      <c r="K274">
        <f>電力量!K275-電力量!K274</f>
        <v>0</v>
      </c>
      <c r="L274">
        <f>電力量!L275-電力量!L274</f>
        <v>18.700000000011642</v>
      </c>
      <c r="M274">
        <f>電力量!M275-電力量!M274</f>
        <v>44.799999999995634</v>
      </c>
      <c r="N274">
        <f>電力量!N275-電力量!N274</f>
        <v>48.5</v>
      </c>
      <c r="O274">
        <f>電力量!O275-電力量!O274</f>
        <v>17.099999999991269</v>
      </c>
      <c r="P274">
        <f>電力量!P275-電力量!P274</f>
        <v>4</v>
      </c>
      <c r="Q274">
        <f>電力量!Q275-電力量!Q274</f>
        <v>8</v>
      </c>
      <c r="R274">
        <f>電力量!R275-電力量!R274</f>
        <v>0</v>
      </c>
    </row>
    <row r="275" spans="1:18">
      <c r="A275" s="4">
        <f t="shared" si="100"/>
        <v>45883.375</v>
      </c>
      <c r="B275">
        <f>電力量!B276-電力量!B275</f>
        <v>658</v>
      </c>
      <c r="C275">
        <f>電力量!C276-電力量!C275</f>
        <v>166</v>
      </c>
      <c r="D275">
        <f>電力量!D276-電力量!D275</f>
        <v>16.400000000001455</v>
      </c>
      <c r="E275">
        <f>電力量!E276-電力量!E275</f>
        <v>0</v>
      </c>
      <c r="F275">
        <f>電力量!F276-電力量!F275</f>
        <v>22</v>
      </c>
      <c r="G275">
        <f>電力量!G276-電力量!G275</f>
        <v>36.69999999999709</v>
      </c>
      <c r="H275">
        <f>電力量!H276-電力量!H275</f>
        <v>11</v>
      </c>
      <c r="I275">
        <f>電力量!I276-電力量!I275</f>
        <v>231</v>
      </c>
      <c r="J275">
        <f>電力量!J276-電力量!J275</f>
        <v>10.5</v>
      </c>
      <c r="K275">
        <f>電力量!K276-電力量!K275</f>
        <v>0</v>
      </c>
      <c r="L275">
        <f>電力量!L276-電力量!L275</f>
        <v>18.69999999999709</v>
      </c>
      <c r="M275">
        <f>電力量!M276-電力量!M275</f>
        <v>42.5</v>
      </c>
      <c r="N275">
        <f>電力量!N276-電力量!N275</f>
        <v>44.19999999999709</v>
      </c>
      <c r="O275">
        <f>電力量!O276-電力量!O275</f>
        <v>17</v>
      </c>
      <c r="P275">
        <f>電力量!P276-電力量!P275</f>
        <v>10</v>
      </c>
      <c r="Q275">
        <f>電力量!Q276-電力量!Q275</f>
        <v>15</v>
      </c>
      <c r="R275">
        <f>電力量!R276-電力量!R275</f>
        <v>0</v>
      </c>
    </row>
    <row r="276" spans="1:18">
      <c r="A276" s="4">
        <f t="shared" si="101"/>
        <v>45883.416666666664</v>
      </c>
      <c r="B276">
        <f>電力量!B277-電力量!B276</f>
        <v>683</v>
      </c>
      <c r="C276">
        <f>電力量!C277-電力量!C276</f>
        <v>171</v>
      </c>
      <c r="D276">
        <f>電力量!D277-電力量!D276</f>
        <v>20.80000000000291</v>
      </c>
      <c r="E276">
        <f>電力量!E277-電力量!E276</f>
        <v>0</v>
      </c>
      <c r="F276">
        <f>電力量!F277-電力量!F276</f>
        <v>24</v>
      </c>
      <c r="G276">
        <f>電力量!G277-電力量!G276</f>
        <v>36.600000000005821</v>
      </c>
      <c r="H276">
        <f>電力量!H277-電力量!H276</f>
        <v>11</v>
      </c>
      <c r="I276">
        <f>電力量!I277-電力量!I276</f>
        <v>244</v>
      </c>
      <c r="J276">
        <f>電力量!J277-電力量!J276</f>
        <v>13</v>
      </c>
      <c r="K276">
        <f>電力量!K277-電力量!K276</f>
        <v>0</v>
      </c>
      <c r="L276">
        <f>電力量!L277-電力量!L276</f>
        <v>21</v>
      </c>
      <c r="M276">
        <f>電力量!M277-電力量!M276</f>
        <v>42.599999999998545</v>
      </c>
      <c r="N276">
        <f>電力量!N277-電力量!N276</f>
        <v>41.5</v>
      </c>
      <c r="O276">
        <f>電力量!O277-電力量!O276</f>
        <v>16.900000000008731</v>
      </c>
      <c r="P276">
        <f>電力量!P277-電力量!P276</f>
        <v>13</v>
      </c>
      <c r="Q276">
        <f>電力量!Q277-電力量!Q276</f>
        <v>20</v>
      </c>
      <c r="R276">
        <f>電力量!R277-電力量!R276</f>
        <v>0</v>
      </c>
    </row>
    <row r="277" spans="1:18">
      <c r="A277" s="4">
        <f t="shared" si="102"/>
        <v>45883.458333333336</v>
      </c>
      <c r="B277">
        <f>電力量!B278-電力量!B277</f>
        <v>702</v>
      </c>
      <c r="C277">
        <f>電力量!C278-電力量!C277</f>
        <v>185</v>
      </c>
      <c r="D277">
        <f>電力量!D278-電力量!D277</f>
        <v>19.599999999998545</v>
      </c>
      <c r="E277">
        <f>電力量!E278-電力量!E277</f>
        <v>0</v>
      </c>
      <c r="F277">
        <f>電力量!F278-電力量!F277</f>
        <v>27</v>
      </c>
      <c r="G277">
        <f>電力量!G278-電力量!G277</f>
        <v>31.19999999999709</v>
      </c>
      <c r="H277">
        <f>電力量!H278-電力量!H277</f>
        <v>11</v>
      </c>
      <c r="I277">
        <f>電力量!I278-電力量!I277</f>
        <v>254</v>
      </c>
      <c r="J277">
        <f>電力量!J278-電力量!J277</f>
        <v>13.69999999999709</v>
      </c>
      <c r="K277">
        <f>電力量!K278-電力量!K277</f>
        <v>0</v>
      </c>
      <c r="L277">
        <f>電力量!L278-電力量!L277</f>
        <v>20.69999999999709</v>
      </c>
      <c r="M277">
        <f>電力量!M278-電力量!M277</f>
        <v>43.30000000000291</v>
      </c>
      <c r="N277">
        <f>電力量!N278-電力量!N277</f>
        <v>40.400000000008731</v>
      </c>
      <c r="O277">
        <f>電力量!O278-電力量!O277</f>
        <v>16.399999999994179</v>
      </c>
      <c r="P277">
        <f>電力量!P278-電力量!P277</f>
        <v>15</v>
      </c>
      <c r="Q277">
        <f>電力量!Q278-電力量!Q277</f>
        <v>23</v>
      </c>
      <c r="R277">
        <f>電力量!R278-電力量!R277</f>
        <v>0</v>
      </c>
    </row>
    <row r="278" spans="1:18">
      <c r="A278" s="4">
        <f t="shared" si="103"/>
        <v>45883.5</v>
      </c>
      <c r="B278">
        <f>電力量!B279-電力量!B278</f>
        <v>723</v>
      </c>
      <c r="C278">
        <f>電力量!C279-電力量!C278</f>
        <v>187</v>
      </c>
      <c r="D278">
        <f>電力量!D279-電力量!D278</f>
        <v>22.5</v>
      </c>
      <c r="E278">
        <f>電力量!E279-電力量!E278</f>
        <v>0</v>
      </c>
      <c r="F278">
        <f>電力量!F279-電力量!F278</f>
        <v>26</v>
      </c>
      <c r="G278">
        <f>電力量!G279-電力量!G278</f>
        <v>32.69999999999709</v>
      </c>
      <c r="H278">
        <f>電力量!H279-電力量!H278</f>
        <v>10</v>
      </c>
      <c r="I278">
        <f>電力量!I279-電力量!I278</f>
        <v>264</v>
      </c>
      <c r="J278">
        <f>電力量!J279-電力量!J278</f>
        <v>14.400000000001455</v>
      </c>
      <c r="K278">
        <f>電力量!K279-電力量!K278</f>
        <v>0</v>
      </c>
      <c r="L278">
        <f>電力量!L279-電力量!L278</f>
        <v>21.399999999994179</v>
      </c>
      <c r="M278">
        <f>電力量!M279-電力量!M278</f>
        <v>45.69999999999709</v>
      </c>
      <c r="N278">
        <f>電力量!N279-電力量!N278</f>
        <v>39.099999999991269</v>
      </c>
      <c r="O278">
        <f>電力量!O279-電力量!O278</f>
        <v>16.399999999994179</v>
      </c>
      <c r="P278">
        <f>電力量!P279-電力量!P278</f>
        <v>16</v>
      </c>
      <c r="Q278">
        <f>電力量!Q279-電力量!Q278</f>
        <v>24</v>
      </c>
      <c r="R278">
        <f>電力量!R279-電力量!R278</f>
        <v>0</v>
      </c>
    </row>
    <row r="279" spans="1:18">
      <c r="A279" s="4">
        <f t="shared" si="104"/>
        <v>45883.541666666664</v>
      </c>
      <c r="B279">
        <f>電力量!B280-電力量!B279</f>
        <v>773</v>
      </c>
      <c r="C279">
        <f>電力量!C280-電力量!C279</f>
        <v>203</v>
      </c>
      <c r="D279">
        <f>電力量!D280-電力量!D279</f>
        <v>34.19999999999709</v>
      </c>
      <c r="E279">
        <f>電力量!E280-電力量!E279</f>
        <v>0</v>
      </c>
      <c r="F279">
        <f>電力量!F280-電力量!F279</f>
        <v>30</v>
      </c>
      <c r="G279">
        <f>電力量!G280-電力量!G279</f>
        <v>40.700000000004366</v>
      </c>
      <c r="H279">
        <f>電力量!H280-電力量!H279</f>
        <v>12</v>
      </c>
      <c r="I279">
        <f>電力量!I280-電力量!I279</f>
        <v>268</v>
      </c>
      <c r="J279">
        <f>電力量!J280-電力量!J279</f>
        <v>14</v>
      </c>
      <c r="K279">
        <f>電力量!K280-電力量!K279</f>
        <v>0</v>
      </c>
      <c r="L279">
        <f>電力量!L280-電力量!L279</f>
        <v>23.900000000008731</v>
      </c>
      <c r="M279">
        <f>電力量!M280-電力量!M279</f>
        <v>47.80000000000291</v>
      </c>
      <c r="N279">
        <f>電力量!N280-電力量!N279</f>
        <v>39.600000000005821</v>
      </c>
      <c r="O279">
        <f>電力量!O280-電力量!O279</f>
        <v>16.80000000000291</v>
      </c>
      <c r="P279">
        <f>電力量!P280-電力量!P279</f>
        <v>15</v>
      </c>
      <c r="Q279">
        <f>電力量!Q280-電力量!Q279</f>
        <v>23</v>
      </c>
      <c r="R279">
        <f>電力量!R280-電力量!R279</f>
        <v>0</v>
      </c>
    </row>
    <row r="280" spans="1:18">
      <c r="A280" s="4">
        <f t="shared" si="105"/>
        <v>45883.583333333336</v>
      </c>
      <c r="B280">
        <f>電力量!B281-電力量!B280</f>
        <v>811</v>
      </c>
      <c r="C280">
        <f>電力量!C281-電力量!C280</f>
        <v>221</v>
      </c>
      <c r="D280">
        <f>電力量!D281-電力量!D280</f>
        <v>30</v>
      </c>
      <c r="E280">
        <f>電力量!E281-電力量!E280</f>
        <v>0</v>
      </c>
      <c r="F280">
        <f>電力量!F281-電力量!F280</f>
        <v>30</v>
      </c>
      <c r="G280">
        <f>電力量!G281-電力量!G280</f>
        <v>50</v>
      </c>
      <c r="H280">
        <f>電力量!H281-電力量!H280</f>
        <v>11</v>
      </c>
      <c r="I280">
        <f>電力量!I281-電力量!I280</f>
        <v>280</v>
      </c>
      <c r="J280">
        <f>電力量!J281-電力量!J280</f>
        <v>13.80000000000291</v>
      </c>
      <c r="K280">
        <f>電力量!K281-電力量!K280</f>
        <v>0</v>
      </c>
      <c r="L280">
        <f>電力量!L281-電力量!L280</f>
        <v>24.599999999991269</v>
      </c>
      <c r="M280">
        <f>電力量!M281-電力量!M280</f>
        <v>48.80000000000291</v>
      </c>
      <c r="N280">
        <f>電力量!N281-電力量!N280</f>
        <v>40.69999999999709</v>
      </c>
      <c r="O280">
        <f>電力量!O281-電力量!O280</f>
        <v>17.400000000008731</v>
      </c>
      <c r="P280">
        <f>電力量!P281-電力量!P280</f>
        <v>15</v>
      </c>
      <c r="Q280">
        <f>電力量!Q281-電力量!Q280</f>
        <v>22</v>
      </c>
      <c r="R280">
        <f>電力量!R281-電力量!R280</f>
        <v>0</v>
      </c>
    </row>
    <row r="281" spans="1:18">
      <c r="A281" s="4">
        <f t="shared" si="106"/>
        <v>45883.625</v>
      </c>
      <c r="B281">
        <f>電力量!B282-電力量!B281</f>
        <v>840</v>
      </c>
      <c r="C281">
        <f>電力量!C282-電力量!C281</f>
        <v>223</v>
      </c>
      <c r="D281">
        <f>電力量!D282-電力量!D281</f>
        <v>32.80000000000291</v>
      </c>
      <c r="E281">
        <f>電力量!E282-電力量!E281</f>
        <v>0</v>
      </c>
      <c r="F281">
        <f>電力量!F282-電力量!F281</f>
        <v>30</v>
      </c>
      <c r="G281">
        <f>電力量!G282-電力量!G281</f>
        <v>59</v>
      </c>
      <c r="H281">
        <f>電力量!H282-電力量!H281</f>
        <v>12</v>
      </c>
      <c r="I281">
        <f>電力量!I282-電力量!I281</f>
        <v>289</v>
      </c>
      <c r="J281">
        <f>電力量!J282-電力量!J281</f>
        <v>14.299999999995634</v>
      </c>
      <c r="K281">
        <f>電力量!K282-電力量!K281</f>
        <v>0</v>
      </c>
      <c r="L281">
        <f>電力量!L282-電力量!L281</f>
        <v>23.100000000005821</v>
      </c>
      <c r="M281">
        <f>電力量!M282-電力量!M281</f>
        <v>50</v>
      </c>
      <c r="N281">
        <f>電力量!N282-電力量!N281</f>
        <v>43.900000000008731</v>
      </c>
      <c r="O281">
        <f>電力量!O282-電力量!O281</f>
        <v>17.899999999994179</v>
      </c>
      <c r="P281">
        <f>電力量!P282-電力量!P281</f>
        <v>13</v>
      </c>
      <c r="Q281">
        <f>電力量!Q282-電力量!Q281</f>
        <v>20</v>
      </c>
      <c r="R281">
        <f>電力量!R282-電力量!R281</f>
        <v>0</v>
      </c>
    </row>
    <row r="282" spans="1:18">
      <c r="A282" s="4">
        <f t="shared" si="107"/>
        <v>45883.666666666664</v>
      </c>
      <c r="B282">
        <f>電力量!B283-電力量!B282</f>
        <v>835</v>
      </c>
      <c r="C282">
        <f>電力量!C283-電力量!C282</f>
        <v>214</v>
      </c>
      <c r="D282">
        <f>電力量!D283-電力量!D282</f>
        <v>28.400000000001455</v>
      </c>
      <c r="E282">
        <f>電力量!E283-電力量!E282</f>
        <v>0</v>
      </c>
      <c r="F282">
        <f>電力量!F283-電力量!F282</f>
        <v>26</v>
      </c>
      <c r="G282">
        <f>電力量!G283-電力量!G282</f>
        <v>63.5</v>
      </c>
      <c r="H282">
        <f>電力量!H283-電力量!H282</f>
        <v>11</v>
      </c>
      <c r="I282">
        <f>電力量!I283-電力量!I282</f>
        <v>285</v>
      </c>
      <c r="J282">
        <f>電力量!J283-電力量!J282</f>
        <v>13.700000000004366</v>
      </c>
      <c r="K282">
        <f>電力量!K283-電力量!K282</f>
        <v>0</v>
      </c>
      <c r="L282">
        <f>電力量!L283-電力量!L282</f>
        <v>21.80000000000291</v>
      </c>
      <c r="M282">
        <f>電力量!M283-電力量!M282</f>
        <v>49.799999999995634</v>
      </c>
      <c r="N282">
        <f>電力量!N283-電力量!N282</f>
        <v>47.599999999991269</v>
      </c>
      <c r="O282">
        <f>電力量!O283-電力量!O282</f>
        <v>18.80000000000291</v>
      </c>
      <c r="P282">
        <f>電力量!P283-電力量!P282</f>
        <v>9</v>
      </c>
      <c r="Q282">
        <f>電力量!Q283-電力量!Q282</f>
        <v>14</v>
      </c>
      <c r="R282">
        <f>電力量!R283-電力量!R282</f>
        <v>0</v>
      </c>
    </row>
    <row r="283" spans="1:18">
      <c r="A283" s="4">
        <f t="shared" si="108"/>
        <v>45883.708333333336</v>
      </c>
      <c r="B283">
        <f>電力量!B284-電力量!B283</f>
        <v>811</v>
      </c>
      <c r="C283">
        <f>電力量!C284-電力量!C283</f>
        <v>207</v>
      </c>
      <c r="D283">
        <f>電力量!D284-電力量!D283</f>
        <v>23.799999999995634</v>
      </c>
      <c r="E283">
        <f>電力量!E284-電力量!E283</f>
        <v>0</v>
      </c>
      <c r="F283">
        <f>電力量!F284-電力量!F283</f>
        <v>25</v>
      </c>
      <c r="G283">
        <f>電力量!G284-電力量!G283</f>
        <v>66.69999999999709</v>
      </c>
      <c r="H283">
        <f>電力量!H284-電力量!H283</f>
        <v>11</v>
      </c>
      <c r="I283">
        <f>電力量!I284-電力量!I283</f>
        <v>265</v>
      </c>
      <c r="J283">
        <f>電力量!J284-電力量!J283</f>
        <v>12</v>
      </c>
      <c r="K283">
        <f>電力量!K284-電力量!K283</f>
        <v>1.5</v>
      </c>
      <c r="L283">
        <f>電力量!L284-電力量!L283</f>
        <v>20.30000000000291</v>
      </c>
      <c r="M283">
        <f>電力量!M284-電力量!M283</f>
        <v>47.200000000004366</v>
      </c>
      <c r="N283">
        <f>電力量!N284-電力量!N283</f>
        <v>51.69999999999709</v>
      </c>
      <c r="O283">
        <f>電力量!O284-電力量!O283</f>
        <v>16.80000000000291</v>
      </c>
      <c r="P283">
        <f>電力量!P284-電力量!P283</f>
        <v>6</v>
      </c>
      <c r="Q283">
        <f>電力量!Q284-電力量!Q283</f>
        <v>9</v>
      </c>
      <c r="R283">
        <f>電力量!R284-電力量!R283</f>
        <v>0</v>
      </c>
    </row>
    <row r="284" spans="1:18">
      <c r="A284" s="4">
        <f t="shared" si="109"/>
        <v>45883.75</v>
      </c>
      <c r="B284">
        <f>電力量!B285-電力量!B284</f>
        <v>765</v>
      </c>
      <c r="C284">
        <f>電力量!C285-電力量!C284</f>
        <v>192</v>
      </c>
      <c r="D284">
        <f>電力量!D285-電力量!D284</f>
        <v>16.100000000005821</v>
      </c>
      <c r="E284">
        <f>電力量!E285-電力量!E284</f>
        <v>0</v>
      </c>
      <c r="F284">
        <f>電力量!F285-電力量!F284</f>
        <v>23</v>
      </c>
      <c r="G284">
        <f>電力量!G285-電力量!G284</f>
        <v>69.200000000004366</v>
      </c>
      <c r="H284">
        <f>電力量!H285-電力量!H284</f>
        <v>11</v>
      </c>
      <c r="I284">
        <f>電力量!I285-電力量!I284</f>
        <v>248</v>
      </c>
      <c r="J284">
        <f>電力量!J285-電力量!J284</f>
        <v>11.19999999999709</v>
      </c>
      <c r="K284">
        <f>電力量!K285-電力量!K284</f>
        <v>3</v>
      </c>
      <c r="L284">
        <f>電力量!L285-電力量!L284</f>
        <v>19</v>
      </c>
      <c r="M284">
        <f>電力量!M285-電力量!M284</f>
        <v>43.69999999999709</v>
      </c>
      <c r="N284">
        <f>電力量!N285-電力量!N284</f>
        <v>54.80000000000291</v>
      </c>
      <c r="O284">
        <f>電力量!O285-電力量!O284</f>
        <v>15.899999999994179</v>
      </c>
      <c r="P284">
        <f>電力量!P285-電力量!P284</f>
        <v>1</v>
      </c>
      <c r="Q284">
        <f>電力量!Q285-電力量!Q284</f>
        <v>2</v>
      </c>
      <c r="R284">
        <f>電力量!R285-電力量!R284</f>
        <v>0</v>
      </c>
    </row>
    <row r="285" spans="1:18">
      <c r="A285" s="4">
        <f t="shared" si="110"/>
        <v>45883.791666666664</v>
      </c>
      <c r="B285">
        <f>電力量!B286-電力量!B285</f>
        <v>721</v>
      </c>
      <c r="C285">
        <f>電力量!C286-電力量!C285</f>
        <v>178</v>
      </c>
      <c r="D285">
        <f>電力量!D286-電力量!D285</f>
        <v>14.299999999995634</v>
      </c>
      <c r="E285">
        <f>電力量!E286-電力量!E285</f>
        <v>0</v>
      </c>
      <c r="F285">
        <f>電力量!F286-電力量!F285</f>
        <v>20</v>
      </c>
      <c r="G285">
        <f>電力量!G286-電力量!G285</f>
        <v>65.5</v>
      </c>
      <c r="H285">
        <f>電力量!H286-電力量!H285</f>
        <v>12</v>
      </c>
      <c r="I285">
        <f>電力量!I286-電力量!I285</f>
        <v>228</v>
      </c>
      <c r="J285">
        <f>電力量!J286-電力量!J285</f>
        <v>10.599999999998545</v>
      </c>
      <c r="K285">
        <f>電力量!K286-電力量!K285</f>
        <v>3</v>
      </c>
      <c r="L285">
        <f>電力量!L286-電力量!L285</f>
        <v>21</v>
      </c>
      <c r="M285">
        <f>電力量!M286-電力量!M285</f>
        <v>42.900000000001455</v>
      </c>
      <c r="N285">
        <f>電力量!N286-電力量!N285</f>
        <v>55.5</v>
      </c>
      <c r="O285">
        <f>電力量!O286-電力量!O285</f>
        <v>16.80000000000291</v>
      </c>
      <c r="P285">
        <f>電力量!P286-電力量!P285</f>
        <v>0</v>
      </c>
      <c r="Q285">
        <f>電力量!Q286-電力量!Q285</f>
        <v>0</v>
      </c>
      <c r="R285">
        <f>電力量!R286-電力量!R285</f>
        <v>0</v>
      </c>
    </row>
    <row r="286" spans="1:18">
      <c r="A286" s="4">
        <f t="shared" si="111"/>
        <v>45883.833333333336</v>
      </c>
      <c r="B286">
        <f>電力量!B287-電力量!B286</f>
        <v>699</v>
      </c>
      <c r="C286">
        <f>電力量!C287-電力量!C286</f>
        <v>172</v>
      </c>
      <c r="D286">
        <f>電力量!D287-電力量!D286</f>
        <v>11.700000000004366</v>
      </c>
      <c r="E286">
        <f>電力量!E287-電力量!E286</f>
        <v>0</v>
      </c>
      <c r="F286">
        <f>電力量!F287-電力量!F286</f>
        <v>19</v>
      </c>
      <c r="G286">
        <f>電力量!G287-電力量!G286</f>
        <v>60.799999999995634</v>
      </c>
      <c r="H286">
        <f>電力量!H287-電力量!H286</f>
        <v>11</v>
      </c>
      <c r="I286">
        <f>電力量!I287-電力量!I286</f>
        <v>222</v>
      </c>
      <c r="J286">
        <f>電力量!J287-電力量!J286</f>
        <v>10.30000000000291</v>
      </c>
      <c r="K286">
        <f>電力量!K287-電力量!K286</f>
        <v>3</v>
      </c>
      <c r="L286">
        <f>電力量!L287-電力量!L286</f>
        <v>22.69999999999709</v>
      </c>
      <c r="M286">
        <f>電力量!M287-電力量!M286</f>
        <v>42.099999999998545</v>
      </c>
      <c r="N286">
        <f>電力量!N287-電力量!N286</f>
        <v>55.100000000005821</v>
      </c>
      <c r="O286">
        <f>電力量!O287-電力量!O286</f>
        <v>17.899999999994179</v>
      </c>
      <c r="P286">
        <f>電力量!P287-電力量!P286</f>
        <v>0</v>
      </c>
      <c r="Q286">
        <f>電力量!Q287-電力量!Q286</f>
        <v>0</v>
      </c>
      <c r="R286">
        <f>電力量!R287-電力量!R286</f>
        <v>0</v>
      </c>
    </row>
    <row r="287" spans="1:18">
      <c r="A287" s="4">
        <f t="shared" si="112"/>
        <v>45883.875</v>
      </c>
      <c r="B287">
        <f>電力量!B288-電力量!B287</f>
        <v>682</v>
      </c>
      <c r="C287">
        <f>電力量!C288-電力量!C287</f>
        <v>168</v>
      </c>
      <c r="D287">
        <f>電力量!D288-電力量!D287</f>
        <v>12</v>
      </c>
      <c r="E287">
        <f>電力量!E288-電力量!E287</f>
        <v>0</v>
      </c>
      <c r="F287">
        <f>電力量!F288-電力量!F287</f>
        <v>19</v>
      </c>
      <c r="G287">
        <f>電力量!G288-電力量!G287</f>
        <v>58.700000000004366</v>
      </c>
      <c r="H287">
        <f>電力量!H288-電力量!H287</f>
        <v>11</v>
      </c>
      <c r="I287">
        <f>電力量!I288-電力量!I287</f>
        <v>216</v>
      </c>
      <c r="J287">
        <f>電力量!J288-電力量!J287</f>
        <v>10.30000000000291</v>
      </c>
      <c r="K287">
        <f>電力量!K288-電力量!K287</f>
        <v>3</v>
      </c>
      <c r="L287">
        <f>電力量!L288-電力量!L287</f>
        <v>22.19999999999709</v>
      </c>
      <c r="M287">
        <f>電力量!M288-電力量!M287</f>
        <v>39.400000000001455</v>
      </c>
      <c r="N287">
        <f>電力量!N288-電力量!N287</f>
        <v>54.899999999994179</v>
      </c>
      <c r="O287">
        <f>電力量!O288-電力量!O287</f>
        <v>17</v>
      </c>
      <c r="P287">
        <f>電力量!P288-電力量!P287</f>
        <v>0</v>
      </c>
      <c r="Q287">
        <f>電力量!Q288-電力量!Q287</f>
        <v>0</v>
      </c>
      <c r="R287">
        <f>電力量!R288-電力量!R287</f>
        <v>0</v>
      </c>
    </row>
    <row r="288" spans="1:18">
      <c r="A288" s="4">
        <f t="shared" si="113"/>
        <v>45883.916666666664</v>
      </c>
      <c r="B288">
        <f>電力量!B289-電力量!B288</f>
        <v>664</v>
      </c>
      <c r="C288">
        <f>電力量!C289-電力量!C288</f>
        <v>164</v>
      </c>
      <c r="D288">
        <f>電力量!D289-電力量!D288</f>
        <v>11.399999999994179</v>
      </c>
      <c r="E288">
        <f>電力量!E289-電力量!E288</f>
        <v>0</v>
      </c>
      <c r="F288">
        <f>電力量!F289-電力量!F288</f>
        <v>18</v>
      </c>
      <c r="G288">
        <f>電力量!G289-電力量!G288</f>
        <v>56.19999999999709</v>
      </c>
      <c r="H288">
        <f>電力量!H289-電力量!H288</f>
        <v>10</v>
      </c>
      <c r="I288">
        <f>電力量!I289-電力量!I288</f>
        <v>209</v>
      </c>
      <c r="J288">
        <f>電力量!J289-電力量!J288</f>
        <v>10</v>
      </c>
      <c r="K288">
        <f>電力量!K289-電力量!K288</f>
        <v>3</v>
      </c>
      <c r="L288">
        <f>電力量!L289-電力量!L288</f>
        <v>21.30000000000291</v>
      </c>
      <c r="M288">
        <f>電力量!M289-電力量!M288</f>
        <v>39.099999999998545</v>
      </c>
      <c r="N288">
        <f>電力量!N289-電力量!N288</f>
        <v>54.900000000008731</v>
      </c>
      <c r="O288">
        <f>電力量!O289-電力量!O288</f>
        <v>17.400000000008731</v>
      </c>
      <c r="P288">
        <f>電力量!P289-電力量!P288</f>
        <v>0</v>
      </c>
      <c r="Q288">
        <f>電力量!Q289-電力量!Q288</f>
        <v>0</v>
      </c>
      <c r="R288">
        <f>電力量!R289-電力量!R288</f>
        <v>0</v>
      </c>
    </row>
    <row r="289" spans="1:18">
      <c r="A289" s="4">
        <f t="shared" si="114"/>
        <v>45883.958333333336</v>
      </c>
      <c r="B289">
        <f>電力量!B290-電力量!B289</f>
        <v>658</v>
      </c>
      <c r="C289">
        <f>電力量!C290-電力量!C289</f>
        <v>161</v>
      </c>
      <c r="D289">
        <f>電力量!D290-電力量!D289</f>
        <v>11.5</v>
      </c>
      <c r="E289">
        <f>電力量!E290-電力量!E289</f>
        <v>0</v>
      </c>
      <c r="F289">
        <f>電力量!F290-電力量!F289</f>
        <v>18</v>
      </c>
      <c r="G289">
        <f>電力量!G290-電力量!G289</f>
        <v>55.599999999998545</v>
      </c>
      <c r="H289">
        <f>電力量!H290-電力量!H289</f>
        <v>11</v>
      </c>
      <c r="I289">
        <f>電力量!I290-電力量!I289</f>
        <v>209</v>
      </c>
      <c r="J289">
        <f>電力量!J290-電力量!J289</f>
        <v>9.7999999999956344</v>
      </c>
      <c r="K289">
        <f>電力量!K290-電力量!K289</f>
        <v>3</v>
      </c>
      <c r="L289">
        <f>電力量!L290-電力量!L289</f>
        <v>21.19999999999709</v>
      </c>
      <c r="M289">
        <f>電力量!M290-電力量!M289</f>
        <v>38.599999999998545</v>
      </c>
      <c r="N289">
        <f>電力量!N290-電力量!N289</f>
        <v>54.299999999988358</v>
      </c>
      <c r="O289">
        <f>電力量!O290-電力量!O289</f>
        <v>17.399999999994179</v>
      </c>
      <c r="P289">
        <f>電力量!P290-電力量!P289</f>
        <v>0</v>
      </c>
      <c r="Q289">
        <f>電力量!Q290-電力量!Q289</f>
        <v>0</v>
      </c>
      <c r="R289">
        <f>電力量!R290-電力量!R289</f>
        <v>0</v>
      </c>
    </row>
    <row r="290" spans="1:18">
      <c r="A290" s="4">
        <v>45884</v>
      </c>
      <c r="B290">
        <f>電力量!B291-電力量!B290</f>
        <v>653</v>
      </c>
      <c r="C290">
        <f>電力量!C291-電力量!C290</f>
        <v>159</v>
      </c>
      <c r="D290">
        <f>電力量!D291-電力量!D290</f>
        <v>11.700000000004366</v>
      </c>
      <c r="E290">
        <f>電力量!E291-電力量!E290</f>
        <v>0</v>
      </c>
      <c r="F290">
        <f>電力量!F291-電力量!F290</f>
        <v>18</v>
      </c>
      <c r="G290">
        <f>電力量!G291-電力量!G290</f>
        <v>54.700000000004366</v>
      </c>
      <c r="H290">
        <f>電力量!H291-電力量!H290</f>
        <v>10</v>
      </c>
      <c r="I290">
        <f>電力量!I291-電力量!I290</f>
        <v>207</v>
      </c>
      <c r="J290">
        <f>電力量!J291-電力量!J290</f>
        <v>9.9000000000014552</v>
      </c>
      <c r="K290">
        <f>電力量!K291-電力量!K290</f>
        <v>2.9000000000087311</v>
      </c>
      <c r="L290">
        <f>電力量!L291-電力量!L290</f>
        <v>21.80000000000291</v>
      </c>
      <c r="M290">
        <f>電力量!M291-電力量!M290</f>
        <v>38.30000000000291</v>
      </c>
      <c r="N290">
        <f>電力量!N291-電力量!N290</f>
        <v>54.200000000011642</v>
      </c>
      <c r="O290">
        <f>電力量!O291-電力量!O290</f>
        <v>16.19999999999709</v>
      </c>
      <c r="P290">
        <f>電力量!P291-電力量!P290</f>
        <v>0</v>
      </c>
      <c r="Q290">
        <f>電力量!Q291-電力量!Q290</f>
        <v>0</v>
      </c>
      <c r="R290">
        <f>電力量!R291-電力量!R290</f>
        <v>0</v>
      </c>
    </row>
    <row r="291" spans="1:18">
      <c r="A291" s="4">
        <f t="shared" si="92"/>
        <v>45884.041666666664</v>
      </c>
      <c r="B291">
        <f>電力量!B292-電力量!B291</f>
        <v>650</v>
      </c>
      <c r="C291">
        <f>電力量!C292-電力量!C291</f>
        <v>161</v>
      </c>
      <c r="D291">
        <f>電力量!D292-電力量!D291</f>
        <v>12.099999999998545</v>
      </c>
      <c r="E291">
        <f>電力量!E292-電力量!E291</f>
        <v>0</v>
      </c>
      <c r="F291">
        <f>電力量!F292-電力量!F291</f>
        <v>18</v>
      </c>
      <c r="G291">
        <f>電力量!G292-電力量!G291</f>
        <v>54.69999999999709</v>
      </c>
      <c r="H291">
        <f>電力量!H292-電力量!H291</f>
        <v>10</v>
      </c>
      <c r="I291">
        <f>電力量!I292-電力量!I291</f>
        <v>203</v>
      </c>
      <c r="J291">
        <f>電力量!J292-電力量!J291</f>
        <v>9.4000000000014552</v>
      </c>
      <c r="K291">
        <f>電力量!K292-電力量!K291</f>
        <v>3</v>
      </c>
      <c r="L291">
        <f>電力量!L292-電力量!L291</f>
        <v>21.80000000000291</v>
      </c>
      <c r="M291">
        <f>電力量!M292-電力量!M291</f>
        <v>38</v>
      </c>
      <c r="N291">
        <f>電力量!N292-電力量!N291</f>
        <v>54.399999999994179</v>
      </c>
      <c r="O291">
        <f>電力量!O292-電力量!O291</f>
        <v>17</v>
      </c>
      <c r="P291">
        <f>電力量!P292-電力量!P291</f>
        <v>0</v>
      </c>
      <c r="Q291">
        <f>電力量!Q292-電力量!Q291</f>
        <v>0</v>
      </c>
      <c r="R291">
        <f>電力量!R292-電力量!R291</f>
        <v>0</v>
      </c>
    </row>
    <row r="292" spans="1:18">
      <c r="A292" s="4">
        <f t="shared" si="93"/>
        <v>45884.083333333336</v>
      </c>
      <c r="B292">
        <f>電力量!B293-電力量!B292</f>
        <v>641</v>
      </c>
      <c r="C292">
        <f>電力量!C293-電力量!C292</f>
        <v>158</v>
      </c>
      <c r="D292">
        <f>電力量!D293-電力量!D292</f>
        <v>12.19999999999709</v>
      </c>
      <c r="E292">
        <f>電力量!E293-電力量!E292</f>
        <v>0</v>
      </c>
      <c r="F292">
        <f>電力量!F293-電力量!F292</f>
        <v>18</v>
      </c>
      <c r="G292">
        <f>電力量!G293-電力量!G292</f>
        <v>53.5</v>
      </c>
      <c r="H292">
        <f>電力量!H293-電力量!H292</f>
        <v>11</v>
      </c>
      <c r="I292">
        <f>電力量!I293-電力量!I292</f>
        <v>200</v>
      </c>
      <c r="J292">
        <f>電力量!J293-電力量!J292</f>
        <v>9.5999999999985448</v>
      </c>
      <c r="K292">
        <f>電力量!K293-電力量!K292</f>
        <v>3.3999999999941792</v>
      </c>
      <c r="L292">
        <f>電力量!L293-電力量!L292</f>
        <v>19.399999999994179</v>
      </c>
      <c r="M292">
        <f>電力量!M293-電力量!M292</f>
        <v>38.299999999995634</v>
      </c>
      <c r="N292">
        <f>電力量!N293-電力量!N292</f>
        <v>54</v>
      </c>
      <c r="O292">
        <f>電力量!O293-電力量!O292</f>
        <v>16.80000000000291</v>
      </c>
      <c r="P292">
        <f>電力量!P293-電力量!P292</f>
        <v>0</v>
      </c>
      <c r="Q292">
        <f>電力量!Q293-電力量!Q292</f>
        <v>0</v>
      </c>
      <c r="R292">
        <f>電力量!R293-電力量!R292</f>
        <v>0</v>
      </c>
    </row>
    <row r="293" spans="1:18">
      <c r="A293" s="4">
        <f t="shared" si="94"/>
        <v>45884.125</v>
      </c>
      <c r="B293">
        <f>電力量!B294-電力量!B293</f>
        <v>628</v>
      </c>
      <c r="C293">
        <f>電力量!C294-電力量!C293</f>
        <v>153</v>
      </c>
      <c r="D293">
        <f>電力量!D294-電力量!D293</f>
        <v>11.700000000004366</v>
      </c>
      <c r="E293">
        <f>電力量!E294-電力量!E293</f>
        <v>0</v>
      </c>
      <c r="F293">
        <f>電力量!F294-電力量!F293</f>
        <v>17</v>
      </c>
      <c r="G293">
        <f>電力量!G294-電力量!G293</f>
        <v>52.400000000001455</v>
      </c>
      <c r="H293">
        <f>電力量!H294-電力量!H293</f>
        <v>10</v>
      </c>
      <c r="I293">
        <f>電力量!I294-電力量!I293</f>
        <v>197</v>
      </c>
      <c r="J293">
        <f>電力量!J294-電力量!J293</f>
        <v>9.1999999999970896</v>
      </c>
      <c r="K293">
        <f>電力量!K294-電力量!K293</f>
        <v>3.1999999999970896</v>
      </c>
      <c r="L293">
        <f>電力量!L294-電力量!L293</f>
        <v>19</v>
      </c>
      <c r="M293">
        <f>電力量!M294-電力量!M293</f>
        <v>38.100000000005821</v>
      </c>
      <c r="N293">
        <f>電力量!N294-電力量!N293</f>
        <v>53.899999999994179</v>
      </c>
      <c r="O293">
        <f>電力量!O294-電力量!O293</f>
        <v>16.30000000000291</v>
      </c>
      <c r="P293">
        <f>電力量!P294-電力量!P293</f>
        <v>0</v>
      </c>
      <c r="Q293">
        <f>電力量!Q294-電力量!Q293</f>
        <v>0</v>
      </c>
      <c r="R293">
        <f>電力量!R294-電力量!R293</f>
        <v>0</v>
      </c>
    </row>
    <row r="294" spans="1:18">
      <c r="A294" s="4">
        <f t="shared" si="95"/>
        <v>45884.166666666664</v>
      </c>
      <c r="B294">
        <f>電力量!B295-電力量!B294</f>
        <v>631</v>
      </c>
      <c r="C294">
        <f>電力量!C295-電力量!C294</f>
        <v>154</v>
      </c>
      <c r="D294">
        <f>電力量!D295-電力量!D294</f>
        <v>12.299999999995634</v>
      </c>
      <c r="E294">
        <f>電力量!E295-電力量!E294</f>
        <v>0</v>
      </c>
      <c r="F294">
        <f>電力量!F295-電力量!F294</f>
        <v>18</v>
      </c>
      <c r="G294">
        <f>電力量!G295-電力量!G294</f>
        <v>53</v>
      </c>
      <c r="H294">
        <f>電力量!H295-電力量!H294</f>
        <v>11</v>
      </c>
      <c r="I294">
        <f>電力量!I295-電力量!I294</f>
        <v>195</v>
      </c>
      <c r="J294">
        <f>電力量!J295-電力量!J294</f>
        <v>9.4000000000014552</v>
      </c>
      <c r="K294">
        <f>電力量!K295-電力量!K294</f>
        <v>2.9000000000087311</v>
      </c>
      <c r="L294">
        <f>電力量!L295-電力量!L294</f>
        <v>19.69999999999709</v>
      </c>
      <c r="M294">
        <f>電力量!M295-電力量!M294</f>
        <v>37.899999999994179</v>
      </c>
      <c r="N294">
        <f>電力量!N295-電力量!N294</f>
        <v>54.5</v>
      </c>
      <c r="O294">
        <f>電力量!O295-電力量!O294</f>
        <v>17.5</v>
      </c>
      <c r="P294">
        <f>電力量!P295-電力量!P294</f>
        <v>0</v>
      </c>
      <c r="Q294">
        <f>電力量!Q295-電力量!Q294</f>
        <v>0</v>
      </c>
      <c r="R294">
        <f>電力量!R295-電力量!R294</f>
        <v>0</v>
      </c>
    </row>
    <row r="295" spans="1:18">
      <c r="A295" s="4">
        <f t="shared" si="96"/>
        <v>45884.208333333336</v>
      </c>
      <c r="B295">
        <f>電力量!B296-電力量!B295</f>
        <v>625</v>
      </c>
      <c r="C295">
        <f>電力量!C296-電力量!C295</f>
        <v>154</v>
      </c>
      <c r="D295">
        <f>電力量!D296-電力量!D295</f>
        <v>12.600000000005821</v>
      </c>
      <c r="E295">
        <f>電力量!E296-電力量!E295</f>
        <v>0</v>
      </c>
      <c r="F295">
        <f>電力量!F296-電力量!F295</f>
        <v>17</v>
      </c>
      <c r="G295">
        <f>電力量!G296-電力量!G295</f>
        <v>51.299999999995634</v>
      </c>
      <c r="H295">
        <f>電力量!H296-電力量!H295</f>
        <v>11</v>
      </c>
      <c r="I295">
        <f>電力量!I296-電力量!I295</f>
        <v>195</v>
      </c>
      <c r="J295">
        <f>電力量!J296-電力量!J295</f>
        <v>8.5</v>
      </c>
      <c r="K295">
        <f>電力量!K296-電力量!K295</f>
        <v>2.8000000000029104</v>
      </c>
      <c r="L295">
        <f>電力量!L296-電力量!L295</f>
        <v>19</v>
      </c>
      <c r="M295">
        <f>電力量!M296-電力量!M295</f>
        <v>37.600000000005821</v>
      </c>
      <c r="N295">
        <f>電力量!N296-電力量!N295</f>
        <v>53.5</v>
      </c>
      <c r="O295">
        <f>電力量!O296-電力量!O295</f>
        <v>15.899999999994179</v>
      </c>
      <c r="P295">
        <f>電力量!P296-電力量!P295</f>
        <v>0</v>
      </c>
      <c r="Q295">
        <f>電力量!Q296-電力量!Q295</f>
        <v>0</v>
      </c>
      <c r="R295">
        <f>電力量!R296-電力量!R295</f>
        <v>0</v>
      </c>
    </row>
    <row r="296" spans="1:18">
      <c r="A296" s="4">
        <f t="shared" si="97"/>
        <v>45884.25</v>
      </c>
      <c r="B296">
        <f>電力量!B297-電力量!B296</f>
        <v>636</v>
      </c>
      <c r="C296">
        <f>電力量!C297-電力量!C296</f>
        <v>156</v>
      </c>
      <c r="D296">
        <f>電力量!D297-電力量!D296</f>
        <v>12.19999999999709</v>
      </c>
      <c r="E296">
        <f>電力量!E297-電力量!E296</f>
        <v>0</v>
      </c>
      <c r="F296">
        <f>電力量!F297-電力量!F296</f>
        <v>17</v>
      </c>
      <c r="G296">
        <f>電力量!G297-電力量!G296</f>
        <v>55.100000000005821</v>
      </c>
      <c r="H296">
        <f>電力量!H297-電力量!H296</f>
        <v>10</v>
      </c>
      <c r="I296">
        <f>電力量!I297-電力量!I296</f>
        <v>198</v>
      </c>
      <c r="J296">
        <f>電力量!J297-電力量!J296</f>
        <v>9.3000000000029104</v>
      </c>
      <c r="K296">
        <f>電力量!K297-電力量!K296</f>
        <v>2.2999999999883585</v>
      </c>
      <c r="L296">
        <f>電力量!L297-電力量!L296</f>
        <v>18.69999999999709</v>
      </c>
      <c r="M296">
        <f>電力量!M297-電力量!M296</f>
        <v>38.399999999994179</v>
      </c>
      <c r="N296">
        <f>電力量!N297-電力量!N296</f>
        <v>53.100000000005821</v>
      </c>
      <c r="O296">
        <f>電力量!O297-電力量!O296</f>
        <v>15.69999999999709</v>
      </c>
      <c r="P296">
        <f>電力量!P297-電力量!P296</f>
        <v>0</v>
      </c>
      <c r="Q296">
        <f>電力量!Q297-電力量!Q296</f>
        <v>0</v>
      </c>
      <c r="R296">
        <f>電力量!R297-電力量!R296</f>
        <v>0</v>
      </c>
    </row>
    <row r="297" spans="1:18">
      <c r="A297" s="4">
        <f t="shared" si="98"/>
        <v>45884.291666666664</v>
      </c>
      <c r="B297">
        <f>電力量!B298-電力量!B297</f>
        <v>661</v>
      </c>
      <c r="C297">
        <f>電力量!C298-電力量!C297</f>
        <v>167</v>
      </c>
      <c r="D297">
        <f>電力量!D298-電力量!D297</f>
        <v>11.80000000000291</v>
      </c>
      <c r="E297">
        <f>電力量!E298-電力量!E297</f>
        <v>0</v>
      </c>
      <c r="F297">
        <f>電力量!F298-電力量!F297</f>
        <v>19</v>
      </c>
      <c r="G297">
        <f>電力量!G298-電力量!G297</f>
        <v>56.599999999998545</v>
      </c>
      <c r="H297">
        <f>電力量!H298-電力量!H297</f>
        <v>10</v>
      </c>
      <c r="I297">
        <f>電力量!I298-電力量!I297</f>
        <v>211</v>
      </c>
      <c r="J297">
        <f>電力量!J298-電力量!J297</f>
        <v>10.400000000001455</v>
      </c>
      <c r="K297">
        <f>電力量!K298-電力量!K297</f>
        <v>0.60000000000582077</v>
      </c>
      <c r="L297">
        <f>電力量!L298-電力量!L297</f>
        <v>18.400000000008731</v>
      </c>
      <c r="M297">
        <f>電力量!M298-電力量!M297</f>
        <v>38.700000000004366</v>
      </c>
      <c r="N297">
        <f>電力量!N298-電力量!N297</f>
        <v>50.399999999994179</v>
      </c>
      <c r="O297">
        <f>電力量!O298-電力量!O297</f>
        <v>16.5</v>
      </c>
      <c r="P297">
        <f>電力量!P298-電力量!P297</f>
        <v>1</v>
      </c>
      <c r="Q297">
        <f>電力量!Q298-電力量!Q297</f>
        <v>3</v>
      </c>
      <c r="R297">
        <f>電力量!R298-電力量!R297</f>
        <v>0</v>
      </c>
    </row>
    <row r="298" spans="1:18">
      <c r="A298" s="4">
        <f t="shared" si="99"/>
        <v>45884.333333333336</v>
      </c>
      <c r="B298">
        <f>電力量!B299-電力量!B298</f>
        <v>687</v>
      </c>
      <c r="C298">
        <f>電力量!C299-電力量!C298</f>
        <v>170</v>
      </c>
      <c r="D298">
        <f>電力量!D299-電力量!D298</f>
        <v>12</v>
      </c>
      <c r="E298">
        <f>電力量!E299-電力量!E298</f>
        <v>0</v>
      </c>
      <c r="F298">
        <f>電力量!F299-電力量!F298</f>
        <v>22</v>
      </c>
      <c r="G298">
        <f>電力量!G299-電力量!G298</f>
        <v>50.299999999995634</v>
      </c>
      <c r="H298">
        <f>電力量!H299-電力量!H298</f>
        <v>11</v>
      </c>
      <c r="I298">
        <f>電力量!I299-電力量!I298</f>
        <v>231</v>
      </c>
      <c r="J298">
        <f>電力量!J299-電力量!J298</f>
        <v>14.099999999998545</v>
      </c>
      <c r="K298">
        <f>電力量!K299-電力量!K298</f>
        <v>0</v>
      </c>
      <c r="L298">
        <f>電力量!L299-電力量!L298</f>
        <v>20.399999999994179</v>
      </c>
      <c r="M298">
        <f>電力量!M299-電力量!M298</f>
        <v>40.099999999998545</v>
      </c>
      <c r="N298">
        <f>電力量!N299-電力量!N298</f>
        <v>48.400000000008731</v>
      </c>
      <c r="O298">
        <f>電力量!O299-電力量!O298</f>
        <v>17.400000000008731</v>
      </c>
      <c r="P298">
        <f>電力量!P299-電力量!P298</f>
        <v>4</v>
      </c>
      <c r="Q298">
        <f>電力量!Q299-電力量!Q298</f>
        <v>8</v>
      </c>
      <c r="R298">
        <f>電力量!R299-電力量!R298</f>
        <v>0</v>
      </c>
    </row>
    <row r="299" spans="1:18">
      <c r="A299" s="4">
        <f t="shared" si="100"/>
        <v>45884.375</v>
      </c>
      <c r="B299">
        <f>電力量!B300-電力量!B299</f>
        <v>698</v>
      </c>
      <c r="C299">
        <f>電力量!C300-電力量!C299</f>
        <v>176</v>
      </c>
      <c r="D299">
        <f>電力量!D300-電力量!D299</f>
        <v>12.399999999994179</v>
      </c>
      <c r="E299">
        <f>電力量!E300-電力量!E299</f>
        <v>0</v>
      </c>
      <c r="F299">
        <f>電力量!F300-電力量!F299</f>
        <v>25</v>
      </c>
      <c r="G299">
        <f>電力量!G300-電力量!G299</f>
        <v>43.30000000000291</v>
      </c>
      <c r="H299">
        <f>電力量!H300-電力量!H299</f>
        <v>10</v>
      </c>
      <c r="I299">
        <f>電力量!I300-電力量!I299</f>
        <v>243</v>
      </c>
      <c r="J299">
        <f>電力量!J300-電力量!J299</f>
        <v>15.19999999999709</v>
      </c>
      <c r="K299">
        <f>電力量!K300-電力量!K299</f>
        <v>0</v>
      </c>
      <c r="L299">
        <f>電力量!L300-電力量!L299</f>
        <v>22.600000000005821</v>
      </c>
      <c r="M299">
        <f>電力量!M300-電力量!M299</f>
        <v>42.19999999999709</v>
      </c>
      <c r="N299">
        <f>電力量!N300-電力量!N299</f>
        <v>45.30000000000291</v>
      </c>
      <c r="O299">
        <f>電力量!O300-電力量!O299</f>
        <v>17.69999999999709</v>
      </c>
      <c r="P299">
        <f>電力量!P300-電力量!P299</f>
        <v>10</v>
      </c>
      <c r="Q299">
        <f>電力量!Q300-電力量!Q299</f>
        <v>14</v>
      </c>
      <c r="R299">
        <f>電力量!R300-電力量!R299</f>
        <v>0</v>
      </c>
    </row>
    <row r="300" spans="1:18">
      <c r="A300" s="4">
        <f t="shared" si="101"/>
        <v>45884.416666666664</v>
      </c>
      <c r="B300">
        <f>電力量!B301-電力量!B300</f>
        <v>730</v>
      </c>
      <c r="C300">
        <f>電力量!C301-電力量!C300</f>
        <v>182</v>
      </c>
      <c r="D300">
        <f>電力量!D301-電力量!D300</f>
        <v>19</v>
      </c>
      <c r="E300">
        <f>電力量!E301-電力量!E300</f>
        <v>0</v>
      </c>
      <c r="F300">
        <f>電力量!F301-電力量!F300</f>
        <v>30</v>
      </c>
      <c r="G300">
        <f>電力量!G301-電力量!G300</f>
        <v>47.599999999998545</v>
      </c>
      <c r="H300">
        <f>電力量!H301-電力量!H300</f>
        <v>10</v>
      </c>
      <c r="I300">
        <f>電力量!I301-電力量!I300</f>
        <v>252</v>
      </c>
      <c r="J300">
        <f>電力量!J301-電力量!J300</f>
        <v>13.80000000000291</v>
      </c>
      <c r="K300">
        <f>電力量!K301-電力量!K300</f>
        <v>0</v>
      </c>
      <c r="L300">
        <f>電力量!L301-電力量!L300</f>
        <v>20.599999999991269</v>
      </c>
      <c r="M300">
        <f>電力量!M301-電力量!M300</f>
        <v>43.600000000005821</v>
      </c>
      <c r="N300">
        <f>電力量!N301-電力量!N300</f>
        <v>48.799999999988358</v>
      </c>
      <c r="O300">
        <f>電力量!O301-電力量!O300</f>
        <v>17.5</v>
      </c>
      <c r="P300">
        <f>電力量!P301-電力量!P300</f>
        <v>10</v>
      </c>
      <c r="Q300">
        <f>電力量!Q301-電力量!Q300</f>
        <v>16</v>
      </c>
      <c r="R300">
        <f>電力量!R301-電力量!R300</f>
        <v>0</v>
      </c>
    </row>
    <row r="301" spans="1:18">
      <c r="A301" s="4">
        <f t="shared" si="102"/>
        <v>45884.458333333336</v>
      </c>
      <c r="B301">
        <f>電力量!B302-電力量!B301</f>
        <v>743</v>
      </c>
      <c r="C301">
        <f>電力量!C302-電力量!C301</f>
        <v>193</v>
      </c>
      <c r="D301">
        <f>電力量!D302-電力量!D301</f>
        <v>17.30000000000291</v>
      </c>
      <c r="E301">
        <f>電力量!E302-電力量!E301</f>
        <v>0</v>
      </c>
      <c r="F301">
        <f>電力量!F302-電力量!F301</f>
        <v>34</v>
      </c>
      <c r="G301">
        <f>電力量!G302-電力量!G301</f>
        <v>45</v>
      </c>
      <c r="H301">
        <f>電力量!H302-電力量!H301</f>
        <v>12</v>
      </c>
      <c r="I301">
        <f>電力量!I302-電力量!I301</f>
        <v>261</v>
      </c>
      <c r="J301">
        <f>電力量!J302-電力量!J301</f>
        <v>12.299999999995634</v>
      </c>
      <c r="K301">
        <f>電力量!K302-電力量!K301</f>
        <v>0</v>
      </c>
      <c r="L301">
        <f>電力量!L302-電力量!L301</f>
        <v>22.5</v>
      </c>
      <c r="M301">
        <f>電力量!M302-電力量!M301</f>
        <v>41.899999999994179</v>
      </c>
      <c r="N301">
        <f>電力量!N302-電力量!N301</f>
        <v>45.600000000005821</v>
      </c>
      <c r="O301">
        <f>電力量!O302-電力量!O301</f>
        <v>17.399999999994179</v>
      </c>
      <c r="P301">
        <f>電力量!P302-電力量!P301</f>
        <v>13</v>
      </c>
      <c r="Q301">
        <f>電力量!Q302-電力量!Q301</f>
        <v>20</v>
      </c>
      <c r="R301">
        <f>電力量!R302-電力量!R301</f>
        <v>0</v>
      </c>
    </row>
    <row r="302" spans="1:18">
      <c r="A302" s="4">
        <f t="shared" si="103"/>
        <v>45884.5</v>
      </c>
      <c r="B302">
        <f>電力量!B303-電力量!B302</f>
        <v>755</v>
      </c>
      <c r="C302">
        <f>電力量!C303-電力量!C302</f>
        <v>199</v>
      </c>
      <c r="D302">
        <f>電力量!D303-電力量!D302</f>
        <v>18.5</v>
      </c>
      <c r="E302">
        <f>電力量!E303-電力量!E302</f>
        <v>0</v>
      </c>
      <c r="F302">
        <f>電力量!F303-電力量!F302</f>
        <v>35</v>
      </c>
      <c r="G302">
        <f>電力量!G303-電力量!G302</f>
        <v>48.099999999998545</v>
      </c>
      <c r="H302">
        <f>電力量!H303-電力量!H302</f>
        <v>11</v>
      </c>
      <c r="I302">
        <f>電力量!I303-電力量!I302</f>
        <v>265</v>
      </c>
      <c r="J302">
        <f>電力量!J303-電力量!J302</f>
        <v>12.200000000004366</v>
      </c>
      <c r="K302">
        <f>電力量!K303-電力量!K302</f>
        <v>0</v>
      </c>
      <c r="L302">
        <f>電力量!L303-電力量!L302</f>
        <v>23.400000000008731</v>
      </c>
      <c r="M302">
        <f>電力量!M303-電力量!M302</f>
        <v>43.600000000005821</v>
      </c>
      <c r="N302">
        <f>電力量!N303-電力量!N302</f>
        <v>45.19999999999709</v>
      </c>
      <c r="O302">
        <f>電力量!O303-電力量!O302</f>
        <v>15.900000000008731</v>
      </c>
      <c r="P302">
        <f>電力量!P303-電力量!P302</f>
        <v>15</v>
      </c>
      <c r="Q302">
        <f>電力量!Q303-電力量!Q302</f>
        <v>22</v>
      </c>
      <c r="R302">
        <f>電力量!R303-電力量!R302</f>
        <v>0</v>
      </c>
    </row>
    <row r="303" spans="1:18">
      <c r="A303" s="4">
        <f t="shared" si="104"/>
        <v>45884.541666666664</v>
      </c>
      <c r="B303">
        <f>電力量!B304-電力量!B303</f>
        <v>793</v>
      </c>
      <c r="C303">
        <f>電力量!C304-電力量!C303</f>
        <v>214</v>
      </c>
      <c r="D303">
        <f>電力量!D304-電力量!D303</f>
        <v>21.69999999999709</v>
      </c>
      <c r="E303">
        <f>電力量!E304-電力量!E303</f>
        <v>0</v>
      </c>
      <c r="F303">
        <f>電力量!F304-電力量!F303</f>
        <v>37</v>
      </c>
      <c r="G303">
        <f>電力量!G304-電力量!G303</f>
        <v>55.400000000001455</v>
      </c>
      <c r="H303">
        <f>電力量!H304-電力量!H303</f>
        <v>12</v>
      </c>
      <c r="I303">
        <f>電力量!I304-電力量!I303</f>
        <v>265</v>
      </c>
      <c r="J303">
        <f>電力量!J304-電力量!J303</f>
        <v>13.19999999999709</v>
      </c>
      <c r="K303">
        <f>電力量!K304-電力量!K303</f>
        <v>0</v>
      </c>
      <c r="L303">
        <f>電力量!L304-電力量!L303</f>
        <v>25.30000000000291</v>
      </c>
      <c r="M303">
        <f>電力量!M304-電力量!M303</f>
        <v>46.899999999994179</v>
      </c>
      <c r="N303">
        <f>電力量!N304-電力量!N303</f>
        <v>47.19999999999709</v>
      </c>
      <c r="O303">
        <f>電力量!O304-電力量!O303</f>
        <v>17.899999999994179</v>
      </c>
      <c r="P303">
        <f>電力量!P304-電力量!P303</f>
        <v>16</v>
      </c>
      <c r="Q303">
        <f>電力量!Q304-電力量!Q303</f>
        <v>24</v>
      </c>
      <c r="R303">
        <f>電力量!R304-電力量!R303</f>
        <v>0</v>
      </c>
    </row>
    <row r="304" spans="1:18">
      <c r="A304" s="4">
        <f t="shared" si="105"/>
        <v>45884.583333333336</v>
      </c>
      <c r="B304">
        <f>電力量!B305-電力量!B304</f>
        <v>794</v>
      </c>
      <c r="C304">
        <f>電力量!C305-電力量!C304</f>
        <v>216</v>
      </c>
      <c r="D304">
        <f>電力量!D305-電力量!D304</f>
        <v>20.200000000004366</v>
      </c>
      <c r="E304">
        <f>電力量!E305-電力量!E304</f>
        <v>0</v>
      </c>
      <c r="F304">
        <f>電力量!F305-電力量!F304</f>
        <v>37</v>
      </c>
      <c r="G304">
        <f>電力量!G305-電力量!G304</f>
        <v>59.400000000001455</v>
      </c>
      <c r="H304">
        <f>電力量!H305-電力量!H304</f>
        <v>11</v>
      </c>
      <c r="I304">
        <f>電力量!I305-電力量!I304</f>
        <v>270</v>
      </c>
      <c r="J304">
        <f>電力量!J305-電力量!J304</f>
        <v>13.200000000004366</v>
      </c>
      <c r="K304">
        <f>電力量!K305-電力量!K304</f>
        <v>0</v>
      </c>
      <c r="L304">
        <f>電力量!L305-電力量!L304</f>
        <v>24</v>
      </c>
      <c r="M304">
        <f>電力量!M305-電力量!M304</f>
        <v>46</v>
      </c>
      <c r="N304">
        <f>電力量!N305-電力量!N304</f>
        <v>39.200000000011642</v>
      </c>
      <c r="O304">
        <f>電力量!O305-電力量!O304</f>
        <v>17.5</v>
      </c>
      <c r="P304">
        <f>電力量!P305-電力量!P304</f>
        <v>15</v>
      </c>
      <c r="Q304">
        <f>電力量!Q305-電力量!Q304</f>
        <v>23</v>
      </c>
      <c r="R304">
        <f>電力量!R305-電力量!R304</f>
        <v>0</v>
      </c>
    </row>
    <row r="305" spans="1:18">
      <c r="A305" s="4">
        <f t="shared" si="106"/>
        <v>45884.625</v>
      </c>
      <c r="B305">
        <f>電力量!B306-電力量!B305</f>
        <v>839</v>
      </c>
      <c r="C305">
        <f>電力量!C306-電力量!C305</f>
        <v>224</v>
      </c>
      <c r="D305">
        <f>電力量!D306-電力量!D305</f>
        <v>20.400000000001455</v>
      </c>
      <c r="E305">
        <f>電力量!E306-電力量!E305</f>
        <v>0</v>
      </c>
      <c r="F305">
        <f>電力量!F306-電力量!F305</f>
        <v>36</v>
      </c>
      <c r="G305">
        <f>電力量!G306-電力量!G305</f>
        <v>66.599999999998545</v>
      </c>
      <c r="H305">
        <f>電力量!H306-電力量!H305</f>
        <v>11</v>
      </c>
      <c r="I305">
        <f>電力量!I306-電力量!I305</f>
        <v>283</v>
      </c>
      <c r="J305">
        <f>電力量!J306-電力量!J305</f>
        <v>13.19999999999709</v>
      </c>
      <c r="K305">
        <f>電力量!K306-電力量!K305</f>
        <v>0</v>
      </c>
      <c r="L305">
        <f>電力量!L306-電力量!L305</f>
        <v>24</v>
      </c>
      <c r="M305">
        <f>電力量!M306-電力量!M305</f>
        <v>49.600000000005821</v>
      </c>
      <c r="N305">
        <f>電力量!N306-電力量!N305</f>
        <v>45.299999999988358</v>
      </c>
      <c r="O305">
        <f>電力量!O306-電力量!O305</f>
        <v>18.100000000005821</v>
      </c>
      <c r="P305">
        <f>電力量!P306-電力量!P305</f>
        <v>12</v>
      </c>
      <c r="Q305">
        <f>電力量!Q306-電力量!Q305</f>
        <v>18</v>
      </c>
      <c r="R305">
        <f>電力量!R306-電力量!R305</f>
        <v>0</v>
      </c>
    </row>
    <row r="306" spans="1:18">
      <c r="A306" s="4">
        <f t="shared" si="107"/>
        <v>45884.666666666664</v>
      </c>
      <c r="B306">
        <f>電力量!B307-電力量!B306</f>
        <v>831</v>
      </c>
      <c r="C306">
        <f>電力量!C307-電力量!C306</f>
        <v>217</v>
      </c>
      <c r="D306">
        <f>電力量!D307-電力量!D306</f>
        <v>19.299999999995634</v>
      </c>
      <c r="E306">
        <f>電力量!E307-電力量!E306</f>
        <v>0</v>
      </c>
      <c r="F306">
        <f>電力量!F307-電力量!F306</f>
        <v>30</v>
      </c>
      <c r="G306">
        <f>電力量!G307-電力量!G306</f>
        <v>75.200000000004366</v>
      </c>
      <c r="H306">
        <f>電力量!H307-電力量!H306</f>
        <v>12</v>
      </c>
      <c r="I306">
        <f>電力量!I307-電力量!I306</f>
        <v>276</v>
      </c>
      <c r="J306">
        <f>電力量!J307-電力量!J306</f>
        <v>13.599999999998545</v>
      </c>
      <c r="K306">
        <f>電力量!K307-電力量!K306</f>
        <v>0.10000000000582077</v>
      </c>
      <c r="L306">
        <f>電力量!L307-電力量!L306</f>
        <v>22.299999999988358</v>
      </c>
      <c r="M306">
        <f>電力量!M307-電力量!M306</f>
        <v>46</v>
      </c>
      <c r="N306">
        <f>電力量!N307-電力量!N306</f>
        <v>48.600000000005821</v>
      </c>
      <c r="O306">
        <f>電力量!O307-電力量!O306</f>
        <v>18.399999999994179</v>
      </c>
      <c r="P306">
        <f>電力量!P307-電力量!P306</f>
        <v>8</v>
      </c>
      <c r="Q306">
        <f>電力量!Q307-電力量!Q306</f>
        <v>13</v>
      </c>
      <c r="R306">
        <f>電力量!R307-電力量!R306</f>
        <v>0</v>
      </c>
    </row>
    <row r="307" spans="1:18">
      <c r="A307" s="4">
        <f t="shared" si="108"/>
        <v>45884.708333333336</v>
      </c>
      <c r="B307">
        <f>電力量!B308-電力量!B307</f>
        <v>814</v>
      </c>
      <c r="C307">
        <f>電力量!C308-電力量!C307</f>
        <v>209</v>
      </c>
      <c r="D307">
        <f>電力量!D308-電力量!D307</f>
        <v>17.30000000000291</v>
      </c>
      <c r="E307">
        <f>電力量!E308-電力量!E307</f>
        <v>0</v>
      </c>
      <c r="F307">
        <f>電力量!F308-電力量!F307</f>
        <v>25</v>
      </c>
      <c r="G307">
        <f>電力量!G308-電力量!G307</f>
        <v>82.69999999999709</v>
      </c>
      <c r="H307">
        <f>電力量!H308-電力量!H307</f>
        <v>11</v>
      </c>
      <c r="I307">
        <f>電力量!I308-電力量!I307</f>
        <v>259</v>
      </c>
      <c r="J307">
        <f>電力量!J308-電力量!J307</f>
        <v>13.400000000001455</v>
      </c>
      <c r="K307">
        <f>電力量!K308-電力量!K307</f>
        <v>1.5</v>
      </c>
      <c r="L307">
        <f>電力量!L308-電力量!L307</f>
        <v>21.600000000005821</v>
      </c>
      <c r="M307">
        <f>電力量!M308-電力量!M307</f>
        <v>44.599999999998545</v>
      </c>
      <c r="N307">
        <f>電力量!N308-電力量!N307</f>
        <v>53.600000000005821</v>
      </c>
      <c r="O307">
        <f>電力量!O308-電力量!O307</f>
        <v>18.400000000008731</v>
      </c>
      <c r="P307">
        <f>電力量!P308-電力量!P307</f>
        <v>5</v>
      </c>
      <c r="Q307">
        <f>電力量!Q308-電力量!Q307</f>
        <v>8</v>
      </c>
      <c r="R307">
        <f>電力量!R308-電力量!R307</f>
        <v>0</v>
      </c>
    </row>
    <row r="308" spans="1:18">
      <c r="A308" s="4">
        <f t="shared" si="109"/>
        <v>45884.75</v>
      </c>
      <c r="B308">
        <f>電力量!B309-電力量!B308</f>
        <v>779</v>
      </c>
      <c r="C308">
        <f>電力量!C309-電力量!C308</f>
        <v>195</v>
      </c>
      <c r="D308">
        <f>電力量!D309-電力量!D308</f>
        <v>15.900000000001455</v>
      </c>
      <c r="E308">
        <f>電力量!E309-電力量!E308</f>
        <v>0</v>
      </c>
      <c r="F308">
        <f>電力量!F309-電力量!F308</f>
        <v>21</v>
      </c>
      <c r="G308">
        <f>電力量!G309-電力量!G308</f>
        <v>81.099999999998545</v>
      </c>
      <c r="H308">
        <f>電力量!H309-電力量!H308</f>
        <v>12</v>
      </c>
      <c r="I308">
        <f>電力量!I309-電力量!I308</f>
        <v>245</v>
      </c>
      <c r="J308">
        <f>電力量!J309-電力量!J308</f>
        <v>14</v>
      </c>
      <c r="K308">
        <f>電力量!K309-電力量!K308</f>
        <v>2.7999999999883585</v>
      </c>
      <c r="L308">
        <f>電力量!L309-電力量!L308</f>
        <v>21.399999999994179</v>
      </c>
      <c r="M308">
        <f>電力量!M309-電力量!M308</f>
        <v>46.69999999999709</v>
      </c>
      <c r="N308">
        <f>電力量!N309-電力量!N308</f>
        <v>53.399999999994179</v>
      </c>
      <c r="O308">
        <f>電力量!O309-電力量!O308</f>
        <v>15.899999999994179</v>
      </c>
      <c r="P308">
        <f>電力量!P309-電力量!P308</f>
        <v>1</v>
      </c>
      <c r="Q308">
        <f>電力量!Q309-電力量!Q308</f>
        <v>2</v>
      </c>
      <c r="R308">
        <f>電力量!R309-電力量!R308</f>
        <v>0</v>
      </c>
    </row>
    <row r="309" spans="1:18">
      <c r="A309" s="4">
        <f t="shared" si="110"/>
        <v>45884.791666666664</v>
      </c>
      <c r="B309">
        <f>電力量!B310-電力量!B309</f>
        <v>738</v>
      </c>
      <c r="C309">
        <f>電力量!C310-電力量!C309</f>
        <v>183</v>
      </c>
      <c r="D309">
        <f>電力量!D310-電力量!D309</f>
        <v>13.5</v>
      </c>
      <c r="E309">
        <f>電力量!E310-電力量!E309</f>
        <v>0</v>
      </c>
      <c r="F309">
        <f>電力量!F310-電力量!F309</f>
        <v>19</v>
      </c>
      <c r="G309">
        <f>電力量!G310-電力量!G309</f>
        <v>76.30000000000291</v>
      </c>
      <c r="H309">
        <f>電力量!H310-電力量!H309</f>
        <v>11</v>
      </c>
      <c r="I309">
        <f>電力量!I310-電力量!I309</f>
        <v>228</v>
      </c>
      <c r="J309">
        <f>電力量!J310-電力量!J309</f>
        <v>14.30000000000291</v>
      </c>
      <c r="K309">
        <f>電力量!K310-電力量!K309</f>
        <v>3</v>
      </c>
      <c r="L309">
        <f>電力量!L310-電力量!L309</f>
        <v>21</v>
      </c>
      <c r="M309">
        <f>電力量!M310-電力量!M309</f>
        <v>42.30000000000291</v>
      </c>
      <c r="N309">
        <f>電力量!N310-電力量!N309</f>
        <v>56.100000000005821</v>
      </c>
      <c r="O309">
        <f>電力量!O310-電力量!O309</f>
        <v>17.600000000005821</v>
      </c>
      <c r="P309">
        <f>電力量!P310-電力量!P309</f>
        <v>0</v>
      </c>
      <c r="Q309">
        <f>電力量!Q310-電力量!Q309</f>
        <v>0</v>
      </c>
      <c r="R309">
        <f>電力量!R310-電力量!R309</f>
        <v>0</v>
      </c>
    </row>
    <row r="310" spans="1:18">
      <c r="A310" s="4">
        <f t="shared" si="111"/>
        <v>45884.833333333336</v>
      </c>
      <c r="B310">
        <f>電力量!B311-電力量!B310</f>
        <v>724</v>
      </c>
      <c r="C310">
        <f>電力量!C311-電力量!C310</f>
        <v>171</v>
      </c>
      <c r="D310">
        <f>電力量!D311-電力量!D310</f>
        <v>13.19999999999709</v>
      </c>
      <c r="E310">
        <f>電力量!E311-電力量!E310</f>
        <v>0</v>
      </c>
      <c r="F310">
        <f>電力量!F311-電力量!F310</f>
        <v>19</v>
      </c>
      <c r="G310">
        <f>電力量!G311-電力量!G310</f>
        <v>69.69999999999709</v>
      </c>
      <c r="H310">
        <f>電力量!H311-電力量!H310</f>
        <v>12</v>
      </c>
      <c r="I310">
        <f>電力量!I311-電力量!I310</f>
        <v>235</v>
      </c>
      <c r="J310">
        <f>電力量!J311-電力量!J310</f>
        <v>11.5</v>
      </c>
      <c r="K310">
        <f>電力量!K311-電力量!K310</f>
        <v>3.1000000000058208</v>
      </c>
      <c r="L310">
        <f>電力量!L311-電力量!L310</f>
        <v>22.700000000011642</v>
      </c>
      <c r="M310">
        <f>電力量!M311-電力量!M310</f>
        <v>41.099999999998545</v>
      </c>
      <c r="N310">
        <f>電力量!N311-電力量!N310</f>
        <v>54.099999999991269</v>
      </c>
      <c r="O310">
        <f>電力量!O311-電力量!O310</f>
        <v>19.19999999999709</v>
      </c>
      <c r="P310">
        <f>電力量!P311-電力量!P310</f>
        <v>0</v>
      </c>
      <c r="Q310">
        <f>電力量!Q311-電力量!Q310</f>
        <v>0</v>
      </c>
      <c r="R310">
        <f>電力量!R311-電力量!R310</f>
        <v>0</v>
      </c>
    </row>
    <row r="311" spans="1:18">
      <c r="A311" s="4">
        <f t="shared" si="112"/>
        <v>45884.875</v>
      </c>
      <c r="B311">
        <f>電力量!B312-電力量!B311</f>
        <v>699</v>
      </c>
      <c r="C311">
        <f>電力量!C312-電力量!C311</f>
        <v>167</v>
      </c>
      <c r="D311">
        <f>電力量!D312-電力量!D311</f>
        <v>12.80000000000291</v>
      </c>
      <c r="E311">
        <f>電力量!E312-電力量!E311</f>
        <v>0</v>
      </c>
      <c r="F311">
        <f>電力量!F312-電力量!F311</f>
        <v>17</v>
      </c>
      <c r="G311">
        <f>電力量!G312-電力量!G311</f>
        <v>62</v>
      </c>
      <c r="H311">
        <f>電力量!H312-電力量!H311</f>
        <v>11</v>
      </c>
      <c r="I311">
        <f>電力量!I312-電力量!I311</f>
        <v>230</v>
      </c>
      <c r="J311">
        <f>電力量!J312-電力量!J311</f>
        <v>10.19999999999709</v>
      </c>
      <c r="K311">
        <f>電力量!K312-電力量!K311</f>
        <v>2.8999999999941792</v>
      </c>
      <c r="L311">
        <f>電力量!L312-電力量!L311</f>
        <v>22.5</v>
      </c>
      <c r="M311">
        <f>電力量!M312-電力量!M311</f>
        <v>40.599999999998545</v>
      </c>
      <c r="N311">
        <f>電力量!N312-電力量!N311</f>
        <v>54.30000000000291</v>
      </c>
      <c r="O311">
        <f>電力量!O312-電力量!O311</f>
        <v>17.399999999994179</v>
      </c>
      <c r="P311">
        <f>電力量!P312-電力量!P311</f>
        <v>0</v>
      </c>
      <c r="Q311">
        <f>電力量!Q312-電力量!Q311</f>
        <v>0</v>
      </c>
      <c r="R311">
        <f>電力量!R312-電力量!R311</f>
        <v>0</v>
      </c>
    </row>
    <row r="312" spans="1:18">
      <c r="A312" s="4">
        <f t="shared" si="113"/>
        <v>45884.916666666664</v>
      </c>
      <c r="B312">
        <f>電力量!B313-電力量!B312</f>
        <v>684</v>
      </c>
      <c r="C312">
        <f>電力量!C313-電力量!C312</f>
        <v>165</v>
      </c>
      <c r="D312">
        <f>電力量!D313-電力量!D312</f>
        <v>12.19999999999709</v>
      </c>
      <c r="E312">
        <f>電力量!E313-電力量!E312</f>
        <v>0</v>
      </c>
      <c r="F312">
        <f>電力量!F313-電力量!F312</f>
        <v>17</v>
      </c>
      <c r="G312">
        <f>電力量!G313-電力量!G312</f>
        <v>59.5</v>
      </c>
      <c r="H312">
        <f>電力量!H313-電力量!H312</f>
        <v>10</v>
      </c>
      <c r="I312">
        <f>電力量!I313-電力量!I312</f>
        <v>222</v>
      </c>
      <c r="J312">
        <f>電力量!J313-電力量!J312</f>
        <v>10.19999999999709</v>
      </c>
      <c r="K312">
        <f>電力量!K313-電力量!K312</f>
        <v>3</v>
      </c>
      <c r="L312">
        <f>電力量!L313-電力量!L312</f>
        <v>21.5</v>
      </c>
      <c r="M312">
        <f>電力量!M313-電力量!M312</f>
        <v>39.700000000004366</v>
      </c>
      <c r="N312">
        <f>電力量!N313-電力量!N312</f>
        <v>56</v>
      </c>
      <c r="O312">
        <f>電力量!O313-電力量!O312</f>
        <v>17.19999999999709</v>
      </c>
      <c r="P312">
        <f>電力量!P313-電力量!P312</f>
        <v>0</v>
      </c>
      <c r="Q312">
        <f>電力量!Q313-電力量!Q312</f>
        <v>0</v>
      </c>
      <c r="R312">
        <f>電力量!R313-電力量!R312</f>
        <v>0</v>
      </c>
    </row>
    <row r="313" spans="1:18">
      <c r="A313" s="4">
        <f t="shared" si="114"/>
        <v>45884.958333333336</v>
      </c>
      <c r="B313">
        <f>電力量!B314-電力量!B313</f>
        <v>674</v>
      </c>
      <c r="C313">
        <f>電力量!C314-電力量!C313</f>
        <v>161</v>
      </c>
      <c r="D313">
        <f>電力量!D314-電力量!D313</f>
        <v>12.599999999998545</v>
      </c>
      <c r="E313">
        <f>電力量!E314-電力量!E313</f>
        <v>0</v>
      </c>
      <c r="F313">
        <f>電力量!F314-電力量!F313</f>
        <v>16</v>
      </c>
      <c r="G313">
        <f>電力量!G314-電力量!G313</f>
        <v>59.400000000001455</v>
      </c>
      <c r="H313">
        <f>電力量!H314-電力量!H313</f>
        <v>11</v>
      </c>
      <c r="I313">
        <f>電力量!I314-電力量!I313</f>
        <v>217</v>
      </c>
      <c r="J313">
        <f>電力量!J314-電力量!J313</f>
        <v>9.7000000000043656</v>
      </c>
      <c r="K313">
        <f>電力量!K314-電力量!K313</f>
        <v>3.1000000000058208</v>
      </c>
      <c r="L313">
        <f>電力量!L314-電力量!L313</f>
        <v>23.599999999991269</v>
      </c>
      <c r="M313">
        <f>電力量!M314-電力量!M313</f>
        <v>39.399999999994179</v>
      </c>
      <c r="N313">
        <f>電力量!N314-電力量!N313</f>
        <v>53.80000000000291</v>
      </c>
      <c r="O313">
        <f>電力量!O314-電力量!O313</f>
        <v>17</v>
      </c>
      <c r="P313">
        <f>電力量!P314-電力量!P313</f>
        <v>0</v>
      </c>
      <c r="Q313">
        <f>電力量!Q314-電力量!Q313</f>
        <v>0</v>
      </c>
      <c r="R313">
        <f>電力量!R314-電力量!R313</f>
        <v>0</v>
      </c>
    </row>
    <row r="314" spans="1:18">
      <c r="A314" s="4">
        <v>45885</v>
      </c>
      <c r="B314">
        <f>電力量!B315-電力量!B314</f>
        <v>671</v>
      </c>
      <c r="C314">
        <f>電力量!C315-電力量!C314</f>
        <v>160</v>
      </c>
      <c r="D314">
        <f>電力量!D315-電力量!D314</f>
        <v>12.400000000001455</v>
      </c>
      <c r="E314">
        <f>電力量!E315-電力量!E314</f>
        <v>0</v>
      </c>
      <c r="F314">
        <f>電力量!F315-電力量!F314</f>
        <v>17</v>
      </c>
      <c r="G314">
        <f>電力量!G315-電力量!G314</f>
        <v>58.19999999999709</v>
      </c>
      <c r="H314">
        <f>電力量!H315-電力量!H314</f>
        <v>10</v>
      </c>
      <c r="I314">
        <f>電力量!I315-電力量!I314</f>
        <v>218</v>
      </c>
      <c r="J314">
        <f>電力量!J315-電力量!J314</f>
        <v>10</v>
      </c>
      <c r="K314">
        <f>電力量!K315-電力量!K314</f>
        <v>3.3000000000029104</v>
      </c>
      <c r="L314">
        <f>電力量!L315-電力量!L314</f>
        <v>21.400000000008731</v>
      </c>
      <c r="M314">
        <f>電力量!M315-電力量!M314</f>
        <v>39.5</v>
      </c>
      <c r="N314">
        <f>電力量!N315-電力量!N314</f>
        <v>54.19999999999709</v>
      </c>
      <c r="O314">
        <f>電力量!O315-電力量!O314</f>
        <v>16.80000000000291</v>
      </c>
      <c r="P314">
        <f>電力量!P315-電力量!P314</f>
        <v>0</v>
      </c>
      <c r="Q314">
        <f>電力量!Q315-電力量!Q314</f>
        <v>0</v>
      </c>
      <c r="R314">
        <f>電力量!R315-電力量!R314</f>
        <v>0</v>
      </c>
    </row>
    <row r="315" spans="1:18">
      <c r="A315" s="4">
        <f t="shared" ref="A315:A363" si="115">A314+(1/24)</f>
        <v>45885.041666666664</v>
      </c>
      <c r="B315">
        <f>電力量!B316-電力量!B315</f>
        <v>652</v>
      </c>
      <c r="C315">
        <f>電力量!C316-電力量!C315</f>
        <v>159</v>
      </c>
      <c r="D315">
        <f>電力量!D316-電力量!D315</f>
        <v>12.80000000000291</v>
      </c>
      <c r="E315">
        <f>電力量!E316-電力量!E315</f>
        <v>0</v>
      </c>
      <c r="F315">
        <f>電力量!F316-電力量!F315</f>
        <v>16</v>
      </c>
      <c r="G315">
        <f>電力量!G316-電力量!G315</f>
        <v>57.200000000004366</v>
      </c>
      <c r="H315">
        <f>電力量!H316-電力量!H315</f>
        <v>12</v>
      </c>
      <c r="I315">
        <f>電力量!I316-電力量!I315</f>
        <v>204</v>
      </c>
      <c r="J315">
        <f>電力量!J316-電力量!J315</f>
        <v>9.5</v>
      </c>
      <c r="K315">
        <f>電力量!K316-電力量!K315</f>
        <v>3.5999999999912689</v>
      </c>
      <c r="L315">
        <f>電力量!L316-電力量!L315</f>
        <v>21.899999999994179</v>
      </c>
      <c r="M315">
        <f>電力量!M316-電力量!M315</f>
        <v>39</v>
      </c>
      <c r="N315">
        <f>電力量!N316-電力量!N315</f>
        <v>54.100000000005821</v>
      </c>
      <c r="O315">
        <f>電力量!O316-電力量!O315</f>
        <v>17</v>
      </c>
      <c r="P315">
        <f>電力量!P316-電力量!P315</f>
        <v>0</v>
      </c>
      <c r="Q315">
        <f>電力量!Q316-電力量!Q315</f>
        <v>0</v>
      </c>
      <c r="R315">
        <f>電力量!R316-電力量!R315</f>
        <v>0</v>
      </c>
    </row>
    <row r="316" spans="1:18">
      <c r="A316" s="4">
        <f t="shared" ref="A316:A364" si="116">A314+(2/24)</f>
        <v>45885.083333333336</v>
      </c>
      <c r="B316">
        <f>電力量!B317-電力量!B316</f>
        <v>637</v>
      </c>
      <c r="C316">
        <f>電力量!C317-電力量!C316</f>
        <v>153</v>
      </c>
      <c r="D316">
        <f>電力量!D317-電力量!D316</f>
        <v>12.399999999994179</v>
      </c>
      <c r="E316">
        <f>電力量!E317-電力量!E316</f>
        <v>0</v>
      </c>
      <c r="F316">
        <f>電力量!F317-電力量!F316</f>
        <v>16</v>
      </c>
      <c r="G316">
        <f>電力量!G317-電力量!G316</f>
        <v>55.900000000001455</v>
      </c>
      <c r="H316">
        <f>電力量!H317-電力量!H316</f>
        <v>10</v>
      </c>
      <c r="I316">
        <f>電力量!I317-電力量!I316</f>
        <v>199</v>
      </c>
      <c r="J316">
        <f>電力量!J317-電力量!J316</f>
        <v>9.5</v>
      </c>
      <c r="K316">
        <f>電力量!K317-電力量!K316</f>
        <v>3.4000000000087311</v>
      </c>
      <c r="L316">
        <f>電力量!L317-電力量!L316</f>
        <v>22</v>
      </c>
      <c r="M316">
        <f>電力量!M317-電力量!M316</f>
        <v>38.5</v>
      </c>
      <c r="N316">
        <f>電力量!N317-電力量!N316</f>
        <v>54.799999999988358</v>
      </c>
      <c r="O316">
        <f>電力量!O317-電力量!O316</f>
        <v>16.19999999999709</v>
      </c>
      <c r="P316">
        <f>電力量!P317-電力量!P316</f>
        <v>0</v>
      </c>
      <c r="Q316">
        <f>電力量!Q317-電力量!Q316</f>
        <v>0</v>
      </c>
      <c r="R316">
        <f>電力量!R317-電力量!R316</f>
        <v>0</v>
      </c>
    </row>
    <row r="317" spans="1:18">
      <c r="A317" s="4">
        <f t="shared" ref="A317:A365" si="117">A314+(3/24)</f>
        <v>45885.125</v>
      </c>
      <c r="B317">
        <f>電力量!B318-電力量!B317</f>
        <v>632</v>
      </c>
      <c r="C317">
        <f>電力量!C318-電力量!C317</f>
        <v>150</v>
      </c>
      <c r="D317">
        <f>電力量!D318-電力量!D317</f>
        <v>12.5</v>
      </c>
      <c r="E317">
        <f>電力量!E318-電力量!E317</f>
        <v>0</v>
      </c>
      <c r="F317">
        <f>電力量!F318-電力量!F317</f>
        <v>16</v>
      </c>
      <c r="G317">
        <f>電力量!G318-電力量!G317</f>
        <v>54</v>
      </c>
      <c r="H317">
        <f>電力量!H318-電力量!H317</f>
        <v>11</v>
      </c>
      <c r="I317">
        <f>電力量!I318-電力量!I317</f>
        <v>198</v>
      </c>
      <c r="J317">
        <f>電力量!J318-電力量!J317</f>
        <v>9.4000000000014552</v>
      </c>
      <c r="K317">
        <f>電力量!K318-電力量!K317</f>
        <v>3.1999999999970896</v>
      </c>
      <c r="L317">
        <f>電力量!L318-電力量!L317</f>
        <v>20.19999999999709</v>
      </c>
      <c r="M317">
        <f>電力量!M318-電力量!M317</f>
        <v>38.5</v>
      </c>
      <c r="N317">
        <f>電力量!N318-電力量!N317</f>
        <v>54.30000000000291</v>
      </c>
      <c r="O317">
        <f>電力量!O318-電力量!O317</f>
        <v>17.30000000000291</v>
      </c>
      <c r="P317">
        <f>電力量!P318-電力量!P317</f>
        <v>0</v>
      </c>
      <c r="Q317">
        <f>電力量!Q318-電力量!Q317</f>
        <v>0</v>
      </c>
      <c r="R317">
        <f>電力量!R318-電力量!R317</f>
        <v>0</v>
      </c>
    </row>
    <row r="318" spans="1:18">
      <c r="A318" s="4">
        <f t="shared" ref="A318:A366" si="118">A314+(4/24)</f>
        <v>45885.166666666664</v>
      </c>
      <c r="B318">
        <f>電力量!B319-電力量!B318</f>
        <v>629</v>
      </c>
      <c r="C318">
        <f>電力量!C319-電力量!C318</f>
        <v>148</v>
      </c>
      <c r="D318">
        <f>電力量!D319-電力量!D318</f>
        <v>12.400000000001455</v>
      </c>
      <c r="E318">
        <f>電力量!E319-電力量!E318</f>
        <v>0</v>
      </c>
      <c r="F318">
        <f>電力量!F319-電力量!F318</f>
        <v>15</v>
      </c>
      <c r="G318">
        <f>電力量!G319-電力量!G318</f>
        <v>54.299999999995634</v>
      </c>
      <c r="H318">
        <f>電力量!H319-電力量!H318</f>
        <v>10</v>
      </c>
      <c r="I318">
        <f>電力量!I319-電力量!I318</f>
        <v>199</v>
      </c>
      <c r="J318">
        <f>電力量!J319-電力量!J318</f>
        <v>9.2999999999956344</v>
      </c>
      <c r="K318">
        <f>電力量!K319-電力量!K318</f>
        <v>2.8999999999941792</v>
      </c>
      <c r="L318">
        <f>電力量!L319-電力量!L318</f>
        <v>19.80000000000291</v>
      </c>
      <c r="M318">
        <f>電力量!M319-電力量!M318</f>
        <v>38.80000000000291</v>
      </c>
      <c r="N318">
        <f>電力量!N319-電力量!N318</f>
        <v>55.600000000005821</v>
      </c>
      <c r="O318">
        <f>電力量!O319-電力量!O318</f>
        <v>17.19999999999709</v>
      </c>
      <c r="P318">
        <f>電力量!P319-電力量!P318</f>
        <v>0</v>
      </c>
      <c r="Q318">
        <f>電力量!Q319-電力量!Q318</f>
        <v>0</v>
      </c>
      <c r="R318">
        <f>電力量!R319-電力量!R318</f>
        <v>0</v>
      </c>
    </row>
    <row r="319" spans="1:18">
      <c r="A319" s="4">
        <f t="shared" ref="A319:A367" si="119">A314+(5/24)</f>
        <v>45885.208333333336</v>
      </c>
      <c r="B319">
        <f>電力量!B320-電力量!B319</f>
        <v>619</v>
      </c>
      <c r="C319">
        <f>電力量!C320-電力量!C319</f>
        <v>148</v>
      </c>
      <c r="D319">
        <f>電力量!D320-電力量!D319</f>
        <v>13</v>
      </c>
      <c r="E319">
        <f>電力量!E320-電力量!E319</f>
        <v>0</v>
      </c>
      <c r="F319">
        <f>電力量!F320-電力量!F319</f>
        <v>17</v>
      </c>
      <c r="G319">
        <f>電力量!G320-電力量!G319</f>
        <v>53.30000000000291</v>
      </c>
      <c r="H319">
        <f>電力量!H320-電力量!H319</f>
        <v>11</v>
      </c>
      <c r="I319">
        <f>電力量!I320-電力量!I319</f>
        <v>194</v>
      </c>
      <c r="J319">
        <f>電力量!J320-電力量!J319</f>
        <v>8.3000000000029104</v>
      </c>
      <c r="K319">
        <f>電力量!K320-電力量!K319</f>
        <v>2.8000000000029104</v>
      </c>
      <c r="L319">
        <f>電力量!L320-電力量!L319</f>
        <v>19.30000000000291</v>
      </c>
      <c r="M319">
        <f>電力量!M320-電力量!M319</f>
        <v>37.80000000000291</v>
      </c>
      <c r="N319">
        <f>電力量!N320-電力量!N319</f>
        <v>54.099999999991269</v>
      </c>
      <c r="O319">
        <f>電力量!O320-電力量!O319</f>
        <v>16.30000000000291</v>
      </c>
      <c r="P319">
        <f>電力量!P320-電力量!P319</f>
        <v>0</v>
      </c>
      <c r="Q319">
        <f>電力量!Q320-電力量!Q319</f>
        <v>0</v>
      </c>
      <c r="R319">
        <f>電力量!R320-電力量!R319</f>
        <v>0</v>
      </c>
    </row>
    <row r="320" spans="1:18">
      <c r="A320" s="4">
        <f t="shared" ref="A320:A368" si="120">A314+(6/24)</f>
        <v>45885.25</v>
      </c>
      <c r="B320">
        <f>電力量!B321-電力量!B320</f>
        <v>624</v>
      </c>
      <c r="C320">
        <f>電力量!C321-電力量!C320</f>
        <v>150</v>
      </c>
      <c r="D320">
        <f>電力量!D321-電力量!D320</f>
        <v>12.80000000000291</v>
      </c>
      <c r="E320">
        <f>電力量!E321-電力量!E320</f>
        <v>0</v>
      </c>
      <c r="F320">
        <f>電力量!F321-電力量!F320</f>
        <v>15</v>
      </c>
      <c r="G320">
        <f>電力量!G321-電力量!G320</f>
        <v>56.599999999998545</v>
      </c>
      <c r="H320">
        <f>電力量!H321-電力量!H320</f>
        <v>11</v>
      </c>
      <c r="I320">
        <f>電力量!I321-電力量!I320</f>
        <v>195</v>
      </c>
      <c r="J320">
        <f>電力量!J321-電力量!J320</f>
        <v>9.2999999999956344</v>
      </c>
      <c r="K320">
        <f>電力量!K321-電力量!K320</f>
        <v>2.3000000000029104</v>
      </c>
      <c r="L320">
        <f>電力量!L321-電力量!L320</f>
        <v>19.099999999991269</v>
      </c>
      <c r="M320">
        <f>電力量!M321-電力量!M320</f>
        <v>38.19999999999709</v>
      </c>
      <c r="N320">
        <f>電力量!N321-電力量!N320</f>
        <v>53.200000000011642</v>
      </c>
      <c r="O320">
        <f>電力量!O321-電力量!O320</f>
        <v>14.5</v>
      </c>
      <c r="P320">
        <f>電力量!P321-電力量!P320</f>
        <v>0</v>
      </c>
      <c r="Q320">
        <f>電力量!Q321-電力量!Q320</f>
        <v>0</v>
      </c>
      <c r="R320">
        <f>電力量!R321-電力量!R320</f>
        <v>0</v>
      </c>
    </row>
    <row r="321" spans="1:18">
      <c r="A321" s="4">
        <f t="shared" ref="A321:A369" si="121">A314+(7/24)</f>
        <v>45885.291666666664</v>
      </c>
      <c r="B321">
        <f>電力量!B322-電力量!B321</f>
        <v>647</v>
      </c>
      <c r="C321">
        <f>電力量!C322-電力量!C321</f>
        <v>156</v>
      </c>
      <c r="D321">
        <f>電力量!D322-電力量!D321</f>
        <v>12.299999999995634</v>
      </c>
      <c r="E321">
        <f>電力量!E322-電力量!E321</f>
        <v>0</v>
      </c>
      <c r="F321">
        <f>電力量!F322-電力量!F321</f>
        <v>17</v>
      </c>
      <c r="G321">
        <f>電力量!G322-電力量!G321</f>
        <v>57.599999999998545</v>
      </c>
      <c r="H321">
        <f>電力量!H322-電力量!H321</f>
        <v>10</v>
      </c>
      <c r="I321">
        <f>電力量!I322-電力量!I321</f>
        <v>208</v>
      </c>
      <c r="J321">
        <f>電力量!J322-電力量!J321</f>
        <v>10.30000000000291</v>
      </c>
      <c r="K321">
        <f>電力量!K322-電力量!K321</f>
        <v>0.60000000000582077</v>
      </c>
      <c r="L321">
        <f>電力量!L322-電力量!L321</f>
        <v>18.900000000008731</v>
      </c>
      <c r="M321">
        <f>電力量!M322-電力量!M321</f>
        <v>38.69999999999709</v>
      </c>
      <c r="N321">
        <f>電力量!N322-電力量!N321</f>
        <v>51.099999999991269</v>
      </c>
      <c r="O321">
        <f>電力量!O322-電力量!O321</f>
        <v>16.80000000000291</v>
      </c>
      <c r="P321">
        <f>電力量!P322-電力量!P321</f>
        <v>1</v>
      </c>
      <c r="Q321">
        <f>電力量!Q322-電力量!Q321</f>
        <v>2</v>
      </c>
      <c r="R321">
        <f>電力量!R322-電力量!R321</f>
        <v>0</v>
      </c>
    </row>
    <row r="322" spans="1:18">
      <c r="A322" s="4">
        <f t="shared" ref="A322:A370" si="122">A314+(8/24)</f>
        <v>45885.333333333336</v>
      </c>
      <c r="B322">
        <f>電力量!B323-電力量!B322</f>
        <v>655</v>
      </c>
      <c r="C322">
        <f>電力量!C323-電力量!C322</f>
        <v>166</v>
      </c>
      <c r="D322">
        <f>電力量!D323-電力量!D322</f>
        <v>12.5</v>
      </c>
      <c r="E322">
        <f>電力量!E323-電力量!E322</f>
        <v>0</v>
      </c>
      <c r="F322">
        <f>電力量!F323-電力量!F322</f>
        <v>18</v>
      </c>
      <c r="G322">
        <f>電力量!G323-電力量!G322</f>
        <v>46.80000000000291</v>
      </c>
      <c r="H322">
        <f>電力量!H323-電力量!H322</f>
        <v>10</v>
      </c>
      <c r="I322">
        <f>電力量!I323-電力量!I322</f>
        <v>218</v>
      </c>
      <c r="J322">
        <f>電力量!J323-電力量!J322</f>
        <v>11.900000000001455</v>
      </c>
      <c r="K322">
        <f>電力量!K323-電力量!K322</f>
        <v>0</v>
      </c>
      <c r="L322">
        <f>電力量!L323-電力量!L322</f>
        <v>19.19999999999709</v>
      </c>
      <c r="M322">
        <f>電力量!M323-電力量!M322</f>
        <v>40</v>
      </c>
      <c r="N322">
        <f>電力量!N323-電力量!N322</f>
        <v>48.100000000005821</v>
      </c>
      <c r="O322">
        <f>電力量!O323-電力量!O322</f>
        <v>17.19999999999709</v>
      </c>
      <c r="P322">
        <f>電力量!P323-電力量!P322</f>
        <v>5</v>
      </c>
      <c r="Q322">
        <f>電力量!Q323-電力量!Q322</f>
        <v>10</v>
      </c>
      <c r="R322">
        <f>電力量!R323-電力量!R322</f>
        <v>0</v>
      </c>
    </row>
    <row r="323" spans="1:18">
      <c r="A323" s="4">
        <f t="shared" ref="A323:A371" si="123">A314+(9/24)</f>
        <v>45885.375</v>
      </c>
      <c r="B323">
        <f>電力量!B324-電力量!B323</f>
        <v>666</v>
      </c>
      <c r="C323">
        <f>電力量!C324-電力量!C323</f>
        <v>171</v>
      </c>
      <c r="D323">
        <f>電力量!D324-電力量!D323</f>
        <v>13.400000000001455</v>
      </c>
      <c r="E323">
        <f>電力量!E324-電力量!E323</f>
        <v>0</v>
      </c>
      <c r="F323">
        <f>電力量!F324-電力量!F323</f>
        <v>17</v>
      </c>
      <c r="G323">
        <f>電力量!G324-電力量!G323</f>
        <v>37.799999999995634</v>
      </c>
      <c r="H323">
        <f>電力量!H324-電力量!H323</f>
        <v>12</v>
      </c>
      <c r="I323">
        <f>電力量!I324-電力量!I323</f>
        <v>237</v>
      </c>
      <c r="J323">
        <f>電力量!J324-電力量!J323</f>
        <v>14.19999999999709</v>
      </c>
      <c r="K323">
        <f>電力量!K324-電力量!K323</f>
        <v>0</v>
      </c>
      <c r="L323">
        <f>電力量!L324-電力量!L323</f>
        <v>18.600000000005821</v>
      </c>
      <c r="M323">
        <f>電力量!M324-電力量!M323</f>
        <v>42.400000000001455</v>
      </c>
      <c r="N323">
        <f>電力量!N324-電力量!N323</f>
        <v>44.30000000000291</v>
      </c>
      <c r="O323">
        <f>電力量!O324-電力量!O323</f>
        <v>17</v>
      </c>
      <c r="P323">
        <f>電力量!P324-電力量!P323</f>
        <v>10</v>
      </c>
      <c r="Q323">
        <f>電力量!Q324-電力量!Q323</f>
        <v>16</v>
      </c>
      <c r="R323">
        <f>電力量!R324-電力量!R323</f>
        <v>0</v>
      </c>
    </row>
    <row r="324" spans="1:18">
      <c r="A324" s="4">
        <f t="shared" ref="A324:A372" si="124">A314+(10/24)</f>
        <v>45885.416666666664</v>
      </c>
      <c r="B324">
        <f>電力量!B325-電力量!B324</f>
        <v>675</v>
      </c>
      <c r="C324">
        <f>電力量!C325-電力量!C324</f>
        <v>170</v>
      </c>
      <c r="D324">
        <f>電力量!D325-電力量!D324</f>
        <v>19.30000000000291</v>
      </c>
      <c r="E324">
        <f>電力量!E325-電力量!E324</f>
        <v>0</v>
      </c>
      <c r="F324">
        <f>電力量!F325-電力量!F324</f>
        <v>18</v>
      </c>
      <c r="G324">
        <f>電力量!G325-電力量!G324</f>
        <v>36.30000000000291</v>
      </c>
      <c r="H324">
        <f>電力量!H325-電力量!H324</f>
        <v>10</v>
      </c>
      <c r="I324">
        <f>電力量!I325-電力量!I324</f>
        <v>243</v>
      </c>
      <c r="J324">
        <f>電力量!J325-電力量!J324</f>
        <v>14.400000000001455</v>
      </c>
      <c r="K324">
        <f>電力量!K325-電力量!K324</f>
        <v>0</v>
      </c>
      <c r="L324">
        <f>電力量!L325-電力量!L324</f>
        <v>17.799999999988358</v>
      </c>
      <c r="M324">
        <f>電力量!M325-電力量!M324</f>
        <v>43</v>
      </c>
      <c r="N324">
        <f>電力量!N325-電力量!N324</f>
        <v>42.299999999988358</v>
      </c>
      <c r="O324">
        <f>電力量!O325-電力量!O324</f>
        <v>18.69999999999709</v>
      </c>
      <c r="P324">
        <f>電力量!P325-電力量!P324</f>
        <v>13</v>
      </c>
      <c r="Q324">
        <f>電力量!Q325-電力量!Q324</f>
        <v>20</v>
      </c>
      <c r="R324">
        <f>電力量!R325-電力量!R324</f>
        <v>0</v>
      </c>
    </row>
    <row r="325" spans="1:18">
      <c r="A325" s="4">
        <f t="shared" ref="A325:A373" si="125">A314+(11/24)</f>
        <v>45885.458333333336</v>
      </c>
      <c r="B325">
        <f>電力量!B326-電力量!B325</f>
        <v>682</v>
      </c>
      <c r="C325">
        <f>電力量!C326-電力量!C325</f>
        <v>177</v>
      </c>
      <c r="D325">
        <f>電力量!D326-電力量!D325</f>
        <v>16.69999999999709</v>
      </c>
      <c r="E325">
        <f>電力量!E326-電力量!E325</f>
        <v>0</v>
      </c>
      <c r="F325">
        <f>電力量!F326-電力量!F325</f>
        <v>20</v>
      </c>
      <c r="G325">
        <f>電力量!G326-電力量!G325</f>
        <v>34.400000000001455</v>
      </c>
      <c r="H325">
        <f>電力量!H326-電力量!H325</f>
        <v>11</v>
      </c>
      <c r="I325">
        <f>電力量!I326-電力量!I325</f>
        <v>250</v>
      </c>
      <c r="J325">
        <f>電力量!J326-電力量!J325</f>
        <v>11.400000000001455</v>
      </c>
      <c r="K325">
        <f>電力量!K326-電力量!K325</f>
        <v>0</v>
      </c>
      <c r="L325">
        <f>電力量!L326-電力量!L325</f>
        <v>18.30000000000291</v>
      </c>
      <c r="M325">
        <f>電力量!M326-電力量!M325</f>
        <v>44.200000000004366</v>
      </c>
      <c r="N325">
        <f>電力量!N326-電力量!N325</f>
        <v>40.200000000011642</v>
      </c>
      <c r="O325">
        <f>電力量!O326-電力量!O325</f>
        <v>17.80000000000291</v>
      </c>
      <c r="P325">
        <f>電力量!P326-電力量!P325</f>
        <v>15</v>
      </c>
      <c r="Q325">
        <f>電力量!Q326-電力量!Q325</f>
        <v>22</v>
      </c>
      <c r="R325">
        <f>電力量!R326-電力量!R325</f>
        <v>0</v>
      </c>
    </row>
    <row r="326" spans="1:18">
      <c r="A326" s="4">
        <f t="shared" ref="A326:A374" si="126">A314+(12/24)</f>
        <v>45885.5</v>
      </c>
      <c r="B326">
        <f>電力量!B327-電力量!B326</f>
        <v>694</v>
      </c>
      <c r="C326">
        <f>電力量!C327-電力量!C326</f>
        <v>183</v>
      </c>
      <c r="D326">
        <f>電力量!D327-電力量!D326</f>
        <v>17.400000000001455</v>
      </c>
      <c r="E326">
        <f>電力量!E327-電力量!E326</f>
        <v>0</v>
      </c>
      <c r="F326">
        <f>電力量!F327-電力量!F326</f>
        <v>22</v>
      </c>
      <c r="G326">
        <f>電力量!G327-電力量!G326</f>
        <v>38.799999999995634</v>
      </c>
      <c r="H326">
        <f>電力量!H327-電力量!H326</f>
        <v>11</v>
      </c>
      <c r="I326">
        <f>電力量!I327-電力量!I326</f>
        <v>251</v>
      </c>
      <c r="J326">
        <f>電力量!J327-電力量!J326</f>
        <v>12.19999999999709</v>
      </c>
      <c r="K326">
        <f>電力量!K327-電力量!K326</f>
        <v>0</v>
      </c>
      <c r="L326">
        <f>電力量!L327-電力量!L326</f>
        <v>18.400000000008731</v>
      </c>
      <c r="M326">
        <f>電力量!M327-電力量!M326</f>
        <v>45.19999999999709</v>
      </c>
      <c r="N326">
        <f>電力量!N327-電力量!N326</f>
        <v>39.299999999988358</v>
      </c>
      <c r="O326">
        <f>電力量!O327-電力量!O326</f>
        <v>16.5</v>
      </c>
      <c r="P326">
        <f>電力量!P327-電力量!P326</f>
        <v>15</v>
      </c>
      <c r="Q326">
        <f>電力量!Q327-電力量!Q326</f>
        <v>24</v>
      </c>
      <c r="R326">
        <f>電力量!R327-電力量!R326</f>
        <v>0</v>
      </c>
    </row>
    <row r="327" spans="1:18">
      <c r="A327" s="4">
        <f t="shared" ref="A327:A375" si="127">A314+(13/24)</f>
        <v>45885.541666666664</v>
      </c>
      <c r="B327">
        <f>電力量!B328-電力量!B327</f>
        <v>736</v>
      </c>
      <c r="C327">
        <f>電力量!C328-電力量!C327</f>
        <v>191</v>
      </c>
      <c r="D327">
        <f>電力量!D328-電力量!D327</f>
        <v>22.099999999998545</v>
      </c>
      <c r="E327">
        <f>電力量!E328-電力量!E327</f>
        <v>0</v>
      </c>
      <c r="F327">
        <f>電力量!F328-電力量!F327</f>
        <v>23</v>
      </c>
      <c r="G327">
        <f>電力量!G328-電力量!G327</f>
        <v>48.5</v>
      </c>
      <c r="H327">
        <f>電力量!H328-電力量!H327</f>
        <v>11</v>
      </c>
      <c r="I327">
        <f>電力量!I328-電力量!I327</f>
        <v>260</v>
      </c>
      <c r="J327">
        <f>電力量!J328-電力量!J327</f>
        <v>12.5</v>
      </c>
      <c r="K327">
        <f>電力量!K328-電力量!K327</f>
        <v>0</v>
      </c>
      <c r="L327">
        <f>電力量!L328-電力量!L327</f>
        <v>18.599999999991269</v>
      </c>
      <c r="M327">
        <f>電力量!M328-電力量!M327</f>
        <v>47.5</v>
      </c>
      <c r="N327">
        <f>電力量!N328-電力量!N327</f>
        <v>40.900000000008731</v>
      </c>
      <c r="O327">
        <f>電力量!O328-電力量!O327</f>
        <v>18.30000000000291</v>
      </c>
      <c r="P327">
        <f>電力量!P328-電力量!P327</f>
        <v>15</v>
      </c>
      <c r="Q327">
        <f>電力量!Q328-電力量!Q327</f>
        <v>22</v>
      </c>
      <c r="R327">
        <f>電力量!R328-電力量!R327</f>
        <v>0</v>
      </c>
    </row>
    <row r="328" spans="1:18">
      <c r="A328" s="4">
        <f t="shared" ref="A328:A376" si="128">A314+(14/24)</f>
        <v>45885.583333333336</v>
      </c>
      <c r="B328">
        <f>電力量!B329-電力量!B328</f>
        <v>768</v>
      </c>
      <c r="C328">
        <f>電力量!C329-電力量!C328</f>
        <v>200</v>
      </c>
      <c r="D328">
        <f>電力量!D329-電力量!D328</f>
        <v>21.200000000004366</v>
      </c>
      <c r="E328">
        <f>電力量!E329-電力量!E328</f>
        <v>0</v>
      </c>
      <c r="F328">
        <f>電力量!F329-電力量!F328</f>
        <v>23</v>
      </c>
      <c r="G328">
        <f>電力量!G329-電力量!G328</f>
        <v>54.30000000000291</v>
      </c>
      <c r="H328">
        <f>電力量!H329-電力量!H328</f>
        <v>16</v>
      </c>
      <c r="I328">
        <f>電力量!I329-電力量!I328</f>
        <v>268</v>
      </c>
      <c r="J328">
        <f>電力量!J329-電力量!J328</f>
        <v>13.400000000001455</v>
      </c>
      <c r="K328">
        <f>電力量!K329-電力量!K328</f>
        <v>0</v>
      </c>
      <c r="L328">
        <f>電力量!L329-電力量!L328</f>
        <v>18.600000000005821</v>
      </c>
      <c r="M328">
        <f>電力量!M329-電力量!M328</f>
        <v>49.599999999998545</v>
      </c>
      <c r="N328">
        <f>電力量!N329-電力量!N328</f>
        <v>42.5</v>
      </c>
      <c r="O328">
        <f>電力量!O329-電力量!O328</f>
        <v>17.69999999999709</v>
      </c>
      <c r="P328">
        <f>電力量!P329-電力量!P328</f>
        <v>14</v>
      </c>
      <c r="Q328">
        <f>電力量!Q329-電力量!Q328</f>
        <v>22</v>
      </c>
      <c r="R328">
        <f>電力量!R329-電力量!R328</f>
        <v>0</v>
      </c>
    </row>
    <row r="329" spans="1:18">
      <c r="A329" s="4">
        <f t="shared" ref="A329:A377" si="129">A314+(15/24)</f>
        <v>45885.625</v>
      </c>
      <c r="B329">
        <f>電力量!B330-電力量!B329</f>
        <v>792</v>
      </c>
      <c r="C329">
        <f>電力量!C330-電力量!C329</f>
        <v>210</v>
      </c>
      <c r="D329">
        <f>電力量!D330-電力量!D329</f>
        <v>20.5</v>
      </c>
      <c r="E329">
        <f>電力量!E330-電力量!E329</f>
        <v>0</v>
      </c>
      <c r="F329">
        <f>電力量!F330-電力量!F329</f>
        <v>22</v>
      </c>
      <c r="G329">
        <f>電力量!G330-電力量!G329</f>
        <v>63.099999999998545</v>
      </c>
      <c r="H329">
        <f>電力量!H330-電力量!H329</f>
        <v>11</v>
      </c>
      <c r="I329">
        <f>電力量!I330-電力量!I329</f>
        <v>271</v>
      </c>
      <c r="J329">
        <f>電力量!J330-電力量!J329</f>
        <v>14</v>
      </c>
      <c r="K329">
        <f>電力量!K330-電力量!K329</f>
        <v>0</v>
      </c>
      <c r="L329">
        <f>電力量!L330-電力量!L329</f>
        <v>18.899999999994179</v>
      </c>
      <c r="M329">
        <f>電力量!M330-電力量!M329</f>
        <v>49.700000000004366</v>
      </c>
      <c r="N329">
        <f>電力量!N330-電力量!N329</f>
        <v>45.69999999999709</v>
      </c>
      <c r="O329">
        <f>電力量!O330-電力量!O329</f>
        <v>17.69999999999709</v>
      </c>
      <c r="P329">
        <f>電力量!P330-電力量!P329</f>
        <v>13</v>
      </c>
      <c r="Q329">
        <f>電力量!Q330-電力量!Q329</f>
        <v>18</v>
      </c>
      <c r="R329">
        <f>電力量!R330-電力量!R329</f>
        <v>0</v>
      </c>
    </row>
    <row r="330" spans="1:18">
      <c r="A330" s="4">
        <f t="shared" ref="A330:A378" si="130">A314+(16/24)</f>
        <v>45885.666666666664</v>
      </c>
      <c r="B330">
        <f>電力量!B331-電力量!B330</f>
        <v>820</v>
      </c>
      <c r="C330">
        <f>電力量!C331-電力量!C330</f>
        <v>211</v>
      </c>
      <c r="D330">
        <f>電力量!D331-電力量!D330</f>
        <v>21.299999999995634</v>
      </c>
      <c r="E330">
        <f>電力量!E331-電力量!E330</f>
        <v>0</v>
      </c>
      <c r="F330">
        <f>電力量!F331-電力量!F330</f>
        <v>21</v>
      </c>
      <c r="G330">
        <f>電力量!G331-電力量!G330</f>
        <v>70.80000000000291</v>
      </c>
      <c r="H330">
        <f>電力量!H331-電力量!H330</f>
        <v>13</v>
      </c>
      <c r="I330">
        <f>電力量!I331-電力量!I330</f>
        <v>278</v>
      </c>
      <c r="J330">
        <f>電力量!J331-電力量!J330</f>
        <v>12.80000000000291</v>
      </c>
      <c r="K330">
        <f>電力量!K331-電力量!K330</f>
        <v>0</v>
      </c>
      <c r="L330">
        <f>電力量!L331-電力量!L330</f>
        <v>18.69999999999709</v>
      </c>
      <c r="M330">
        <f>電力量!M331-電力量!M330</f>
        <v>49.799999999995634</v>
      </c>
      <c r="N330">
        <f>電力量!N331-電力量!N330</f>
        <v>50.19999999999709</v>
      </c>
      <c r="O330">
        <f>電力量!O331-電力量!O330</f>
        <v>20.100000000005821</v>
      </c>
      <c r="P330">
        <f>電力量!P331-電力量!P330</f>
        <v>9</v>
      </c>
      <c r="Q330">
        <f>電力量!Q331-電力量!Q330</f>
        <v>14</v>
      </c>
      <c r="R330">
        <f>電力量!R331-電力量!R330</f>
        <v>0</v>
      </c>
    </row>
    <row r="331" spans="1:18">
      <c r="A331" s="4">
        <f t="shared" ref="A331:A379" si="131">A314+(17/24)</f>
        <v>45885.708333333336</v>
      </c>
      <c r="B331">
        <f>電力量!B332-電力量!B331</f>
        <v>797</v>
      </c>
      <c r="C331">
        <f>電力量!C332-電力量!C331</f>
        <v>202</v>
      </c>
      <c r="D331">
        <f>電力量!D332-電力量!D331</f>
        <v>19.400000000001455</v>
      </c>
      <c r="E331">
        <f>電力量!E332-電力量!E331</f>
        <v>0</v>
      </c>
      <c r="F331">
        <f>電力量!F332-電力量!F331</f>
        <v>21</v>
      </c>
      <c r="G331">
        <f>電力量!G332-電力量!G331</f>
        <v>76.299999999995634</v>
      </c>
      <c r="H331">
        <f>電力量!H332-電力量!H331</f>
        <v>11</v>
      </c>
      <c r="I331">
        <f>電力量!I332-電力量!I331</f>
        <v>256</v>
      </c>
      <c r="J331">
        <f>電力量!J332-電力量!J331</f>
        <v>13.19999999999709</v>
      </c>
      <c r="K331">
        <f>電力量!K332-電力量!K331</f>
        <v>1.8999999999941792</v>
      </c>
      <c r="L331">
        <f>電力量!L332-電力量!L331</f>
        <v>18.5</v>
      </c>
      <c r="M331">
        <f>電力量!M332-電力量!M331</f>
        <v>49.599999999998545</v>
      </c>
      <c r="N331">
        <f>電力量!N332-電力量!N331</f>
        <v>51.600000000005821</v>
      </c>
      <c r="O331">
        <f>電力量!O332-電力量!O331</f>
        <v>17.69999999999709</v>
      </c>
      <c r="P331">
        <f>電力量!P332-電力量!P331</f>
        <v>5</v>
      </c>
      <c r="Q331">
        <f>電力量!Q332-電力量!Q331</f>
        <v>8</v>
      </c>
      <c r="R331">
        <f>電力量!R332-電力量!R331</f>
        <v>0</v>
      </c>
    </row>
    <row r="332" spans="1:18">
      <c r="A332" s="4">
        <f t="shared" ref="A332:A380" si="132">A314+(18/24)</f>
        <v>45885.75</v>
      </c>
      <c r="B332">
        <f>電力量!B333-電力量!B332</f>
        <v>782</v>
      </c>
      <c r="C332">
        <f>電力量!C333-電力量!C332</f>
        <v>196</v>
      </c>
      <c r="D332">
        <f>電力量!D333-電力量!D332</f>
        <v>18.5</v>
      </c>
      <c r="E332">
        <f>電力量!E333-電力量!E332</f>
        <v>0</v>
      </c>
      <c r="F332">
        <f>電力量!F333-電力量!F332</f>
        <v>18</v>
      </c>
      <c r="G332">
        <f>電力量!G333-電力量!G332</f>
        <v>75.600000000005821</v>
      </c>
      <c r="H332">
        <f>電力量!H333-電力量!H332</f>
        <v>15</v>
      </c>
      <c r="I332">
        <f>電力量!I333-電力量!I332</f>
        <v>251</v>
      </c>
      <c r="J332">
        <f>電力量!J333-電力量!J332</f>
        <v>11.400000000001455</v>
      </c>
      <c r="K332">
        <f>電力量!K333-電力量!K332</f>
        <v>3.3999999999941792</v>
      </c>
      <c r="L332">
        <f>電力量!L333-電力量!L332</f>
        <v>18.200000000011642</v>
      </c>
      <c r="M332">
        <f>電力量!M333-電力量!M332</f>
        <v>46.600000000005821</v>
      </c>
      <c r="N332">
        <f>電力量!N333-電力量!N332</f>
        <v>56.399999999994179</v>
      </c>
      <c r="O332">
        <f>電力量!O333-電力量!O332</f>
        <v>16</v>
      </c>
      <c r="P332">
        <f>電力量!P333-電力量!P332</f>
        <v>1</v>
      </c>
      <c r="Q332">
        <f>電力量!Q333-電力量!Q332</f>
        <v>1</v>
      </c>
      <c r="R332">
        <f>電力量!R333-電力量!R332</f>
        <v>0</v>
      </c>
    </row>
    <row r="333" spans="1:18">
      <c r="A333" s="4">
        <f t="shared" ref="A333:A381" si="133">A314+(19/24)</f>
        <v>45885.791666666664</v>
      </c>
      <c r="B333">
        <f>電力量!B334-電力量!B333</f>
        <v>750</v>
      </c>
      <c r="C333">
        <f>電力量!C334-電力量!C333</f>
        <v>184</v>
      </c>
      <c r="D333">
        <f>電力量!D334-電力量!D333</f>
        <v>15.80000000000291</v>
      </c>
      <c r="E333">
        <f>電力量!E334-電力量!E333</f>
        <v>0</v>
      </c>
      <c r="F333">
        <f>電力量!F334-電力量!F333</f>
        <v>17</v>
      </c>
      <c r="G333">
        <f>電力量!G334-電力量!G333</f>
        <v>68.899999999994179</v>
      </c>
      <c r="H333">
        <f>電力量!H334-電力量!H333</f>
        <v>16</v>
      </c>
      <c r="I333">
        <f>電力量!I334-電力量!I333</f>
        <v>241</v>
      </c>
      <c r="J333">
        <f>電力量!J334-電力量!J333</f>
        <v>11</v>
      </c>
      <c r="K333">
        <f>電力量!K334-電力量!K333</f>
        <v>3.5</v>
      </c>
      <c r="L333">
        <f>電力量!L334-電力量!L333</f>
        <v>19.099999999991269</v>
      </c>
      <c r="M333">
        <f>電力量!M334-電力量!M333</f>
        <v>44.799999999995634</v>
      </c>
      <c r="N333">
        <f>電力量!N334-電力量!N333</f>
        <v>55.100000000005821</v>
      </c>
      <c r="O333">
        <f>電力量!O334-電力量!O333</f>
        <v>18</v>
      </c>
      <c r="P333">
        <f>電力量!P334-電力量!P333</f>
        <v>0</v>
      </c>
      <c r="Q333">
        <f>電力量!Q334-電力量!Q333</f>
        <v>0</v>
      </c>
      <c r="R333">
        <f>電力量!R334-電力量!R333</f>
        <v>0</v>
      </c>
    </row>
    <row r="334" spans="1:18">
      <c r="A334" s="4">
        <f t="shared" ref="A334:A382" si="134">A314+(20/24)</f>
        <v>45885.833333333336</v>
      </c>
      <c r="B334">
        <f>電力量!B335-電力量!B334</f>
        <v>724</v>
      </c>
      <c r="C334">
        <f>電力量!C335-電力量!C334</f>
        <v>179</v>
      </c>
      <c r="D334">
        <f>電力量!D335-電力量!D334</f>
        <v>14.5</v>
      </c>
      <c r="E334">
        <f>電力量!E335-電力量!E334</f>
        <v>0</v>
      </c>
      <c r="F334">
        <f>電力量!F335-電力量!F334</f>
        <v>16</v>
      </c>
      <c r="G334">
        <f>電力量!G335-電力量!G334</f>
        <v>63.600000000005821</v>
      </c>
      <c r="H334">
        <f>電力量!H335-電力量!H334</f>
        <v>16</v>
      </c>
      <c r="I334">
        <f>電力量!I335-電力量!I334</f>
        <v>231</v>
      </c>
      <c r="J334">
        <f>電力量!J335-電力量!J334</f>
        <v>10.900000000001455</v>
      </c>
      <c r="K334">
        <f>電力量!K335-電力量!K334</f>
        <v>3.1000000000058208</v>
      </c>
      <c r="L334">
        <f>電力量!L335-電力量!L334</f>
        <v>19.5</v>
      </c>
      <c r="M334">
        <f>電力量!M335-電力量!M334</f>
        <v>41.900000000001455</v>
      </c>
      <c r="N334">
        <f>電力量!N335-電力量!N334</f>
        <v>56.69999999999709</v>
      </c>
      <c r="O334">
        <f>電力量!O335-電力量!O334</f>
        <v>18.19999999999709</v>
      </c>
      <c r="P334">
        <f>電力量!P335-電力量!P334</f>
        <v>0</v>
      </c>
      <c r="Q334">
        <f>電力量!Q335-電力量!Q334</f>
        <v>0</v>
      </c>
      <c r="R334">
        <f>電力量!R335-電力量!R334</f>
        <v>0</v>
      </c>
    </row>
    <row r="335" spans="1:18">
      <c r="A335" s="4">
        <f t="shared" ref="A335:A383" si="135">A314+(21/24)</f>
        <v>45885.875</v>
      </c>
      <c r="B335">
        <f>電力量!B336-電力量!B335</f>
        <v>706</v>
      </c>
      <c r="C335">
        <f>電力量!C336-電力量!C335</f>
        <v>174</v>
      </c>
      <c r="D335">
        <f>電力量!D336-電力量!D335</f>
        <v>13.19999999999709</v>
      </c>
      <c r="E335">
        <f>電力量!E336-電力量!E335</f>
        <v>0</v>
      </c>
      <c r="F335">
        <f>電力量!F336-電力量!F335</f>
        <v>17</v>
      </c>
      <c r="G335">
        <f>電力量!G336-電力量!G335</f>
        <v>63.69999999999709</v>
      </c>
      <c r="H335">
        <f>電力量!H336-電力量!H335</f>
        <v>16</v>
      </c>
      <c r="I335">
        <f>電力量!I336-電力量!I335</f>
        <v>226</v>
      </c>
      <c r="J335">
        <f>電力量!J336-電力量!J335</f>
        <v>10.299999999995634</v>
      </c>
      <c r="K335">
        <f>電力量!K336-電力量!K335</f>
        <v>3</v>
      </c>
      <c r="L335">
        <f>電力量!L336-電力量!L335</f>
        <v>19.30000000000291</v>
      </c>
      <c r="M335">
        <f>電力量!M336-電力量!M335</f>
        <v>41</v>
      </c>
      <c r="N335">
        <f>電力量!N336-電力量!N335</f>
        <v>54.5</v>
      </c>
      <c r="O335">
        <f>電力量!O336-電力量!O335</f>
        <v>17.5</v>
      </c>
      <c r="P335">
        <f>電力量!P336-電力量!P335</f>
        <v>0</v>
      </c>
      <c r="Q335">
        <f>電力量!Q336-電力量!Q335</f>
        <v>0</v>
      </c>
      <c r="R335">
        <f>電力量!R336-電力量!R335</f>
        <v>0</v>
      </c>
    </row>
    <row r="336" spans="1:18">
      <c r="A336" s="4">
        <f t="shared" ref="A336:A384" si="136">A314+(22/24)</f>
        <v>45885.916666666664</v>
      </c>
      <c r="B336">
        <f>電力量!B337-電力量!B336</f>
        <v>703</v>
      </c>
      <c r="C336">
        <f>電力量!C337-電力量!C336</f>
        <v>171</v>
      </c>
      <c r="D336">
        <f>電力量!D337-電力量!D336</f>
        <v>12.80000000000291</v>
      </c>
      <c r="E336">
        <f>電力量!E337-電力量!E336</f>
        <v>0</v>
      </c>
      <c r="F336">
        <f>電力量!F337-電力量!F336</f>
        <v>15</v>
      </c>
      <c r="G336">
        <f>電力量!G337-電力量!G336</f>
        <v>61.900000000001455</v>
      </c>
      <c r="H336">
        <f>電力量!H337-電力量!H336</f>
        <v>16</v>
      </c>
      <c r="I336">
        <f>電力量!I337-電力量!I336</f>
        <v>225</v>
      </c>
      <c r="J336">
        <f>電力量!J337-電力量!J336</f>
        <v>10.700000000004366</v>
      </c>
      <c r="K336">
        <f>電力量!K337-電力量!K336</f>
        <v>3.3000000000029104</v>
      </c>
      <c r="L336">
        <f>電力量!L337-電力量!L336</f>
        <v>18.399999999994179</v>
      </c>
      <c r="M336">
        <f>電力量!M337-電力量!M336</f>
        <v>41.599999999998545</v>
      </c>
      <c r="N336">
        <f>電力量!N337-電力量!N336</f>
        <v>57</v>
      </c>
      <c r="O336">
        <f>電力量!O337-電力量!O336</f>
        <v>17.400000000008731</v>
      </c>
      <c r="P336">
        <f>電力量!P337-電力量!P336</f>
        <v>0</v>
      </c>
      <c r="Q336">
        <f>電力量!Q337-電力量!Q336</f>
        <v>0</v>
      </c>
      <c r="R336">
        <f>電力量!R337-電力量!R336</f>
        <v>0</v>
      </c>
    </row>
    <row r="337" spans="1:18">
      <c r="A337" s="4">
        <f t="shared" ref="A337:A385" si="137">A314+(23/24)</f>
        <v>45885.958333333336</v>
      </c>
      <c r="B337">
        <f>電力量!B338-電力量!B337</f>
        <v>690</v>
      </c>
      <c r="C337">
        <f>電力量!C338-電力量!C337</f>
        <v>170</v>
      </c>
      <c r="D337">
        <f>電力量!D338-電力量!D337</f>
        <v>12.299999999995634</v>
      </c>
      <c r="E337">
        <f>電力量!E338-電力量!E337</f>
        <v>0</v>
      </c>
      <c r="F337">
        <f>電力量!F338-電力量!F337</f>
        <v>16</v>
      </c>
      <c r="G337">
        <f>電力量!G338-電力量!G337</f>
        <v>60.599999999998545</v>
      </c>
      <c r="H337">
        <f>電力量!H338-電力量!H337</f>
        <v>17</v>
      </c>
      <c r="I337">
        <f>電力量!I338-電力量!I337</f>
        <v>221</v>
      </c>
      <c r="J337">
        <f>電力量!J338-電力量!J337</f>
        <v>10</v>
      </c>
      <c r="K337">
        <f>電力量!K338-電力量!K337</f>
        <v>3.3999999999941792</v>
      </c>
      <c r="L337">
        <f>電力量!L338-電力量!L337</f>
        <v>18.400000000008731</v>
      </c>
      <c r="M337">
        <f>電力量!M338-電力量!M337</f>
        <v>40.30000000000291</v>
      </c>
      <c r="N337">
        <f>電力量!N338-電力量!N337</f>
        <v>54.5</v>
      </c>
      <c r="O337">
        <f>電力量!O338-電力量!O337</f>
        <v>17.899999999994179</v>
      </c>
      <c r="P337">
        <f>電力量!P338-電力量!P337</f>
        <v>0</v>
      </c>
      <c r="Q337">
        <f>電力量!Q338-電力量!Q337</f>
        <v>0</v>
      </c>
      <c r="R337">
        <f>電力量!R338-電力量!R337</f>
        <v>0</v>
      </c>
    </row>
    <row r="338" spans="1:18">
      <c r="A338" s="4">
        <v>45886</v>
      </c>
      <c r="B338">
        <f>電力量!B339-電力量!B338</f>
        <v>684</v>
      </c>
      <c r="C338">
        <f>電力量!C339-電力量!C338</f>
        <v>168</v>
      </c>
      <c r="D338">
        <f>電力量!D339-電力量!D338</f>
        <v>12.700000000004366</v>
      </c>
      <c r="E338">
        <f>電力量!E339-電力量!E338</f>
        <v>0</v>
      </c>
      <c r="F338">
        <f>電力量!F339-電力量!F338</f>
        <v>16</v>
      </c>
      <c r="G338">
        <f>電力量!G339-電力量!G338</f>
        <v>60.80000000000291</v>
      </c>
      <c r="H338">
        <f>電力量!H339-電力量!H338</f>
        <v>15</v>
      </c>
      <c r="I338">
        <f>電力量!I339-電力量!I338</f>
        <v>215</v>
      </c>
      <c r="J338">
        <f>電力量!J339-電力量!J338</f>
        <v>10.19999999999709</v>
      </c>
      <c r="K338">
        <f>電力量!K339-電力量!K338</f>
        <v>3</v>
      </c>
      <c r="L338">
        <f>電力量!L339-電力量!L338</f>
        <v>19</v>
      </c>
      <c r="M338">
        <f>電力量!M339-電力量!M338</f>
        <v>42</v>
      </c>
      <c r="N338">
        <f>電力量!N339-電力量!N338</f>
        <v>54.600000000005821</v>
      </c>
      <c r="O338">
        <f>電力量!O339-電力量!O338</f>
        <v>17.5</v>
      </c>
      <c r="P338">
        <f>電力量!P339-電力量!P338</f>
        <v>0</v>
      </c>
      <c r="Q338">
        <f>電力量!Q339-電力量!Q338</f>
        <v>0</v>
      </c>
      <c r="R338">
        <f>電力量!R339-電力量!R338</f>
        <v>0</v>
      </c>
    </row>
    <row r="339" spans="1:18">
      <c r="A339" s="4">
        <f t="shared" si="115"/>
        <v>45886.041666666664</v>
      </c>
      <c r="B339">
        <f>電力量!B340-電力量!B339</f>
        <v>666</v>
      </c>
      <c r="C339">
        <f>電力量!C340-電力量!C339</f>
        <v>165</v>
      </c>
      <c r="D339">
        <f>電力量!D340-電力量!D339</f>
        <v>12.799999999995634</v>
      </c>
      <c r="E339">
        <f>電力量!E340-電力量!E339</f>
        <v>0</v>
      </c>
      <c r="F339">
        <f>電力量!F340-電力量!F339</f>
        <v>15</v>
      </c>
      <c r="G339">
        <f>電力量!G340-電力量!G339</f>
        <v>59.299999999995634</v>
      </c>
      <c r="H339">
        <f>電力量!H340-電力量!H339</f>
        <v>11</v>
      </c>
      <c r="I339">
        <f>電力量!I340-電力量!I339</f>
        <v>207</v>
      </c>
      <c r="J339">
        <f>電力量!J340-電力量!J339</f>
        <v>9.9000000000014552</v>
      </c>
      <c r="K339">
        <f>電力量!K340-電力量!K339</f>
        <v>3</v>
      </c>
      <c r="L339">
        <f>電力量!L340-電力量!L339</f>
        <v>19</v>
      </c>
      <c r="M339">
        <f>電力量!M340-電力量!M339</f>
        <v>42.19999999999709</v>
      </c>
      <c r="N339">
        <f>電力量!N340-電力量!N339</f>
        <v>54.399999999994179</v>
      </c>
      <c r="O339">
        <f>電力量!O340-電力量!O339</f>
        <v>17.400000000008731</v>
      </c>
      <c r="P339">
        <f>電力量!P340-電力量!P339</f>
        <v>0</v>
      </c>
      <c r="Q339">
        <f>電力量!Q340-電力量!Q339</f>
        <v>0</v>
      </c>
      <c r="R339">
        <f>電力量!R340-電力量!R339</f>
        <v>0</v>
      </c>
    </row>
    <row r="340" spans="1:18">
      <c r="A340" s="4">
        <f t="shared" si="116"/>
        <v>45886.083333333336</v>
      </c>
      <c r="B340">
        <f>電力量!B341-電力量!B340</f>
        <v>652</v>
      </c>
      <c r="C340">
        <f>電力量!C341-電力量!C340</f>
        <v>160</v>
      </c>
      <c r="D340">
        <f>電力量!D341-電力量!D340</f>
        <v>13.30000000000291</v>
      </c>
      <c r="E340">
        <f>電力量!E341-電力量!E340</f>
        <v>0</v>
      </c>
      <c r="F340">
        <f>電力量!F341-電力量!F340</f>
        <v>15</v>
      </c>
      <c r="G340">
        <f>電力量!G341-電力量!G340</f>
        <v>58.599999999998545</v>
      </c>
      <c r="H340">
        <f>電力量!H341-電力量!H340</f>
        <v>10</v>
      </c>
      <c r="I340">
        <f>電力量!I341-電力量!I340</f>
        <v>203</v>
      </c>
      <c r="J340">
        <f>電力量!J341-電力量!J340</f>
        <v>9.7999999999956344</v>
      </c>
      <c r="K340">
        <f>電力量!K341-電力量!K340</f>
        <v>2.9000000000087311</v>
      </c>
      <c r="L340">
        <f>電力量!L341-電力量!L340</f>
        <v>19.099999999991269</v>
      </c>
      <c r="M340">
        <f>電力量!M341-電力量!M340</f>
        <v>38.80000000000291</v>
      </c>
      <c r="N340">
        <f>電力量!N341-電力量!N340</f>
        <v>55.399999999994179</v>
      </c>
      <c r="O340">
        <f>電力量!O341-電力量!O340</f>
        <v>17.5</v>
      </c>
      <c r="P340">
        <f>電力量!P341-電力量!P340</f>
        <v>0</v>
      </c>
      <c r="Q340">
        <f>電力量!Q341-電力量!Q340</f>
        <v>0</v>
      </c>
      <c r="R340">
        <f>電力量!R341-電力量!R340</f>
        <v>0</v>
      </c>
    </row>
    <row r="341" spans="1:18">
      <c r="A341" s="4">
        <f t="shared" si="117"/>
        <v>45886.125</v>
      </c>
      <c r="B341">
        <f>電力量!B342-電力量!B341</f>
        <v>643</v>
      </c>
      <c r="C341">
        <f>電力量!C342-電力量!C341</f>
        <v>157</v>
      </c>
      <c r="D341">
        <f>電力量!D342-電力量!D341</f>
        <v>12.400000000001455</v>
      </c>
      <c r="E341">
        <f>電力量!E342-電力量!E341</f>
        <v>0</v>
      </c>
      <c r="F341">
        <f>電力量!F342-電力量!F341</f>
        <v>15</v>
      </c>
      <c r="G341">
        <f>電力量!G342-電力量!G341</f>
        <v>57.200000000004366</v>
      </c>
      <c r="H341">
        <f>電力量!H342-電力量!H341</f>
        <v>11</v>
      </c>
      <c r="I341">
        <f>電力量!I342-電力量!I341</f>
        <v>202</v>
      </c>
      <c r="J341">
        <f>電力量!J342-電力量!J341</f>
        <v>9.8000000000029104</v>
      </c>
      <c r="K341">
        <f>電力量!K342-電力量!K341</f>
        <v>2.8999999999941792</v>
      </c>
      <c r="L341">
        <f>電力量!L342-電力量!L341</f>
        <v>18.900000000008731</v>
      </c>
      <c r="M341">
        <f>電力量!M342-電力量!M341</f>
        <v>39</v>
      </c>
      <c r="N341">
        <f>電力量!N342-電力量!N341</f>
        <v>54.600000000005821</v>
      </c>
      <c r="O341">
        <f>電力量!O342-電力量!O341</f>
        <v>16.899999999994179</v>
      </c>
      <c r="P341">
        <f>電力量!P342-電力量!P341</f>
        <v>0</v>
      </c>
      <c r="Q341">
        <f>電力量!Q342-電力量!Q341</f>
        <v>0</v>
      </c>
      <c r="R341">
        <f>電力量!R342-電力量!R341</f>
        <v>0</v>
      </c>
    </row>
    <row r="342" spans="1:18">
      <c r="A342" s="4">
        <f t="shared" si="118"/>
        <v>45886.166666666664</v>
      </c>
      <c r="B342">
        <f>電力量!B343-電力量!B342</f>
        <v>643</v>
      </c>
      <c r="C342">
        <f>電力量!C343-電力量!C342</f>
        <v>158</v>
      </c>
      <c r="D342">
        <f>電力量!D343-電力量!D342</f>
        <v>13.19999999999709</v>
      </c>
      <c r="E342">
        <f>電力量!E343-電力量!E342</f>
        <v>0</v>
      </c>
      <c r="F342">
        <f>電力量!F343-電力量!F342</f>
        <v>14</v>
      </c>
      <c r="G342">
        <f>電力量!G343-電力量!G342</f>
        <v>56.69999999999709</v>
      </c>
      <c r="H342">
        <f>電力量!H343-電力量!H342</f>
        <v>10</v>
      </c>
      <c r="I342">
        <f>電力量!I343-電力量!I342</f>
        <v>199</v>
      </c>
      <c r="J342">
        <f>電力量!J343-電力量!J342</f>
        <v>9.6999999999970896</v>
      </c>
      <c r="K342">
        <f>電力量!K343-電力量!K342</f>
        <v>2.8999999999941792</v>
      </c>
      <c r="L342">
        <f>電力量!L343-電力量!L342</f>
        <v>18.5</v>
      </c>
      <c r="M342">
        <f>電力量!M343-電力量!M342</f>
        <v>38.69999999999709</v>
      </c>
      <c r="N342">
        <f>電力量!N343-電力量!N342</f>
        <v>55.399999999994179</v>
      </c>
      <c r="O342">
        <f>電力量!O343-電力量!O342</f>
        <v>17.600000000005821</v>
      </c>
      <c r="P342">
        <f>電力量!P343-電力量!P342</f>
        <v>0</v>
      </c>
      <c r="Q342">
        <f>電力量!Q343-電力量!Q342</f>
        <v>0</v>
      </c>
      <c r="R342">
        <f>電力量!R343-電力量!R342</f>
        <v>0</v>
      </c>
    </row>
    <row r="343" spans="1:18">
      <c r="A343" s="4">
        <f t="shared" si="119"/>
        <v>45886.208333333336</v>
      </c>
      <c r="B343">
        <f>電力量!B344-電力量!B343</f>
        <v>639</v>
      </c>
      <c r="C343">
        <f>電力量!C344-電力量!C343</f>
        <v>158</v>
      </c>
      <c r="D343">
        <f>電力量!D344-電力量!D343</f>
        <v>13.099999999998545</v>
      </c>
      <c r="E343">
        <f>電力量!E344-電力量!E343</f>
        <v>0</v>
      </c>
      <c r="F343">
        <f>電力量!F344-電力量!F343</f>
        <v>15</v>
      </c>
      <c r="G343">
        <f>電力量!G344-電力量!G343</f>
        <v>57</v>
      </c>
      <c r="H343">
        <f>電力量!H344-電力量!H343</f>
        <v>11</v>
      </c>
      <c r="I343">
        <f>電力量!I344-電力量!I343</f>
        <v>197</v>
      </c>
      <c r="J343">
        <f>電力量!J344-電力量!J343</f>
        <v>9.7000000000043656</v>
      </c>
      <c r="K343">
        <f>電力量!K344-電力量!K343</f>
        <v>2.9000000000087311</v>
      </c>
      <c r="L343">
        <f>電力量!L344-電力量!L343</f>
        <v>18.5</v>
      </c>
      <c r="M343">
        <f>電力量!M344-電力量!M343</f>
        <v>38.200000000004366</v>
      </c>
      <c r="N343">
        <f>電力量!N344-電力量!N343</f>
        <v>53.5</v>
      </c>
      <c r="O343">
        <f>電力量!O344-電力量!O343</f>
        <v>16.599999999991269</v>
      </c>
      <c r="P343">
        <f>電力量!P344-電力量!P343</f>
        <v>0</v>
      </c>
      <c r="Q343">
        <f>電力量!Q344-電力量!Q343</f>
        <v>0</v>
      </c>
      <c r="R343">
        <f>電力量!R344-電力量!R343</f>
        <v>0</v>
      </c>
    </row>
    <row r="344" spans="1:18">
      <c r="A344" s="4">
        <f t="shared" si="120"/>
        <v>45886.25</v>
      </c>
      <c r="B344">
        <f>電力量!B345-電力量!B344</f>
        <v>644</v>
      </c>
      <c r="C344">
        <f>電力量!C345-電力量!C344</f>
        <v>161</v>
      </c>
      <c r="D344">
        <f>電力量!D345-電力量!D344</f>
        <v>13.30000000000291</v>
      </c>
      <c r="E344">
        <f>電力量!E345-電力量!E344</f>
        <v>0</v>
      </c>
      <c r="F344">
        <f>電力量!F345-電力量!F344</f>
        <v>15</v>
      </c>
      <c r="G344">
        <f>電力量!G345-電力量!G344</f>
        <v>56.900000000001455</v>
      </c>
      <c r="H344">
        <f>電力量!H345-電力量!H344</f>
        <v>11</v>
      </c>
      <c r="I344">
        <f>電力量!I345-電力量!I344</f>
        <v>199</v>
      </c>
      <c r="J344">
        <f>電力量!J345-電力量!J344</f>
        <v>10</v>
      </c>
      <c r="K344">
        <f>電力量!K345-電力量!K344</f>
        <v>2.0999999999912689</v>
      </c>
      <c r="L344">
        <f>電力量!L345-電力量!L344</f>
        <v>18.80000000000291</v>
      </c>
      <c r="M344">
        <f>電力量!M345-電力量!M344</f>
        <v>38.19999999999709</v>
      </c>
      <c r="N344">
        <f>電力量!N345-電力量!N344</f>
        <v>54.100000000005821</v>
      </c>
      <c r="O344">
        <f>電力量!O345-電力量!O344</f>
        <v>14.900000000008731</v>
      </c>
      <c r="P344">
        <f>電力量!P345-電力量!P344</f>
        <v>0</v>
      </c>
      <c r="Q344">
        <f>電力量!Q345-電力量!Q344</f>
        <v>1</v>
      </c>
      <c r="R344">
        <f>電力量!R345-電力量!R344</f>
        <v>0</v>
      </c>
    </row>
    <row r="345" spans="1:18">
      <c r="A345" s="4">
        <f t="shared" si="121"/>
        <v>45886.291666666664</v>
      </c>
      <c r="B345">
        <f>電力量!B346-電力量!B345</f>
        <v>660</v>
      </c>
      <c r="C345">
        <f>電力量!C346-電力量!C345</f>
        <v>167</v>
      </c>
      <c r="D345">
        <f>電力量!D346-電力量!D345</f>
        <v>12.69999999999709</v>
      </c>
      <c r="E345">
        <f>電力量!E346-電力量!E345</f>
        <v>0</v>
      </c>
      <c r="F345">
        <f>電力量!F346-電力量!F345</f>
        <v>16</v>
      </c>
      <c r="G345">
        <f>電力量!G346-電力量!G345</f>
        <v>56.69999999999709</v>
      </c>
      <c r="H345">
        <f>電力量!H346-電力量!H345</f>
        <v>11</v>
      </c>
      <c r="I345">
        <f>電力量!I346-電力量!I345</f>
        <v>208</v>
      </c>
      <c r="J345">
        <f>電力量!J346-電力量!J345</f>
        <v>10.099999999998545</v>
      </c>
      <c r="K345">
        <f>電力量!K346-電力量!K345</f>
        <v>0</v>
      </c>
      <c r="L345">
        <f>電力量!L346-電力量!L345</f>
        <v>18.299999999988358</v>
      </c>
      <c r="M345">
        <f>電力量!M346-電力量!M345</f>
        <v>39.80000000000291</v>
      </c>
      <c r="N345">
        <f>電力量!N346-電力量!N345</f>
        <v>51.80000000000291</v>
      </c>
      <c r="O345">
        <f>電力量!O346-電力量!O345</f>
        <v>16.799999999988358</v>
      </c>
      <c r="P345">
        <f>電力量!P346-電力量!P345</f>
        <v>2</v>
      </c>
      <c r="Q345">
        <f>電力量!Q346-電力量!Q345</f>
        <v>4</v>
      </c>
      <c r="R345">
        <f>電力量!R346-電力量!R345</f>
        <v>0</v>
      </c>
    </row>
    <row r="346" spans="1:18">
      <c r="A346" s="4">
        <f t="shared" si="122"/>
        <v>45886.333333333336</v>
      </c>
      <c r="B346">
        <f>電力量!B347-電力量!B346</f>
        <v>664</v>
      </c>
      <c r="C346">
        <f>電力量!C347-電力量!C346</f>
        <v>170</v>
      </c>
      <c r="D346">
        <f>電力量!D347-電力量!D346</f>
        <v>12.80000000000291</v>
      </c>
      <c r="E346">
        <f>電力量!E347-電力量!E346</f>
        <v>0</v>
      </c>
      <c r="F346">
        <f>電力量!F347-電力量!F346</f>
        <v>17</v>
      </c>
      <c r="G346">
        <f>電力量!G347-電力量!G346</f>
        <v>55.30000000000291</v>
      </c>
      <c r="H346">
        <f>電力量!H347-電力量!H346</f>
        <v>10</v>
      </c>
      <c r="I346">
        <f>電力量!I347-電力量!I346</f>
        <v>214</v>
      </c>
      <c r="J346">
        <f>電力量!J347-電力量!J346</f>
        <v>10.80000000000291</v>
      </c>
      <c r="K346">
        <f>電力量!K347-電力量!K346</f>
        <v>0</v>
      </c>
      <c r="L346">
        <f>電力量!L347-電力量!L346</f>
        <v>18.100000000005821</v>
      </c>
      <c r="M346">
        <f>電力量!M347-電力量!M346</f>
        <v>42.5</v>
      </c>
      <c r="N346">
        <f>電力量!N347-電力量!N346</f>
        <v>47.099999999991269</v>
      </c>
      <c r="O346">
        <f>電力量!O347-電力量!O346</f>
        <v>17.400000000008731</v>
      </c>
      <c r="P346">
        <f>電力量!P347-電力量!P346</f>
        <v>4</v>
      </c>
      <c r="Q346">
        <f>電力量!Q347-電力量!Q346</f>
        <v>8</v>
      </c>
      <c r="R346">
        <f>電力量!R347-電力量!R346</f>
        <v>0</v>
      </c>
    </row>
    <row r="347" spans="1:18">
      <c r="A347" s="4">
        <f t="shared" si="123"/>
        <v>45886.375</v>
      </c>
      <c r="B347">
        <f>電力量!B348-電力量!B347</f>
        <v>677</v>
      </c>
      <c r="C347">
        <f>電力量!C348-電力量!C347</f>
        <v>180</v>
      </c>
      <c r="D347">
        <f>電力量!D348-電力量!D347</f>
        <v>13</v>
      </c>
      <c r="E347">
        <f>電力量!E348-電力量!E347</f>
        <v>0</v>
      </c>
      <c r="F347">
        <f>電力量!F348-電力量!F347</f>
        <v>17</v>
      </c>
      <c r="G347">
        <f>電力量!G348-電力量!G347</f>
        <v>48.5</v>
      </c>
      <c r="H347">
        <f>電力量!H348-電力量!H347</f>
        <v>11</v>
      </c>
      <c r="I347">
        <f>電力量!I348-電力量!I347</f>
        <v>228</v>
      </c>
      <c r="J347">
        <f>電力量!J348-電力量!J347</f>
        <v>10.599999999998545</v>
      </c>
      <c r="K347">
        <f>電力量!K348-電力量!K347</f>
        <v>0</v>
      </c>
      <c r="L347">
        <f>電力量!L348-電力量!L347</f>
        <v>18.100000000005821</v>
      </c>
      <c r="M347">
        <f>電力量!M348-電力量!M347</f>
        <v>40.899999999994179</v>
      </c>
      <c r="N347">
        <f>電力量!N348-電力量!N347</f>
        <v>47</v>
      </c>
      <c r="O347">
        <f>電力量!O348-電力量!O347</f>
        <v>17.399999999994179</v>
      </c>
      <c r="P347">
        <f>電力量!P348-電力量!P347</f>
        <v>8</v>
      </c>
      <c r="Q347">
        <f>電力量!Q348-電力量!Q347</f>
        <v>12</v>
      </c>
      <c r="R347">
        <f>電力量!R348-電力量!R347</f>
        <v>0</v>
      </c>
    </row>
    <row r="348" spans="1:18">
      <c r="A348" s="4">
        <f t="shared" si="124"/>
        <v>45886.416666666664</v>
      </c>
      <c r="B348">
        <f>電力量!B349-電力量!B348</f>
        <v>703</v>
      </c>
      <c r="C348">
        <f>電力量!C349-電力量!C348</f>
        <v>199</v>
      </c>
      <c r="D348">
        <f>電力量!D349-電力量!D348</f>
        <v>18</v>
      </c>
      <c r="E348">
        <f>電力量!E349-電力量!E348</f>
        <v>0</v>
      </c>
      <c r="F348">
        <f>電力量!F349-電力量!F348</f>
        <v>17</v>
      </c>
      <c r="G348">
        <f>電力量!G349-電力量!G348</f>
        <v>43.80000000000291</v>
      </c>
      <c r="H348">
        <f>電力量!H349-電力量!H348</f>
        <v>11</v>
      </c>
      <c r="I348">
        <f>電力量!I349-電力量!I348</f>
        <v>231</v>
      </c>
      <c r="J348">
        <f>電力量!J349-電力量!J348</f>
        <v>11.19999999999709</v>
      </c>
      <c r="K348">
        <f>電力量!K349-電力量!K348</f>
        <v>0</v>
      </c>
      <c r="L348">
        <f>電力量!L349-電力量!L348</f>
        <v>20.5</v>
      </c>
      <c r="M348">
        <f>電力量!M349-電力量!M348</f>
        <v>41.30000000000291</v>
      </c>
      <c r="N348">
        <f>電力量!N349-電力量!N348</f>
        <v>49.100000000005821</v>
      </c>
      <c r="O348">
        <f>電力量!O349-電力量!O348</f>
        <v>17.19999999999709</v>
      </c>
      <c r="P348">
        <f>電力量!P349-電力量!P348</f>
        <v>12</v>
      </c>
      <c r="Q348">
        <f>電力量!Q349-電力量!Q348</f>
        <v>19</v>
      </c>
      <c r="R348">
        <f>電力量!R349-電力量!R348</f>
        <v>0</v>
      </c>
    </row>
    <row r="349" spans="1:18">
      <c r="A349" s="4">
        <f t="shared" si="125"/>
        <v>45886.458333333336</v>
      </c>
      <c r="B349">
        <f>電力量!B350-電力量!B349</f>
        <v>695</v>
      </c>
      <c r="C349">
        <f>電力量!C350-電力量!C349</f>
        <v>204</v>
      </c>
      <c r="D349">
        <f>電力量!D350-電力量!D349</f>
        <v>15.799999999995634</v>
      </c>
      <c r="E349">
        <f>電力量!E350-電力量!E349</f>
        <v>0</v>
      </c>
      <c r="F349">
        <f>電力量!F350-電力量!F349</f>
        <v>18</v>
      </c>
      <c r="G349">
        <f>電力量!G350-電力量!G349</f>
        <v>40.69999999999709</v>
      </c>
      <c r="H349">
        <f>電力量!H350-電力量!H349</f>
        <v>11</v>
      </c>
      <c r="I349">
        <f>電力量!I350-電力量!I349</f>
        <v>233</v>
      </c>
      <c r="J349">
        <f>電力量!J350-電力量!J349</f>
        <v>11.5</v>
      </c>
      <c r="K349">
        <f>電力量!K350-電力量!K349</f>
        <v>0</v>
      </c>
      <c r="L349">
        <f>電力量!L350-電力量!L349</f>
        <v>20.19999999999709</v>
      </c>
      <c r="M349">
        <f>電力量!M350-電力量!M349</f>
        <v>44.400000000001455</v>
      </c>
      <c r="N349">
        <f>電力量!N350-電力量!N349</f>
        <v>41.30000000000291</v>
      </c>
      <c r="O349">
        <f>電力量!O350-電力量!O349</f>
        <v>16.700000000011642</v>
      </c>
      <c r="P349">
        <f>電力量!P350-電力量!P349</f>
        <v>14</v>
      </c>
      <c r="Q349">
        <f>電力量!Q350-電力量!Q349</f>
        <v>21</v>
      </c>
      <c r="R349">
        <f>電力量!R350-電力量!R349</f>
        <v>0</v>
      </c>
    </row>
    <row r="350" spans="1:18">
      <c r="A350" s="4">
        <f t="shared" si="126"/>
        <v>45886.5</v>
      </c>
      <c r="B350">
        <f>電力量!B351-電力量!B350</f>
        <v>691</v>
      </c>
      <c r="C350">
        <f>電力量!C351-電力量!C350</f>
        <v>200</v>
      </c>
      <c r="D350">
        <f>電力量!D351-電力量!D350</f>
        <v>14.5</v>
      </c>
      <c r="E350">
        <f>電力量!E351-電力量!E350</f>
        <v>0</v>
      </c>
      <c r="F350">
        <f>電力量!F351-電力量!F350</f>
        <v>17</v>
      </c>
      <c r="G350">
        <f>電力量!G351-電力量!G350</f>
        <v>38.900000000001455</v>
      </c>
      <c r="H350">
        <f>電力量!H351-電力量!H350</f>
        <v>11</v>
      </c>
      <c r="I350">
        <f>電力量!I351-電力量!I350</f>
        <v>240</v>
      </c>
      <c r="J350">
        <f>電力量!J351-電力量!J350</f>
        <v>11.80000000000291</v>
      </c>
      <c r="K350">
        <f>電力量!K351-電力量!K350</f>
        <v>0</v>
      </c>
      <c r="L350">
        <f>電力量!L351-電力量!L350</f>
        <v>20.69999999999709</v>
      </c>
      <c r="M350">
        <f>電力量!M351-電力量!M350</f>
        <v>43</v>
      </c>
      <c r="N350">
        <f>電力量!N351-電力量!N350</f>
        <v>39.19999999999709</v>
      </c>
      <c r="O350">
        <f>電力量!O351-電力量!O350</f>
        <v>17.19999999999709</v>
      </c>
      <c r="P350">
        <f>電力量!P351-電力量!P350</f>
        <v>16</v>
      </c>
      <c r="Q350">
        <f>電力量!Q351-電力量!Q350</f>
        <v>24</v>
      </c>
      <c r="R350">
        <f>電力量!R351-電力量!R350</f>
        <v>0</v>
      </c>
    </row>
    <row r="351" spans="1:18">
      <c r="A351" s="4">
        <f t="shared" si="127"/>
        <v>45886.541666666664</v>
      </c>
      <c r="B351">
        <f>電力量!B352-電力量!B351</f>
        <v>753</v>
      </c>
      <c r="C351">
        <f>電力量!C352-電力量!C351</f>
        <v>207</v>
      </c>
      <c r="D351">
        <f>電力量!D352-電力量!D351</f>
        <v>23.400000000001455</v>
      </c>
      <c r="E351">
        <f>電力量!E352-電力量!E351</f>
        <v>0</v>
      </c>
      <c r="F351">
        <f>電力量!F352-電力量!F351</f>
        <v>18</v>
      </c>
      <c r="G351">
        <f>電力量!G352-電力量!G351</f>
        <v>59.900000000001455</v>
      </c>
      <c r="H351">
        <f>電力量!H352-電力量!H351</f>
        <v>12</v>
      </c>
      <c r="I351">
        <f>電力量!I352-電力量!I351</f>
        <v>245</v>
      </c>
      <c r="J351">
        <f>電力量!J352-電力量!J351</f>
        <v>11.900000000001455</v>
      </c>
      <c r="K351">
        <f>電力量!K352-電力量!K351</f>
        <v>0</v>
      </c>
      <c r="L351">
        <f>電力量!L352-電力量!L351</f>
        <v>20.5</v>
      </c>
      <c r="M351">
        <f>電力量!M352-電力量!M351</f>
        <v>42.69999999999709</v>
      </c>
      <c r="N351">
        <f>電力量!N352-電力量!N351</f>
        <v>48.69999999999709</v>
      </c>
      <c r="O351">
        <f>電力量!O352-電力量!O351</f>
        <v>17.69999999999709</v>
      </c>
      <c r="P351">
        <f>電力量!P352-電力量!P351</f>
        <v>11</v>
      </c>
      <c r="Q351">
        <f>電力量!Q352-電力量!Q351</f>
        <v>16</v>
      </c>
      <c r="R351">
        <f>電力量!R352-電力量!R351</f>
        <v>0</v>
      </c>
    </row>
    <row r="352" spans="1:18">
      <c r="A352" s="4">
        <f t="shared" si="128"/>
        <v>45886.583333333336</v>
      </c>
      <c r="B352">
        <f>電力量!B353-電力量!B352</f>
        <v>776</v>
      </c>
      <c r="C352">
        <f>電力量!C353-電力量!C352</f>
        <v>226</v>
      </c>
      <c r="D352">
        <f>電力量!D353-電力量!D352</f>
        <v>28.099999999998545</v>
      </c>
      <c r="E352">
        <f>電力量!E353-電力量!E352</f>
        <v>0</v>
      </c>
      <c r="F352">
        <f>電力量!F353-電力量!F352</f>
        <v>19</v>
      </c>
      <c r="G352">
        <f>電力量!G353-電力量!G352</f>
        <v>53.5</v>
      </c>
      <c r="H352">
        <f>電力量!H353-電力量!H352</f>
        <v>14</v>
      </c>
      <c r="I352">
        <f>電力量!I353-電力量!I352</f>
        <v>248</v>
      </c>
      <c r="J352">
        <f>電力量!J353-電力量!J352</f>
        <v>12.099999999998545</v>
      </c>
      <c r="K352">
        <f>電力量!K353-電力量!K352</f>
        <v>0</v>
      </c>
      <c r="L352">
        <f>電力量!L353-電力量!L352</f>
        <v>20.600000000005821</v>
      </c>
      <c r="M352">
        <f>電力量!M353-電力量!M352</f>
        <v>48.599999999998545</v>
      </c>
      <c r="N352">
        <f>電力量!N353-電力量!N352</f>
        <v>48</v>
      </c>
      <c r="O352">
        <f>電力量!O353-電力量!O352</f>
        <v>17.30000000000291</v>
      </c>
      <c r="P352">
        <f>電力量!P353-電力量!P352</f>
        <v>14</v>
      </c>
      <c r="Q352">
        <f>電力量!Q353-電力量!Q352</f>
        <v>23</v>
      </c>
      <c r="R352">
        <f>電力量!R353-電力量!R352</f>
        <v>0</v>
      </c>
    </row>
    <row r="353" spans="1:18">
      <c r="A353" s="4">
        <f t="shared" si="129"/>
        <v>45886.625</v>
      </c>
      <c r="B353">
        <f>電力量!B354-電力量!B353</f>
        <v>812</v>
      </c>
      <c r="C353">
        <f>電力量!C354-電力量!C353</f>
        <v>236</v>
      </c>
      <c r="D353">
        <f>電力量!D354-電力量!D353</f>
        <v>30.700000000004366</v>
      </c>
      <c r="E353">
        <f>電力量!E354-電力量!E353</f>
        <v>0</v>
      </c>
      <c r="F353">
        <f>電力量!F354-電力量!F353</f>
        <v>19</v>
      </c>
      <c r="G353">
        <f>電力量!G354-電力量!G353</f>
        <v>57.5</v>
      </c>
      <c r="H353">
        <f>電力量!H354-電力量!H353</f>
        <v>16</v>
      </c>
      <c r="I353">
        <f>電力量!I354-電力量!I353</f>
        <v>262</v>
      </c>
      <c r="J353">
        <f>電力量!J354-電力量!J353</f>
        <v>13.599999999998545</v>
      </c>
      <c r="K353">
        <f>電力量!K354-電力量!K353</f>
        <v>0</v>
      </c>
      <c r="L353">
        <f>電力量!L354-電力量!L353</f>
        <v>21.899999999994179</v>
      </c>
      <c r="M353">
        <f>電力量!M354-電力量!M353</f>
        <v>45.5</v>
      </c>
      <c r="N353">
        <f>電力量!N354-電力量!N353</f>
        <v>45.80000000000291</v>
      </c>
      <c r="O353">
        <f>電力量!O354-電力量!O353</f>
        <v>17.399999999994179</v>
      </c>
      <c r="P353">
        <f>電力量!P354-電力量!P353</f>
        <v>13</v>
      </c>
      <c r="Q353">
        <f>電力量!Q354-電力量!Q353</f>
        <v>19</v>
      </c>
      <c r="R353">
        <f>電力量!R354-電力量!R353</f>
        <v>0</v>
      </c>
    </row>
    <row r="354" spans="1:18">
      <c r="A354" s="4">
        <f t="shared" si="130"/>
        <v>45886.666666666664</v>
      </c>
      <c r="B354">
        <f>電力量!B355-電力量!B354</f>
        <v>828</v>
      </c>
      <c r="C354">
        <f>電力量!C355-電力量!C354</f>
        <v>222</v>
      </c>
      <c r="D354">
        <f>電力量!D355-電力量!D354</f>
        <v>30.099999999998545</v>
      </c>
      <c r="E354">
        <f>電力量!E355-電力量!E354</f>
        <v>0</v>
      </c>
      <c r="F354">
        <f>電力量!F355-電力量!F354</f>
        <v>19</v>
      </c>
      <c r="G354">
        <f>電力量!G355-電力量!G354</f>
        <v>63.69999999999709</v>
      </c>
      <c r="H354">
        <f>電力量!H355-電力量!H354</f>
        <v>11</v>
      </c>
      <c r="I354">
        <f>電力量!I355-電力量!I354</f>
        <v>274</v>
      </c>
      <c r="J354">
        <f>電力量!J355-電力量!J354</f>
        <v>12.599999999998545</v>
      </c>
      <c r="K354">
        <f>電力量!K355-電力量!K354</f>
        <v>0</v>
      </c>
      <c r="L354">
        <f>電力量!L355-電力量!L354</f>
        <v>23.30000000000291</v>
      </c>
      <c r="M354">
        <f>電力量!M355-電力量!M354</f>
        <v>48.80000000000291</v>
      </c>
      <c r="N354">
        <f>電力量!N355-電力量!N354</f>
        <v>50.5</v>
      </c>
      <c r="O354">
        <f>電力量!O355-電力量!O354</f>
        <v>19.100000000005821</v>
      </c>
      <c r="P354">
        <f>電力量!P355-電力量!P354</f>
        <v>9</v>
      </c>
      <c r="Q354">
        <f>電力量!Q355-電力量!Q354</f>
        <v>14</v>
      </c>
      <c r="R354">
        <f>電力量!R355-電力量!R354</f>
        <v>0</v>
      </c>
    </row>
    <row r="355" spans="1:18">
      <c r="A355" s="4">
        <f t="shared" si="131"/>
        <v>45886.708333333336</v>
      </c>
      <c r="B355">
        <f>電力量!B356-電力量!B355</f>
        <v>816</v>
      </c>
      <c r="C355">
        <f>電力量!C356-電力量!C355</f>
        <v>211</v>
      </c>
      <c r="D355">
        <f>電力量!D356-電力量!D355</f>
        <v>18.900000000001455</v>
      </c>
      <c r="E355">
        <f>電力量!E356-電力量!E355</f>
        <v>0</v>
      </c>
      <c r="F355">
        <f>電力量!F356-電力量!F355</f>
        <v>18</v>
      </c>
      <c r="G355">
        <f>電力量!G356-電力量!G355</f>
        <v>74.400000000001455</v>
      </c>
      <c r="H355">
        <f>電力量!H356-電力量!H355</f>
        <v>11</v>
      </c>
      <c r="I355">
        <f>電力量!I356-電力量!I355</f>
        <v>268</v>
      </c>
      <c r="J355">
        <f>電力量!J356-電力量!J355</f>
        <v>12.30000000000291</v>
      </c>
      <c r="K355">
        <f>電力量!K356-電力量!K355</f>
        <v>1.8000000000029104</v>
      </c>
      <c r="L355">
        <f>電力量!L356-電力量!L355</f>
        <v>24.899999999994179</v>
      </c>
      <c r="M355">
        <f>電力量!M356-電力量!M355</f>
        <v>46</v>
      </c>
      <c r="N355">
        <f>電力量!N356-電力量!N355</f>
        <v>52.80000000000291</v>
      </c>
      <c r="O355">
        <f>電力量!O356-電力量!O355</f>
        <v>17.899999999994179</v>
      </c>
      <c r="P355">
        <f>電力量!P356-電力量!P355</f>
        <v>5</v>
      </c>
      <c r="Q355">
        <f>電力量!Q356-電力量!Q355</f>
        <v>7</v>
      </c>
      <c r="R355">
        <f>電力量!R356-電力量!R355</f>
        <v>0</v>
      </c>
    </row>
    <row r="356" spans="1:18">
      <c r="A356" s="4">
        <f t="shared" si="132"/>
        <v>45886.75</v>
      </c>
      <c r="B356">
        <f>電力量!B357-電力量!B356</f>
        <v>785</v>
      </c>
      <c r="C356">
        <f>電力量!C357-電力量!C356</f>
        <v>205</v>
      </c>
      <c r="D356">
        <f>電力量!D357-電力量!D356</f>
        <v>16</v>
      </c>
      <c r="E356">
        <f>電力量!E357-電力量!E356</f>
        <v>0</v>
      </c>
      <c r="F356">
        <f>電力量!F357-電力量!F356</f>
        <v>17</v>
      </c>
      <c r="G356">
        <f>電力量!G357-電力量!G356</f>
        <v>81.19999999999709</v>
      </c>
      <c r="H356">
        <f>電力量!H357-電力量!H356</f>
        <v>11</v>
      </c>
      <c r="I356">
        <f>電力量!I357-電力量!I356</f>
        <v>247</v>
      </c>
      <c r="J356">
        <f>電力量!J357-電力量!J356</f>
        <v>11</v>
      </c>
      <c r="K356">
        <f>電力量!K357-電力量!K356</f>
        <v>3.1999999999970896</v>
      </c>
      <c r="L356">
        <f>電力量!L357-電力量!L356</f>
        <v>22.900000000008731</v>
      </c>
      <c r="M356">
        <f>電力量!M357-電力量!M356</f>
        <v>43</v>
      </c>
      <c r="N356">
        <f>電力量!N357-電力量!N356</f>
        <v>55.5</v>
      </c>
      <c r="O356">
        <f>電力量!O357-電力量!O356</f>
        <v>16.80000000000291</v>
      </c>
      <c r="P356">
        <f>電力量!P357-電力量!P356</f>
        <v>1</v>
      </c>
      <c r="Q356">
        <f>電力量!Q357-電力量!Q356</f>
        <v>1</v>
      </c>
      <c r="R356">
        <f>電力量!R357-電力量!R356</f>
        <v>0</v>
      </c>
    </row>
    <row r="357" spans="1:18">
      <c r="A357" s="4">
        <f t="shared" si="133"/>
        <v>45886.791666666664</v>
      </c>
      <c r="B357">
        <f>電力量!B358-電力量!B357</f>
        <v>755</v>
      </c>
      <c r="C357">
        <f>電力量!C358-電力量!C357</f>
        <v>199</v>
      </c>
      <c r="D357">
        <f>電力量!D358-電力量!D357</f>
        <v>15.099999999998545</v>
      </c>
      <c r="E357">
        <f>電力量!E358-電力量!E357</f>
        <v>0</v>
      </c>
      <c r="F357">
        <f>電力量!F358-電力量!F357</f>
        <v>16</v>
      </c>
      <c r="G357">
        <f>電力量!G358-電力量!G357</f>
        <v>71.200000000004366</v>
      </c>
      <c r="H357">
        <f>電力量!H358-電力量!H357</f>
        <v>11</v>
      </c>
      <c r="I357">
        <f>電力量!I358-電力量!I357</f>
        <v>237</v>
      </c>
      <c r="J357">
        <f>電力量!J358-電力量!J357</f>
        <v>10.69999999999709</v>
      </c>
      <c r="K357">
        <f>電力量!K358-電力量!K357</f>
        <v>3.1000000000058208</v>
      </c>
      <c r="L357">
        <f>電力量!L358-電力量!L357</f>
        <v>22.19999999999709</v>
      </c>
      <c r="M357">
        <f>電力量!M358-電力量!M357</f>
        <v>42</v>
      </c>
      <c r="N357">
        <f>電力量!N358-電力量!N357</f>
        <v>55.5</v>
      </c>
      <c r="O357">
        <f>電力量!O358-電力量!O357</f>
        <v>18.5</v>
      </c>
      <c r="P357">
        <f>電力量!P358-電力量!P357</f>
        <v>0</v>
      </c>
      <c r="Q357">
        <f>電力量!Q358-電力量!Q357</f>
        <v>0</v>
      </c>
      <c r="R357">
        <f>電力量!R358-電力量!R357</f>
        <v>0</v>
      </c>
    </row>
    <row r="358" spans="1:18">
      <c r="A358" s="4">
        <f t="shared" si="134"/>
        <v>45886.833333333336</v>
      </c>
      <c r="B358">
        <f>電力量!B359-電力量!B358</f>
        <v>720</v>
      </c>
      <c r="C358">
        <f>電力量!C359-電力量!C358</f>
        <v>182</v>
      </c>
      <c r="D358">
        <f>電力量!D359-電力量!D358</f>
        <v>17.80000000000291</v>
      </c>
      <c r="E358">
        <f>電力量!E359-電力量!E358</f>
        <v>0</v>
      </c>
      <c r="F358">
        <f>電力量!F359-電力量!F358</f>
        <v>15</v>
      </c>
      <c r="G358">
        <f>電力量!G359-電力量!G358</f>
        <v>65.799999999995634</v>
      </c>
      <c r="H358">
        <f>電力量!H359-電力量!H358</f>
        <v>12</v>
      </c>
      <c r="I358">
        <f>電力量!I359-電力量!I358</f>
        <v>221</v>
      </c>
      <c r="J358">
        <f>電力量!J359-電力量!J358</f>
        <v>10.5</v>
      </c>
      <c r="K358">
        <f>電力量!K359-電力量!K358</f>
        <v>3.5</v>
      </c>
      <c r="L358">
        <f>電力量!L359-電力量!L358</f>
        <v>22.599999999991269</v>
      </c>
      <c r="M358">
        <f>電力量!M359-電力量!M358</f>
        <v>42.5</v>
      </c>
      <c r="N358">
        <f>電力量!N359-電力量!N358</f>
        <v>55</v>
      </c>
      <c r="O358">
        <f>電力量!O359-電力量!O358</f>
        <v>18.899999999994179</v>
      </c>
      <c r="P358">
        <f>電力量!P359-電力量!P358</f>
        <v>0</v>
      </c>
      <c r="Q358">
        <f>電力量!Q359-電力量!Q358</f>
        <v>0</v>
      </c>
      <c r="R358">
        <f>電力量!R359-電力量!R358</f>
        <v>0</v>
      </c>
    </row>
    <row r="359" spans="1:18">
      <c r="A359" s="4">
        <f t="shared" si="135"/>
        <v>45886.875</v>
      </c>
      <c r="B359">
        <f>電力量!B360-電力量!B359</f>
        <v>704</v>
      </c>
      <c r="C359">
        <f>電力量!C360-電力量!C359</f>
        <v>175</v>
      </c>
      <c r="D359">
        <f>電力量!D360-電力量!D359</f>
        <v>16.299999999995634</v>
      </c>
      <c r="E359">
        <f>電力量!E360-電力量!E359</f>
        <v>0</v>
      </c>
      <c r="F359">
        <f>電力量!F360-電力量!F359</f>
        <v>16</v>
      </c>
      <c r="G359">
        <f>電力量!G360-電力量!G359</f>
        <v>64.30000000000291</v>
      </c>
      <c r="H359">
        <f>電力量!H360-電力量!H359</f>
        <v>11</v>
      </c>
      <c r="I359">
        <f>電力量!I360-電力量!I359</f>
        <v>217</v>
      </c>
      <c r="J359">
        <f>電力量!J360-電力量!J359</f>
        <v>10.400000000001455</v>
      </c>
      <c r="K359">
        <f>電力量!K360-電力量!K359</f>
        <v>3.5</v>
      </c>
      <c r="L359">
        <f>電力量!L360-電力量!L359</f>
        <v>21.400000000008731</v>
      </c>
      <c r="M359">
        <f>電力量!M360-電力量!M359</f>
        <v>41.30000000000291</v>
      </c>
      <c r="N359">
        <f>電力量!N360-電力量!N359</f>
        <v>55</v>
      </c>
      <c r="O359">
        <f>電力量!O360-電力量!O359</f>
        <v>19.5</v>
      </c>
      <c r="P359">
        <f>電力量!P360-電力量!P359</f>
        <v>0</v>
      </c>
      <c r="Q359">
        <f>電力量!Q360-電力量!Q359</f>
        <v>0</v>
      </c>
      <c r="R359">
        <f>電力量!R360-電力量!R359</f>
        <v>0</v>
      </c>
    </row>
    <row r="360" spans="1:18">
      <c r="A360" s="4">
        <f t="shared" si="136"/>
        <v>45886.916666666664</v>
      </c>
      <c r="B360">
        <f>電力量!B361-電力量!B360</f>
        <v>698</v>
      </c>
      <c r="C360">
        <f>電力量!C361-電力量!C360</f>
        <v>171</v>
      </c>
      <c r="D360">
        <f>電力量!D361-電力量!D360</f>
        <v>15</v>
      </c>
      <c r="E360">
        <f>電力量!E361-電力量!E360</f>
        <v>0</v>
      </c>
      <c r="F360">
        <f>電力量!F361-電力量!F360</f>
        <v>15</v>
      </c>
      <c r="G360">
        <f>電力量!G361-電力量!G360</f>
        <v>61.400000000001455</v>
      </c>
      <c r="H360">
        <f>電力量!H361-電力量!H360</f>
        <v>11</v>
      </c>
      <c r="I360">
        <f>電力量!I361-電力量!I360</f>
        <v>222</v>
      </c>
      <c r="J360">
        <f>電力量!J361-電力量!J360</f>
        <v>10.099999999998545</v>
      </c>
      <c r="K360">
        <f>電力量!K361-電力量!K360</f>
        <v>3.1999999999970896</v>
      </c>
      <c r="L360">
        <f>電力量!L361-電力量!L360</f>
        <v>22.399999999994179</v>
      </c>
      <c r="M360">
        <f>電力量!M361-電力量!M360</f>
        <v>40.799999999995634</v>
      </c>
      <c r="N360">
        <f>電力量!N361-電力量!N360</f>
        <v>54.5</v>
      </c>
      <c r="O360">
        <f>電力量!O361-電力量!O360</f>
        <v>18.700000000011642</v>
      </c>
      <c r="P360">
        <f>電力量!P361-電力量!P360</f>
        <v>0</v>
      </c>
      <c r="Q360">
        <f>電力量!Q361-電力量!Q360</f>
        <v>0</v>
      </c>
      <c r="R360">
        <f>電力量!R361-電力量!R360</f>
        <v>0</v>
      </c>
    </row>
    <row r="361" spans="1:18">
      <c r="A361" s="4">
        <f t="shared" si="137"/>
        <v>45886.958333333336</v>
      </c>
      <c r="B361">
        <f>電力量!B362-電力量!B361</f>
        <v>692</v>
      </c>
      <c r="C361">
        <f>電力量!C362-電力量!C361</f>
        <v>173</v>
      </c>
      <c r="D361">
        <f>電力量!D362-電力量!D361</f>
        <v>14.099999999998545</v>
      </c>
      <c r="E361">
        <f>電力量!E362-電力量!E361</f>
        <v>0</v>
      </c>
      <c r="F361">
        <f>電力量!F362-電力量!F361</f>
        <v>16</v>
      </c>
      <c r="G361">
        <f>電力量!G362-電力量!G361</f>
        <v>60.099999999998545</v>
      </c>
      <c r="H361">
        <f>電力量!H362-電力量!H361</f>
        <v>11</v>
      </c>
      <c r="I361">
        <f>電力量!I362-電力量!I361</f>
        <v>219</v>
      </c>
      <c r="J361">
        <f>電力量!J362-電力量!J361</f>
        <v>10</v>
      </c>
      <c r="K361">
        <f>電力量!K362-電力量!K361</f>
        <v>2.9000000000087311</v>
      </c>
      <c r="L361">
        <f>電力量!L362-電力量!L361</f>
        <v>21.80000000000291</v>
      </c>
      <c r="M361">
        <f>電力量!M362-電力量!M361</f>
        <v>40.30000000000291</v>
      </c>
      <c r="N361">
        <f>電力量!N362-電力量!N361</f>
        <v>54.30000000000291</v>
      </c>
      <c r="O361">
        <f>電力量!O362-電力量!O361</f>
        <v>19</v>
      </c>
      <c r="P361">
        <f>電力量!P362-電力量!P361</f>
        <v>0</v>
      </c>
      <c r="Q361">
        <f>電力量!Q362-電力量!Q361</f>
        <v>0</v>
      </c>
      <c r="R361">
        <f>電力量!R362-電力量!R361</f>
        <v>0</v>
      </c>
    </row>
    <row r="362" spans="1:18">
      <c r="A362" s="4">
        <v>45887</v>
      </c>
      <c r="B362">
        <f>電力量!B363-電力量!B362</f>
        <v>664</v>
      </c>
      <c r="C362">
        <f>電力量!C363-電力量!C362</f>
        <v>164</v>
      </c>
      <c r="D362">
        <f>電力量!D363-電力量!D362</f>
        <v>12.80000000000291</v>
      </c>
      <c r="E362">
        <f>電力量!E363-電力量!E362</f>
        <v>0</v>
      </c>
      <c r="F362">
        <f>電力量!F363-電力量!F362</f>
        <v>14</v>
      </c>
      <c r="G362">
        <f>電力量!G363-電力量!G362</f>
        <v>58.5</v>
      </c>
      <c r="H362">
        <f>電力量!H363-電力量!H362</f>
        <v>11</v>
      </c>
      <c r="I362">
        <f>電力量!I363-電力量!I362</f>
        <v>209</v>
      </c>
      <c r="J362">
        <f>電力量!J363-電力量!J362</f>
        <v>10</v>
      </c>
      <c r="K362">
        <f>電力量!K363-電力量!K362</f>
        <v>2.8999999999941792</v>
      </c>
      <c r="L362">
        <f>電力量!L363-電力量!L362</f>
        <v>20.5</v>
      </c>
      <c r="M362">
        <f>電力量!M363-電力量!M362</f>
        <v>40.5</v>
      </c>
      <c r="N362">
        <f>電力量!N363-電力量!N362</f>
        <v>54.299999999988358</v>
      </c>
      <c r="O362">
        <f>電力量!O363-電力量!O362</f>
        <v>18.099999999991269</v>
      </c>
      <c r="P362">
        <f>電力量!P363-電力量!P362</f>
        <v>0</v>
      </c>
      <c r="Q362">
        <f>電力量!Q363-電力量!Q362</f>
        <v>0</v>
      </c>
      <c r="R362">
        <f>電力量!R363-電力量!R362</f>
        <v>0</v>
      </c>
    </row>
    <row r="363" spans="1:18">
      <c r="A363" s="4">
        <f t="shared" si="115"/>
        <v>45887.041666666664</v>
      </c>
      <c r="B363">
        <f>電力量!B364-電力量!B363</f>
        <v>658</v>
      </c>
      <c r="C363">
        <f>電力量!C364-電力量!C363</f>
        <v>160</v>
      </c>
      <c r="D363">
        <f>電力量!D364-電力量!D363</f>
        <v>13.5</v>
      </c>
      <c r="E363">
        <f>電力量!E364-電力量!E363</f>
        <v>0</v>
      </c>
      <c r="F363">
        <f>電力量!F364-電力量!F363</f>
        <v>15</v>
      </c>
      <c r="G363">
        <f>電力量!G364-電力量!G363</f>
        <v>60.599999999998545</v>
      </c>
      <c r="H363">
        <f>電力量!H364-電力量!H363</f>
        <v>10</v>
      </c>
      <c r="I363">
        <f>電力量!I364-電力量!I363</f>
        <v>205</v>
      </c>
      <c r="J363">
        <f>電力量!J364-電力量!J363</f>
        <v>9.5</v>
      </c>
      <c r="K363">
        <f>電力量!K364-電力量!K363</f>
        <v>2.8999999999941792</v>
      </c>
      <c r="L363">
        <f>電力量!L364-電力量!L363</f>
        <v>21</v>
      </c>
      <c r="M363">
        <f>電力量!M364-電力量!M363</f>
        <v>39.19999999999709</v>
      </c>
      <c r="N363">
        <f>電力量!N364-電力量!N363</f>
        <v>53.80000000000291</v>
      </c>
      <c r="O363">
        <f>電力量!O364-電力量!O363</f>
        <v>18.69999999999709</v>
      </c>
      <c r="P363">
        <f>電力量!P364-電力量!P363</f>
        <v>0</v>
      </c>
      <c r="Q363">
        <f>電力量!Q364-電力量!Q363</f>
        <v>0</v>
      </c>
      <c r="R363">
        <f>電力量!R364-電力量!R363</f>
        <v>0</v>
      </c>
    </row>
    <row r="364" spans="1:18">
      <c r="A364" s="4">
        <f t="shared" si="116"/>
        <v>45887.083333333336</v>
      </c>
      <c r="B364">
        <f>電力量!B365-電力量!B364</f>
        <v>642</v>
      </c>
      <c r="C364">
        <f>電力量!C365-電力量!C364</f>
        <v>155</v>
      </c>
      <c r="D364">
        <f>電力量!D365-電力量!D364</f>
        <v>13.19999999999709</v>
      </c>
      <c r="E364">
        <f>電力量!E365-電力量!E364</f>
        <v>0</v>
      </c>
      <c r="F364">
        <f>電力量!F365-電力量!F364</f>
        <v>15</v>
      </c>
      <c r="G364">
        <f>電力量!G365-電力量!G364</f>
        <v>58.80000000000291</v>
      </c>
      <c r="H364">
        <f>電力量!H365-電力量!H364</f>
        <v>11</v>
      </c>
      <c r="I364">
        <f>電力量!I365-電力量!I364</f>
        <v>196</v>
      </c>
      <c r="J364">
        <f>電力量!J365-電力量!J364</f>
        <v>9.7000000000043656</v>
      </c>
      <c r="K364">
        <f>電力量!K365-電力量!K364</f>
        <v>3.4000000000087311</v>
      </c>
      <c r="L364">
        <f>電力量!L365-電力量!L364</f>
        <v>20.69999999999709</v>
      </c>
      <c r="M364">
        <f>電力量!M365-電力量!M364</f>
        <v>39.099999999998545</v>
      </c>
      <c r="N364">
        <f>電力量!N365-電力量!N364</f>
        <v>54.100000000005821</v>
      </c>
      <c r="O364">
        <f>電力量!O365-電力量!O364</f>
        <v>18.900000000008731</v>
      </c>
      <c r="P364">
        <f>電力量!P365-電力量!P364</f>
        <v>0</v>
      </c>
      <c r="Q364">
        <f>電力量!Q365-電力量!Q364</f>
        <v>0</v>
      </c>
      <c r="R364">
        <f>電力量!R365-電力量!R364</f>
        <v>0</v>
      </c>
    </row>
    <row r="365" spans="1:18">
      <c r="A365" s="4">
        <f t="shared" si="117"/>
        <v>45887.125</v>
      </c>
      <c r="B365">
        <f>電力量!B366-電力量!B365</f>
        <v>637</v>
      </c>
      <c r="C365">
        <f>電力量!C366-電力量!C365</f>
        <v>153</v>
      </c>
      <c r="D365">
        <f>電力量!D366-電力量!D365</f>
        <v>13.5</v>
      </c>
      <c r="E365">
        <f>電力量!E366-電力量!E365</f>
        <v>0</v>
      </c>
      <c r="F365">
        <f>電力量!F366-電力量!F365</f>
        <v>14</v>
      </c>
      <c r="G365">
        <f>電力量!G366-電力量!G365</f>
        <v>58.19999999999709</v>
      </c>
      <c r="H365">
        <f>電力量!H366-電力量!H365</f>
        <v>11</v>
      </c>
      <c r="I365">
        <f>電力量!I366-電力量!I365</f>
        <v>194</v>
      </c>
      <c r="J365">
        <f>電力量!J366-電力量!J365</f>
        <v>9.5</v>
      </c>
      <c r="K365">
        <f>電力量!K366-電力量!K365</f>
        <v>3.3000000000029104</v>
      </c>
      <c r="L365">
        <f>電力量!L366-電力量!L365</f>
        <v>21</v>
      </c>
      <c r="M365">
        <f>電力量!M366-電力量!M365</f>
        <v>39.700000000004366</v>
      </c>
      <c r="N365">
        <f>電力量!N366-電力量!N365</f>
        <v>54.099999999991269</v>
      </c>
      <c r="O365">
        <f>電力量!O366-電力量!O365</f>
        <v>17.5</v>
      </c>
      <c r="P365">
        <f>電力量!P366-電力量!P365</f>
        <v>0</v>
      </c>
      <c r="Q365">
        <f>電力量!Q366-電力量!Q365</f>
        <v>0</v>
      </c>
      <c r="R365">
        <f>電力量!R366-電力量!R365</f>
        <v>0</v>
      </c>
    </row>
    <row r="366" spans="1:18">
      <c r="A366" s="4">
        <f t="shared" si="118"/>
        <v>45887.166666666664</v>
      </c>
      <c r="B366">
        <f>電力量!B367-電力量!B366</f>
        <v>636</v>
      </c>
      <c r="C366">
        <f>電力量!C367-電力量!C366</f>
        <v>155</v>
      </c>
      <c r="D366">
        <f>電力量!D367-電力量!D366</f>
        <v>12.900000000001455</v>
      </c>
      <c r="E366">
        <f>電力量!E367-電力量!E366</f>
        <v>0</v>
      </c>
      <c r="F366">
        <f>電力量!F367-電力量!F366</f>
        <v>14</v>
      </c>
      <c r="G366">
        <f>電力量!G367-電力量!G366</f>
        <v>58.30000000000291</v>
      </c>
      <c r="H366">
        <f>電力量!H367-電力量!H366</f>
        <v>10</v>
      </c>
      <c r="I366">
        <f>電力量!I367-電力量!I366</f>
        <v>194</v>
      </c>
      <c r="J366">
        <f>電力量!J367-電力量!J366</f>
        <v>8.3999999999941792</v>
      </c>
      <c r="K366">
        <f>電力量!K367-電力量!K366</f>
        <v>2.7999999999883585</v>
      </c>
      <c r="L366">
        <f>電力量!L367-電力量!L366</f>
        <v>19.400000000008731</v>
      </c>
      <c r="M366">
        <f>電力量!M367-電力量!M366</f>
        <v>40.19999999999709</v>
      </c>
      <c r="N366">
        <f>電力量!N367-電力量!N366</f>
        <v>55.5</v>
      </c>
      <c r="O366">
        <f>電力量!O367-電力量!O366</f>
        <v>18.5</v>
      </c>
      <c r="P366">
        <f>電力量!P367-電力量!P366</f>
        <v>0</v>
      </c>
      <c r="Q366">
        <f>電力量!Q367-電力量!Q366</f>
        <v>0</v>
      </c>
      <c r="R366">
        <f>電力量!R367-電力量!R366</f>
        <v>0</v>
      </c>
    </row>
    <row r="367" spans="1:18">
      <c r="A367" s="4">
        <f t="shared" si="119"/>
        <v>45887.208333333336</v>
      </c>
      <c r="B367">
        <f>電力量!B368-電力量!B367</f>
        <v>628</v>
      </c>
      <c r="C367">
        <f>電力量!C368-電力量!C367</f>
        <v>155</v>
      </c>
      <c r="D367">
        <f>電力量!D368-電力量!D367</f>
        <v>13.5</v>
      </c>
      <c r="E367">
        <f>電力量!E368-電力量!E367</f>
        <v>0</v>
      </c>
      <c r="F367">
        <f>電力量!F368-電力量!F367</f>
        <v>15</v>
      </c>
      <c r="G367">
        <f>電力量!G368-電力量!G367</f>
        <v>54.69999999999709</v>
      </c>
      <c r="H367">
        <f>電力量!H368-電力量!H367</f>
        <v>11</v>
      </c>
      <c r="I367">
        <f>電力量!I368-電力量!I367</f>
        <v>193</v>
      </c>
      <c r="J367">
        <f>電力量!J368-電力量!J367</f>
        <v>9.5</v>
      </c>
      <c r="K367">
        <f>電力量!K368-電力量!K367</f>
        <v>2.8000000000029104</v>
      </c>
      <c r="L367">
        <f>電力量!L368-電力量!L367</f>
        <v>18.19999999999709</v>
      </c>
      <c r="M367">
        <f>電力量!M368-電力量!M367</f>
        <v>38.599999999998545</v>
      </c>
      <c r="N367">
        <f>電力量!N368-電力量!N367</f>
        <v>53.200000000011642</v>
      </c>
      <c r="O367">
        <f>電力量!O368-電力量!O367</f>
        <v>17.399999999994179</v>
      </c>
      <c r="P367">
        <f>電力量!P368-電力量!P367</f>
        <v>0</v>
      </c>
      <c r="Q367">
        <f>電力量!Q368-電力量!Q367</f>
        <v>0</v>
      </c>
      <c r="R367">
        <f>電力量!R368-電力量!R367</f>
        <v>0</v>
      </c>
    </row>
    <row r="368" spans="1:18">
      <c r="A368" s="4">
        <f t="shared" si="120"/>
        <v>45887.25</v>
      </c>
      <c r="B368">
        <f>電力量!B369-電力量!B368</f>
        <v>652</v>
      </c>
      <c r="C368">
        <f>電力量!C369-電力量!C368</f>
        <v>163</v>
      </c>
      <c r="D368">
        <f>電力量!D369-電力量!D368</f>
        <v>13.099999999998545</v>
      </c>
      <c r="E368">
        <f>電力量!E369-電力量!E368</f>
        <v>0</v>
      </c>
      <c r="F368">
        <f>電力量!F369-電力量!F368</f>
        <v>14</v>
      </c>
      <c r="G368">
        <f>電力量!G369-電力量!G368</f>
        <v>56.30000000000291</v>
      </c>
      <c r="H368">
        <f>電力量!H369-電力量!H368</f>
        <v>11</v>
      </c>
      <c r="I368">
        <f>電力量!I369-電力量!I368</f>
        <v>201</v>
      </c>
      <c r="J368">
        <f>電力量!J369-電力量!J368</f>
        <v>9.5</v>
      </c>
      <c r="K368">
        <f>電力量!K369-電力量!K368</f>
        <v>2.5</v>
      </c>
      <c r="L368">
        <f>電力量!L369-電力量!L368</f>
        <v>18</v>
      </c>
      <c r="M368">
        <f>電力量!M369-電力量!M368</f>
        <v>38.700000000004366</v>
      </c>
      <c r="N368">
        <f>電力量!N369-電力量!N368</f>
        <v>54.299999999988358</v>
      </c>
      <c r="O368">
        <f>電力量!O369-電力量!O368</f>
        <v>18</v>
      </c>
      <c r="P368">
        <f>電力量!P369-電力量!P368</f>
        <v>0</v>
      </c>
      <c r="Q368">
        <f>電力量!Q369-電力量!Q368</f>
        <v>1</v>
      </c>
      <c r="R368">
        <f>電力量!R369-電力量!R368</f>
        <v>0</v>
      </c>
    </row>
    <row r="369" spans="1:18">
      <c r="A369" s="4">
        <f t="shared" si="121"/>
        <v>45887.291666666664</v>
      </c>
      <c r="B369">
        <f>電力量!B370-電力量!B369</f>
        <v>675</v>
      </c>
      <c r="C369">
        <f>電力量!C370-電力量!C369</f>
        <v>179</v>
      </c>
      <c r="D369">
        <f>電力量!D370-電力量!D369</f>
        <v>13.400000000001455</v>
      </c>
      <c r="E369">
        <f>電力量!E370-電力量!E369</f>
        <v>0</v>
      </c>
      <c r="F369">
        <f>電力量!F370-電力量!F369</f>
        <v>17</v>
      </c>
      <c r="G369">
        <f>電力量!G370-電力量!G369</f>
        <v>54.899999999994179</v>
      </c>
      <c r="H369">
        <f>電力量!H370-電力量!H369</f>
        <v>10</v>
      </c>
      <c r="I369">
        <f>電力量!I370-電力量!I369</f>
        <v>209</v>
      </c>
      <c r="J369">
        <f>電力量!J370-電力量!J369</f>
        <v>10.30000000000291</v>
      </c>
      <c r="K369">
        <f>電力量!K370-電力量!K369</f>
        <v>0.5</v>
      </c>
      <c r="L369">
        <f>電力量!L370-電力量!L369</f>
        <v>17.69999999999709</v>
      </c>
      <c r="M369">
        <f>電力量!M370-電力量!M369</f>
        <v>39.799999999995634</v>
      </c>
      <c r="N369">
        <f>電力量!N370-電力量!N369</f>
        <v>49.5</v>
      </c>
      <c r="O369">
        <f>電力量!O370-電力量!O369</f>
        <v>18.900000000008731</v>
      </c>
      <c r="P369">
        <f>電力量!P370-電力量!P369</f>
        <v>2</v>
      </c>
      <c r="Q369">
        <f>電力量!Q370-電力量!Q369</f>
        <v>4</v>
      </c>
      <c r="R369">
        <f>電力量!R370-電力量!R369</f>
        <v>0</v>
      </c>
    </row>
    <row r="370" spans="1:18">
      <c r="A370" s="4">
        <f t="shared" si="122"/>
        <v>45887.333333333336</v>
      </c>
      <c r="B370">
        <f>電力量!B371-電力量!B370</f>
        <v>722</v>
      </c>
      <c r="C370">
        <f>電力量!C371-電力量!C370</f>
        <v>192</v>
      </c>
      <c r="D370">
        <f>電力量!D371-電力量!D370</f>
        <v>13.5</v>
      </c>
      <c r="E370">
        <f>電力量!E371-電力量!E370</f>
        <v>0</v>
      </c>
      <c r="F370">
        <f>電力量!F371-電力量!F370</f>
        <v>23</v>
      </c>
      <c r="G370">
        <f>電力量!G371-電力量!G370</f>
        <v>50.400000000001455</v>
      </c>
      <c r="H370">
        <f>電力量!H371-電力量!H370</f>
        <v>11</v>
      </c>
      <c r="I370">
        <f>電力量!I371-電力量!I370</f>
        <v>235</v>
      </c>
      <c r="J370">
        <f>電力量!J371-電力量!J370</f>
        <v>11.400000000001455</v>
      </c>
      <c r="K370">
        <f>電力量!K371-電力量!K370</f>
        <v>0</v>
      </c>
      <c r="L370">
        <f>電力量!L371-電力量!L370</f>
        <v>18</v>
      </c>
      <c r="M370">
        <f>電力量!M371-電力量!M370</f>
        <v>44.900000000001455</v>
      </c>
      <c r="N370">
        <f>電力量!N371-電力量!N370</f>
        <v>46.5</v>
      </c>
      <c r="O370">
        <f>電力量!O371-電力量!O370</f>
        <v>18.599999999991269</v>
      </c>
      <c r="P370">
        <f>電力量!P371-電力量!P370</f>
        <v>4</v>
      </c>
      <c r="Q370">
        <f>電力量!Q371-電力量!Q370</f>
        <v>9</v>
      </c>
      <c r="R370">
        <f>電力量!R371-電力量!R370</f>
        <v>0</v>
      </c>
    </row>
    <row r="371" spans="1:18">
      <c r="A371" s="4">
        <f t="shared" si="123"/>
        <v>45887.375</v>
      </c>
      <c r="B371">
        <f>電力量!B372-電力量!B371</f>
        <v>805</v>
      </c>
      <c r="C371">
        <f>電力量!C372-電力量!C371</f>
        <v>217</v>
      </c>
      <c r="D371">
        <f>電力量!D372-電力量!D371</f>
        <v>19.099999999998545</v>
      </c>
      <c r="E371">
        <f>電力量!E372-電力量!E371</f>
        <v>0</v>
      </c>
      <c r="F371">
        <f>電力量!F372-電力量!F371</f>
        <v>22</v>
      </c>
      <c r="G371">
        <f>電力量!G372-電力量!G371</f>
        <v>44.200000000004366</v>
      </c>
      <c r="H371">
        <f>電力量!H372-電力量!H371</f>
        <v>10</v>
      </c>
      <c r="I371">
        <f>電力量!I372-電力量!I371</f>
        <v>287</v>
      </c>
      <c r="J371">
        <f>電力量!J372-電力量!J371</f>
        <v>11.5</v>
      </c>
      <c r="K371">
        <f>電力量!K372-電力量!K371</f>
        <v>0</v>
      </c>
      <c r="L371">
        <f>電力量!L372-電力量!L371</f>
        <v>18.5</v>
      </c>
      <c r="M371">
        <f>電力量!M372-電力量!M371</f>
        <v>49.400000000001455</v>
      </c>
      <c r="N371">
        <f>電力量!N372-電力量!N371</f>
        <v>43.80000000000291</v>
      </c>
      <c r="O371">
        <f>電力量!O372-電力量!O371</f>
        <v>19.5</v>
      </c>
      <c r="P371">
        <f>電力量!P372-電力量!P371</f>
        <v>12</v>
      </c>
      <c r="Q371">
        <f>電力量!Q372-電力量!Q371</f>
        <v>17</v>
      </c>
      <c r="R371">
        <f>電力量!R372-電力量!R371</f>
        <v>0</v>
      </c>
    </row>
    <row r="372" spans="1:18">
      <c r="A372" s="4">
        <f t="shared" si="124"/>
        <v>45887.416666666664</v>
      </c>
      <c r="B372">
        <f>電力量!B373-電力量!B372</f>
        <v>898</v>
      </c>
      <c r="C372">
        <f>電力量!C373-電力量!C372</f>
        <v>238</v>
      </c>
      <c r="D372">
        <f>電力量!D373-電力量!D372</f>
        <v>27</v>
      </c>
      <c r="E372">
        <f>電力量!E373-電力量!E372</f>
        <v>0</v>
      </c>
      <c r="F372">
        <f>電力量!F373-電力量!F372</f>
        <v>30</v>
      </c>
      <c r="G372">
        <f>電力量!G373-電力量!G372</f>
        <v>53.799999999995634</v>
      </c>
      <c r="H372">
        <f>電力量!H373-電力量!H372</f>
        <v>13</v>
      </c>
      <c r="I372">
        <f>電力量!I373-電力量!I372</f>
        <v>326</v>
      </c>
      <c r="J372">
        <f>電力量!J373-電力量!J372</f>
        <v>15.099999999998545</v>
      </c>
      <c r="K372">
        <f>電力量!K373-電力量!K372</f>
        <v>0</v>
      </c>
      <c r="L372">
        <f>電力量!L373-電力量!L372</f>
        <v>20.19999999999709</v>
      </c>
      <c r="M372">
        <f>電力量!M373-電力量!M372</f>
        <v>46.900000000001455</v>
      </c>
      <c r="N372">
        <f>電力量!N373-電力量!N372</f>
        <v>44.400000000008731</v>
      </c>
      <c r="O372">
        <f>電力量!O373-電力量!O372</f>
        <v>24</v>
      </c>
      <c r="P372">
        <f>電力量!P373-電力量!P372</f>
        <v>13</v>
      </c>
      <c r="Q372">
        <f>電力量!Q373-電力量!Q372</f>
        <v>21</v>
      </c>
      <c r="R372">
        <f>電力量!R373-電力量!R372</f>
        <v>0</v>
      </c>
    </row>
    <row r="373" spans="1:18">
      <c r="A373" s="4">
        <f t="shared" si="125"/>
        <v>45887.458333333336</v>
      </c>
      <c r="B373">
        <f>電力量!B374-電力量!B373</f>
        <v>943</v>
      </c>
      <c r="C373">
        <f>電力量!C374-電力量!C373</f>
        <v>242</v>
      </c>
      <c r="D373">
        <f>電力量!D374-電力量!D373</f>
        <v>35</v>
      </c>
      <c r="E373">
        <f>電力量!E374-電力量!E373</f>
        <v>0</v>
      </c>
      <c r="F373">
        <f>電力量!F374-電力量!F373</f>
        <v>34</v>
      </c>
      <c r="G373">
        <f>電力量!G374-電力量!G373</f>
        <v>60.599999999998545</v>
      </c>
      <c r="H373">
        <f>電力量!H374-電力量!H373</f>
        <v>17</v>
      </c>
      <c r="I373">
        <f>電力量!I374-電力量!I373</f>
        <v>351</v>
      </c>
      <c r="J373">
        <f>電力量!J374-電力量!J373</f>
        <v>15.5</v>
      </c>
      <c r="K373">
        <f>電力量!K374-電力量!K373</f>
        <v>0</v>
      </c>
      <c r="L373">
        <f>電力量!L374-電力量!L373</f>
        <v>20.19999999999709</v>
      </c>
      <c r="M373">
        <f>電力量!M374-電力量!M373</f>
        <v>47</v>
      </c>
      <c r="N373">
        <f>電力量!N374-電力量!N373</f>
        <v>43.099999999991269</v>
      </c>
      <c r="O373">
        <f>電力量!O374-電力量!O373</f>
        <v>20.400000000008731</v>
      </c>
      <c r="P373">
        <f>電力量!P374-電力量!P373</f>
        <v>14</v>
      </c>
      <c r="Q373">
        <f>電力量!Q374-電力量!Q373</f>
        <v>21</v>
      </c>
      <c r="R373">
        <f>電力量!R374-電力量!R373</f>
        <v>0</v>
      </c>
    </row>
    <row r="374" spans="1:18">
      <c r="A374" s="4">
        <f t="shared" si="126"/>
        <v>45887.5</v>
      </c>
      <c r="B374">
        <f>電力量!B375-電力量!B374</f>
        <v>978</v>
      </c>
      <c r="C374">
        <f>電力量!C375-電力量!C374</f>
        <v>259</v>
      </c>
      <c r="D374">
        <f>電力量!D375-電力量!D374</f>
        <v>36</v>
      </c>
      <c r="E374">
        <f>電力量!E375-電力量!E374</f>
        <v>0</v>
      </c>
      <c r="F374">
        <f>電力量!F375-電力量!F374</f>
        <v>39</v>
      </c>
      <c r="G374">
        <f>電力量!G375-電力量!G374</f>
        <v>68.900000000001455</v>
      </c>
      <c r="H374">
        <f>電力量!H375-電力量!H374</f>
        <v>15</v>
      </c>
      <c r="I374">
        <f>電力量!I375-電力量!I374</f>
        <v>357</v>
      </c>
      <c r="J374">
        <f>電力量!J375-電力量!J374</f>
        <v>16.400000000001455</v>
      </c>
      <c r="K374">
        <f>電力量!K375-電力量!K374</f>
        <v>0</v>
      </c>
      <c r="L374">
        <f>電力量!L375-電力量!L374</f>
        <v>23.600000000005821</v>
      </c>
      <c r="M374">
        <f>電力量!M375-電力量!M374</f>
        <v>49.599999999998545</v>
      </c>
      <c r="N374">
        <f>電力量!N375-電力量!N374</f>
        <v>41.100000000005821</v>
      </c>
      <c r="O374">
        <f>電力量!O375-電力量!O374</f>
        <v>18</v>
      </c>
      <c r="P374">
        <f>電力量!P375-電力量!P374</f>
        <v>15</v>
      </c>
      <c r="Q374">
        <f>電力量!Q375-電力量!Q374</f>
        <v>23</v>
      </c>
      <c r="R374">
        <f>電力量!R375-電力量!R374</f>
        <v>0</v>
      </c>
    </row>
    <row r="375" spans="1:18">
      <c r="A375" s="4">
        <f t="shared" si="127"/>
        <v>45887.541666666664</v>
      </c>
      <c r="B375">
        <f>電力量!B376-電力量!B375</f>
        <v>1021</v>
      </c>
      <c r="C375">
        <f>電力量!C376-電力量!C375</f>
        <v>265</v>
      </c>
      <c r="D375">
        <f>電力量!D376-電力量!D375</f>
        <v>35.200000000004366</v>
      </c>
      <c r="E375">
        <f>電力量!E376-電力量!E375</f>
        <v>0</v>
      </c>
      <c r="F375">
        <f>電力量!F376-電力量!F375</f>
        <v>41</v>
      </c>
      <c r="G375">
        <f>電力量!G376-電力量!G375</f>
        <v>74.900000000001455</v>
      </c>
      <c r="H375">
        <f>電力量!H376-電力量!H375</f>
        <v>14</v>
      </c>
      <c r="I375">
        <f>電力量!I376-電力量!I375</f>
        <v>373</v>
      </c>
      <c r="J375">
        <f>電力量!J376-電力量!J375</f>
        <v>16.599999999998545</v>
      </c>
      <c r="K375">
        <f>電力量!K376-電力量!K375</f>
        <v>0</v>
      </c>
      <c r="L375">
        <f>電力量!L376-電力量!L375</f>
        <v>30</v>
      </c>
      <c r="M375">
        <f>電力量!M376-電力量!M375</f>
        <v>53.19999999999709</v>
      </c>
      <c r="N375">
        <f>電力量!N376-電力量!N375</f>
        <v>40.69999999999709</v>
      </c>
      <c r="O375">
        <f>電力量!O376-電力量!O375</f>
        <v>20.599999999991269</v>
      </c>
      <c r="P375">
        <f>電力量!P376-電力量!P375</f>
        <v>16</v>
      </c>
      <c r="Q375">
        <f>電力量!Q376-電力量!Q375</f>
        <v>24</v>
      </c>
      <c r="R375">
        <f>電力量!R376-電力量!R375</f>
        <v>0</v>
      </c>
    </row>
    <row r="376" spans="1:18">
      <c r="A376" s="4">
        <f t="shared" si="128"/>
        <v>45887.583333333336</v>
      </c>
      <c r="B376">
        <f>電力量!B377-電力量!B376</f>
        <v>1078</v>
      </c>
      <c r="C376">
        <f>電力量!C377-電力量!C376</f>
        <v>272</v>
      </c>
      <c r="D376">
        <f>電力量!D377-電力量!D376</f>
        <v>40.900000000001455</v>
      </c>
      <c r="E376">
        <f>電力量!E377-電力量!E376</f>
        <v>0</v>
      </c>
      <c r="F376">
        <f>電力量!F377-電力量!F376</f>
        <v>47</v>
      </c>
      <c r="G376">
        <f>電力量!G377-電力量!G376</f>
        <v>79.900000000001455</v>
      </c>
      <c r="H376">
        <f>電力量!H377-電力量!H376</f>
        <v>16</v>
      </c>
      <c r="I376">
        <f>電力量!I377-電力量!I376</f>
        <v>394</v>
      </c>
      <c r="J376">
        <f>電力量!J377-電力量!J376</f>
        <v>17.5</v>
      </c>
      <c r="K376">
        <f>電力量!K377-電力量!K376</f>
        <v>0</v>
      </c>
      <c r="L376">
        <f>電力量!L377-電力量!L376</f>
        <v>36.899999999994179</v>
      </c>
      <c r="M376">
        <f>電力量!M377-電力量!M376</f>
        <v>52.900000000001455</v>
      </c>
      <c r="N376">
        <f>電力量!N377-電力量!N376</f>
        <v>42</v>
      </c>
      <c r="O376">
        <f>電力量!O377-電力量!O376</f>
        <v>20.400000000008731</v>
      </c>
      <c r="P376">
        <f>電力量!P377-電力量!P376</f>
        <v>15</v>
      </c>
      <c r="Q376">
        <f>電力量!Q377-電力量!Q376</f>
        <v>22</v>
      </c>
      <c r="R376">
        <f>電力量!R377-電力量!R376</f>
        <v>0</v>
      </c>
    </row>
    <row r="377" spans="1:18">
      <c r="A377" s="4">
        <f t="shared" si="129"/>
        <v>45887.625</v>
      </c>
      <c r="B377">
        <f>電力量!B378-電力量!B377</f>
        <v>1063</v>
      </c>
      <c r="C377">
        <f>電力量!C378-電力量!C377</f>
        <v>269</v>
      </c>
      <c r="D377">
        <f>電力量!D378-電力量!D377</f>
        <v>40.099999999998545</v>
      </c>
      <c r="E377">
        <f>電力量!E378-電力量!E377</f>
        <v>0</v>
      </c>
      <c r="F377">
        <f>電力量!F378-電力量!F377</f>
        <v>43</v>
      </c>
      <c r="G377">
        <f>電力量!G378-電力量!G377</f>
        <v>90</v>
      </c>
      <c r="H377">
        <f>電力量!H378-電力量!H377</f>
        <v>15</v>
      </c>
      <c r="I377">
        <f>電力量!I378-電力量!I377</f>
        <v>371</v>
      </c>
      <c r="J377">
        <f>電力量!J378-電力量!J377</f>
        <v>17.69999999999709</v>
      </c>
      <c r="K377">
        <f>電力量!K378-電力量!K377</f>
        <v>0</v>
      </c>
      <c r="L377">
        <f>電力量!L378-電力量!L377</f>
        <v>34.30000000000291</v>
      </c>
      <c r="M377">
        <f>電力量!M378-電力量!M377</f>
        <v>53.099999999998545</v>
      </c>
      <c r="N377">
        <f>電力量!N378-電力量!N377</f>
        <v>45.19999999999709</v>
      </c>
      <c r="O377">
        <f>電力量!O378-電力量!O377</f>
        <v>19.19999999999709</v>
      </c>
      <c r="P377">
        <f>電力量!P378-電力量!P377</f>
        <v>12</v>
      </c>
      <c r="Q377">
        <f>電力量!Q378-電力量!Q377</f>
        <v>18</v>
      </c>
      <c r="R377">
        <f>電力量!R378-電力量!R377</f>
        <v>0</v>
      </c>
    </row>
    <row r="378" spans="1:18">
      <c r="A378" s="4">
        <f t="shared" si="130"/>
        <v>45887.666666666664</v>
      </c>
      <c r="B378">
        <f>電力量!B379-電力量!B378</f>
        <v>1071</v>
      </c>
      <c r="C378">
        <f>電力量!C379-電力量!C378</f>
        <v>279</v>
      </c>
      <c r="D378">
        <f>電力量!D379-電力量!D378</f>
        <v>33.19999999999709</v>
      </c>
      <c r="E378">
        <f>電力量!E379-電力量!E378</f>
        <v>0</v>
      </c>
      <c r="F378">
        <f>電力量!F379-電力量!F378</f>
        <v>49</v>
      </c>
      <c r="G378">
        <f>電力量!G379-電力量!G378</f>
        <v>98.799999999995634</v>
      </c>
      <c r="H378">
        <f>電力量!H379-電力量!H378</f>
        <v>15</v>
      </c>
      <c r="I378">
        <f>電力量!I379-電力量!I378</f>
        <v>357</v>
      </c>
      <c r="J378">
        <f>電力量!J379-電力量!J378</f>
        <v>14.30000000000291</v>
      </c>
      <c r="K378">
        <f>電力量!K379-電力量!K378</f>
        <v>0</v>
      </c>
      <c r="L378">
        <f>電力量!L379-電力量!L378</f>
        <v>31.30000000000291</v>
      </c>
      <c r="M378">
        <f>電力量!M379-電力量!M378</f>
        <v>49.5</v>
      </c>
      <c r="N378">
        <f>電力量!N379-電力量!N378</f>
        <v>49.5</v>
      </c>
      <c r="O378">
        <f>電力量!O379-電力量!O378</f>
        <v>20.899999999994179</v>
      </c>
      <c r="P378">
        <f>電力量!P379-電力量!P378</f>
        <v>8</v>
      </c>
      <c r="Q378">
        <f>電力量!Q379-電力量!Q378</f>
        <v>12</v>
      </c>
      <c r="R378">
        <f>電力量!R379-電力量!R378</f>
        <v>0</v>
      </c>
    </row>
    <row r="379" spans="1:18">
      <c r="A379" s="4">
        <f t="shared" si="131"/>
        <v>45887.708333333336</v>
      </c>
      <c r="B379">
        <f>電力量!B380-電力量!B379</f>
        <v>1031</v>
      </c>
      <c r="C379">
        <f>電力量!C380-電力量!C379</f>
        <v>268</v>
      </c>
      <c r="D379">
        <f>電力量!D380-電力量!D379</f>
        <v>28.700000000004366</v>
      </c>
      <c r="E379">
        <f>電力量!E380-電力量!E379</f>
        <v>0</v>
      </c>
      <c r="F379">
        <f>電力量!F380-電力量!F379</f>
        <v>42</v>
      </c>
      <c r="G379">
        <f>電力量!G380-電力量!G379</f>
        <v>93.80000000000291</v>
      </c>
      <c r="H379">
        <f>電力量!H380-電力量!H379</f>
        <v>17</v>
      </c>
      <c r="I379">
        <f>電力量!I380-電力量!I379</f>
        <v>342</v>
      </c>
      <c r="J379">
        <f>電力量!J380-電力量!J379</f>
        <v>14.19999999999709</v>
      </c>
      <c r="K379">
        <f>電力量!K380-電力量!K379</f>
        <v>0.5</v>
      </c>
      <c r="L379">
        <f>電力量!L380-電力量!L379</f>
        <v>27.30000000000291</v>
      </c>
      <c r="M379">
        <f>電力量!M380-電力量!M379</f>
        <v>52.5</v>
      </c>
      <c r="N379">
        <f>電力量!N380-電力量!N379</f>
        <v>52.400000000008731</v>
      </c>
      <c r="O379">
        <f>電力量!O380-電力量!O379</f>
        <v>19.5</v>
      </c>
      <c r="P379">
        <f>電力量!P380-電力量!P379</f>
        <v>4</v>
      </c>
      <c r="Q379">
        <f>電力量!Q380-電力量!Q379</f>
        <v>8</v>
      </c>
      <c r="R379">
        <f>電力量!R380-電力量!R379</f>
        <v>0</v>
      </c>
    </row>
    <row r="380" spans="1:18">
      <c r="A380" s="4">
        <f t="shared" si="132"/>
        <v>45887.75</v>
      </c>
      <c r="B380">
        <f>電力量!B381-電力量!B380</f>
        <v>956</v>
      </c>
      <c r="C380">
        <f>電力量!C381-電力量!C380</f>
        <v>250</v>
      </c>
      <c r="D380">
        <f>電力量!D381-電力量!D380</f>
        <v>22.799999999995634</v>
      </c>
      <c r="E380">
        <f>電力量!E381-電力量!E380</f>
        <v>0</v>
      </c>
      <c r="F380">
        <f>電力量!F381-電力量!F380</f>
        <v>35</v>
      </c>
      <c r="G380">
        <f>電力量!G381-電力量!G380</f>
        <v>94.19999999999709</v>
      </c>
      <c r="H380">
        <f>電力量!H381-電力量!H380</f>
        <v>14</v>
      </c>
      <c r="I380">
        <f>電力量!I381-電力量!I380</f>
        <v>308</v>
      </c>
      <c r="J380">
        <f>電力量!J381-電力量!J380</f>
        <v>13.400000000001455</v>
      </c>
      <c r="K380">
        <f>電力量!K381-電力量!K380</f>
        <v>2.1999999999970896</v>
      </c>
      <c r="L380">
        <f>電力量!L381-電力量!L380</f>
        <v>27.69999999999709</v>
      </c>
      <c r="M380">
        <f>電力量!M381-電力量!M380</f>
        <v>48</v>
      </c>
      <c r="N380">
        <f>電力量!N381-電力量!N380</f>
        <v>54.799999999988358</v>
      </c>
      <c r="O380">
        <f>電力量!O381-電力量!O380</f>
        <v>18.19999999999709</v>
      </c>
      <c r="P380">
        <f>電力量!P381-電力量!P380</f>
        <v>1</v>
      </c>
      <c r="Q380">
        <f>電力量!Q381-電力量!Q380</f>
        <v>1</v>
      </c>
      <c r="R380">
        <f>電力量!R381-電力量!R380</f>
        <v>0</v>
      </c>
    </row>
    <row r="381" spans="1:18">
      <c r="A381" s="4">
        <f t="shared" si="133"/>
        <v>45887.791666666664</v>
      </c>
      <c r="B381">
        <f>電力量!B382-電力量!B381</f>
        <v>869</v>
      </c>
      <c r="C381">
        <f>電力量!C382-電力量!C381</f>
        <v>230</v>
      </c>
      <c r="D381">
        <f>電力量!D382-電力量!D381</f>
        <v>16.700000000004366</v>
      </c>
      <c r="E381">
        <f>電力量!E382-電力量!E381</f>
        <v>0</v>
      </c>
      <c r="F381">
        <f>電力量!F382-電力量!F381</f>
        <v>27</v>
      </c>
      <c r="G381">
        <f>電力量!G382-電力量!G381</f>
        <v>85.900000000001455</v>
      </c>
      <c r="H381">
        <f>電力量!H382-電力量!H381</f>
        <v>15</v>
      </c>
      <c r="I381">
        <f>電力量!I382-電力量!I381</f>
        <v>269</v>
      </c>
      <c r="J381">
        <f>電力量!J382-電力量!J381</f>
        <v>13.200000000004366</v>
      </c>
      <c r="K381">
        <f>電力量!K382-電力量!K381</f>
        <v>3.1000000000058208</v>
      </c>
      <c r="L381">
        <f>電力量!L382-電力量!L381</f>
        <v>25</v>
      </c>
      <c r="M381">
        <f>電力量!M382-電力量!M381</f>
        <v>46.200000000004366</v>
      </c>
      <c r="N381">
        <f>電力量!N382-電力量!N381</f>
        <v>56.30000000000291</v>
      </c>
      <c r="O381">
        <f>電力量!O382-電力量!O381</f>
        <v>20</v>
      </c>
      <c r="P381">
        <f>電力量!P382-電力量!P381</f>
        <v>0</v>
      </c>
      <c r="Q381">
        <f>電力量!Q382-電力量!Q381</f>
        <v>0</v>
      </c>
      <c r="R381">
        <f>電力量!R382-電力量!R381</f>
        <v>0</v>
      </c>
    </row>
    <row r="382" spans="1:18">
      <c r="A382" s="4">
        <f t="shared" si="134"/>
        <v>45887.833333333336</v>
      </c>
      <c r="B382">
        <f>電力量!B383-電力量!B382</f>
        <v>823</v>
      </c>
      <c r="C382">
        <f>電力量!C383-電力量!C382</f>
        <v>224</v>
      </c>
      <c r="D382">
        <f>電力量!D383-電力量!D382</f>
        <v>17.69999999999709</v>
      </c>
      <c r="E382">
        <f>電力量!E383-電力量!E382</f>
        <v>0</v>
      </c>
      <c r="F382">
        <f>電力量!F383-電力量!F382</f>
        <v>23</v>
      </c>
      <c r="G382">
        <f>電力量!G383-電力量!G382</f>
        <v>78.200000000004366</v>
      </c>
      <c r="H382">
        <f>電力量!H383-電力量!H382</f>
        <v>16</v>
      </c>
      <c r="I382">
        <f>電力量!I383-電力量!I382</f>
        <v>249</v>
      </c>
      <c r="J382">
        <f>電力量!J383-電力量!J382</f>
        <v>11.599999999998545</v>
      </c>
      <c r="K382">
        <f>電力量!K383-電力量!K382</f>
        <v>3</v>
      </c>
      <c r="L382">
        <f>電力量!L383-電力量!L382</f>
        <v>25.19999999999709</v>
      </c>
      <c r="M382">
        <f>電力量!M383-電力量!M382</f>
        <v>45.099999999998545</v>
      </c>
      <c r="N382">
        <f>電力量!N383-電力量!N382</f>
        <v>55.600000000005821</v>
      </c>
      <c r="O382">
        <f>電力量!O383-電力量!O382</f>
        <v>20.5</v>
      </c>
      <c r="P382">
        <f>電力量!P383-電力量!P382</f>
        <v>0</v>
      </c>
      <c r="Q382">
        <f>電力量!Q383-電力量!Q382</f>
        <v>0</v>
      </c>
      <c r="R382">
        <f>電力量!R383-電力量!R382</f>
        <v>0</v>
      </c>
    </row>
    <row r="383" spans="1:18">
      <c r="A383" s="4">
        <f t="shared" si="135"/>
        <v>45887.875</v>
      </c>
      <c r="B383">
        <f>電力量!B384-電力量!B383</f>
        <v>789</v>
      </c>
      <c r="C383">
        <f>電力量!C384-電力量!C383</f>
        <v>214</v>
      </c>
      <c r="D383">
        <f>電力量!D384-電力量!D383</f>
        <v>15.80000000000291</v>
      </c>
      <c r="E383">
        <f>電力量!E384-電力量!E383</f>
        <v>0</v>
      </c>
      <c r="F383">
        <f>電力量!F384-電力量!F383</f>
        <v>19</v>
      </c>
      <c r="G383">
        <f>電力量!G384-電力量!G383</f>
        <v>73</v>
      </c>
      <c r="H383">
        <f>電力量!H384-電力量!H383</f>
        <v>16</v>
      </c>
      <c r="I383">
        <f>電力量!I384-電力量!I383</f>
        <v>240</v>
      </c>
      <c r="J383">
        <f>電力量!J384-電力量!J383</f>
        <v>10.69999999999709</v>
      </c>
      <c r="K383">
        <f>電力量!K384-電力量!K383</f>
        <v>3</v>
      </c>
      <c r="L383">
        <f>電力量!L384-電力量!L383</f>
        <v>24.19999999999709</v>
      </c>
      <c r="M383">
        <f>電力量!M384-電力量!M383</f>
        <v>42.19999999999709</v>
      </c>
      <c r="N383">
        <f>電力量!N384-電力量!N383</f>
        <v>55.899999999994179</v>
      </c>
      <c r="O383">
        <f>電力量!O384-電力量!O383</f>
        <v>19.5</v>
      </c>
      <c r="P383">
        <f>電力量!P384-電力量!P383</f>
        <v>0</v>
      </c>
      <c r="Q383">
        <f>電力量!Q384-電力量!Q383</f>
        <v>0</v>
      </c>
      <c r="R383">
        <f>電力量!R384-電力量!R383</f>
        <v>0</v>
      </c>
    </row>
    <row r="384" spans="1:18">
      <c r="A384" s="4">
        <f t="shared" si="136"/>
        <v>45887.916666666664</v>
      </c>
      <c r="B384">
        <f>電力量!B385-電力量!B384</f>
        <v>767</v>
      </c>
      <c r="C384">
        <f>電力量!C385-電力量!C384</f>
        <v>201</v>
      </c>
      <c r="D384">
        <f>電力量!D385-電力量!D384</f>
        <v>15.5</v>
      </c>
      <c r="E384">
        <f>電力量!E385-電力量!E384</f>
        <v>0</v>
      </c>
      <c r="F384">
        <f>電力量!F385-電力量!F384</f>
        <v>21</v>
      </c>
      <c r="G384">
        <f>電力量!G385-電力量!G384</f>
        <v>69.299999999995634</v>
      </c>
      <c r="H384">
        <f>電力量!H385-電力量!H384</f>
        <v>16</v>
      </c>
      <c r="I384">
        <f>電力量!I385-電力量!I384</f>
        <v>237</v>
      </c>
      <c r="J384">
        <f>電力量!J385-電力量!J384</f>
        <v>10.599999999998545</v>
      </c>
      <c r="K384">
        <f>電力量!K385-電力量!K384</f>
        <v>3</v>
      </c>
      <c r="L384">
        <f>電力量!L385-電力量!L384</f>
        <v>22.900000000008731</v>
      </c>
      <c r="M384">
        <f>電力量!M385-電力量!M384</f>
        <v>42.30000000000291</v>
      </c>
      <c r="N384">
        <f>電力量!N385-電力量!N384</f>
        <v>55.30000000000291</v>
      </c>
      <c r="O384">
        <f>電力量!O385-電力量!O384</f>
        <v>19.5</v>
      </c>
      <c r="P384">
        <f>電力量!P385-電力量!P384</f>
        <v>0</v>
      </c>
      <c r="Q384">
        <f>電力量!Q385-電力量!Q384</f>
        <v>0</v>
      </c>
      <c r="R384">
        <f>電力量!R385-電力量!R384</f>
        <v>0</v>
      </c>
    </row>
    <row r="385" spans="1:18">
      <c r="A385" s="4">
        <f t="shared" si="137"/>
        <v>45887.958333333336</v>
      </c>
      <c r="B385">
        <f>電力量!B386-電力量!B385</f>
        <v>757</v>
      </c>
      <c r="C385">
        <f>電力量!C386-電力量!C385</f>
        <v>197</v>
      </c>
      <c r="D385">
        <f>電力量!D386-電力量!D385</f>
        <v>15.099999999998545</v>
      </c>
      <c r="E385">
        <f>電力量!E386-電力量!E385</f>
        <v>0</v>
      </c>
      <c r="F385">
        <f>電力量!F386-電力量!F385</f>
        <v>19</v>
      </c>
      <c r="G385">
        <f>電力量!G386-電力量!G385</f>
        <v>68.099999999998545</v>
      </c>
      <c r="H385">
        <f>電力量!H386-電力量!H385</f>
        <v>16</v>
      </c>
      <c r="I385">
        <f>電力量!I386-電力量!I385</f>
        <v>235</v>
      </c>
      <c r="J385">
        <f>電力量!J386-電力量!J385</f>
        <v>10.5</v>
      </c>
      <c r="K385">
        <f>電力量!K386-電力量!K385</f>
        <v>2.8999999999941792</v>
      </c>
      <c r="L385">
        <f>電力量!L386-電力量!L385</f>
        <v>22.599999999991269</v>
      </c>
      <c r="M385">
        <f>電力量!M386-電力量!M385</f>
        <v>43.599999999998545</v>
      </c>
      <c r="N385">
        <f>電力量!N386-電力量!N385</f>
        <v>54.69999999999709</v>
      </c>
      <c r="O385">
        <f>電力量!O386-電力量!O385</f>
        <v>19.400000000008731</v>
      </c>
      <c r="P385">
        <f>電力量!P386-電力量!P385</f>
        <v>0</v>
      </c>
      <c r="Q385">
        <f>電力量!Q386-電力量!Q385</f>
        <v>0</v>
      </c>
      <c r="R385">
        <f>電力量!R386-電力量!R385</f>
        <v>0</v>
      </c>
    </row>
    <row r="386" spans="1:18">
      <c r="A386" s="4">
        <v>45888</v>
      </c>
      <c r="B386">
        <f>電力量!B387-電力量!B386</f>
        <v>739</v>
      </c>
      <c r="C386">
        <f>電力量!C387-電力量!C386</f>
        <v>192</v>
      </c>
      <c r="D386">
        <f>電力量!D387-電力量!D386</f>
        <v>14.5</v>
      </c>
      <c r="E386">
        <f>電力量!E387-電力量!E386</f>
        <v>0</v>
      </c>
      <c r="F386">
        <f>電力量!F387-電力量!F386</f>
        <v>17</v>
      </c>
      <c r="G386">
        <f>電力量!G387-電力量!G386</f>
        <v>66</v>
      </c>
      <c r="H386">
        <f>電力量!H387-電力量!H386</f>
        <v>16</v>
      </c>
      <c r="I386">
        <f>電力量!I387-電力量!I386</f>
        <v>228</v>
      </c>
      <c r="J386">
        <f>電力量!J387-電力量!J386</f>
        <v>10.400000000001455</v>
      </c>
      <c r="K386">
        <f>電力量!K387-電力量!K386</f>
        <v>3</v>
      </c>
      <c r="L386">
        <f>電力量!L387-電力量!L386</f>
        <v>22.5</v>
      </c>
      <c r="M386">
        <f>電力量!M387-電力量!M386</f>
        <v>43.200000000004366</v>
      </c>
      <c r="N386">
        <f>電力量!N387-電力量!N386</f>
        <v>54.80000000000291</v>
      </c>
      <c r="O386">
        <f>電力量!O387-電力量!O386</f>
        <v>18.30000000000291</v>
      </c>
      <c r="P386">
        <f>電力量!P387-電力量!P386</f>
        <v>0</v>
      </c>
      <c r="Q386">
        <f>電力量!Q387-電力量!Q386</f>
        <v>0</v>
      </c>
      <c r="R386">
        <f>電力量!R387-電力量!R386</f>
        <v>0</v>
      </c>
    </row>
    <row r="387" spans="1:18">
      <c r="A387" s="4">
        <f t="shared" ref="A387:A435" si="138">A386+(1/24)</f>
        <v>45888.041666666664</v>
      </c>
      <c r="B387">
        <f>電力量!B388-電力量!B387</f>
        <v>714</v>
      </c>
      <c r="C387">
        <f>電力量!C388-電力量!C387</f>
        <v>191</v>
      </c>
      <c r="D387">
        <f>電力量!D388-電力量!D387</f>
        <v>14.400000000001455</v>
      </c>
      <c r="E387">
        <f>電力量!E388-電力量!E387</f>
        <v>0</v>
      </c>
      <c r="F387">
        <f>電力量!F388-電力量!F387</f>
        <v>17</v>
      </c>
      <c r="G387">
        <f>電力量!G388-電力量!G387</f>
        <v>65.200000000004366</v>
      </c>
      <c r="H387">
        <f>電力量!H388-電力量!H387</f>
        <v>16</v>
      </c>
      <c r="I387">
        <f>電力量!I388-電力量!I387</f>
        <v>212</v>
      </c>
      <c r="J387">
        <f>電力量!J388-電力量!J387</f>
        <v>10.200000000004366</v>
      </c>
      <c r="K387">
        <f>電力量!K388-電力量!K387</f>
        <v>3.4000000000087311</v>
      </c>
      <c r="L387">
        <f>電力量!L388-電力量!L387</f>
        <v>22.400000000008731</v>
      </c>
      <c r="M387">
        <f>電力量!M388-電力量!M387</f>
        <v>39.69999999999709</v>
      </c>
      <c r="N387">
        <f>電力量!N388-電力量!N387</f>
        <v>54.80000000000291</v>
      </c>
      <c r="O387">
        <f>電力量!O388-電力量!O387</f>
        <v>18.899999999994179</v>
      </c>
      <c r="P387">
        <f>電力量!P388-電力量!P387</f>
        <v>0</v>
      </c>
      <c r="Q387">
        <f>電力量!Q388-電力量!Q387</f>
        <v>0</v>
      </c>
      <c r="R387">
        <f>電力量!R388-電力量!R387</f>
        <v>0</v>
      </c>
    </row>
    <row r="388" spans="1:18">
      <c r="A388" s="4">
        <f t="shared" ref="A388:A436" si="139">A386+(2/24)</f>
        <v>45888.083333333336</v>
      </c>
      <c r="B388">
        <f>電力量!B389-電力量!B388</f>
        <v>696</v>
      </c>
      <c r="C388">
        <f>電力量!C389-電力量!C388</f>
        <v>181</v>
      </c>
      <c r="D388">
        <f>電力量!D389-電力量!D388</f>
        <v>13.799999999995634</v>
      </c>
      <c r="E388">
        <f>電力量!E389-電力量!E388</f>
        <v>0</v>
      </c>
      <c r="F388">
        <f>電力量!F389-電力量!F388</f>
        <v>17</v>
      </c>
      <c r="G388">
        <f>電力量!G389-電力量!G388</f>
        <v>64.900000000001455</v>
      </c>
      <c r="H388">
        <f>電力量!H389-電力量!H388</f>
        <v>12</v>
      </c>
      <c r="I388">
        <f>電力量!I389-電力量!I388</f>
        <v>205</v>
      </c>
      <c r="J388">
        <f>電力量!J389-電力量!J388</f>
        <v>10.299999999995634</v>
      </c>
      <c r="K388">
        <f>電力量!K389-電力量!K388</f>
        <v>3.3000000000029104</v>
      </c>
      <c r="L388">
        <f>電力量!L389-電力量!L388</f>
        <v>25</v>
      </c>
      <c r="M388">
        <f>電力量!M389-電力量!M388</f>
        <v>39.80000000000291</v>
      </c>
      <c r="N388">
        <f>電力量!N389-電力量!N388</f>
        <v>54.5</v>
      </c>
      <c r="O388">
        <f>電力量!O389-電力量!O388</f>
        <v>18.5</v>
      </c>
      <c r="P388">
        <f>電力量!P389-電力量!P388</f>
        <v>0</v>
      </c>
      <c r="Q388">
        <f>電力量!Q389-電力量!Q388</f>
        <v>0</v>
      </c>
      <c r="R388">
        <f>電力量!R389-電力量!R388</f>
        <v>0</v>
      </c>
    </row>
    <row r="389" spans="1:18">
      <c r="A389" s="4">
        <f t="shared" ref="A389:A437" si="140">A386+(3/24)</f>
        <v>45888.125</v>
      </c>
      <c r="B389">
        <f>電力量!B390-電力量!B389</f>
        <v>697</v>
      </c>
      <c r="C389">
        <f>電力量!C390-電力量!C389</f>
        <v>182</v>
      </c>
      <c r="D389">
        <f>電力量!D390-電力量!D389</f>
        <v>14.30000000000291</v>
      </c>
      <c r="E389">
        <f>電力量!E390-電力量!E389</f>
        <v>0</v>
      </c>
      <c r="F389">
        <f>電力量!F390-電力量!F389</f>
        <v>18</v>
      </c>
      <c r="G389">
        <f>電力量!G390-電力量!G389</f>
        <v>65.399999999994179</v>
      </c>
      <c r="H389">
        <f>電力量!H390-電力量!H389</f>
        <v>10</v>
      </c>
      <c r="I389">
        <f>電力量!I390-電力量!I389</f>
        <v>205</v>
      </c>
      <c r="J389">
        <f>電力量!J390-電力量!J389</f>
        <v>9.9000000000014552</v>
      </c>
      <c r="K389">
        <f>電力量!K390-電力量!K389</f>
        <v>3</v>
      </c>
      <c r="L389">
        <f>電力量!L390-電力量!L389</f>
        <v>24.80000000000291</v>
      </c>
      <c r="M389">
        <f>電力量!M390-電力量!M389</f>
        <v>39.799999999995634</v>
      </c>
      <c r="N389">
        <f>電力量!N390-電力量!N389</f>
        <v>55.19999999999709</v>
      </c>
      <c r="O389">
        <f>電力量!O390-電力量!O389</f>
        <v>19.30000000000291</v>
      </c>
      <c r="P389">
        <f>電力量!P390-電力量!P389</f>
        <v>0</v>
      </c>
      <c r="Q389">
        <f>電力量!Q390-電力量!Q389</f>
        <v>0</v>
      </c>
      <c r="R389">
        <f>電力量!R390-電力量!R389</f>
        <v>0</v>
      </c>
    </row>
    <row r="390" spans="1:18">
      <c r="A390" s="4">
        <f t="shared" ref="A390:A438" si="141">A386+(4/24)</f>
        <v>45888.166666666664</v>
      </c>
      <c r="B390">
        <f>電力量!B391-電力量!B390</f>
        <v>683</v>
      </c>
      <c r="C390">
        <f>電力量!C391-電力量!C390</f>
        <v>180</v>
      </c>
      <c r="D390">
        <f>電力量!D391-電力量!D390</f>
        <v>13.69999999999709</v>
      </c>
      <c r="E390">
        <f>電力量!E391-電力量!E390</f>
        <v>0</v>
      </c>
      <c r="F390">
        <f>電力量!F391-電力量!F390</f>
        <v>17</v>
      </c>
      <c r="G390">
        <f>電力量!G391-電力量!G390</f>
        <v>63.30000000000291</v>
      </c>
      <c r="H390">
        <f>電力量!H391-電力量!H390</f>
        <v>11</v>
      </c>
      <c r="I390">
        <f>電力量!I391-電力量!I390</f>
        <v>202</v>
      </c>
      <c r="J390">
        <f>電力量!J391-電力量!J390</f>
        <v>10.099999999998545</v>
      </c>
      <c r="K390">
        <f>電力量!K391-電力量!K390</f>
        <v>2.8999999999941792</v>
      </c>
      <c r="L390">
        <f>電力量!L391-電力量!L390</f>
        <v>21.399999999994179</v>
      </c>
      <c r="M390">
        <f>電力量!M391-電力量!M390</f>
        <v>39.200000000004366</v>
      </c>
      <c r="N390">
        <f>電力量!N391-電力量!N390</f>
        <v>55.100000000005821</v>
      </c>
      <c r="O390">
        <f>電力量!O391-電力量!O390</f>
        <v>19.19999999999709</v>
      </c>
      <c r="P390">
        <f>電力量!P391-電力量!P390</f>
        <v>0</v>
      </c>
      <c r="Q390">
        <f>電力量!Q391-電力量!Q390</f>
        <v>0</v>
      </c>
      <c r="R390">
        <f>電力量!R391-電力量!R390</f>
        <v>0</v>
      </c>
    </row>
    <row r="391" spans="1:18">
      <c r="A391" s="4">
        <f t="shared" ref="A391:A439" si="142">A386+(5/24)</f>
        <v>45888.208333333336</v>
      </c>
      <c r="B391">
        <f>電力量!B392-電力量!B391</f>
        <v>683</v>
      </c>
      <c r="C391">
        <f>電力量!C392-電力量!C391</f>
        <v>180</v>
      </c>
      <c r="D391">
        <f>電力量!D392-電力量!D391</f>
        <v>15.900000000001455</v>
      </c>
      <c r="E391">
        <f>電力量!E392-電力量!E391</f>
        <v>0</v>
      </c>
      <c r="F391">
        <f>電力量!F392-電力量!F391</f>
        <v>17</v>
      </c>
      <c r="G391">
        <f>電力量!G392-電力量!G391</f>
        <v>63</v>
      </c>
      <c r="H391">
        <f>電力量!H392-電力量!H391</f>
        <v>10</v>
      </c>
      <c r="I391">
        <f>電力量!I392-電力量!I391</f>
        <v>200</v>
      </c>
      <c r="J391">
        <f>電力量!J392-電力量!J391</f>
        <v>9.9000000000014552</v>
      </c>
      <c r="K391">
        <f>電力量!K392-電力量!K391</f>
        <v>2.8000000000029104</v>
      </c>
      <c r="L391">
        <f>電力量!L392-電力量!L391</f>
        <v>20</v>
      </c>
      <c r="M391">
        <f>電力量!M392-電力量!M391</f>
        <v>38.899999999994179</v>
      </c>
      <c r="N391">
        <f>電力量!N392-電力量!N391</f>
        <v>54.899999999994179</v>
      </c>
      <c r="O391">
        <f>電力量!O392-電力量!O391</f>
        <v>20.80000000000291</v>
      </c>
      <c r="P391">
        <f>電力量!P392-電力量!P391</f>
        <v>0</v>
      </c>
      <c r="Q391">
        <f>電力量!Q392-電力量!Q391</f>
        <v>0</v>
      </c>
      <c r="R391">
        <f>電力量!R392-電力量!R391</f>
        <v>0</v>
      </c>
    </row>
    <row r="392" spans="1:18">
      <c r="A392" s="4">
        <f t="shared" ref="A392:A440" si="143">A386+(6/24)</f>
        <v>45888.25</v>
      </c>
      <c r="B392">
        <f>電力量!B393-電力量!B392</f>
        <v>674</v>
      </c>
      <c r="C392">
        <f>電力量!C393-電力量!C392</f>
        <v>178</v>
      </c>
      <c r="D392">
        <f>電力量!D393-電力量!D392</f>
        <v>13.69999999999709</v>
      </c>
      <c r="E392">
        <f>電力量!E393-電力量!E392</f>
        <v>0</v>
      </c>
      <c r="F392">
        <f>電力量!F393-電力量!F392</f>
        <v>16</v>
      </c>
      <c r="G392">
        <f>電力量!G393-電力量!G392</f>
        <v>61.400000000001455</v>
      </c>
      <c r="H392">
        <f>電力量!H393-電力量!H392</f>
        <v>11</v>
      </c>
      <c r="I392">
        <f>電力量!I393-電力量!I392</f>
        <v>202</v>
      </c>
      <c r="J392">
        <f>電力量!J393-電力量!J392</f>
        <v>9.9000000000014552</v>
      </c>
      <c r="K392">
        <f>電力量!K393-電力量!K392</f>
        <v>2</v>
      </c>
      <c r="L392">
        <f>電力量!L393-電力量!L392</f>
        <v>19.69999999999709</v>
      </c>
      <c r="M392">
        <f>電力量!M393-電力量!M392</f>
        <v>38.400000000001455</v>
      </c>
      <c r="N392">
        <f>電力量!N393-電力量!N392</f>
        <v>54.19999999999709</v>
      </c>
      <c r="O392">
        <f>電力量!O393-電力量!O392</f>
        <v>19.399999999994179</v>
      </c>
      <c r="P392">
        <f>電力量!P393-電力量!P392</f>
        <v>1</v>
      </c>
      <c r="Q392">
        <f>電力量!Q393-電力量!Q392</f>
        <v>1</v>
      </c>
      <c r="R392">
        <f>電力量!R393-電力量!R392</f>
        <v>0</v>
      </c>
    </row>
    <row r="393" spans="1:18">
      <c r="A393" s="4">
        <f t="shared" ref="A393:A441" si="144">A386+(7/24)</f>
        <v>45888.291666666664</v>
      </c>
      <c r="B393">
        <f>電力量!B394-電力量!B393</f>
        <v>719</v>
      </c>
      <c r="C393">
        <f>電力量!C394-電力量!C393</f>
        <v>193</v>
      </c>
      <c r="D393">
        <f>電力量!D394-電力量!D393</f>
        <v>14</v>
      </c>
      <c r="E393">
        <f>電力量!E394-電力量!E393</f>
        <v>0</v>
      </c>
      <c r="F393">
        <f>電力量!F394-電力量!F393</f>
        <v>18</v>
      </c>
      <c r="G393">
        <f>電力量!G394-電力量!G393</f>
        <v>62.299999999995634</v>
      </c>
      <c r="H393">
        <f>電力量!H394-電力量!H393</f>
        <v>12</v>
      </c>
      <c r="I393">
        <f>電力量!I394-電力量!I393</f>
        <v>218</v>
      </c>
      <c r="J393">
        <f>電力量!J394-電力量!J393</f>
        <v>10.099999999998545</v>
      </c>
      <c r="K393">
        <f>電力量!K394-電力量!K393</f>
        <v>9.9999999991268851E-2</v>
      </c>
      <c r="L393">
        <f>電力量!L394-電力量!L393</f>
        <v>21.69999999999709</v>
      </c>
      <c r="M393">
        <f>電力量!M394-電力量!M393</f>
        <v>39.5</v>
      </c>
      <c r="N393">
        <f>電力量!N394-電力量!N393</f>
        <v>51.600000000005821</v>
      </c>
      <c r="O393">
        <f>電力量!O394-電力量!O393</f>
        <v>25.100000000005821</v>
      </c>
      <c r="P393">
        <f>電力量!P394-電力量!P393</f>
        <v>2</v>
      </c>
      <c r="Q393">
        <f>電力量!Q394-電力量!Q393</f>
        <v>3</v>
      </c>
      <c r="R393">
        <f>電力量!R394-電力量!R393</f>
        <v>0</v>
      </c>
    </row>
    <row r="394" spans="1:18">
      <c r="A394" s="4">
        <f t="shared" ref="A394:A442" si="145">A386+(8/24)</f>
        <v>45888.333333333336</v>
      </c>
      <c r="B394">
        <f>電力量!B395-電力量!B394</f>
        <v>846</v>
      </c>
      <c r="C394">
        <f>電力量!C395-電力量!C394</f>
        <v>223</v>
      </c>
      <c r="D394">
        <f>電力量!D395-電力量!D394</f>
        <v>18.30000000000291</v>
      </c>
      <c r="E394">
        <f>電力量!E395-電力量!E394</f>
        <v>0</v>
      </c>
      <c r="F394">
        <f>電力量!F395-電力量!F394</f>
        <v>24</v>
      </c>
      <c r="G394">
        <f>電力量!G395-電力量!G394</f>
        <v>63.200000000004366</v>
      </c>
      <c r="H394">
        <f>電力量!H395-電力量!H394</f>
        <v>10</v>
      </c>
      <c r="I394">
        <f>電力量!I395-電力量!I394</f>
        <v>256</v>
      </c>
      <c r="J394">
        <f>電力量!J395-電力量!J394</f>
        <v>10.5</v>
      </c>
      <c r="K394">
        <f>電力量!K395-電力量!K394</f>
        <v>0.80000000000291038</v>
      </c>
      <c r="L394">
        <f>電力量!L395-電力量!L394</f>
        <v>31.5</v>
      </c>
      <c r="M394">
        <f>電力量!M395-電力量!M394</f>
        <v>46.599999999998545</v>
      </c>
      <c r="N394">
        <f>電力量!N395-電力量!N394</f>
        <v>51.099999999991269</v>
      </c>
      <c r="O394">
        <f>電力量!O395-電力量!O394</f>
        <v>36.69999999999709</v>
      </c>
      <c r="P394">
        <f>電力量!P395-電力量!P394</f>
        <v>4</v>
      </c>
      <c r="Q394">
        <f>電力量!Q395-電力量!Q394</f>
        <v>8</v>
      </c>
      <c r="R394">
        <f>電力量!R395-電力量!R394</f>
        <v>0</v>
      </c>
    </row>
    <row r="395" spans="1:18">
      <c r="A395" s="4">
        <f t="shared" ref="A395:A443" si="146">A386+(9/24)</f>
        <v>45888.375</v>
      </c>
      <c r="B395">
        <f>電力量!B396-電力量!B395</f>
        <v>1037</v>
      </c>
      <c r="C395">
        <f>電力量!C396-電力量!C395</f>
        <v>267</v>
      </c>
      <c r="D395">
        <f>電力量!D396-電力量!D395</f>
        <v>28.69999999999709</v>
      </c>
      <c r="E395">
        <f>電力量!E396-電力量!E395</f>
        <v>0</v>
      </c>
      <c r="F395">
        <f>電力量!F396-電力量!F395</f>
        <v>32</v>
      </c>
      <c r="G395">
        <f>電力量!G396-電力量!G395</f>
        <v>79.5</v>
      </c>
      <c r="H395">
        <f>電力量!H396-電力量!H395</f>
        <v>11</v>
      </c>
      <c r="I395">
        <f>電力量!I396-電力量!I395</f>
        <v>318</v>
      </c>
      <c r="J395">
        <f>電力量!J396-電力量!J395</f>
        <v>11.599999999998545</v>
      </c>
      <c r="K395">
        <f>電力量!K396-電力量!K395</f>
        <v>0.40000000000873115</v>
      </c>
      <c r="L395">
        <f>電力量!L396-電力量!L395</f>
        <v>39.200000000011642</v>
      </c>
      <c r="M395">
        <f>電力量!M396-電力量!M395</f>
        <v>55</v>
      </c>
      <c r="N395">
        <f>電力量!N396-電力量!N395</f>
        <v>48.600000000005821</v>
      </c>
      <c r="O395">
        <f>電力量!O396-電力量!O395</f>
        <v>51.19999999999709</v>
      </c>
      <c r="P395">
        <f>電力量!P396-電力量!P395</f>
        <v>9</v>
      </c>
      <c r="Q395">
        <f>電力量!Q396-電力量!Q395</f>
        <v>13</v>
      </c>
      <c r="R395">
        <f>電力量!R396-電力量!R395</f>
        <v>0</v>
      </c>
    </row>
    <row r="396" spans="1:18">
      <c r="A396" s="4">
        <f t="shared" ref="A396:A444" si="147">A386+(10/24)</f>
        <v>45888.416666666664</v>
      </c>
      <c r="B396">
        <f>電力量!B397-電力量!B396</f>
        <v>1161</v>
      </c>
      <c r="C396">
        <f>電力量!C397-電力量!C396</f>
        <v>303</v>
      </c>
      <c r="D396">
        <f>電力量!D397-電力量!D396</f>
        <v>30</v>
      </c>
      <c r="E396">
        <f>電力量!E397-電力量!E396</f>
        <v>0</v>
      </c>
      <c r="F396">
        <f>電力量!F397-電力量!F396</f>
        <v>51</v>
      </c>
      <c r="G396">
        <f>電力量!G397-電力量!G396</f>
        <v>87.099999999998545</v>
      </c>
      <c r="H396">
        <f>電力量!H397-電力量!H396</f>
        <v>12</v>
      </c>
      <c r="I396">
        <f>電力量!I397-電力量!I396</f>
        <v>362</v>
      </c>
      <c r="J396">
        <f>電力量!J397-電力量!J396</f>
        <v>18.200000000004366</v>
      </c>
      <c r="K396">
        <f>電力量!K397-電力量!K396</f>
        <v>0</v>
      </c>
      <c r="L396">
        <f>電力量!L397-電力量!L396</f>
        <v>40.099999999991269</v>
      </c>
      <c r="M396">
        <f>電力量!M397-電力量!M396</f>
        <v>52.600000000005821</v>
      </c>
      <c r="N396">
        <f>電力量!N397-電力量!N396</f>
        <v>45.69999999999709</v>
      </c>
      <c r="O396">
        <f>電力量!O397-電力量!O396</f>
        <v>69.69999999999709</v>
      </c>
      <c r="P396">
        <f>電力量!P397-電力量!P396</f>
        <v>12</v>
      </c>
      <c r="Q396">
        <f>電力量!Q397-電力量!Q396</f>
        <v>20</v>
      </c>
      <c r="R396">
        <f>電力量!R397-電力量!R396</f>
        <v>0</v>
      </c>
    </row>
    <row r="397" spans="1:18">
      <c r="A397" s="4">
        <f t="shared" ref="A397:A445" si="148">A386+(11/24)</f>
        <v>45888.458333333336</v>
      </c>
      <c r="B397">
        <f>電力量!B398-電力量!B397</f>
        <v>1190</v>
      </c>
      <c r="C397">
        <f>電力量!C398-電力量!C397</f>
        <v>314</v>
      </c>
      <c r="D397">
        <f>電力量!D398-電力量!D397</f>
        <v>27.600000000005821</v>
      </c>
      <c r="E397">
        <f>電力量!E398-電力量!E397</f>
        <v>0</v>
      </c>
      <c r="F397">
        <f>電力量!F398-電力量!F397</f>
        <v>55</v>
      </c>
      <c r="G397">
        <f>電力量!G398-電力量!G397</f>
        <v>87.69999999999709</v>
      </c>
      <c r="H397">
        <f>電力量!H398-電力量!H397</f>
        <v>10</v>
      </c>
      <c r="I397">
        <f>電力量!I398-電力量!I397</f>
        <v>381</v>
      </c>
      <c r="J397">
        <f>電力量!J398-電力量!J397</f>
        <v>19.599999999998545</v>
      </c>
      <c r="K397">
        <f>電力量!K398-電力量!K397</f>
        <v>0</v>
      </c>
      <c r="L397">
        <f>電力量!L398-電力量!L397</f>
        <v>41.80000000000291</v>
      </c>
      <c r="M397">
        <f>電力量!M398-電力量!M397</f>
        <v>52</v>
      </c>
      <c r="N397">
        <f>電力量!N398-電力量!N397</f>
        <v>46.100000000005821</v>
      </c>
      <c r="O397">
        <f>電力量!O398-電力量!O397</f>
        <v>64.700000000011642</v>
      </c>
      <c r="P397">
        <f>電力量!P398-電力量!P397</f>
        <v>15</v>
      </c>
      <c r="Q397">
        <f>電力量!Q398-電力量!Q397</f>
        <v>22</v>
      </c>
      <c r="R397">
        <f>電力量!R398-電力量!R397</f>
        <v>0</v>
      </c>
    </row>
    <row r="398" spans="1:18">
      <c r="A398" s="4">
        <f t="shared" ref="A398:A446" si="149">A386+(12/24)</f>
        <v>45888.5</v>
      </c>
      <c r="B398">
        <f>電力量!B399-電力量!B398</f>
        <v>1207</v>
      </c>
      <c r="C398">
        <f>電力量!C399-電力量!C398</f>
        <v>299</v>
      </c>
      <c r="D398">
        <f>電力量!D399-電力量!D398</f>
        <v>33.399999999994179</v>
      </c>
      <c r="E398">
        <f>電力量!E399-電力量!E398</f>
        <v>0</v>
      </c>
      <c r="F398">
        <f>電力量!F399-電力量!F398</f>
        <v>49</v>
      </c>
      <c r="G398">
        <f>電力量!G399-電力量!G398</f>
        <v>87.5</v>
      </c>
      <c r="H398">
        <f>電力量!H399-電力量!H398</f>
        <v>12</v>
      </c>
      <c r="I398">
        <f>電力量!I399-電力量!I398</f>
        <v>407</v>
      </c>
      <c r="J398">
        <f>電力量!J399-電力量!J398</f>
        <v>16.599999999998545</v>
      </c>
      <c r="K398">
        <f>電力量!K399-電力量!K398</f>
        <v>0</v>
      </c>
      <c r="L398">
        <f>電力量!L399-電力量!L398</f>
        <v>40.30000000000291</v>
      </c>
      <c r="M398">
        <f>電力量!M399-電力量!M398</f>
        <v>63.69999999999709</v>
      </c>
      <c r="N398">
        <f>電力量!N399-電力量!N398</f>
        <v>47.5</v>
      </c>
      <c r="O398">
        <f>電力量!O399-電力量!O398</f>
        <v>65.799999999988358</v>
      </c>
      <c r="P398">
        <f>電力量!P399-電力量!P398</f>
        <v>15</v>
      </c>
      <c r="Q398">
        <f>電力量!Q399-電力量!Q398</f>
        <v>24</v>
      </c>
      <c r="R398">
        <f>電力量!R399-電力量!R398</f>
        <v>0</v>
      </c>
    </row>
    <row r="399" spans="1:18">
      <c r="A399" s="4">
        <f t="shared" ref="A399:A447" si="150">A386+(13/24)</f>
        <v>45888.541666666664</v>
      </c>
      <c r="B399">
        <f>電力量!B400-電力量!B399</f>
        <v>1299</v>
      </c>
      <c r="C399">
        <f>電力量!C400-電力量!C399</f>
        <v>320</v>
      </c>
      <c r="D399">
        <f>電力量!D400-電力量!D399</f>
        <v>41.400000000001455</v>
      </c>
      <c r="E399">
        <f>電力量!E400-電力量!E399</f>
        <v>0</v>
      </c>
      <c r="F399">
        <f>電力量!F400-電力量!F399</f>
        <v>49</v>
      </c>
      <c r="G399">
        <f>電力量!G400-電力量!G399</f>
        <v>105.5</v>
      </c>
      <c r="H399">
        <f>電力量!H400-電力量!H399</f>
        <v>15</v>
      </c>
      <c r="I399">
        <f>電力量!I400-電力量!I399</f>
        <v>410</v>
      </c>
      <c r="J399">
        <f>電力量!J400-電力量!J399</f>
        <v>18.19999999999709</v>
      </c>
      <c r="K399">
        <f>電力量!K400-電力量!K399</f>
        <v>0</v>
      </c>
      <c r="L399">
        <f>電力量!L400-電力量!L399</f>
        <v>51.599999999991269</v>
      </c>
      <c r="M399">
        <f>電力量!M400-電力量!M399</f>
        <v>74.30000000000291</v>
      </c>
      <c r="N399">
        <f>電力量!N400-電力量!N399</f>
        <v>47.899999999994179</v>
      </c>
      <c r="O399">
        <f>電力量!O400-電力量!O399</f>
        <v>73.5</v>
      </c>
      <c r="P399">
        <f>電力量!P400-電力量!P399</f>
        <v>15</v>
      </c>
      <c r="Q399">
        <f>電力量!Q400-電力量!Q399</f>
        <v>23</v>
      </c>
      <c r="R399">
        <f>電力量!R400-電力量!R399</f>
        <v>0</v>
      </c>
    </row>
    <row r="400" spans="1:18">
      <c r="A400" s="4">
        <f t="shared" ref="A400:A448" si="151">A386+(14/24)</f>
        <v>45888.583333333336</v>
      </c>
      <c r="B400">
        <f>電力量!B401-電力量!B400</f>
        <v>1344</v>
      </c>
      <c r="C400">
        <f>電力量!C401-電力量!C400</f>
        <v>336</v>
      </c>
      <c r="D400">
        <f>電力量!D401-電力量!D400</f>
        <v>42.400000000001455</v>
      </c>
      <c r="E400">
        <f>電力量!E401-電力量!E400</f>
        <v>0</v>
      </c>
      <c r="F400">
        <f>電力量!F401-電力量!F400</f>
        <v>48</v>
      </c>
      <c r="G400">
        <f>電力量!G401-電力量!G400</f>
        <v>109.30000000000291</v>
      </c>
      <c r="H400">
        <f>電力量!H401-電力量!H400</f>
        <v>22</v>
      </c>
      <c r="I400">
        <f>電力量!I401-電力量!I400</f>
        <v>432</v>
      </c>
      <c r="J400">
        <f>電力量!J401-電力量!J400</f>
        <v>17.100000000005821</v>
      </c>
      <c r="K400">
        <f>電力量!K401-電力量!K400</f>
        <v>0</v>
      </c>
      <c r="L400">
        <f>電力量!L401-電力量!L400</f>
        <v>60.80000000000291</v>
      </c>
      <c r="M400">
        <f>電力量!M401-電力量!M400</f>
        <v>71.299999999995634</v>
      </c>
      <c r="N400">
        <f>電力量!N401-電力量!N400</f>
        <v>44.69999999999709</v>
      </c>
      <c r="O400">
        <f>電力量!O401-電力量!O400</f>
        <v>56.600000000005821</v>
      </c>
      <c r="P400">
        <f>電力量!P401-電力量!P400</f>
        <v>15</v>
      </c>
      <c r="Q400">
        <f>電力量!Q401-電力量!Q400</f>
        <v>21</v>
      </c>
      <c r="R400">
        <f>電力量!R401-電力量!R400</f>
        <v>0</v>
      </c>
    </row>
    <row r="401" spans="1:18">
      <c r="A401" s="4">
        <f t="shared" ref="A401:A449" si="152">A386+(15/24)</f>
        <v>45888.625</v>
      </c>
      <c r="B401">
        <f>電力量!B402-電力量!B401</f>
        <v>1292</v>
      </c>
      <c r="C401">
        <f>電力量!C402-電力量!C401</f>
        <v>324</v>
      </c>
      <c r="D401">
        <f>電力量!D402-電力量!D401</f>
        <v>37.599999999998545</v>
      </c>
      <c r="E401">
        <f>電力量!E402-電力量!E401</f>
        <v>0</v>
      </c>
      <c r="F401">
        <f>電力量!F402-電力量!F401</f>
        <v>48</v>
      </c>
      <c r="G401">
        <f>電力量!G402-電力量!G401</f>
        <v>112.09999999999854</v>
      </c>
      <c r="H401">
        <f>電力量!H402-電力量!H401</f>
        <v>27</v>
      </c>
      <c r="I401">
        <f>電力量!I402-電力量!I401</f>
        <v>421</v>
      </c>
      <c r="J401">
        <f>電力量!J402-電力量!J401</f>
        <v>17.099999999998545</v>
      </c>
      <c r="K401">
        <f>電力量!K402-電力量!K401</f>
        <v>0</v>
      </c>
      <c r="L401">
        <f>電力量!L402-電力量!L401</f>
        <v>65.100000000005821</v>
      </c>
      <c r="M401">
        <f>電力量!M402-電力量!M401</f>
        <v>65.5</v>
      </c>
      <c r="N401">
        <f>電力量!N402-電力量!N401</f>
        <v>47.700000000011642</v>
      </c>
      <c r="O401">
        <f>電力量!O402-電力量!O401</f>
        <v>28.19999999999709</v>
      </c>
      <c r="P401">
        <f>電力量!P402-電力量!P401</f>
        <v>12</v>
      </c>
      <c r="Q401">
        <f>電力量!Q402-電力量!Q401</f>
        <v>19</v>
      </c>
      <c r="R401">
        <f>電力量!R402-電力量!R401</f>
        <v>0</v>
      </c>
    </row>
    <row r="402" spans="1:18">
      <c r="A402" s="4">
        <f t="shared" ref="A402:A450" si="153">A386+(16/24)</f>
        <v>45888.666666666664</v>
      </c>
      <c r="B402">
        <f>電力量!B403-電力量!B402</f>
        <v>1232</v>
      </c>
      <c r="C402">
        <f>電力量!C403-電力量!C402</f>
        <v>307</v>
      </c>
      <c r="D402">
        <f>電力量!D403-電力量!D402</f>
        <v>31.30000000000291</v>
      </c>
      <c r="E402">
        <f>電力量!E403-電力量!E402</f>
        <v>0</v>
      </c>
      <c r="F402">
        <f>電力量!F403-電力量!F402</f>
        <v>46</v>
      </c>
      <c r="G402">
        <f>電力量!G403-電力量!G402</f>
        <v>116.09999999999854</v>
      </c>
      <c r="H402">
        <f>電力量!H403-電力量!H402</f>
        <v>23</v>
      </c>
      <c r="I402">
        <f>電力量!I403-電力量!I402</f>
        <v>398</v>
      </c>
      <c r="J402">
        <f>電力量!J403-電力量!J402</f>
        <v>15.900000000001455</v>
      </c>
      <c r="K402">
        <f>電力量!K403-電力量!K402</f>
        <v>2.8999999999941792</v>
      </c>
      <c r="L402">
        <f>電力量!L403-電力量!L402</f>
        <v>62</v>
      </c>
      <c r="M402">
        <f>電力量!M403-電力量!M402</f>
        <v>55.700000000004366</v>
      </c>
      <c r="N402">
        <f>電力量!N403-電力量!N402</f>
        <v>51.099999999991269</v>
      </c>
      <c r="O402">
        <f>電力量!O403-電力量!O402</f>
        <v>26.600000000005821</v>
      </c>
      <c r="P402">
        <f>電力量!P403-電力量!P402</f>
        <v>8</v>
      </c>
      <c r="Q402">
        <f>電力量!Q403-電力量!Q402</f>
        <v>13</v>
      </c>
      <c r="R402">
        <f>電力量!R403-電力量!R402</f>
        <v>0</v>
      </c>
    </row>
    <row r="403" spans="1:18">
      <c r="A403" s="4">
        <f t="shared" ref="A403:A451" si="154">A386+(17/24)</f>
        <v>45888.708333333336</v>
      </c>
      <c r="B403">
        <f>電力量!B404-電力量!B403</f>
        <v>1138</v>
      </c>
      <c r="C403">
        <f>電力量!C404-電力量!C403</f>
        <v>285</v>
      </c>
      <c r="D403">
        <f>電力量!D404-電力量!D403</f>
        <v>23</v>
      </c>
      <c r="E403">
        <f>電力量!E404-電力量!E403</f>
        <v>0</v>
      </c>
      <c r="F403">
        <f>電力量!F404-電力量!F403</f>
        <v>39</v>
      </c>
      <c r="G403">
        <f>電力量!G404-電力量!G403</f>
        <v>110.80000000000291</v>
      </c>
      <c r="H403">
        <f>電力量!H404-電力量!H403</f>
        <v>21</v>
      </c>
      <c r="I403">
        <f>電力量!I404-電力量!I403</f>
        <v>373</v>
      </c>
      <c r="J403">
        <f>電力量!J404-電力量!J403</f>
        <v>13.69999999999709</v>
      </c>
      <c r="K403">
        <f>電力量!K404-電力量!K403</f>
        <v>3.1999999999970896</v>
      </c>
      <c r="L403">
        <f>電力量!L404-電力量!L403</f>
        <v>48.099999999991269</v>
      </c>
      <c r="M403">
        <f>電力量!M404-電力量!M403</f>
        <v>51.799999999995634</v>
      </c>
      <c r="N403">
        <f>電力量!N404-電力量!N403</f>
        <v>54.900000000008731</v>
      </c>
      <c r="O403">
        <f>電力量!O404-電力量!O403</f>
        <v>24.399999999994179</v>
      </c>
      <c r="P403">
        <f>電力量!P404-電力量!P403</f>
        <v>4</v>
      </c>
      <c r="Q403">
        <f>電力量!Q404-電力量!Q403</f>
        <v>5</v>
      </c>
      <c r="R403">
        <f>電力量!R404-電力量!R403</f>
        <v>0</v>
      </c>
    </row>
    <row r="404" spans="1:18">
      <c r="A404" s="4">
        <f t="shared" ref="A404:A452" si="155">A386+(18/24)</f>
        <v>45888.75</v>
      </c>
      <c r="B404">
        <f>電力量!B405-電力量!B404</f>
        <v>1018</v>
      </c>
      <c r="C404">
        <f>電力量!C405-電力量!C404</f>
        <v>261</v>
      </c>
      <c r="D404">
        <f>電力量!D405-電力量!D404</f>
        <v>19.5</v>
      </c>
      <c r="E404">
        <f>電力量!E405-電力量!E404</f>
        <v>0</v>
      </c>
      <c r="F404">
        <f>電力量!F405-電力量!F404</f>
        <v>30</v>
      </c>
      <c r="G404">
        <f>電力量!G405-電力量!G404</f>
        <v>102.90000000000146</v>
      </c>
      <c r="H404">
        <f>電力量!H405-電力量!H404</f>
        <v>17</v>
      </c>
      <c r="I404">
        <f>電力量!I405-電力量!I404</f>
        <v>338</v>
      </c>
      <c r="J404">
        <f>電力量!J405-電力量!J404</f>
        <v>11.900000000001455</v>
      </c>
      <c r="K404">
        <f>電力量!K405-電力量!K404</f>
        <v>3.5</v>
      </c>
      <c r="L404">
        <f>電力量!L405-電力量!L404</f>
        <v>36.400000000008731</v>
      </c>
      <c r="M404">
        <f>電力量!M405-電力量!M404</f>
        <v>47.700000000004366</v>
      </c>
      <c r="N404">
        <f>電力量!N405-電力量!N404</f>
        <v>55.899999999994179</v>
      </c>
      <c r="O404">
        <f>電力量!O405-電力量!O404</f>
        <v>19.19999999999709</v>
      </c>
      <c r="P404">
        <f>電力量!P405-電力量!P404</f>
        <v>0</v>
      </c>
      <c r="Q404">
        <f>電力量!Q405-電力量!Q404</f>
        <v>1</v>
      </c>
      <c r="R404">
        <f>電力量!R405-電力量!R404</f>
        <v>0</v>
      </c>
    </row>
    <row r="405" spans="1:18">
      <c r="A405" s="4">
        <f t="shared" ref="A405:A453" si="156">A386+(19/24)</f>
        <v>45888.791666666664</v>
      </c>
      <c r="B405">
        <f>電力量!B406-電力量!B405</f>
        <v>921</v>
      </c>
      <c r="C405">
        <f>電力量!C406-電力量!C405</f>
        <v>230</v>
      </c>
      <c r="D405">
        <f>電力量!D406-電力量!D405</f>
        <v>15.900000000001455</v>
      </c>
      <c r="E405">
        <f>電力量!E406-電力量!E405</f>
        <v>0</v>
      </c>
      <c r="F405">
        <f>電力量!F406-電力量!F405</f>
        <v>27</v>
      </c>
      <c r="G405">
        <f>電力量!G406-電力量!G405</f>
        <v>85.19999999999709</v>
      </c>
      <c r="H405">
        <f>電力量!H406-電力量!H405</f>
        <v>15</v>
      </c>
      <c r="I405">
        <f>電力量!I406-電力量!I405</f>
        <v>313</v>
      </c>
      <c r="J405">
        <f>電力量!J406-電力量!J405</f>
        <v>11.5</v>
      </c>
      <c r="K405">
        <f>電力量!K406-電力量!K405</f>
        <v>4.1000000000058208</v>
      </c>
      <c r="L405">
        <f>電力量!L406-電力量!L405</f>
        <v>32.80000000000291</v>
      </c>
      <c r="M405">
        <f>電力量!M406-電力量!M405</f>
        <v>45.899999999994179</v>
      </c>
      <c r="N405">
        <f>電力量!N406-電力量!N405</f>
        <v>56</v>
      </c>
      <c r="O405">
        <f>電力量!O406-電力量!O405</f>
        <v>20.30000000000291</v>
      </c>
      <c r="P405">
        <f>電力量!P406-電力量!P405</f>
        <v>0</v>
      </c>
      <c r="Q405">
        <f>電力量!Q406-電力量!Q405</f>
        <v>0</v>
      </c>
      <c r="R405">
        <f>電力量!R406-電力量!R405</f>
        <v>0</v>
      </c>
    </row>
    <row r="406" spans="1:18">
      <c r="A406" s="4">
        <f t="shared" ref="A406:A454" si="157">A386+(20/24)</f>
        <v>45888.833333333336</v>
      </c>
      <c r="B406">
        <f>電力量!B407-電力量!B406</f>
        <v>864</v>
      </c>
      <c r="C406">
        <f>電力量!C407-電力量!C406</f>
        <v>225</v>
      </c>
      <c r="D406">
        <f>電力量!D407-電力量!D406</f>
        <v>16.69999999999709</v>
      </c>
      <c r="E406">
        <f>電力量!E407-電力量!E406</f>
        <v>0</v>
      </c>
      <c r="F406">
        <f>電力量!F407-電力量!F406</f>
        <v>24</v>
      </c>
      <c r="G406">
        <f>電力量!G407-電力量!G406</f>
        <v>70.200000000004366</v>
      </c>
      <c r="H406">
        <f>電力量!H407-電力量!H406</f>
        <v>14</v>
      </c>
      <c r="I406">
        <f>電力量!I407-電力量!I406</f>
        <v>285</v>
      </c>
      <c r="J406">
        <f>電力量!J407-電力量!J406</f>
        <v>11.19999999999709</v>
      </c>
      <c r="K406">
        <f>電力量!K407-電力量!K406</f>
        <v>4.0999999999912689</v>
      </c>
      <c r="L406">
        <f>電力量!L407-電力量!L406</f>
        <v>30.099999999991269</v>
      </c>
      <c r="M406">
        <f>電力量!M407-電力量!M406</f>
        <v>42.5</v>
      </c>
      <c r="N406">
        <f>電力量!N407-電力量!N406</f>
        <v>55.80000000000291</v>
      </c>
      <c r="O406">
        <f>電力量!O407-電力量!O406</f>
        <v>22.80000000000291</v>
      </c>
      <c r="P406">
        <f>電力量!P407-電力量!P406</f>
        <v>0</v>
      </c>
      <c r="Q406">
        <f>電力量!Q407-電力量!Q406</f>
        <v>0</v>
      </c>
      <c r="R406">
        <f>電力量!R407-電力量!R406</f>
        <v>0</v>
      </c>
    </row>
    <row r="407" spans="1:18">
      <c r="A407" s="4">
        <f t="shared" ref="A407:A455" si="158">A386+(21/24)</f>
        <v>45888.875</v>
      </c>
      <c r="B407">
        <f>電力量!B408-電力量!B407</f>
        <v>831</v>
      </c>
      <c r="C407">
        <f>電力量!C408-電力量!C407</f>
        <v>214</v>
      </c>
      <c r="D407">
        <f>電力量!D408-電力量!D407</f>
        <v>16.900000000001455</v>
      </c>
      <c r="E407">
        <f>電力量!E408-電力量!E407</f>
        <v>0</v>
      </c>
      <c r="F407">
        <f>電力量!F408-電力量!F407</f>
        <v>22</v>
      </c>
      <c r="G407">
        <f>電力量!G408-電力量!G407</f>
        <v>68.299999999995634</v>
      </c>
      <c r="H407">
        <f>電力量!H408-電力量!H407</f>
        <v>15</v>
      </c>
      <c r="I407">
        <f>電力量!I408-電力量!I407</f>
        <v>271</v>
      </c>
      <c r="J407">
        <f>電力量!J408-電力量!J407</f>
        <v>11.200000000004366</v>
      </c>
      <c r="K407">
        <f>電力量!K408-電力量!K407</f>
        <v>3.9000000000087311</v>
      </c>
      <c r="L407">
        <f>電力量!L408-電力量!L407</f>
        <v>27.80000000000291</v>
      </c>
      <c r="M407">
        <f>電力量!M408-電力量!M407</f>
        <v>43.600000000005821</v>
      </c>
      <c r="N407">
        <f>電力量!N408-電力量!N407</f>
        <v>55.30000000000291</v>
      </c>
      <c r="O407">
        <f>電力量!O408-電力量!O407</f>
        <v>21.100000000005821</v>
      </c>
      <c r="P407">
        <f>電力量!P408-電力量!P407</f>
        <v>0</v>
      </c>
      <c r="Q407">
        <f>電力量!Q408-電力量!Q407</f>
        <v>0</v>
      </c>
      <c r="R407">
        <f>電力量!R408-電力量!R407</f>
        <v>0</v>
      </c>
    </row>
    <row r="408" spans="1:18">
      <c r="A408" s="4">
        <f t="shared" ref="A408:A456" si="159">A386+(22/24)</f>
        <v>45888.916666666664</v>
      </c>
      <c r="B408">
        <f>電力量!B409-電力量!B408</f>
        <v>793</v>
      </c>
      <c r="C408">
        <f>電力量!C409-電力量!C408</f>
        <v>199</v>
      </c>
      <c r="D408">
        <f>電力量!D409-電力量!D408</f>
        <v>16.299999999995634</v>
      </c>
      <c r="E408">
        <f>電力量!E409-電力量!E408</f>
        <v>0</v>
      </c>
      <c r="F408">
        <f>電力量!F409-電力量!F408</f>
        <v>23</v>
      </c>
      <c r="G408">
        <f>電力量!G409-電力量!G408</f>
        <v>65.400000000001455</v>
      </c>
      <c r="H408">
        <f>電力量!H409-電力量!H408</f>
        <v>14</v>
      </c>
      <c r="I408">
        <f>電力量!I409-電力量!I408</f>
        <v>259</v>
      </c>
      <c r="J408">
        <f>電力量!J409-電力量!J408</f>
        <v>11</v>
      </c>
      <c r="K408">
        <f>電力量!K409-電力量!K408</f>
        <v>4</v>
      </c>
      <c r="L408">
        <f>電力量!L409-電力量!L408</f>
        <v>28</v>
      </c>
      <c r="M408">
        <f>電力量!M409-電力量!M408</f>
        <v>40.5</v>
      </c>
      <c r="N408">
        <f>電力量!N409-電力量!N408</f>
        <v>56.099999999991269</v>
      </c>
      <c r="O408">
        <f>電力量!O409-電力量!O408</f>
        <v>19.299999999988358</v>
      </c>
      <c r="P408">
        <f>電力量!P409-電力量!P408</f>
        <v>0</v>
      </c>
      <c r="Q408">
        <f>電力量!Q409-電力量!Q408</f>
        <v>0</v>
      </c>
      <c r="R408">
        <f>電力量!R409-電力量!R408</f>
        <v>0</v>
      </c>
    </row>
    <row r="409" spans="1:18">
      <c r="A409" s="4">
        <f t="shared" ref="A409:A457" si="160">A386+(23/24)</f>
        <v>45888.958333333336</v>
      </c>
      <c r="B409">
        <f>電力量!B410-電力量!B409</f>
        <v>781</v>
      </c>
      <c r="C409">
        <f>電力量!C410-電力量!C409</f>
        <v>194</v>
      </c>
      <c r="D409">
        <f>電力量!D410-電力量!D409</f>
        <v>16.100000000005821</v>
      </c>
      <c r="E409">
        <f>電力量!E410-電力量!E409</f>
        <v>0</v>
      </c>
      <c r="F409">
        <f>電力量!F410-電力量!F409</f>
        <v>21</v>
      </c>
      <c r="G409">
        <f>電力量!G410-電力量!G409</f>
        <v>64.599999999998545</v>
      </c>
      <c r="H409">
        <f>電力量!H410-電力量!H409</f>
        <v>15</v>
      </c>
      <c r="I409">
        <f>電力量!I410-電力量!I409</f>
        <v>258</v>
      </c>
      <c r="J409">
        <f>電力量!J410-電力量!J409</f>
        <v>11</v>
      </c>
      <c r="K409">
        <f>電力量!K410-電力量!K409</f>
        <v>4</v>
      </c>
      <c r="L409">
        <f>電力量!L410-電力量!L409</f>
        <v>27.899999999994179</v>
      </c>
      <c r="M409">
        <f>電力量!M410-電力量!M409</f>
        <v>39.599999999998545</v>
      </c>
      <c r="N409">
        <f>電力量!N410-電力量!N409</f>
        <v>54.80000000000291</v>
      </c>
      <c r="O409">
        <f>電力量!O410-電力量!O409</f>
        <v>18.80000000000291</v>
      </c>
      <c r="P409">
        <f>電力量!P410-電力量!P409</f>
        <v>0</v>
      </c>
      <c r="Q409">
        <f>電力量!Q410-電力量!Q409</f>
        <v>0</v>
      </c>
      <c r="R409">
        <f>電力量!R410-電力量!R409</f>
        <v>0</v>
      </c>
    </row>
    <row r="410" spans="1:18">
      <c r="A410" s="4">
        <v>45889</v>
      </c>
      <c r="B410">
        <f>電力量!B411-電力量!B410</f>
        <v>750</v>
      </c>
      <c r="C410">
        <f>電力量!C411-電力量!C410</f>
        <v>194</v>
      </c>
      <c r="D410">
        <f>電力量!D411-電力量!D410</f>
        <v>15.69999999999709</v>
      </c>
      <c r="E410">
        <f>電力量!E411-電力量!E410</f>
        <v>0</v>
      </c>
      <c r="F410">
        <f>電力量!F411-電力量!F410</f>
        <v>21</v>
      </c>
      <c r="G410">
        <f>電力量!G411-電力量!G410</f>
        <v>62.200000000004366</v>
      </c>
      <c r="H410">
        <f>電力量!H411-電力量!H410</f>
        <v>15</v>
      </c>
      <c r="I410">
        <f>電力量!I411-電力量!I410</f>
        <v>234</v>
      </c>
      <c r="J410">
        <f>電力量!J411-電力量!J410</f>
        <v>10.69999999999709</v>
      </c>
      <c r="K410">
        <f>電力量!K411-電力量!K410</f>
        <v>4</v>
      </c>
      <c r="L410">
        <f>電力量!L411-電力量!L410</f>
        <v>29.100000000005821</v>
      </c>
      <c r="M410">
        <f>電力量!M411-電力量!M410</f>
        <v>38.400000000001455</v>
      </c>
      <c r="N410">
        <f>電力量!N411-電力量!N410</f>
        <v>54.69999999999709</v>
      </c>
      <c r="O410">
        <f>電力量!O411-電力量!O410</f>
        <v>16.80000000000291</v>
      </c>
      <c r="P410">
        <f>電力量!P411-電力量!P410</f>
        <v>0</v>
      </c>
      <c r="Q410">
        <f>電力量!Q411-電力量!Q410</f>
        <v>0</v>
      </c>
      <c r="R410">
        <f>電力量!R411-電力量!R410</f>
        <v>0</v>
      </c>
    </row>
    <row r="411" spans="1:18">
      <c r="A411" s="4">
        <f t="shared" si="138"/>
        <v>45889.041666666664</v>
      </c>
      <c r="B411">
        <f>電力量!B412-電力量!B411</f>
        <v>731</v>
      </c>
      <c r="C411">
        <f>電力量!C412-電力量!C411</f>
        <v>187</v>
      </c>
      <c r="D411">
        <f>電力量!D412-電力量!D411</f>
        <v>14.400000000001455</v>
      </c>
      <c r="E411">
        <f>電力量!E412-電力量!E411</f>
        <v>0</v>
      </c>
      <c r="F411">
        <f>電力量!F412-電力量!F411</f>
        <v>20</v>
      </c>
      <c r="G411">
        <f>電力量!G412-電力量!G411</f>
        <v>66.5</v>
      </c>
      <c r="H411">
        <f>電力量!H412-電力量!H411</f>
        <v>15</v>
      </c>
      <c r="I411">
        <f>電力量!I412-電力量!I411</f>
        <v>220</v>
      </c>
      <c r="J411">
        <f>電力量!J412-電力量!J411</f>
        <v>10.5</v>
      </c>
      <c r="K411">
        <f>電力量!K412-電力量!K411</f>
        <v>4</v>
      </c>
      <c r="L411">
        <f>電力量!L412-電力量!L411</f>
        <v>28.80000000000291</v>
      </c>
      <c r="M411">
        <f>電力量!M412-電力量!M411</f>
        <v>38.099999999998545</v>
      </c>
      <c r="N411">
        <f>電力量!N412-電力量!N411</f>
        <v>54.600000000005821</v>
      </c>
      <c r="O411">
        <f>電力量!O412-電力量!O411</f>
        <v>18.100000000005821</v>
      </c>
      <c r="P411">
        <f>電力量!P412-電力量!P411</f>
        <v>0</v>
      </c>
      <c r="Q411">
        <f>電力量!Q412-電力量!Q411</f>
        <v>0</v>
      </c>
      <c r="R411">
        <f>電力量!R412-電力量!R411</f>
        <v>0</v>
      </c>
    </row>
    <row r="412" spans="1:18">
      <c r="A412" s="4">
        <f t="shared" si="139"/>
        <v>45889.083333333336</v>
      </c>
      <c r="B412">
        <f>電力量!B413-電力量!B412</f>
        <v>713</v>
      </c>
      <c r="C412">
        <f>電力量!C413-電力量!C412</f>
        <v>180</v>
      </c>
      <c r="D412">
        <f>電力量!D413-電力量!D412</f>
        <v>13.69999999999709</v>
      </c>
      <c r="E412">
        <f>電力量!E413-電力量!E412</f>
        <v>0</v>
      </c>
      <c r="F412">
        <f>電力量!F413-電力量!F412</f>
        <v>21</v>
      </c>
      <c r="G412">
        <f>電力量!G413-電力量!G412</f>
        <v>65.799999999995634</v>
      </c>
      <c r="H412">
        <f>電力量!H413-電力量!H412</f>
        <v>14</v>
      </c>
      <c r="I412">
        <f>電力量!I413-電力量!I412</f>
        <v>214</v>
      </c>
      <c r="J412">
        <f>電力量!J413-電力量!J412</f>
        <v>10.400000000001455</v>
      </c>
      <c r="K412">
        <f>電力量!K413-電力量!K412</f>
        <v>4.0999999999912689</v>
      </c>
      <c r="L412">
        <f>電力量!L413-電力量!L412</f>
        <v>27.30000000000291</v>
      </c>
      <c r="M412">
        <f>電力量!M413-電力量!M412</f>
        <v>38.5</v>
      </c>
      <c r="N412">
        <f>電力量!N413-電力量!N412</f>
        <v>54.399999999994179</v>
      </c>
      <c r="O412">
        <f>電力量!O413-電力量!O412</f>
        <v>17.299999999988358</v>
      </c>
      <c r="P412">
        <f>電力量!P413-電力量!P412</f>
        <v>0</v>
      </c>
      <c r="Q412">
        <f>電力量!Q413-電力量!Q412</f>
        <v>0</v>
      </c>
      <c r="R412">
        <f>電力量!R413-電力量!R412</f>
        <v>0</v>
      </c>
    </row>
    <row r="413" spans="1:18">
      <c r="A413" s="4">
        <f t="shared" si="140"/>
        <v>45889.125</v>
      </c>
      <c r="B413">
        <f>電力量!B414-電力量!B413</f>
        <v>701</v>
      </c>
      <c r="C413">
        <f>電力量!C414-電力量!C413</f>
        <v>177</v>
      </c>
      <c r="D413">
        <f>電力量!D414-電力量!D413</f>
        <v>12.5</v>
      </c>
      <c r="E413">
        <f>電力量!E414-電力量!E413</f>
        <v>0</v>
      </c>
      <c r="F413">
        <f>電力量!F414-電力量!F413</f>
        <v>19</v>
      </c>
      <c r="G413">
        <f>電力量!G414-電力量!G413</f>
        <v>61.099999999998545</v>
      </c>
      <c r="H413">
        <f>電力量!H414-電力量!H413</f>
        <v>14</v>
      </c>
      <c r="I413">
        <f>電力量!I414-電力量!I413</f>
        <v>214</v>
      </c>
      <c r="J413">
        <f>電力量!J414-電力量!J413</f>
        <v>10.299999999995634</v>
      </c>
      <c r="K413">
        <f>電力量!K414-電力量!K413</f>
        <v>4.2000000000116415</v>
      </c>
      <c r="L413">
        <f>電力量!L414-電力量!L413</f>
        <v>26.69999999999709</v>
      </c>
      <c r="M413">
        <f>電力量!M414-電力量!M413</f>
        <v>38.69999999999709</v>
      </c>
      <c r="N413">
        <f>電力量!N414-電力量!N413</f>
        <v>55</v>
      </c>
      <c r="O413">
        <f>電力量!O414-電力量!O413</f>
        <v>18</v>
      </c>
      <c r="P413">
        <f>電力量!P414-電力量!P413</f>
        <v>0</v>
      </c>
      <c r="Q413">
        <f>電力量!Q414-電力量!Q413</f>
        <v>0</v>
      </c>
      <c r="R413">
        <f>電力量!R414-電力量!R413</f>
        <v>0</v>
      </c>
    </row>
    <row r="414" spans="1:18">
      <c r="A414" s="4">
        <f t="shared" si="141"/>
        <v>45889.166666666664</v>
      </c>
      <c r="B414">
        <f>電力量!B415-電力量!B414</f>
        <v>702</v>
      </c>
      <c r="C414">
        <f>電力量!C415-電力量!C414</f>
        <v>177</v>
      </c>
      <c r="D414">
        <f>電力量!D415-電力量!D414</f>
        <v>12.700000000004366</v>
      </c>
      <c r="E414">
        <f>電力量!E415-電力量!E414</f>
        <v>0</v>
      </c>
      <c r="F414">
        <f>電力量!F415-電力量!F414</f>
        <v>20</v>
      </c>
      <c r="G414">
        <f>電力量!G415-電力量!G414</f>
        <v>59.200000000004366</v>
      </c>
      <c r="H414">
        <f>電力量!H415-電力量!H414</f>
        <v>14</v>
      </c>
      <c r="I414">
        <f>電力量!I415-電力量!I414</f>
        <v>213</v>
      </c>
      <c r="J414">
        <f>電力量!J415-電力量!J414</f>
        <v>10.400000000001455</v>
      </c>
      <c r="K414">
        <f>電力量!K415-電力量!K414</f>
        <v>3.6999999999970896</v>
      </c>
      <c r="L414">
        <f>電力量!L415-電力量!L414</f>
        <v>27</v>
      </c>
      <c r="M414">
        <f>電力量!M415-電力量!M414</f>
        <v>40.5</v>
      </c>
      <c r="N414">
        <f>電力量!N415-電力量!N414</f>
        <v>55.69999999999709</v>
      </c>
      <c r="O414">
        <f>電力量!O415-電力量!O414</f>
        <v>18.400000000008731</v>
      </c>
      <c r="P414">
        <f>電力量!P415-電力量!P414</f>
        <v>0</v>
      </c>
      <c r="Q414">
        <f>電力量!Q415-電力量!Q414</f>
        <v>0</v>
      </c>
      <c r="R414">
        <f>電力量!R415-電力量!R414</f>
        <v>0</v>
      </c>
    </row>
    <row r="415" spans="1:18">
      <c r="A415" s="4">
        <f t="shared" si="142"/>
        <v>45889.208333333336</v>
      </c>
      <c r="B415">
        <f>電力量!B416-電力量!B415</f>
        <v>694</v>
      </c>
      <c r="C415">
        <f>電力量!C416-電力量!C415</f>
        <v>178</v>
      </c>
      <c r="D415">
        <f>電力量!D416-電力量!D415</f>
        <v>11.799999999995634</v>
      </c>
      <c r="E415">
        <f>電力量!E416-電力量!E415</f>
        <v>0</v>
      </c>
      <c r="F415">
        <f>電力量!F416-電力量!F415</f>
        <v>20</v>
      </c>
      <c r="G415">
        <f>電力量!G416-電力量!G415</f>
        <v>57.599999999998545</v>
      </c>
      <c r="H415">
        <f>電力量!H416-電力量!H415</f>
        <v>13</v>
      </c>
      <c r="I415">
        <f>電力量!I416-電力量!I415</f>
        <v>208</v>
      </c>
      <c r="J415">
        <f>電力量!J416-電力量!J415</f>
        <v>9.9000000000014552</v>
      </c>
      <c r="K415">
        <f>電力量!K416-電力量!K415</f>
        <v>3.1999999999970896</v>
      </c>
      <c r="L415">
        <f>電力量!L416-電力量!L415</f>
        <v>26.30000000000291</v>
      </c>
      <c r="M415">
        <f>電力量!M416-電力量!M415</f>
        <v>39.099999999998545</v>
      </c>
      <c r="N415">
        <f>電力量!N416-電力量!N415</f>
        <v>55.100000000005821</v>
      </c>
      <c r="O415">
        <f>電力量!O416-電力量!O415</f>
        <v>19.899999999994179</v>
      </c>
      <c r="P415">
        <f>電力量!P416-電力量!P415</f>
        <v>0</v>
      </c>
      <c r="Q415">
        <f>電力量!Q416-電力量!Q415</f>
        <v>0</v>
      </c>
      <c r="R415">
        <f>電力量!R416-電力量!R415</f>
        <v>0</v>
      </c>
    </row>
    <row r="416" spans="1:18">
      <c r="A416" s="4">
        <f t="shared" si="143"/>
        <v>45889.25</v>
      </c>
      <c r="B416">
        <f>電力量!B417-電力量!B416</f>
        <v>696</v>
      </c>
      <c r="C416">
        <f>電力量!C417-電力量!C416</f>
        <v>181</v>
      </c>
      <c r="D416">
        <f>電力量!D417-電力量!D416</f>
        <v>12.200000000004366</v>
      </c>
      <c r="E416">
        <f>電力量!E417-電力量!E416</f>
        <v>0</v>
      </c>
      <c r="F416">
        <f>電力量!F417-電力量!F416</f>
        <v>19</v>
      </c>
      <c r="G416">
        <f>電力量!G417-電力量!G416</f>
        <v>58.30000000000291</v>
      </c>
      <c r="H416">
        <f>電力量!H417-電力量!H416</f>
        <v>15</v>
      </c>
      <c r="I416">
        <f>電力量!I417-電力量!I416</f>
        <v>208</v>
      </c>
      <c r="J416">
        <f>電力量!J417-電力量!J416</f>
        <v>10.099999999998545</v>
      </c>
      <c r="K416">
        <f>電力量!K417-電力量!K416</f>
        <v>2.8999999999941792</v>
      </c>
      <c r="L416">
        <f>電力量!L417-電力量!L416</f>
        <v>25.19999999999709</v>
      </c>
      <c r="M416">
        <f>電力量!M417-電力量!M416</f>
        <v>36.600000000005821</v>
      </c>
      <c r="N416">
        <f>電力量!N417-電力量!N416</f>
        <v>54.80000000000291</v>
      </c>
      <c r="O416">
        <f>電力量!O417-電力量!O416</f>
        <v>18.5</v>
      </c>
      <c r="P416">
        <f>電力量!P417-電力量!P416</f>
        <v>0</v>
      </c>
      <c r="Q416">
        <f>電力量!Q417-電力量!Q416</f>
        <v>0</v>
      </c>
      <c r="R416">
        <f>電力量!R417-電力量!R416</f>
        <v>0</v>
      </c>
    </row>
    <row r="417" spans="1:18">
      <c r="A417" s="4">
        <f t="shared" si="144"/>
        <v>45889.291666666664</v>
      </c>
      <c r="B417">
        <f>電力量!B418-電力量!B417</f>
        <v>713</v>
      </c>
      <c r="C417">
        <f>電力量!C418-電力量!C417</f>
        <v>189</v>
      </c>
      <c r="D417">
        <f>電力量!D418-電力量!D417</f>
        <v>12.899999999994179</v>
      </c>
      <c r="E417">
        <f>電力量!E418-電力量!E417</f>
        <v>0</v>
      </c>
      <c r="F417">
        <f>電力量!F418-電力量!F417</f>
        <v>20</v>
      </c>
      <c r="G417">
        <f>電力量!G418-電力量!G417</f>
        <v>57.299999999995634</v>
      </c>
      <c r="H417">
        <f>電力量!H418-電力量!H417</f>
        <v>14</v>
      </c>
      <c r="I417">
        <f>電力量!I418-電力量!I417</f>
        <v>214</v>
      </c>
      <c r="J417">
        <f>電力量!J418-電力量!J417</f>
        <v>10.200000000004366</v>
      </c>
      <c r="K417">
        <f>電力量!K418-電力量!K417</f>
        <v>2.2000000000116415</v>
      </c>
      <c r="L417">
        <f>電力量!L418-電力量!L417</f>
        <v>22.80000000000291</v>
      </c>
      <c r="M417">
        <f>電力量!M418-電力量!M417</f>
        <v>35.399999999994179</v>
      </c>
      <c r="N417">
        <f>電力量!N418-電力量!N417</f>
        <v>53.30000000000291</v>
      </c>
      <c r="O417">
        <f>電力量!O418-電力量!O417</f>
        <v>23.400000000008731</v>
      </c>
      <c r="P417">
        <f>電力量!P418-電力量!P417</f>
        <v>1</v>
      </c>
      <c r="Q417">
        <f>電力量!Q418-電力量!Q417</f>
        <v>1</v>
      </c>
      <c r="R417">
        <f>電力量!R418-電力量!R417</f>
        <v>0</v>
      </c>
    </row>
    <row r="418" spans="1:18">
      <c r="A418" s="4">
        <f t="shared" si="145"/>
        <v>45889.333333333336</v>
      </c>
      <c r="B418">
        <f>電力量!B419-電力量!B418</f>
        <v>872</v>
      </c>
      <c r="C418">
        <f>電力量!C419-電力量!C418</f>
        <v>240</v>
      </c>
      <c r="D418">
        <f>電力量!D419-電力量!D418</f>
        <v>19</v>
      </c>
      <c r="E418">
        <f>電力量!E419-電力量!E418</f>
        <v>0</v>
      </c>
      <c r="F418">
        <f>電力量!F419-電力量!F418</f>
        <v>29</v>
      </c>
      <c r="G418">
        <f>電力量!G419-電力量!G418</f>
        <v>62.700000000004366</v>
      </c>
      <c r="H418">
        <f>電力量!H419-電力量!H418</f>
        <v>15</v>
      </c>
      <c r="I418">
        <f>電力量!I419-電力量!I418</f>
        <v>268</v>
      </c>
      <c r="J418">
        <f>電力量!J419-電力量!J418</f>
        <v>11.19999999999709</v>
      </c>
      <c r="K418">
        <f>電力量!K419-電力量!K418</f>
        <v>0.29999999998835847</v>
      </c>
      <c r="L418">
        <f>電力量!L419-電力量!L418</f>
        <v>28.399999999994179</v>
      </c>
      <c r="M418">
        <f>電力量!M419-電力量!M418</f>
        <v>37.900000000001455</v>
      </c>
      <c r="N418">
        <f>電力量!N419-電力量!N418</f>
        <v>49.399999999994179</v>
      </c>
      <c r="O418">
        <f>電力量!O419-電力量!O418</f>
        <v>36</v>
      </c>
      <c r="P418">
        <f>電力量!P419-電力量!P418</f>
        <v>5</v>
      </c>
      <c r="Q418">
        <f>電力量!Q419-電力量!Q418</f>
        <v>10</v>
      </c>
      <c r="R418">
        <f>電力量!R419-電力量!R418</f>
        <v>0</v>
      </c>
    </row>
    <row r="419" spans="1:18">
      <c r="A419" s="4">
        <f t="shared" si="146"/>
        <v>45889.375</v>
      </c>
      <c r="B419">
        <f>電力量!B420-電力量!B419</f>
        <v>1082</v>
      </c>
      <c r="C419">
        <f>電力量!C420-電力量!C419</f>
        <v>296</v>
      </c>
      <c r="D419">
        <f>電力量!D420-電力量!D419</f>
        <v>29.200000000004366</v>
      </c>
      <c r="E419">
        <f>電力量!E420-電力量!E419</f>
        <v>0</v>
      </c>
      <c r="F419">
        <f>電力量!F420-電力量!F419</f>
        <v>37</v>
      </c>
      <c r="G419">
        <f>電力量!G420-電力量!G419</f>
        <v>63.5</v>
      </c>
      <c r="H419">
        <f>電力量!H420-電力量!H419</f>
        <v>15</v>
      </c>
      <c r="I419">
        <f>電力量!I420-電力量!I419</f>
        <v>333</v>
      </c>
      <c r="J419">
        <f>電力量!J420-電力量!J419</f>
        <v>12.80000000000291</v>
      </c>
      <c r="K419">
        <f>電力量!K420-電力量!K419</f>
        <v>0.40000000000873115</v>
      </c>
      <c r="L419">
        <f>電力量!L420-電力量!L419</f>
        <v>39.80000000000291</v>
      </c>
      <c r="M419">
        <f>電力量!M420-電力量!M419</f>
        <v>58.200000000004366</v>
      </c>
      <c r="N419">
        <f>電力量!N420-電力量!N419</f>
        <v>48</v>
      </c>
      <c r="O419">
        <f>電力量!O420-電力量!O419</f>
        <v>49.799999999988358</v>
      </c>
      <c r="P419">
        <f>電力量!P420-電力量!P419</f>
        <v>11</v>
      </c>
      <c r="Q419">
        <f>電力量!Q420-電力量!Q419</f>
        <v>18</v>
      </c>
      <c r="R419">
        <f>電力量!R420-電力量!R419</f>
        <v>0</v>
      </c>
    </row>
    <row r="420" spans="1:18">
      <c r="A420" s="4">
        <f t="shared" si="147"/>
        <v>45889.416666666664</v>
      </c>
      <c r="B420">
        <f>電力量!B421-電力量!B420</f>
        <v>1268</v>
      </c>
      <c r="C420">
        <f>電力量!C421-電力量!C420</f>
        <v>349</v>
      </c>
      <c r="D420">
        <f>電力量!D421-電力量!D420</f>
        <v>29.5</v>
      </c>
      <c r="E420">
        <f>電力量!E421-電力量!E420</f>
        <v>0</v>
      </c>
      <c r="F420">
        <f>電力量!F421-電力量!F420</f>
        <v>42</v>
      </c>
      <c r="G420">
        <f>電力量!G421-電力量!G420</f>
        <v>81.5</v>
      </c>
      <c r="H420">
        <f>電力量!H421-電力量!H420</f>
        <v>15</v>
      </c>
      <c r="I420">
        <f>電力量!I421-電力量!I420</f>
        <v>397</v>
      </c>
      <c r="J420">
        <f>電力量!J421-電力量!J420</f>
        <v>18.5</v>
      </c>
      <c r="K420">
        <f>電力量!K421-電力量!K420</f>
        <v>0.59999999999126885</v>
      </c>
      <c r="L420">
        <f>電力量!L421-電力量!L420</f>
        <v>41.19999999999709</v>
      </c>
      <c r="M420">
        <f>電力量!M421-電力量!M420</f>
        <v>69</v>
      </c>
      <c r="N420">
        <f>電力量!N421-電力量!N420</f>
        <v>50.899999999994179</v>
      </c>
      <c r="O420">
        <f>電力量!O421-電力量!O420</f>
        <v>64.900000000008731</v>
      </c>
      <c r="P420">
        <f>電力量!P421-電力量!P420</f>
        <v>13</v>
      </c>
      <c r="Q420">
        <f>電力量!Q421-電力量!Q420</f>
        <v>20</v>
      </c>
      <c r="R420">
        <f>電力量!R421-電力量!R420</f>
        <v>0</v>
      </c>
    </row>
    <row r="421" spans="1:18">
      <c r="A421" s="4">
        <f t="shared" si="148"/>
        <v>45889.458333333336</v>
      </c>
      <c r="B421">
        <f>電力量!B422-電力量!B421</f>
        <v>1324</v>
      </c>
      <c r="C421">
        <f>電力量!C422-電力量!C421</f>
        <v>360</v>
      </c>
      <c r="D421">
        <f>電力量!D422-電力量!D421</f>
        <v>27.19999999999709</v>
      </c>
      <c r="E421">
        <f>電力量!E422-電力量!E421</f>
        <v>0</v>
      </c>
      <c r="F421">
        <f>電力量!F422-電力量!F421</f>
        <v>47</v>
      </c>
      <c r="G421">
        <f>電力量!G422-電力量!G421</f>
        <v>85.399999999994179</v>
      </c>
      <c r="H421">
        <f>電力量!H422-電力量!H421</f>
        <v>14</v>
      </c>
      <c r="I421">
        <f>電力量!I422-電力量!I421</f>
        <v>406</v>
      </c>
      <c r="J421">
        <f>電力量!J422-電力量!J421</f>
        <v>17.299999999995634</v>
      </c>
      <c r="K421">
        <f>電力量!K422-電力量!K421</f>
        <v>0.10000000000582077</v>
      </c>
      <c r="L421">
        <f>電力量!L422-電力量!L421</f>
        <v>52.899999999994179</v>
      </c>
      <c r="M421">
        <f>電力量!M422-電力量!M421</f>
        <v>74.599999999998545</v>
      </c>
      <c r="N421">
        <f>電力量!N422-電力量!N421</f>
        <v>49.200000000011642</v>
      </c>
      <c r="O421">
        <f>電力量!O422-電力量!O421</f>
        <v>66.80000000000291</v>
      </c>
      <c r="P421">
        <f>電力量!P422-電力量!P421</f>
        <v>16</v>
      </c>
      <c r="Q421">
        <f>電力量!Q422-電力量!Q421</f>
        <v>23</v>
      </c>
      <c r="R421">
        <f>電力量!R422-電力量!R421</f>
        <v>0</v>
      </c>
    </row>
    <row r="422" spans="1:18">
      <c r="A422" s="4">
        <f t="shared" si="149"/>
        <v>45889.5</v>
      </c>
      <c r="B422">
        <f>電力量!B423-電力量!B422</f>
        <v>1336</v>
      </c>
      <c r="C422">
        <f>電力量!C423-電力量!C422</f>
        <v>348</v>
      </c>
      <c r="D422">
        <f>電力量!D423-電力量!D422</f>
        <v>39.700000000004366</v>
      </c>
      <c r="E422">
        <f>電力量!E423-電力量!E422</f>
        <v>0</v>
      </c>
      <c r="F422">
        <f>電力量!F423-電力量!F422</f>
        <v>47</v>
      </c>
      <c r="G422">
        <f>電力量!G423-電力量!G422</f>
        <v>85</v>
      </c>
      <c r="H422">
        <f>電力量!H423-電力量!H422</f>
        <v>15</v>
      </c>
      <c r="I422">
        <f>電力量!I423-電力量!I422</f>
        <v>428</v>
      </c>
      <c r="J422">
        <f>電力量!J423-電力量!J422</f>
        <v>14.700000000004366</v>
      </c>
      <c r="K422">
        <f>電力量!K423-電力量!K422</f>
        <v>0</v>
      </c>
      <c r="L422">
        <f>電力量!L423-電力量!L422</f>
        <v>53.900000000008731</v>
      </c>
      <c r="M422">
        <f>電力量!M423-電力量!M422</f>
        <v>74.900000000001455</v>
      </c>
      <c r="N422">
        <f>電力量!N423-電力量!N422</f>
        <v>44.69999999999709</v>
      </c>
      <c r="O422">
        <f>電力量!O423-電力量!O422</f>
        <v>71.799999999988358</v>
      </c>
      <c r="P422">
        <f>電力量!P423-電力量!P422</f>
        <v>16</v>
      </c>
      <c r="Q422">
        <f>電力量!Q423-電力量!Q422</f>
        <v>25</v>
      </c>
      <c r="R422">
        <f>電力量!R423-電力量!R422</f>
        <v>0</v>
      </c>
    </row>
    <row r="423" spans="1:18">
      <c r="A423" s="4">
        <f t="shared" si="150"/>
        <v>45889.541666666664</v>
      </c>
      <c r="B423">
        <f>電力量!B424-電力量!B423</f>
        <v>1480</v>
      </c>
      <c r="C423">
        <f>電力量!C424-電力量!C423</f>
        <v>363</v>
      </c>
      <c r="D423">
        <f>電力量!D424-電力量!D423</f>
        <v>44.69999999999709</v>
      </c>
      <c r="E423">
        <f>電力量!E424-電力量!E423</f>
        <v>0</v>
      </c>
      <c r="F423">
        <f>電力量!F424-電力量!F423</f>
        <v>50</v>
      </c>
      <c r="G423">
        <f>電力量!G424-電力量!G423</f>
        <v>98.900000000001455</v>
      </c>
      <c r="H423">
        <f>電力量!H424-電力量!H423</f>
        <v>100</v>
      </c>
      <c r="I423">
        <f>電力量!I424-電力量!I423</f>
        <v>446</v>
      </c>
      <c r="J423">
        <f>電力量!J424-電力量!J423</f>
        <v>14.599999999998545</v>
      </c>
      <c r="K423">
        <f>電力量!K424-電力量!K423</f>
        <v>0.10000000000582077</v>
      </c>
      <c r="L423">
        <f>電力量!L424-電力量!L423</f>
        <v>49.69999999999709</v>
      </c>
      <c r="M423">
        <f>電力量!M424-電力量!M423</f>
        <v>71.799999999995634</v>
      </c>
      <c r="N423">
        <f>電力量!N424-電力量!N423</f>
        <v>42.5</v>
      </c>
      <c r="O423">
        <f>電力量!O424-電力量!O423</f>
        <v>80.400000000008731</v>
      </c>
      <c r="P423">
        <f>電力量!P424-電力量!P423</f>
        <v>16</v>
      </c>
      <c r="Q423">
        <f>電力量!Q424-電力量!Q423</f>
        <v>24</v>
      </c>
      <c r="R423">
        <f>電力量!R424-電力量!R423</f>
        <v>0</v>
      </c>
    </row>
    <row r="424" spans="1:18">
      <c r="A424" s="4">
        <f t="shared" si="151"/>
        <v>45889.583333333336</v>
      </c>
      <c r="B424">
        <f>電力量!B425-電力量!B424</f>
        <v>1419</v>
      </c>
      <c r="C424">
        <f>電力量!C425-電力量!C424</f>
        <v>364</v>
      </c>
      <c r="D424">
        <f>電力量!D425-電力量!D424</f>
        <v>44.400000000001455</v>
      </c>
      <c r="E424">
        <f>電力量!E425-電力量!E424</f>
        <v>0</v>
      </c>
      <c r="F424">
        <f>電力量!F425-電力量!F424</f>
        <v>56</v>
      </c>
      <c r="G424">
        <f>電力量!G425-電力量!G424</f>
        <v>99</v>
      </c>
      <c r="H424">
        <f>電力量!H425-電力量!H424</f>
        <v>63</v>
      </c>
      <c r="I424">
        <f>電力量!I425-電力量!I424</f>
        <v>451</v>
      </c>
      <c r="J424">
        <f>電力量!J425-電力量!J424</f>
        <v>14.799999999995634</v>
      </c>
      <c r="K424">
        <f>電力量!K425-電力量!K424</f>
        <v>0</v>
      </c>
      <c r="L424">
        <f>電力量!L425-電力量!L424</f>
        <v>47.80000000000291</v>
      </c>
      <c r="M424">
        <f>電力量!M425-電力量!M424</f>
        <v>78.700000000004366</v>
      </c>
      <c r="N424">
        <f>電力量!N425-電力量!N424</f>
        <v>46.19999999999709</v>
      </c>
      <c r="O424">
        <f>電力量!O425-電力量!O424</f>
        <v>55.69999999999709</v>
      </c>
      <c r="P424">
        <f>電力量!P425-電力量!P424</f>
        <v>15</v>
      </c>
      <c r="Q424">
        <f>電力量!Q425-電力量!Q424</f>
        <v>23</v>
      </c>
      <c r="R424">
        <f>電力量!R425-電力量!R424</f>
        <v>0</v>
      </c>
    </row>
    <row r="425" spans="1:18">
      <c r="A425" s="4">
        <f t="shared" si="152"/>
        <v>45889.625</v>
      </c>
      <c r="B425">
        <f>電力量!B426-電力量!B425</f>
        <v>1378</v>
      </c>
      <c r="C425">
        <f>電力量!C426-電力量!C425</f>
        <v>375</v>
      </c>
      <c r="D425">
        <f>電力量!D426-電力量!D425</f>
        <v>40.69999999999709</v>
      </c>
      <c r="E425">
        <f>電力量!E426-電力量!E425</f>
        <v>0</v>
      </c>
      <c r="F425">
        <f>電力量!F426-電力量!F425</f>
        <v>56</v>
      </c>
      <c r="G425">
        <f>電力量!G426-電力量!G425</f>
        <v>103.80000000000291</v>
      </c>
      <c r="H425">
        <f>電力量!H426-電力量!H425</f>
        <v>30</v>
      </c>
      <c r="I425">
        <f>電力量!I426-電力量!I425</f>
        <v>439</v>
      </c>
      <c r="J425">
        <f>電力量!J426-電力量!J425</f>
        <v>14.30000000000291</v>
      </c>
      <c r="K425">
        <f>電力量!K426-電力量!K425</f>
        <v>0.69999999999708962</v>
      </c>
      <c r="L425">
        <f>電力量!L426-電力量!L425</f>
        <v>48</v>
      </c>
      <c r="M425">
        <f>電力量!M426-電力量!M425</f>
        <v>83.399999999994179</v>
      </c>
      <c r="N425">
        <f>電力量!N426-電力量!N425</f>
        <v>55.19999999999709</v>
      </c>
      <c r="O425">
        <f>電力量!O426-電力量!O425</f>
        <v>32.5</v>
      </c>
      <c r="P425">
        <f>電力量!P426-電力量!P425</f>
        <v>11</v>
      </c>
      <c r="Q425">
        <f>電力量!Q426-電力量!Q425</f>
        <v>17</v>
      </c>
      <c r="R425">
        <f>電力量!R426-電力量!R425</f>
        <v>0</v>
      </c>
    </row>
    <row r="426" spans="1:18">
      <c r="A426" s="4">
        <f t="shared" si="153"/>
        <v>45889.666666666664</v>
      </c>
      <c r="B426">
        <f>電力量!B427-電力量!B426</f>
        <v>1313</v>
      </c>
      <c r="C426">
        <f>電力量!C427-電力量!C426</f>
        <v>361</v>
      </c>
      <c r="D426">
        <f>電力量!D427-電力量!D426</f>
        <v>34.400000000001455</v>
      </c>
      <c r="E426">
        <f>電力量!E427-電力量!E426</f>
        <v>0</v>
      </c>
      <c r="F426">
        <f>電力量!F427-電力量!F426</f>
        <v>51</v>
      </c>
      <c r="G426">
        <f>電力量!G427-電力量!G426</f>
        <v>102.29999999999563</v>
      </c>
      <c r="H426">
        <f>電力量!H427-電力量!H426</f>
        <v>20</v>
      </c>
      <c r="I426">
        <f>電力量!I427-電力量!I426</f>
        <v>435</v>
      </c>
      <c r="J426">
        <f>電力量!J427-電力量!J426</f>
        <v>13.69999999999709</v>
      </c>
      <c r="K426">
        <f>電力量!K427-電力量!K426</f>
        <v>5.3999999999941792</v>
      </c>
      <c r="L426">
        <f>電力量!L427-電力量!L426</f>
        <v>46.30000000000291</v>
      </c>
      <c r="M426">
        <f>電力量!M427-電力量!M426</f>
        <v>65.700000000004366</v>
      </c>
      <c r="N426">
        <f>電力量!N427-電力量!N426</f>
        <v>56.900000000008731</v>
      </c>
      <c r="O426">
        <f>電力量!O427-電力量!O426</f>
        <v>30.30000000000291</v>
      </c>
      <c r="P426">
        <f>電力量!P427-電力量!P426</f>
        <v>7</v>
      </c>
      <c r="Q426">
        <f>電力量!Q427-電力量!Q426</f>
        <v>11</v>
      </c>
      <c r="R426">
        <f>電力量!R427-電力量!R426</f>
        <v>0</v>
      </c>
    </row>
    <row r="427" spans="1:18">
      <c r="A427" s="4">
        <f t="shared" si="154"/>
        <v>45889.708333333336</v>
      </c>
      <c r="B427">
        <f>電力量!B428-電力量!B427</f>
        <v>1148</v>
      </c>
      <c r="C427">
        <f>電力量!C428-電力量!C427</f>
        <v>314</v>
      </c>
      <c r="D427">
        <f>電力量!D428-電力量!D427</f>
        <v>26.400000000001455</v>
      </c>
      <c r="E427">
        <f>電力量!E428-電力量!E427</f>
        <v>0</v>
      </c>
      <c r="F427">
        <f>電力量!F428-電力量!F427</f>
        <v>39</v>
      </c>
      <c r="G427">
        <f>電力量!G428-電力量!G427</f>
        <v>93.80000000000291</v>
      </c>
      <c r="H427">
        <f>電力量!H428-電力量!H427</f>
        <v>14</v>
      </c>
      <c r="I427">
        <f>電力量!I428-電力量!I427</f>
        <v>392</v>
      </c>
      <c r="J427">
        <f>電力量!J428-電力量!J427</f>
        <v>11.400000000001455</v>
      </c>
      <c r="K427">
        <f>電力量!K428-電力量!K427</f>
        <v>5.8000000000029104</v>
      </c>
      <c r="L427">
        <f>電力量!L428-電力量!L427</f>
        <v>33.899999999994179</v>
      </c>
      <c r="M427">
        <f>電力量!M428-電力量!M427</f>
        <v>50.900000000001455</v>
      </c>
      <c r="N427">
        <f>電力量!N428-電力量!N427</f>
        <v>56.299999999988358</v>
      </c>
      <c r="O427">
        <f>電力量!O428-電力量!O427</f>
        <v>28.5</v>
      </c>
      <c r="P427">
        <f>電力量!P428-電力量!P427</f>
        <v>0</v>
      </c>
      <c r="Q427">
        <f>電力量!Q428-電力量!Q427</f>
        <v>0</v>
      </c>
      <c r="R427">
        <f>電力量!R428-電力量!R427</f>
        <v>0</v>
      </c>
    </row>
    <row r="428" spans="1:18">
      <c r="A428" s="4">
        <f t="shared" si="155"/>
        <v>45889.75</v>
      </c>
      <c r="B428">
        <f>電力量!B429-電力量!B428</f>
        <v>988</v>
      </c>
      <c r="C428">
        <f>電力量!C429-電力量!C428</f>
        <v>260</v>
      </c>
      <c r="D428">
        <f>電力量!D429-電力量!D428</f>
        <v>22.099999999998545</v>
      </c>
      <c r="E428">
        <f>電力量!E429-電力量!E428</f>
        <v>0</v>
      </c>
      <c r="F428">
        <f>電力量!F429-電力量!F428</f>
        <v>33</v>
      </c>
      <c r="G428">
        <f>電力量!G429-電力量!G428</f>
        <v>83.69999999999709</v>
      </c>
      <c r="H428">
        <f>電力量!H429-電力量!H428</f>
        <v>13</v>
      </c>
      <c r="I428">
        <f>電力量!I429-電力量!I428</f>
        <v>338</v>
      </c>
      <c r="J428">
        <f>電力量!J429-電力量!J428</f>
        <v>10.400000000001455</v>
      </c>
      <c r="K428">
        <f>電力量!K429-電力量!K428</f>
        <v>3.1999999999970896</v>
      </c>
      <c r="L428">
        <f>電力量!L429-電力量!L428</f>
        <v>27.100000000005821</v>
      </c>
      <c r="M428">
        <f>電力量!M429-電力量!M428</f>
        <v>47</v>
      </c>
      <c r="N428">
        <f>電力量!N429-電力量!N428</f>
        <v>55.5</v>
      </c>
      <c r="O428">
        <f>電力量!O429-電力量!O428</f>
        <v>25.5</v>
      </c>
      <c r="P428">
        <f>電力量!P429-電力量!P428</f>
        <v>1</v>
      </c>
      <c r="Q428">
        <f>電力量!Q429-電力量!Q428</f>
        <v>1</v>
      </c>
      <c r="R428">
        <f>電力量!R429-電力量!R428</f>
        <v>0</v>
      </c>
    </row>
    <row r="429" spans="1:18">
      <c r="A429" s="4">
        <f t="shared" si="156"/>
        <v>45889.791666666664</v>
      </c>
      <c r="B429">
        <f>電力量!B430-電力量!B429</f>
        <v>909</v>
      </c>
      <c r="C429">
        <f>電力量!C430-電力量!C429</f>
        <v>238</v>
      </c>
      <c r="D429">
        <f>電力量!D430-電力量!D429</f>
        <v>19.400000000001455</v>
      </c>
      <c r="E429">
        <f>電力量!E430-電力量!E429</f>
        <v>0</v>
      </c>
      <c r="F429">
        <f>電力量!F430-電力量!F429</f>
        <v>30</v>
      </c>
      <c r="G429">
        <f>電力量!G430-電力量!G429</f>
        <v>82.100000000005821</v>
      </c>
      <c r="H429">
        <f>電力量!H430-電力量!H429</f>
        <v>12</v>
      </c>
      <c r="I429">
        <f>電力量!I430-電力量!I429</f>
        <v>297</v>
      </c>
      <c r="J429">
        <f>電力量!J430-電力量!J429</f>
        <v>10.400000000001455</v>
      </c>
      <c r="K429">
        <f>電力量!K430-電力量!K429</f>
        <v>3.1999999999970896</v>
      </c>
      <c r="L429">
        <f>電力量!L430-電力量!L429</f>
        <v>24.5</v>
      </c>
      <c r="M429">
        <f>電力量!M430-電力量!M429</f>
        <v>47.599999999998545</v>
      </c>
      <c r="N429">
        <f>電力量!N430-電力量!N429</f>
        <v>56.100000000005821</v>
      </c>
      <c r="O429">
        <f>電力量!O430-電力量!O429</f>
        <v>25.69999999999709</v>
      </c>
      <c r="P429">
        <f>電力量!P430-電力量!P429</f>
        <v>0</v>
      </c>
      <c r="Q429">
        <f>電力量!Q430-電力量!Q429</f>
        <v>0</v>
      </c>
      <c r="R429">
        <f>電力量!R430-電力量!R429</f>
        <v>0</v>
      </c>
    </row>
    <row r="430" spans="1:18">
      <c r="A430" s="4">
        <f t="shared" si="157"/>
        <v>45889.833333333336</v>
      </c>
      <c r="B430">
        <f>電力量!B431-電力量!B430</f>
        <v>858</v>
      </c>
      <c r="C430">
        <f>電力量!C431-電力量!C430</f>
        <v>219</v>
      </c>
      <c r="D430">
        <f>電力量!D431-電力量!D430</f>
        <v>25.099999999998545</v>
      </c>
      <c r="E430">
        <f>電力量!E431-電力量!E430</f>
        <v>0</v>
      </c>
      <c r="F430">
        <f>電力量!F431-電力量!F430</f>
        <v>25</v>
      </c>
      <c r="G430">
        <f>電力量!G431-電力量!G430</f>
        <v>78.399999999994179</v>
      </c>
      <c r="H430">
        <f>電力量!H431-電力量!H430</f>
        <v>13</v>
      </c>
      <c r="I430">
        <f>電力量!I431-電力量!I430</f>
        <v>275</v>
      </c>
      <c r="J430">
        <f>電力量!J431-電力量!J430</f>
        <v>11.299999999995634</v>
      </c>
      <c r="K430">
        <f>電力量!K431-電力量!K430</f>
        <v>3.2000000000116415</v>
      </c>
      <c r="L430">
        <f>電力量!L431-電力量!L430</f>
        <v>26.099999999991269</v>
      </c>
      <c r="M430">
        <f>電力量!M431-電力量!M430</f>
        <v>42.5</v>
      </c>
      <c r="N430">
        <f>電力量!N431-電力量!N430</f>
        <v>55.600000000005821</v>
      </c>
      <c r="O430">
        <f>電力量!O431-電力量!O430</f>
        <v>26.899999999994179</v>
      </c>
      <c r="P430">
        <f>電力量!P431-電力量!P430</f>
        <v>0</v>
      </c>
      <c r="Q430">
        <f>電力量!Q431-電力量!Q430</f>
        <v>0</v>
      </c>
      <c r="R430">
        <f>電力量!R431-電力量!R430</f>
        <v>0</v>
      </c>
    </row>
    <row r="431" spans="1:18">
      <c r="A431" s="4">
        <f t="shared" si="158"/>
        <v>45889.875</v>
      </c>
      <c r="B431">
        <f>電力量!B432-電力量!B431</f>
        <v>819</v>
      </c>
      <c r="C431">
        <f>電力量!C432-電力量!C431</f>
        <v>216</v>
      </c>
      <c r="D431">
        <f>電力量!D432-電力量!D431</f>
        <v>19.30000000000291</v>
      </c>
      <c r="E431">
        <f>電力量!E432-電力量!E431</f>
        <v>0</v>
      </c>
      <c r="F431">
        <f>電力量!F432-電力量!F431</f>
        <v>23</v>
      </c>
      <c r="G431">
        <f>電力量!G432-電力量!G431</f>
        <v>71.600000000005821</v>
      </c>
      <c r="H431">
        <f>電力量!H432-電力量!H431</f>
        <v>12</v>
      </c>
      <c r="I431">
        <f>電力量!I432-電力量!I431</f>
        <v>259</v>
      </c>
      <c r="J431">
        <f>電力量!J432-電力量!J431</f>
        <v>10.400000000001455</v>
      </c>
      <c r="K431">
        <f>電力量!K432-電力量!K431</f>
        <v>3.1999999999970896</v>
      </c>
      <c r="L431">
        <f>電力量!L432-電力量!L431</f>
        <v>25.19999999999709</v>
      </c>
      <c r="M431">
        <f>電力量!M432-電力量!M431</f>
        <v>41.400000000001455</v>
      </c>
      <c r="N431">
        <f>電力量!N432-電力量!N431</f>
        <v>55.69999999999709</v>
      </c>
      <c r="O431">
        <f>電力量!O432-電力量!O431</f>
        <v>26.80000000000291</v>
      </c>
      <c r="P431">
        <f>電力量!P432-電力量!P431</f>
        <v>0</v>
      </c>
      <c r="Q431">
        <f>電力量!Q432-電力量!Q431</f>
        <v>0</v>
      </c>
      <c r="R431">
        <f>電力量!R432-電力量!R431</f>
        <v>0</v>
      </c>
    </row>
    <row r="432" spans="1:18">
      <c r="A432" s="4">
        <f t="shared" si="159"/>
        <v>45889.916666666664</v>
      </c>
      <c r="B432">
        <f>電力量!B433-電力量!B432</f>
        <v>789</v>
      </c>
      <c r="C432">
        <f>電力量!C433-電力量!C432</f>
        <v>204</v>
      </c>
      <c r="D432">
        <f>電力量!D433-電力量!D432</f>
        <v>17.399999999994179</v>
      </c>
      <c r="E432">
        <f>電力量!E433-電力量!E432</f>
        <v>0</v>
      </c>
      <c r="F432">
        <f>電力量!F433-電力量!F432</f>
        <v>23</v>
      </c>
      <c r="G432">
        <f>電力量!G433-電力量!G432</f>
        <v>68</v>
      </c>
      <c r="H432">
        <f>電力量!H433-電力量!H432</f>
        <v>12</v>
      </c>
      <c r="I432">
        <f>電力量!I433-電力量!I432</f>
        <v>250</v>
      </c>
      <c r="J432">
        <f>電力量!J433-電力量!J432</f>
        <v>10.5</v>
      </c>
      <c r="K432">
        <f>電力量!K433-電力量!K432</f>
        <v>3.1999999999970896</v>
      </c>
      <c r="L432">
        <f>電力量!L433-電力量!L432</f>
        <v>26.700000000011642</v>
      </c>
      <c r="M432">
        <f>電力量!M433-電力量!M432</f>
        <v>40.799999999995634</v>
      </c>
      <c r="N432">
        <f>電力量!N433-電力量!N432</f>
        <v>56.69999999999709</v>
      </c>
      <c r="O432">
        <f>電力量!O433-電力量!O432</f>
        <v>22.100000000005821</v>
      </c>
      <c r="P432">
        <f>電力量!P433-電力量!P432</f>
        <v>0</v>
      </c>
      <c r="Q432">
        <f>電力量!Q433-電力量!Q432</f>
        <v>0</v>
      </c>
      <c r="R432">
        <f>電力量!R433-電力量!R432</f>
        <v>0</v>
      </c>
    </row>
    <row r="433" spans="1:18">
      <c r="A433" s="4">
        <f t="shared" si="160"/>
        <v>45889.958333333336</v>
      </c>
      <c r="B433">
        <f>電力量!B434-電力量!B433</f>
        <v>768</v>
      </c>
      <c r="C433">
        <f>電力量!C434-電力量!C433</f>
        <v>198</v>
      </c>
      <c r="D433">
        <f>電力量!D434-電力量!D433</f>
        <v>15.600000000005821</v>
      </c>
      <c r="E433">
        <f>電力量!E434-電力量!E433</f>
        <v>0</v>
      </c>
      <c r="F433">
        <f>電力量!F434-電力量!F433</f>
        <v>22</v>
      </c>
      <c r="G433">
        <f>電力量!G434-電力量!G433</f>
        <v>64.299999999995634</v>
      </c>
      <c r="H433">
        <f>電力量!H434-電力量!H433</f>
        <v>12</v>
      </c>
      <c r="I433">
        <f>電力量!I434-電力量!I433</f>
        <v>243</v>
      </c>
      <c r="J433">
        <f>電力量!J434-電力量!J433</f>
        <v>10.400000000001455</v>
      </c>
      <c r="K433">
        <f>電力量!K434-電力量!K433</f>
        <v>3.1000000000058208</v>
      </c>
      <c r="L433">
        <f>電力量!L434-電力量!L433</f>
        <v>26.399999999994179</v>
      </c>
      <c r="M433">
        <f>電力量!M434-電力量!M433</f>
        <v>42.5</v>
      </c>
      <c r="N433">
        <f>電力量!N434-電力量!N433</f>
        <v>54.5</v>
      </c>
      <c r="O433">
        <f>電力量!O434-電力量!O433</f>
        <v>20.899999999994179</v>
      </c>
      <c r="P433">
        <f>電力量!P434-電力量!P433</f>
        <v>0</v>
      </c>
      <c r="Q433">
        <f>電力量!Q434-電力量!Q433</f>
        <v>0</v>
      </c>
      <c r="R433">
        <f>電力量!R434-電力量!R433</f>
        <v>0</v>
      </c>
    </row>
    <row r="434" spans="1:18">
      <c r="A434" s="4">
        <v>45890</v>
      </c>
      <c r="B434">
        <f>電力量!B435-電力量!B434</f>
        <v>741</v>
      </c>
      <c r="C434">
        <f>電力量!C435-電力量!C434</f>
        <v>192</v>
      </c>
      <c r="D434">
        <f>電力量!D435-電力量!D434</f>
        <v>14.799999999995634</v>
      </c>
      <c r="E434">
        <f>電力量!E435-電力量!E434</f>
        <v>0</v>
      </c>
      <c r="F434">
        <f>電力量!F435-電力量!F434</f>
        <v>22</v>
      </c>
      <c r="G434">
        <f>電力量!G435-電力量!G434</f>
        <v>62.900000000001455</v>
      </c>
      <c r="H434">
        <f>電力量!H435-電力量!H434</f>
        <v>12</v>
      </c>
      <c r="I434">
        <f>電力量!I435-電力量!I434</f>
        <v>236</v>
      </c>
      <c r="J434">
        <f>電力量!J435-電力量!J434</f>
        <v>10.400000000001455</v>
      </c>
      <c r="K434">
        <f>電力量!K435-電力量!K434</f>
        <v>3.0999999999912689</v>
      </c>
      <c r="L434">
        <f>電力量!L435-電力量!L434</f>
        <v>23.100000000005821</v>
      </c>
      <c r="M434">
        <f>電力量!M435-電力量!M434</f>
        <v>40.80000000000291</v>
      </c>
      <c r="N434">
        <f>電力量!N435-電力量!N434</f>
        <v>55.30000000000291</v>
      </c>
      <c r="O434">
        <f>電力量!O435-電力量!O434</f>
        <v>19.5</v>
      </c>
      <c r="P434">
        <f>電力量!P435-電力量!P434</f>
        <v>0</v>
      </c>
      <c r="Q434">
        <f>電力量!Q435-電力量!Q434</f>
        <v>0</v>
      </c>
      <c r="R434">
        <f>電力量!R435-電力量!R434</f>
        <v>0</v>
      </c>
    </row>
    <row r="435" spans="1:18">
      <c r="A435" s="4">
        <f t="shared" si="138"/>
        <v>45890.041666666664</v>
      </c>
      <c r="B435">
        <f>電力量!B436-電力量!B435</f>
        <v>729</v>
      </c>
      <c r="C435">
        <f>電力量!C436-電力量!C435</f>
        <v>190</v>
      </c>
      <c r="D435">
        <f>電力量!D436-電力量!D435</f>
        <v>13.900000000001455</v>
      </c>
      <c r="E435">
        <f>電力量!E436-電力量!E435</f>
        <v>0</v>
      </c>
      <c r="F435">
        <f>電力量!F436-電力量!F435</f>
        <v>21</v>
      </c>
      <c r="G435">
        <f>電力量!G436-電力量!G435</f>
        <v>61.69999999999709</v>
      </c>
      <c r="H435">
        <f>電力量!H436-電力量!H435</f>
        <v>12</v>
      </c>
      <c r="I435">
        <f>電力量!I436-電力量!I435</f>
        <v>230</v>
      </c>
      <c r="J435">
        <f>電力量!J436-電力量!J435</f>
        <v>10.099999999998545</v>
      </c>
      <c r="K435">
        <f>電力量!K436-電力量!K435</f>
        <v>3.1999999999970896</v>
      </c>
      <c r="L435">
        <f>電力量!L436-電力量!L435</f>
        <v>22.599999999991269</v>
      </c>
      <c r="M435">
        <f>電力量!M436-電力量!M435</f>
        <v>39.799999999995634</v>
      </c>
      <c r="N435">
        <f>電力量!N436-電力量!N435</f>
        <v>53.69999999999709</v>
      </c>
      <c r="O435">
        <f>電力量!O436-電力量!O435</f>
        <v>20.600000000005821</v>
      </c>
      <c r="P435">
        <f>電力量!P436-電力量!P435</f>
        <v>0</v>
      </c>
      <c r="Q435">
        <f>電力量!Q436-電力量!Q435</f>
        <v>0</v>
      </c>
      <c r="R435">
        <f>電力量!R436-電力量!R435</f>
        <v>0</v>
      </c>
    </row>
    <row r="436" spans="1:18">
      <c r="A436" s="4">
        <f t="shared" si="139"/>
        <v>45890.083333333336</v>
      </c>
      <c r="B436">
        <f>電力量!B437-電力量!B436</f>
        <v>700</v>
      </c>
      <c r="C436">
        <f>電力量!C437-電力量!C436</f>
        <v>184</v>
      </c>
      <c r="D436">
        <f>電力量!D437-電力量!D436</f>
        <v>12.5</v>
      </c>
      <c r="E436">
        <f>電力量!E437-電力量!E436</f>
        <v>0</v>
      </c>
      <c r="F436">
        <f>電力量!F437-電力量!F436</f>
        <v>22</v>
      </c>
      <c r="G436">
        <f>電力量!G437-電力量!G436</f>
        <v>60.400000000001455</v>
      </c>
      <c r="H436">
        <f>電力量!H437-電力量!H436</f>
        <v>11</v>
      </c>
      <c r="I436">
        <f>電力量!I437-電力量!I436</f>
        <v>211</v>
      </c>
      <c r="J436">
        <f>電力量!J437-電力量!J436</f>
        <v>10.30000000000291</v>
      </c>
      <c r="K436">
        <f>電力量!K437-電力量!K436</f>
        <v>3.1000000000058208</v>
      </c>
      <c r="L436">
        <f>電力量!L437-電力量!L436</f>
        <v>22.100000000005821</v>
      </c>
      <c r="M436">
        <f>電力量!M437-電力量!M436</f>
        <v>39.700000000004366</v>
      </c>
      <c r="N436">
        <f>電力量!N437-電力量!N436</f>
        <v>54.100000000005821</v>
      </c>
      <c r="O436">
        <f>電力量!O437-電力量!O436</f>
        <v>20</v>
      </c>
      <c r="P436">
        <f>電力量!P437-電力量!P436</f>
        <v>0</v>
      </c>
      <c r="Q436">
        <f>電力量!Q437-電力量!Q436</f>
        <v>0</v>
      </c>
      <c r="R436">
        <f>電力量!R437-電力量!R436</f>
        <v>0</v>
      </c>
    </row>
    <row r="437" spans="1:18">
      <c r="A437" s="4">
        <f t="shared" si="140"/>
        <v>45890.125</v>
      </c>
      <c r="B437">
        <f>電力量!B438-電力量!B437</f>
        <v>684</v>
      </c>
      <c r="C437">
        <f>電力量!C438-電力量!C437</f>
        <v>180</v>
      </c>
      <c r="D437">
        <f>電力量!D438-電力量!D437</f>
        <v>12.5</v>
      </c>
      <c r="E437">
        <f>電力量!E438-電力量!E437</f>
        <v>0</v>
      </c>
      <c r="F437">
        <f>電力量!F438-電力量!F437</f>
        <v>21</v>
      </c>
      <c r="G437">
        <f>電力量!G438-電力量!G437</f>
        <v>59.599999999998545</v>
      </c>
      <c r="H437">
        <f>電力量!H438-電力量!H437</f>
        <v>12</v>
      </c>
      <c r="I437">
        <f>電力量!I438-電力量!I437</f>
        <v>205</v>
      </c>
      <c r="J437">
        <f>電力量!J438-電力量!J437</f>
        <v>10.099999999998545</v>
      </c>
      <c r="K437">
        <f>電力量!K438-電力量!K437</f>
        <v>3.3999999999941792</v>
      </c>
      <c r="L437">
        <f>電力量!L438-電力量!L437</f>
        <v>19.099999999991269</v>
      </c>
      <c r="M437">
        <f>電力量!M438-電力量!M437</f>
        <v>39.69999999999709</v>
      </c>
      <c r="N437">
        <f>電力量!N438-電力量!N437</f>
        <v>54.299999999988358</v>
      </c>
      <c r="O437">
        <f>電力量!O438-電力量!O437</f>
        <v>19.399999999994179</v>
      </c>
      <c r="P437">
        <f>電力量!P438-電力量!P437</f>
        <v>0</v>
      </c>
      <c r="Q437">
        <f>電力量!Q438-電力量!Q437</f>
        <v>0</v>
      </c>
      <c r="R437">
        <f>電力量!R438-電力量!R437</f>
        <v>0</v>
      </c>
    </row>
    <row r="438" spans="1:18">
      <c r="A438" s="4">
        <f t="shared" si="141"/>
        <v>45890.166666666664</v>
      </c>
      <c r="B438">
        <f>電力量!B439-電力量!B438</f>
        <v>682</v>
      </c>
      <c r="C438">
        <f>電力量!C439-電力量!C438</f>
        <v>179</v>
      </c>
      <c r="D438">
        <f>電力量!D439-電力量!D438</f>
        <v>12.69999999999709</v>
      </c>
      <c r="E438">
        <f>電力量!E439-電力量!E438</f>
        <v>0</v>
      </c>
      <c r="F438">
        <f>電力量!F439-電力量!F438</f>
        <v>21</v>
      </c>
      <c r="G438">
        <f>電力量!G439-電力量!G438</f>
        <v>57.5</v>
      </c>
      <c r="H438">
        <f>電力量!H439-電力量!H438</f>
        <v>11</v>
      </c>
      <c r="I438">
        <f>電力量!I439-電力量!I438</f>
        <v>203</v>
      </c>
      <c r="J438">
        <f>電力量!J439-電力量!J438</f>
        <v>9.7999999999956344</v>
      </c>
      <c r="K438">
        <f>電力量!K439-電力量!K438</f>
        <v>3.2000000000116415</v>
      </c>
      <c r="L438">
        <f>電力量!L439-電力量!L438</f>
        <v>20.700000000011642</v>
      </c>
      <c r="M438">
        <f>電力量!M439-電力量!M438</f>
        <v>39.5</v>
      </c>
      <c r="N438">
        <f>電力量!N439-電力量!N438</f>
        <v>55.400000000008731</v>
      </c>
      <c r="O438">
        <f>電力量!O439-電力量!O438</f>
        <v>20.30000000000291</v>
      </c>
      <c r="P438">
        <f>電力量!P439-電力量!P438</f>
        <v>0</v>
      </c>
      <c r="Q438">
        <f>電力量!Q439-電力量!Q438</f>
        <v>0</v>
      </c>
      <c r="R438">
        <f>電力量!R439-電力量!R438</f>
        <v>0</v>
      </c>
    </row>
    <row r="439" spans="1:18">
      <c r="A439" s="4">
        <f t="shared" si="142"/>
        <v>45890.208333333336</v>
      </c>
      <c r="B439">
        <f>電力量!B440-電力量!B439</f>
        <v>683</v>
      </c>
      <c r="C439">
        <f>電力量!C440-電力量!C439</f>
        <v>177</v>
      </c>
      <c r="D439">
        <f>電力量!D440-電力量!D439</f>
        <v>13</v>
      </c>
      <c r="E439">
        <f>電力量!E440-電力量!E439</f>
        <v>0</v>
      </c>
      <c r="F439">
        <f>電力量!F440-電力量!F439</f>
        <v>21</v>
      </c>
      <c r="G439">
        <f>電力量!G440-電力量!G439</f>
        <v>56.700000000004366</v>
      </c>
      <c r="H439">
        <f>電力量!H440-電力量!H439</f>
        <v>12</v>
      </c>
      <c r="I439">
        <f>電力量!I440-電力量!I439</f>
        <v>204</v>
      </c>
      <c r="J439">
        <f>電力量!J440-電力量!J439</f>
        <v>10</v>
      </c>
      <c r="K439">
        <f>電力量!K440-電力量!K439</f>
        <v>3</v>
      </c>
      <c r="L439">
        <f>電力量!L440-電力量!L439</f>
        <v>19.599999999991269</v>
      </c>
      <c r="M439">
        <f>電力量!M440-電力量!M439</f>
        <v>39.200000000004366</v>
      </c>
      <c r="N439">
        <f>電力量!N440-電力量!N439</f>
        <v>53.69999999999709</v>
      </c>
      <c r="O439">
        <f>電力量!O440-電力量!O439</f>
        <v>22.80000000000291</v>
      </c>
      <c r="P439">
        <f>電力量!P440-電力量!P439</f>
        <v>0</v>
      </c>
      <c r="Q439">
        <f>電力量!Q440-電力量!Q439</f>
        <v>0</v>
      </c>
      <c r="R439">
        <f>電力量!R440-電力量!R439</f>
        <v>0</v>
      </c>
    </row>
    <row r="440" spans="1:18">
      <c r="A440" s="4">
        <f t="shared" si="143"/>
        <v>45890.25</v>
      </c>
      <c r="B440">
        <f>電力量!B441-電力量!B440</f>
        <v>698</v>
      </c>
      <c r="C440">
        <f>電力量!C441-電力量!C440</f>
        <v>184</v>
      </c>
      <c r="D440">
        <f>電力量!D441-電力量!D440</f>
        <v>13.5</v>
      </c>
      <c r="E440">
        <f>電力量!E441-電力量!E440</f>
        <v>0</v>
      </c>
      <c r="F440">
        <f>電力量!F441-電力量!F440</f>
        <v>21</v>
      </c>
      <c r="G440">
        <f>電力量!G441-電力量!G440</f>
        <v>59.099999999998545</v>
      </c>
      <c r="H440">
        <f>電力量!H441-電力量!H440</f>
        <v>12</v>
      </c>
      <c r="I440">
        <f>電力量!I441-電力量!I440</f>
        <v>208</v>
      </c>
      <c r="J440">
        <f>電力量!J441-電力量!J440</f>
        <v>9.8000000000029104</v>
      </c>
      <c r="K440">
        <f>電力量!K441-電力量!K440</f>
        <v>2.5999999999912689</v>
      </c>
      <c r="L440">
        <f>電力量!L441-電力量!L440</f>
        <v>19.400000000008731</v>
      </c>
      <c r="M440">
        <f>電力量!M441-電力量!M440</f>
        <v>39.399999999994179</v>
      </c>
      <c r="N440">
        <f>電力量!N441-電力量!N440</f>
        <v>55</v>
      </c>
      <c r="O440">
        <f>電力量!O441-電力量!O440</f>
        <v>21.5</v>
      </c>
      <c r="P440">
        <f>電力量!P441-電力量!P440</f>
        <v>0</v>
      </c>
      <c r="Q440">
        <f>電力量!Q441-電力量!Q440</f>
        <v>0</v>
      </c>
      <c r="R440">
        <f>電力量!R441-電力量!R440</f>
        <v>0</v>
      </c>
    </row>
    <row r="441" spans="1:18">
      <c r="A441" s="4">
        <f t="shared" si="144"/>
        <v>45890.291666666664</v>
      </c>
      <c r="B441">
        <f>電力量!B442-電力量!B441</f>
        <v>736</v>
      </c>
      <c r="C441">
        <f>電力量!C442-電力量!C441</f>
        <v>202</v>
      </c>
      <c r="D441">
        <f>電力量!D442-電力量!D441</f>
        <v>13.600000000005821</v>
      </c>
      <c r="E441">
        <f>電力量!E442-電力量!E441</f>
        <v>0</v>
      </c>
      <c r="F441">
        <f>電力量!F442-電力量!F441</f>
        <v>23</v>
      </c>
      <c r="G441">
        <f>電力量!G442-電力量!G441</f>
        <v>58.69999999999709</v>
      </c>
      <c r="H441">
        <f>電力量!H442-電力量!H441</f>
        <v>13</v>
      </c>
      <c r="I441">
        <f>電力量!I442-電力量!I441</f>
        <v>220</v>
      </c>
      <c r="J441">
        <f>電力量!J442-電力量!J441</f>
        <v>12.900000000001455</v>
      </c>
      <c r="K441">
        <f>電力量!K442-電力量!K441</f>
        <v>1.1000000000058208</v>
      </c>
      <c r="L441">
        <f>電力量!L442-電力量!L441</f>
        <v>19.799999999988358</v>
      </c>
      <c r="M441">
        <f>電力量!M442-電力量!M441</f>
        <v>40.900000000001455</v>
      </c>
      <c r="N441">
        <f>電力量!N442-電力量!N441</f>
        <v>50.100000000005821</v>
      </c>
      <c r="O441">
        <f>電力量!O442-電力量!O441</f>
        <v>23.80000000000291</v>
      </c>
      <c r="P441">
        <f>電力量!P442-電力量!P441</f>
        <v>1</v>
      </c>
      <c r="Q441">
        <f>電力量!Q442-電力量!Q441</f>
        <v>3</v>
      </c>
      <c r="R441">
        <f>電力量!R442-電力量!R441</f>
        <v>0</v>
      </c>
    </row>
    <row r="442" spans="1:18">
      <c r="A442" s="4">
        <f t="shared" si="145"/>
        <v>45890.333333333336</v>
      </c>
      <c r="B442">
        <f>電力量!B443-電力量!B442</f>
        <v>856</v>
      </c>
      <c r="C442">
        <f>電力量!C443-電力量!C442</f>
        <v>232</v>
      </c>
      <c r="D442">
        <f>電力量!D443-電力量!D442</f>
        <v>15.299999999995634</v>
      </c>
      <c r="E442">
        <f>電力量!E443-電力量!E442</f>
        <v>0</v>
      </c>
      <c r="F442">
        <f>電力量!F443-電力量!F442</f>
        <v>32</v>
      </c>
      <c r="G442">
        <f>電力量!G443-電力量!G442</f>
        <v>57</v>
      </c>
      <c r="H442">
        <f>電力量!H443-電力量!H442</f>
        <v>29</v>
      </c>
      <c r="I442">
        <f>電力量!I443-電力量!I442</f>
        <v>251</v>
      </c>
      <c r="J442">
        <f>電力量!J443-電力量!J442</f>
        <v>14</v>
      </c>
      <c r="K442">
        <f>電力量!K443-電力量!K442</f>
        <v>1.5</v>
      </c>
      <c r="L442">
        <f>電力量!L443-電力量!L442</f>
        <v>25.600000000005821</v>
      </c>
      <c r="M442">
        <f>電力量!M443-電力量!M442</f>
        <v>47.400000000001455</v>
      </c>
      <c r="N442">
        <f>電力量!N443-電力量!N442</f>
        <v>50.19999999999709</v>
      </c>
      <c r="O442">
        <f>電力量!O443-電力量!O442</f>
        <v>35.5</v>
      </c>
      <c r="P442">
        <f>電力量!P443-電力量!P442</f>
        <v>5</v>
      </c>
      <c r="Q442">
        <f>電力量!Q443-電力量!Q442</f>
        <v>9</v>
      </c>
      <c r="R442">
        <f>電力量!R443-電力量!R442</f>
        <v>0</v>
      </c>
    </row>
    <row r="443" spans="1:18">
      <c r="A443" s="4">
        <f t="shared" si="146"/>
        <v>45890.375</v>
      </c>
      <c r="B443">
        <f>電力量!B444-電力量!B443</f>
        <v>1169</v>
      </c>
      <c r="C443">
        <f>電力量!C444-電力量!C443</f>
        <v>285</v>
      </c>
      <c r="D443">
        <f>電力量!D444-電力量!D443</f>
        <v>20</v>
      </c>
      <c r="E443">
        <f>電力量!E444-電力量!E443</f>
        <v>0</v>
      </c>
      <c r="F443">
        <f>電力量!F444-電力量!F443</f>
        <v>48</v>
      </c>
      <c r="G443">
        <f>電力量!G444-電力量!G443</f>
        <v>56.5</v>
      </c>
      <c r="H443">
        <f>電力量!H444-電力量!H443</f>
        <v>140</v>
      </c>
      <c r="I443">
        <f>電力量!I444-電力量!I443</f>
        <v>319</v>
      </c>
      <c r="J443">
        <f>電力量!J444-電力量!J443</f>
        <v>13.5</v>
      </c>
      <c r="K443">
        <f>電力量!K444-電力量!K443</f>
        <v>0.39999999999417923</v>
      </c>
      <c r="L443">
        <f>電力量!L444-電力量!L443</f>
        <v>35.399999999994179</v>
      </c>
      <c r="M443">
        <f>電力量!M444-電力量!M443</f>
        <v>51.30000000000291</v>
      </c>
      <c r="N443">
        <f>電力量!N444-電力量!N443</f>
        <v>49.19999999999709</v>
      </c>
      <c r="O443">
        <f>電力量!O444-電力量!O443</f>
        <v>51.5</v>
      </c>
      <c r="P443">
        <f>電力量!P444-電力量!P443</f>
        <v>10</v>
      </c>
      <c r="Q443">
        <f>電力量!Q444-電力量!Q443</f>
        <v>15</v>
      </c>
      <c r="R443">
        <f>電力量!R444-電力量!R443</f>
        <v>0</v>
      </c>
    </row>
    <row r="444" spans="1:18">
      <c r="A444" s="4">
        <f t="shared" si="147"/>
        <v>45890.416666666664</v>
      </c>
      <c r="B444">
        <f>電力量!B445-電力量!B444</f>
        <v>1317</v>
      </c>
      <c r="C444">
        <f>電力量!C445-電力量!C444</f>
        <v>322</v>
      </c>
      <c r="D444">
        <f>電力量!D445-電力量!D444</f>
        <v>25.599999999998545</v>
      </c>
      <c r="E444">
        <f>電力量!E445-電力量!E444</f>
        <v>0</v>
      </c>
      <c r="F444">
        <f>電力量!F445-電力量!F444</f>
        <v>55</v>
      </c>
      <c r="G444">
        <f>電力量!G445-電力量!G444</f>
        <v>56.600000000005821</v>
      </c>
      <c r="H444">
        <f>電力量!H445-電力量!H444</f>
        <v>149</v>
      </c>
      <c r="I444">
        <f>電力量!I445-電力量!I444</f>
        <v>382</v>
      </c>
      <c r="J444">
        <f>電力量!J445-電力量!J444</f>
        <v>16.599999999998545</v>
      </c>
      <c r="K444">
        <f>電力量!K445-電力量!K444</f>
        <v>0.10000000000582077</v>
      </c>
      <c r="L444">
        <f>電力量!L445-電力量!L444</f>
        <v>40.30000000000291</v>
      </c>
      <c r="M444">
        <f>電力量!M445-電力量!M444</f>
        <v>61.799999999995634</v>
      </c>
      <c r="N444">
        <f>電力量!N445-電力量!N444</f>
        <v>49.19999999999709</v>
      </c>
      <c r="O444">
        <f>電力量!O445-電力量!O444</f>
        <v>63.19999999999709</v>
      </c>
      <c r="P444">
        <f>電力量!P445-電力量!P444</f>
        <v>14</v>
      </c>
      <c r="Q444">
        <f>電力量!Q445-電力量!Q444</f>
        <v>21</v>
      </c>
      <c r="R444">
        <f>電力量!R445-電力量!R444</f>
        <v>0</v>
      </c>
    </row>
    <row r="445" spans="1:18">
      <c r="A445" s="4">
        <f t="shared" si="148"/>
        <v>45890.458333333336</v>
      </c>
      <c r="B445">
        <f>電力量!B446-電力量!B445</f>
        <v>1328</v>
      </c>
      <c r="C445">
        <f>電力量!C446-電力量!C445</f>
        <v>333</v>
      </c>
      <c r="D445">
        <f>電力量!D446-電力量!D445</f>
        <v>27.80000000000291</v>
      </c>
      <c r="E445">
        <f>電力量!E446-電力量!E445</f>
        <v>0</v>
      </c>
      <c r="F445">
        <f>電力量!F446-電力量!F445</f>
        <v>55</v>
      </c>
      <c r="G445">
        <f>電力量!G446-電力量!G445</f>
        <v>64.099999999998545</v>
      </c>
      <c r="H445">
        <f>電力量!H446-電力量!H445</f>
        <v>122</v>
      </c>
      <c r="I445">
        <f>電力量!I446-電力量!I445</f>
        <v>412</v>
      </c>
      <c r="J445">
        <f>電力量!J446-電力量!J445</f>
        <v>15.900000000001455</v>
      </c>
      <c r="K445">
        <f>電力量!K446-電力量!K445</f>
        <v>9.9999999991268851E-2</v>
      </c>
      <c r="L445">
        <f>電力量!L446-電力量!L445</f>
        <v>44.100000000005821</v>
      </c>
      <c r="M445">
        <f>電力量!M446-電力量!M445</f>
        <v>60.200000000004366</v>
      </c>
      <c r="N445">
        <f>電力量!N446-電力量!N445</f>
        <v>45.69999999999709</v>
      </c>
      <c r="O445">
        <f>電力量!O446-電力量!O445</f>
        <v>61.599999999991269</v>
      </c>
      <c r="P445">
        <f>電力量!P446-電力量!P445</f>
        <v>15</v>
      </c>
      <c r="Q445">
        <f>電力量!Q446-電力量!Q445</f>
        <v>24</v>
      </c>
      <c r="R445">
        <f>電力量!R446-電力量!R445</f>
        <v>0</v>
      </c>
    </row>
    <row r="446" spans="1:18">
      <c r="A446" s="4">
        <f t="shared" si="149"/>
        <v>45890.5</v>
      </c>
      <c r="B446">
        <f>電力量!B447-電力量!B446</f>
        <v>1321</v>
      </c>
      <c r="C446">
        <f>電力量!C447-電力量!C446</f>
        <v>330</v>
      </c>
      <c r="D446">
        <f>電力量!D447-電力量!D446</f>
        <v>35.80000000000291</v>
      </c>
      <c r="E446">
        <f>電力量!E447-電力量!E446</f>
        <v>0</v>
      </c>
      <c r="F446">
        <f>電力量!F447-電力量!F446</f>
        <v>48</v>
      </c>
      <c r="G446">
        <f>電力量!G447-電力量!G446</f>
        <v>73.19999999999709</v>
      </c>
      <c r="H446">
        <f>電力量!H447-電力量!H446</f>
        <v>83</v>
      </c>
      <c r="I446">
        <f>電力量!I447-電力量!I446</f>
        <v>424</v>
      </c>
      <c r="J446">
        <f>電力量!J447-電力量!J446</f>
        <v>15.900000000001455</v>
      </c>
      <c r="K446">
        <f>電力量!K447-電力量!K446</f>
        <v>0</v>
      </c>
      <c r="L446">
        <f>電力量!L447-電力量!L446</f>
        <v>50.899999999994179</v>
      </c>
      <c r="M446">
        <f>電力量!M447-電力量!M446</f>
        <v>60.899999999994179</v>
      </c>
      <c r="N446">
        <f>電力量!N447-電力量!N446</f>
        <v>44.5</v>
      </c>
      <c r="O446">
        <f>電力量!O447-電力量!O446</f>
        <v>70.400000000008731</v>
      </c>
      <c r="P446">
        <f>電力量!P447-電力量!P446</f>
        <v>17</v>
      </c>
      <c r="Q446">
        <f>電力量!Q447-電力量!Q446</f>
        <v>25</v>
      </c>
      <c r="R446">
        <f>電力量!R447-電力量!R446</f>
        <v>0</v>
      </c>
    </row>
    <row r="447" spans="1:18">
      <c r="A447" s="4">
        <f t="shared" si="150"/>
        <v>45890.541666666664</v>
      </c>
      <c r="B447">
        <f>電力量!B448-電力量!B447</f>
        <v>1382</v>
      </c>
      <c r="C447">
        <f>電力量!C448-電力量!C447</f>
        <v>353</v>
      </c>
      <c r="D447">
        <f>電力量!D448-電力量!D447</f>
        <v>40.69999999999709</v>
      </c>
      <c r="E447">
        <f>電力量!E448-電力量!E447</f>
        <v>0</v>
      </c>
      <c r="F447">
        <f>電力量!F448-電力量!F447</f>
        <v>50</v>
      </c>
      <c r="G447">
        <f>電力量!G448-電力量!G447</f>
        <v>90</v>
      </c>
      <c r="H447">
        <f>電力量!H448-電力量!H447</f>
        <v>70</v>
      </c>
      <c r="I447">
        <f>電力量!I448-電力量!I447</f>
        <v>435</v>
      </c>
      <c r="J447">
        <f>電力量!J448-電力量!J447</f>
        <v>15.399999999994179</v>
      </c>
      <c r="K447">
        <f>電力量!K448-電力量!K447</f>
        <v>0.20000000001164153</v>
      </c>
      <c r="L447">
        <f>電力量!L448-電力量!L447</f>
        <v>56.69999999999709</v>
      </c>
      <c r="M447">
        <f>電力量!M448-電力量!M447</f>
        <v>65</v>
      </c>
      <c r="N447">
        <f>電力量!N448-電力量!N447</f>
        <v>43.5</v>
      </c>
      <c r="O447">
        <f>電力量!O448-電力量!O447</f>
        <v>71.099999999991269</v>
      </c>
      <c r="P447">
        <f>電力量!P448-電力量!P447</f>
        <v>16</v>
      </c>
      <c r="Q447">
        <f>電力量!Q448-電力量!Q447</f>
        <v>25</v>
      </c>
      <c r="R447">
        <f>電力量!R448-電力量!R447</f>
        <v>0</v>
      </c>
    </row>
    <row r="448" spans="1:18">
      <c r="A448" s="4">
        <f t="shared" si="151"/>
        <v>45890.583333333336</v>
      </c>
      <c r="B448">
        <f>電力量!B449-電力量!B448</f>
        <v>1387</v>
      </c>
      <c r="C448">
        <f>電力量!C449-電力量!C448</f>
        <v>366</v>
      </c>
      <c r="D448">
        <f>電力量!D449-電力量!D448</f>
        <v>42.80000000000291</v>
      </c>
      <c r="E448">
        <f>電力量!E449-電力量!E448</f>
        <v>0</v>
      </c>
      <c r="F448">
        <f>電力量!F449-電力量!F448</f>
        <v>49</v>
      </c>
      <c r="G448">
        <f>電力量!G449-電力量!G448</f>
        <v>92.099999999998545</v>
      </c>
      <c r="H448">
        <f>電力量!H449-電力量!H448</f>
        <v>69</v>
      </c>
      <c r="I448">
        <f>電力量!I449-電力量!I448</f>
        <v>438</v>
      </c>
      <c r="J448">
        <f>電力量!J449-電力量!J448</f>
        <v>15.600000000005821</v>
      </c>
      <c r="K448">
        <f>電力量!K449-電力量!K448</f>
        <v>0.29999999998835847</v>
      </c>
      <c r="L448">
        <f>電力量!L449-電力量!L448</f>
        <v>55.600000000005821</v>
      </c>
      <c r="M448">
        <f>電力量!M449-電力量!M448</f>
        <v>64.700000000004366</v>
      </c>
      <c r="N448">
        <f>電力量!N449-電力量!N448</f>
        <v>44.5</v>
      </c>
      <c r="O448">
        <f>電力量!O449-電力量!O448</f>
        <v>56.100000000005821</v>
      </c>
      <c r="P448">
        <f>電力量!P449-電力量!P448</f>
        <v>15</v>
      </c>
      <c r="Q448">
        <f>電力量!Q449-電力量!Q448</f>
        <v>23</v>
      </c>
      <c r="R448">
        <f>電力量!R449-電力量!R448</f>
        <v>0</v>
      </c>
    </row>
    <row r="449" spans="1:18">
      <c r="A449" s="4">
        <f t="shared" si="152"/>
        <v>45890.625</v>
      </c>
      <c r="B449">
        <f>電力量!B450-電力量!B449</f>
        <v>1348</v>
      </c>
      <c r="C449">
        <f>電力量!C450-電力量!C449</f>
        <v>349</v>
      </c>
      <c r="D449">
        <f>電力量!D450-電力量!D449</f>
        <v>38.399999999994179</v>
      </c>
      <c r="E449">
        <f>電力量!E450-電力量!E449</f>
        <v>0</v>
      </c>
      <c r="F449">
        <f>電力量!F450-電力量!F449</f>
        <v>51</v>
      </c>
      <c r="G449">
        <f>電力量!G450-電力量!G449</f>
        <v>100.20000000000437</v>
      </c>
      <c r="H449">
        <f>電力量!H450-電力量!H449</f>
        <v>67</v>
      </c>
      <c r="I449">
        <f>電力量!I450-電力量!I449</f>
        <v>432</v>
      </c>
      <c r="J449">
        <f>電力量!J450-電力量!J449</f>
        <v>15.19999999999709</v>
      </c>
      <c r="K449">
        <f>電力量!K450-電力量!K449</f>
        <v>0</v>
      </c>
      <c r="L449">
        <f>電力量!L450-電力量!L449</f>
        <v>54.399999999994179</v>
      </c>
      <c r="M449">
        <f>電力量!M450-電力量!M449</f>
        <v>63.400000000001455</v>
      </c>
      <c r="N449">
        <f>電力量!N450-電力量!N449</f>
        <v>47.100000000005821</v>
      </c>
      <c r="O449">
        <f>電力量!O450-電力量!O449</f>
        <v>37.69999999999709</v>
      </c>
      <c r="P449">
        <f>電力量!P450-電力量!P449</f>
        <v>13</v>
      </c>
      <c r="Q449">
        <f>電力量!Q450-電力量!Q449</f>
        <v>20</v>
      </c>
      <c r="R449">
        <f>電力量!R450-電力量!R449</f>
        <v>0</v>
      </c>
    </row>
    <row r="450" spans="1:18">
      <c r="A450" s="4">
        <f t="shared" si="153"/>
        <v>45890.666666666664</v>
      </c>
      <c r="B450">
        <f>電力量!B451-電力量!B450</f>
        <v>1355</v>
      </c>
      <c r="C450">
        <f>電力量!C451-電力量!C450</f>
        <v>334</v>
      </c>
      <c r="D450">
        <f>電力量!D451-電力量!D450</f>
        <v>35.200000000004366</v>
      </c>
      <c r="E450">
        <f>電力量!E451-電力量!E450</f>
        <v>0</v>
      </c>
      <c r="F450">
        <f>電力量!F451-電力量!F450</f>
        <v>64</v>
      </c>
      <c r="G450">
        <f>電力量!G451-電力量!G450</f>
        <v>104.19999999999709</v>
      </c>
      <c r="H450">
        <f>電力量!H451-電力量!H450</f>
        <v>69</v>
      </c>
      <c r="I450">
        <f>電力量!I451-電力量!I450</f>
        <v>430</v>
      </c>
      <c r="J450">
        <f>電力量!J451-電力量!J450</f>
        <v>14.400000000001455</v>
      </c>
      <c r="K450">
        <f>電力量!K451-電力量!K450</f>
        <v>1.5</v>
      </c>
      <c r="L450">
        <f>電力量!L451-電力量!L450</f>
        <v>59.700000000011642</v>
      </c>
      <c r="M450">
        <f>電力量!M451-電力量!M450</f>
        <v>57.899999999994179</v>
      </c>
      <c r="N450">
        <f>電力量!N451-電力量!N450</f>
        <v>51.399999999994179</v>
      </c>
      <c r="O450">
        <f>電力量!O451-電力量!O450</f>
        <v>38.100000000005821</v>
      </c>
      <c r="P450">
        <f>電力量!P451-電力量!P450</f>
        <v>10</v>
      </c>
      <c r="Q450">
        <f>電力量!Q451-電力量!Q450</f>
        <v>14</v>
      </c>
      <c r="R450">
        <f>電力量!R451-電力量!R450</f>
        <v>0</v>
      </c>
    </row>
    <row r="451" spans="1:18">
      <c r="A451" s="4">
        <f t="shared" si="154"/>
        <v>45890.708333333336</v>
      </c>
      <c r="B451">
        <f>電力量!B452-電力量!B451</f>
        <v>1233</v>
      </c>
      <c r="C451">
        <f>電力量!C452-電力量!C451</f>
        <v>312</v>
      </c>
      <c r="D451">
        <f>電力量!D452-電力量!D451</f>
        <v>31.5</v>
      </c>
      <c r="E451">
        <f>電力量!E452-電力量!E451</f>
        <v>0</v>
      </c>
      <c r="F451">
        <f>電力量!F452-電力量!F451</f>
        <v>55</v>
      </c>
      <c r="G451">
        <f>電力量!G452-電力量!G451</f>
        <v>96.80000000000291</v>
      </c>
      <c r="H451">
        <f>電力量!H452-電力量!H451</f>
        <v>49</v>
      </c>
      <c r="I451">
        <f>電力量!I452-電力量!I451</f>
        <v>400</v>
      </c>
      <c r="J451">
        <f>電力量!J452-電力量!J451</f>
        <v>12.799999999995634</v>
      </c>
      <c r="K451">
        <f>電力量!K452-電力量!K451</f>
        <v>3.8000000000029104</v>
      </c>
      <c r="L451">
        <f>電力量!L452-電力量!L451</f>
        <v>39.899999999994179</v>
      </c>
      <c r="M451">
        <f>電力量!M452-電力量!M451</f>
        <v>49.5</v>
      </c>
      <c r="N451">
        <f>電力量!N452-電力量!N451</f>
        <v>54.700000000011642</v>
      </c>
      <c r="O451">
        <f>電力量!O452-電力量!O451</f>
        <v>40.69999999999709</v>
      </c>
      <c r="P451">
        <f>電力量!P452-電力量!P451</f>
        <v>4</v>
      </c>
      <c r="Q451">
        <f>電力量!Q452-電力量!Q451</f>
        <v>7</v>
      </c>
      <c r="R451">
        <f>電力量!R452-電力量!R451</f>
        <v>0</v>
      </c>
    </row>
    <row r="452" spans="1:18">
      <c r="A452" s="4">
        <f t="shared" si="155"/>
        <v>45890.75</v>
      </c>
      <c r="B452">
        <f>電力量!B453-電力量!B452</f>
        <v>1074</v>
      </c>
      <c r="C452">
        <f>電力量!C453-電力量!C452</f>
        <v>269</v>
      </c>
      <c r="D452">
        <f>電力量!D453-電力量!D452</f>
        <v>29.400000000001455</v>
      </c>
      <c r="E452">
        <f>電力量!E453-電力量!E452</f>
        <v>0</v>
      </c>
      <c r="F452">
        <f>電力量!F453-電力量!F452</f>
        <v>41</v>
      </c>
      <c r="G452">
        <f>電力量!G453-電力量!G452</f>
        <v>82.69999999999709</v>
      </c>
      <c r="H452">
        <f>電力量!H453-電力量!H452</f>
        <v>16</v>
      </c>
      <c r="I452">
        <f>電力量!I453-電力量!I452</f>
        <v>374</v>
      </c>
      <c r="J452">
        <f>電力量!J453-電力量!J452</f>
        <v>12.200000000004366</v>
      </c>
      <c r="K452">
        <f>電力量!K453-電力量!K452</f>
        <v>4.5</v>
      </c>
      <c r="L452">
        <f>電力量!L453-電力量!L452</f>
        <v>30.30000000000291</v>
      </c>
      <c r="M452">
        <f>電力量!M453-電力量!M452</f>
        <v>44.5</v>
      </c>
      <c r="N452">
        <f>電力量!N453-電力量!N452</f>
        <v>56.799999999988358</v>
      </c>
      <c r="O452">
        <f>電力量!O453-電力量!O452</f>
        <v>42.69999999999709</v>
      </c>
      <c r="P452">
        <f>電力量!P453-電力量!P452</f>
        <v>1</v>
      </c>
      <c r="Q452">
        <f>電力量!Q453-電力量!Q452</f>
        <v>1</v>
      </c>
      <c r="R452">
        <f>電力量!R453-電力量!R452</f>
        <v>0</v>
      </c>
    </row>
    <row r="453" spans="1:18">
      <c r="A453" s="4">
        <f t="shared" si="156"/>
        <v>45890.791666666664</v>
      </c>
      <c r="B453">
        <f>電力量!B454-電力量!B453</f>
        <v>949</v>
      </c>
      <c r="C453">
        <f>電力量!C454-電力量!C453</f>
        <v>246</v>
      </c>
      <c r="D453">
        <f>電力量!D454-電力量!D453</f>
        <v>22.19999999999709</v>
      </c>
      <c r="E453">
        <f>電力量!E454-電力量!E453</f>
        <v>0</v>
      </c>
      <c r="F453">
        <f>電力量!F454-電力量!F453</f>
        <v>33</v>
      </c>
      <c r="G453">
        <f>電力量!G454-電力量!G453</f>
        <v>77.900000000001455</v>
      </c>
      <c r="H453">
        <f>電力量!H454-電力量!H453</f>
        <v>17</v>
      </c>
      <c r="I453">
        <f>電力量!I454-電力量!I453</f>
        <v>309</v>
      </c>
      <c r="J453">
        <f>電力量!J454-電力量!J453</f>
        <v>10.900000000001455</v>
      </c>
      <c r="K453">
        <f>電力量!K454-電力量!K453</f>
        <v>4.1999999999970896</v>
      </c>
      <c r="L453">
        <f>電力量!L454-電力量!L453</f>
        <v>27.599999999991269</v>
      </c>
      <c r="M453">
        <f>電力量!M454-電力量!M453</f>
        <v>42</v>
      </c>
      <c r="N453">
        <f>電力量!N454-電力量!N453</f>
        <v>56.400000000008731</v>
      </c>
      <c r="O453">
        <f>電力量!O454-電力量!O453</f>
        <v>40.900000000008731</v>
      </c>
      <c r="P453">
        <f>電力量!P454-電力量!P453</f>
        <v>0</v>
      </c>
      <c r="Q453">
        <f>電力量!Q454-電力量!Q453</f>
        <v>0</v>
      </c>
      <c r="R453">
        <f>電力量!R454-電力量!R453</f>
        <v>0</v>
      </c>
    </row>
    <row r="454" spans="1:18">
      <c r="A454" s="4">
        <f t="shared" si="157"/>
        <v>45890.833333333336</v>
      </c>
      <c r="B454">
        <f>電力量!B455-電力量!B454</f>
        <v>880</v>
      </c>
      <c r="C454">
        <f>電力量!C455-電力量!C454</f>
        <v>221</v>
      </c>
      <c r="D454">
        <f>電力量!D455-電力量!D454</f>
        <v>22.19999999999709</v>
      </c>
      <c r="E454">
        <f>電力量!E455-電力量!E454</f>
        <v>0</v>
      </c>
      <c r="F454">
        <f>電力量!F455-電力量!F454</f>
        <v>27</v>
      </c>
      <c r="G454">
        <f>電力量!G455-電力量!G454</f>
        <v>76.5</v>
      </c>
      <c r="H454">
        <f>電力量!H455-電力量!H454</f>
        <v>14</v>
      </c>
      <c r="I454">
        <f>電力量!I455-電力量!I454</f>
        <v>280</v>
      </c>
      <c r="J454">
        <f>電力量!J455-電力量!J454</f>
        <v>11</v>
      </c>
      <c r="K454">
        <f>電力量!K455-電力量!K454</f>
        <v>4.3000000000029104</v>
      </c>
      <c r="L454">
        <f>電力量!L455-電力量!L454</f>
        <v>26.200000000011642</v>
      </c>
      <c r="M454">
        <f>電力量!M455-電力量!M454</f>
        <v>40.700000000004366</v>
      </c>
      <c r="N454">
        <f>電力量!N455-電力量!N454</f>
        <v>55.80000000000291</v>
      </c>
      <c r="O454">
        <f>電力量!O455-電力量!O454</f>
        <v>46.899999999994179</v>
      </c>
      <c r="P454">
        <f>電力量!P455-電力量!P454</f>
        <v>0</v>
      </c>
      <c r="Q454">
        <f>電力量!Q455-電力量!Q454</f>
        <v>0</v>
      </c>
      <c r="R454">
        <f>電力量!R455-電力量!R454</f>
        <v>0</v>
      </c>
    </row>
    <row r="455" spans="1:18">
      <c r="A455" s="4">
        <f t="shared" si="158"/>
        <v>45890.875</v>
      </c>
      <c r="B455">
        <f>電力量!B456-電力量!B455</f>
        <v>839</v>
      </c>
      <c r="C455">
        <f>電力量!C456-電力量!C455</f>
        <v>207</v>
      </c>
      <c r="D455">
        <f>電力量!D456-電力量!D455</f>
        <v>21.900000000001455</v>
      </c>
      <c r="E455">
        <f>電力量!E456-電力量!E455</f>
        <v>0</v>
      </c>
      <c r="F455">
        <f>電力量!F456-電力量!F455</f>
        <v>25</v>
      </c>
      <c r="G455">
        <f>電力量!G456-電力量!G455</f>
        <v>72.5</v>
      </c>
      <c r="H455">
        <f>電力量!H456-電力量!H455</f>
        <v>12</v>
      </c>
      <c r="I455">
        <f>電力量!I456-電力量!I455</f>
        <v>273</v>
      </c>
      <c r="J455">
        <f>電力量!J456-電力量!J455</f>
        <v>10.69999999999709</v>
      </c>
      <c r="K455">
        <f>電力量!K456-電力量!K455</f>
        <v>4.1999999999970896</v>
      </c>
      <c r="L455">
        <f>電力量!L456-電力量!L455</f>
        <v>24.099999999991269</v>
      </c>
      <c r="M455">
        <f>電力量!M456-電力量!M455</f>
        <v>40.5</v>
      </c>
      <c r="N455">
        <f>電力量!N456-電力量!N455</f>
        <v>55.5</v>
      </c>
      <c r="O455">
        <f>電力量!O456-電力量!O455</f>
        <v>39</v>
      </c>
      <c r="P455">
        <f>電力量!P456-電力量!P455</f>
        <v>0</v>
      </c>
      <c r="Q455">
        <f>電力量!Q456-電力量!Q455</f>
        <v>0</v>
      </c>
      <c r="R455">
        <f>電力量!R456-電力量!R455</f>
        <v>0</v>
      </c>
    </row>
    <row r="456" spans="1:18">
      <c r="A456" s="4">
        <f t="shared" si="159"/>
        <v>45890.916666666664</v>
      </c>
      <c r="B456">
        <f>電力量!B457-電力量!B456</f>
        <v>790</v>
      </c>
      <c r="C456">
        <f>電力量!C457-電力量!C456</f>
        <v>203</v>
      </c>
      <c r="D456">
        <f>電力量!D457-電力量!D456</f>
        <v>17.5</v>
      </c>
      <c r="E456">
        <f>電力量!E457-電力量!E456</f>
        <v>0</v>
      </c>
      <c r="F456">
        <f>電力量!F457-電力量!F456</f>
        <v>24</v>
      </c>
      <c r="G456">
        <f>電力量!G457-電力量!G456</f>
        <v>70.099999999998545</v>
      </c>
      <c r="H456">
        <f>電力量!H457-電力量!H456</f>
        <v>11</v>
      </c>
      <c r="I456">
        <f>電力量!I457-電力量!I456</f>
        <v>255</v>
      </c>
      <c r="J456">
        <f>電力量!J457-電力量!J456</f>
        <v>10.400000000001455</v>
      </c>
      <c r="K456">
        <f>電力量!K457-電力量!K456</f>
        <v>4.1000000000058208</v>
      </c>
      <c r="L456">
        <f>電力量!L457-電力量!L456</f>
        <v>22.30000000000291</v>
      </c>
      <c r="M456">
        <f>電力量!M457-電力量!M456</f>
        <v>40.5</v>
      </c>
      <c r="N456">
        <f>電力量!N457-電力量!N456</f>
        <v>55</v>
      </c>
      <c r="O456">
        <f>電力量!O457-電力量!O456</f>
        <v>23.100000000005821</v>
      </c>
      <c r="P456">
        <f>電力量!P457-電力量!P456</f>
        <v>0</v>
      </c>
      <c r="Q456">
        <f>電力量!Q457-電力量!Q456</f>
        <v>0</v>
      </c>
      <c r="R456">
        <f>電力量!R457-電力量!R456</f>
        <v>0</v>
      </c>
    </row>
    <row r="457" spans="1:18">
      <c r="A457" s="4">
        <f t="shared" si="160"/>
        <v>45890.958333333336</v>
      </c>
      <c r="B457">
        <f>電力量!B458-電力量!B457</f>
        <v>759</v>
      </c>
      <c r="C457">
        <f>電力量!C458-電力量!C457</f>
        <v>198</v>
      </c>
      <c r="D457">
        <f>電力量!D458-電力量!D457</f>
        <v>14.80000000000291</v>
      </c>
      <c r="E457">
        <f>電力量!E458-電力量!E457</f>
        <v>0</v>
      </c>
      <c r="F457">
        <f>電力量!F458-電力量!F457</f>
        <v>24</v>
      </c>
      <c r="G457">
        <f>電力量!G458-電力量!G457</f>
        <v>69</v>
      </c>
      <c r="H457">
        <f>電力量!H458-電力量!H457</f>
        <v>12</v>
      </c>
      <c r="I457">
        <f>電力量!I458-電力量!I457</f>
        <v>239</v>
      </c>
      <c r="J457">
        <f>電力量!J458-電力量!J457</f>
        <v>10.69999999999709</v>
      </c>
      <c r="K457">
        <f>電力量!K458-電力量!K457</f>
        <v>4.1999999999970896</v>
      </c>
      <c r="L457">
        <f>電力量!L458-電力量!L457</f>
        <v>22.5</v>
      </c>
      <c r="M457">
        <f>電力量!M458-電力量!M457</f>
        <v>40.19999999999709</v>
      </c>
      <c r="N457">
        <f>電力量!N458-電力量!N457</f>
        <v>54.299999999988358</v>
      </c>
      <c r="O457">
        <f>電力量!O458-電力量!O457</f>
        <v>20.69999999999709</v>
      </c>
      <c r="P457">
        <f>電力量!P458-電力量!P457</f>
        <v>0</v>
      </c>
      <c r="Q457">
        <f>電力量!Q458-電力量!Q457</f>
        <v>0</v>
      </c>
      <c r="R457">
        <f>電力量!R458-電力量!R457</f>
        <v>0</v>
      </c>
    </row>
    <row r="458" spans="1:18">
      <c r="A458" s="4">
        <v>45891</v>
      </c>
      <c r="B458">
        <f>電力量!B459-電力量!B458</f>
        <v>756</v>
      </c>
      <c r="C458">
        <f>電力量!C459-電力量!C458</f>
        <v>198</v>
      </c>
      <c r="D458">
        <f>電力量!D459-電力量!D458</f>
        <v>15.19999999999709</v>
      </c>
      <c r="E458">
        <f>電力量!E459-電力量!E458</f>
        <v>0</v>
      </c>
      <c r="F458">
        <f>電力量!F459-電力量!F458</f>
        <v>23</v>
      </c>
      <c r="G458">
        <f>電力量!G459-電力量!G458</f>
        <v>67.599999999998545</v>
      </c>
      <c r="H458">
        <f>電力量!H459-電力量!H458</f>
        <v>11</v>
      </c>
      <c r="I458">
        <f>電力量!I459-電力量!I458</f>
        <v>236</v>
      </c>
      <c r="J458">
        <f>電力量!J459-電力量!J458</f>
        <v>10.30000000000291</v>
      </c>
      <c r="K458">
        <f>電力量!K459-電力量!K458</f>
        <v>4.1000000000058208</v>
      </c>
      <c r="L458">
        <f>電力量!L459-電力量!L458</f>
        <v>23.19999999999709</v>
      </c>
      <c r="M458">
        <f>電力量!M459-電力量!M458</f>
        <v>41.30000000000291</v>
      </c>
      <c r="N458">
        <f>電力量!N459-電力量!N458</f>
        <v>54.80000000000291</v>
      </c>
      <c r="O458">
        <f>電力量!O459-電力量!O458</f>
        <v>19.099999999991269</v>
      </c>
      <c r="P458">
        <f>電力量!P459-電力量!P458</f>
        <v>0</v>
      </c>
      <c r="Q458">
        <f>電力量!Q459-電力量!Q458</f>
        <v>0</v>
      </c>
      <c r="R458">
        <f>電力量!R459-電力量!R458</f>
        <v>0</v>
      </c>
    </row>
    <row r="459" spans="1:18">
      <c r="A459" s="4">
        <f t="shared" ref="A459:A507" si="161">A458+(1/24)</f>
        <v>45891.041666666664</v>
      </c>
      <c r="B459">
        <f>電力量!B460-電力量!B459</f>
        <v>750</v>
      </c>
      <c r="C459">
        <f>電力量!C460-電力量!C459</f>
        <v>196</v>
      </c>
      <c r="D459">
        <f>電力量!D460-電力量!D459</f>
        <v>14.5</v>
      </c>
      <c r="E459">
        <f>電力量!E460-電力量!E459</f>
        <v>0</v>
      </c>
      <c r="F459">
        <f>電力量!F460-電力量!F459</f>
        <v>23</v>
      </c>
      <c r="G459">
        <f>電力量!G460-電力量!G459</f>
        <v>64.400000000001455</v>
      </c>
      <c r="H459">
        <f>電力量!H460-電力量!H459</f>
        <v>12</v>
      </c>
      <c r="I459">
        <f>電力量!I460-電力量!I459</f>
        <v>231</v>
      </c>
      <c r="J459">
        <f>電力量!J460-電力量!J459</f>
        <v>10.5</v>
      </c>
      <c r="K459">
        <f>電力量!K460-電力量!K459</f>
        <v>4.1999999999970896</v>
      </c>
      <c r="L459">
        <f>電力量!L460-電力量!L459</f>
        <v>22.900000000008731</v>
      </c>
      <c r="M459">
        <f>電力量!M460-電力量!M459</f>
        <v>42.599999999998545</v>
      </c>
      <c r="N459">
        <f>電力量!N460-電力量!N459</f>
        <v>54.19999999999709</v>
      </c>
      <c r="O459">
        <f>電力量!O460-電力量!O459</f>
        <v>22.30000000000291</v>
      </c>
      <c r="P459">
        <f>電力量!P460-電力量!P459</f>
        <v>0</v>
      </c>
      <c r="Q459">
        <f>電力量!Q460-電力量!Q459</f>
        <v>0</v>
      </c>
      <c r="R459">
        <f>電力量!R460-電力量!R459</f>
        <v>0</v>
      </c>
    </row>
    <row r="460" spans="1:18">
      <c r="A460" s="4">
        <f t="shared" ref="A460:A508" si="162">A458+(2/24)</f>
        <v>45891.083333333336</v>
      </c>
      <c r="B460">
        <f>電力量!B461-電力量!B460</f>
        <v>739</v>
      </c>
      <c r="C460">
        <f>電力量!C461-電力量!C460</f>
        <v>195</v>
      </c>
      <c r="D460">
        <f>電力量!D461-電力量!D460</f>
        <v>14.099999999998545</v>
      </c>
      <c r="E460">
        <f>電力量!E461-電力量!E460</f>
        <v>0</v>
      </c>
      <c r="F460">
        <f>電力量!F461-電力量!F460</f>
        <v>22</v>
      </c>
      <c r="G460">
        <f>電力量!G461-電力量!G460</f>
        <v>62.5</v>
      </c>
      <c r="H460">
        <f>電力量!H461-電力量!H460</f>
        <v>11</v>
      </c>
      <c r="I460">
        <f>電力量!I461-電力量!I460</f>
        <v>230</v>
      </c>
      <c r="J460">
        <f>電力量!J461-電力量!J460</f>
        <v>10.900000000001455</v>
      </c>
      <c r="K460">
        <f>電力量!K461-電力量!K460</f>
        <v>3.6999999999970896</v>
      </c>
      <c r="L460">
        <f>電力量!L461-電力量!L460</f>
        <v>22.599999999991269</v>
      </c>
      <c r="M460">
        <f>電力量!M461-電力量!M460</f>
        <v>40.400000000001455</v>
      </c>
      <c r="N460">
        <f>電力量!N461-電力量!N460</f>
        <v>54.30000000000291</v>
      </c>
      <c r="O460">
        <f>電力量!O461-電力量!O460</f>
        <v>20.5</v>
      </c>
      <c r="P460">
        <f>電力量!P461-電力量!P460</f>
        <v>0</v>
      </c>
      <c r="Q460">
        <f>電力量!Q461-電力量!Q460</f>
        <v>0</v>
      </c>
      <c r="R460">
        <f>電力量!R461-電力量!R460</f>
        <v>0</v>
      </c>
    </row>
    <row r="461" spans="1:18">
      <c r="A461" s="4">
        <f t="shared" ref="A461:A509" si="163">A458+(3/24)</f>
        <v>45891.125</v>
      </c>
      <c r="B461">
        <f>電力量!B462-電力量!B461</f>
        <v>716</v>
      </c>
      <c r="C461">
        <f>電力量!C462-電力量!C461</f>
        <v>187</v>
      </c>
      <c r="D461">
        <f>電力量!D462-電力量!D461</f>
        <v>13.80000000000291</v>
      </c>
      <c r="E461">
        <f>電力量!E462-電力量!E461</f>
        <v>0</v>
      </c>
      <c r="F461">
        <f>電力量!F462-電力量!F461</f>
        <v>22</v>
      </c>
      <c r="G461">
        <f>電力量!G462-電力量!G461</f>
        <v>61.400000000001455</v>
      </c>
      <c r="H461">
        <f>電力量!H462-電力量!H461</f>
        <v>12</v>
      </c>
      <c r="I461">
        <f>電力量!I462-電力量!I461</f>
        <v>220</v>
      </c>
      <c r="J461">
        <f>電力量!J462-電力量!J461</f>
        <v>10.099999999998545</v>
      </c>
      <c r="K461">
        <f>電力量!K462-電力量!K461</f>
        <v>3.5</v>
      </c>
      <c r="L461">
        <f>電力量!L462-電力量!L461</f>
        <v>21</v>
      </c>
      <c r="M461">
        <f>電力量!M462-電力量!M461</f>
        <v>40</v>
      </c>
      <c r="N461">
        <f>電力量!N462-電力量!N461</f>
        <v>54.80000000000291</v>
      </c>
      <c r="O461">
        <f>電力量!O462-電力量!O461</f>
        <v>20.30000000000291</v>
      </c>
      <c r="P461">
        <f>電力量!P462-電力量!P461</f>
        <v>0</v>
      </c>
      <c r="Q461">
        <f>電力量!Q462-電力量!Q461</f>
        <v>0</v>
      </c>
      <c r="R461">
        <f>電力量!R462-電力量!R461</f>
        <v>0</v>
      </c>
    </row>
    <row r="462" spans="1:18">
      <c r="A462" s="4">
        <f t="shared" ref="A462:A510" si="164">A458+(4/24)</f>
        <v>45891.166666666664</v>
      </c>
      <c r="B462">
        <f>電力量!B463-電力量!B462</f>
        <v>710</v>
      </c>
      <c r="C462">
        <f>電力量!C463-電力量!C462</f>
        <v>187</v>
      </c>
      <c r="D462">
        <f>電力量!D463-電力量!D462</f>
        <v>14.099999999998545</v>
      </c>
      <c r="E462">
        <f>電力量!E463-電力量!E462</f>
        <v>0</v>
      </c>
      <c r="F462">
        <f>電力量!F463-電力量!F462</f>
        <v>22</v>
      </c>
      <c r="G462">
        <f>電力量!G463-電力量!G462</f>
        <v>61.80000000000291</v>
      </c>
      <c r="H462">
        <f>電力量!H463-電力量!H462</f>
        <v>10</v>
      </c>
      <c r="I462">
        <f>電力量!I463-電力量!I462</f>
        <v>215</v>
      </c>
      <c r="J462">
        <f>電力量!J463-電力量!J462</f>
        <v>10.19999999999709</v>
      </c>
      <c r="K462">
        <f>電力量!K463-電力量!K462</f>
        <v>3.6000000000058208</v>
      </c>
      <c r="L462">
        <f>電力量!L463-電力量!L462</f>
        <v>19.100000000005821</v>
      </c>
      <c r="M462">
        <f>電力量!M463-電力量!M462</f>
        <v>40</v>
      </c>
      <c r="N462">
        <f>電力量!N463-電力量!N462</f>
        <v>55</v>
      </c>
      <c r="O462">
        <f>電力量!O463-電力量!O462</f>
        <v>20.899999999994179</v>
      </c>
      <c r="P462">
        <f>電力量!P463-電力量!P462</f>
        <v>0</v>
      </c>
      <c r="Q462">
        <f>電力量!Q463-電力量!Q462</f>
        <v>0</v>
      </c>
      <c r="R462">
        <f>電力量!R463-電力量!R462</f>
        <v>0</v>
      </c>
    </row>
    <row r="463" spans="1:18">
      <c r="A463" s="4">
        <f t="shared" ref="A463:A511" si="165">A458+(5/24)</f>
        <v>45891.208333333336</v>
      </c>
      <c r="B463">
        <f>電力量!B464-電力量!B463</f>
        <v>712</v>
      </c>
      <c r="C463">
        <f>電力量!C464-電力量!C463</f>
        <v>189</v>
      </c>
      <c r="D463">
        <f>電力量!D464-電力量!D463</f>
        <v>13.200000000004366</v>
      </c>
      <c r="E463">
        <f>電力量!E464-電力量!E463</f>
        <v>0</v>
      </c>
      <c r="F463">
        <f>電力量!F464-電力量!F463</f>
        <v>23</v>
      </c>
      <c r="G463">
        <f>電力量!G464-電力量!G463</f>
        <v>61.099999999998545</v>
      </c>
      <c r="H463">
        <f>電力量!H464-電力量!H463</f>
        <v>11</v>
      </c>
      <c r="I463">
        <f>電力量!I464-電力量!I463</f>
        <v>215</v>
      </c>
      <c r="J463">
        <f>電力量!J464-電力量!J463</f>
        <v>10.30000000000291</v>
      </c>
      <c r="K463">
        <f>電力量!K464-電力量!K463</f>
        <v>3.5999999999912689</v>
      </c>
      <c r="L463">
        <f>電力量!L464-電力量!L463</f>
        <v>19.69999999999709</v>
      </c>
      <c r="M463">
        <f>電力量!M464-電力量!M463</f>
        <v>40.299999999995634</v>
      </c>
      <c r="N463">
        <f>電力量!N464-電力量!N463</f>
        <v>54.399999999994179</v>
      </c>
      <c r="O463">
        <f>電力量!O464-電力量!O463</f>
        <v>22.600000000005821</v>
      </c>
      <c r="P463">
        <f>電力量!P464-電力量!P463</f>
        <v>0</v>
      </c>
      <c r="Q463">
        <f>電力量!Q464-電力量!Q463</f>
        <v>0</v>
      </c>
      <c r="R463">
        <f>電力量!R464-電力量!R463</f>
        <v>0</v>
      </c>
    </row>
    <row r="464" spans="1:18">
      <c r="A464" s="4">
        <f t="shared" ref="A464:A512" si="166">A458+(6/24)</f>
        <v>45891.25</v>
      </c>
      <c r="B464">
        <f>電力量!B465-電力量!B464</f>
        <v>717</v>
      </c>
      <c r="C464">
        <f>電力量!C465-電力量!C464</f>
        <v>192</v>
      </c>
      <c r="D464">
        <f>電力量!D465-電力量!D464</f>
        <v>13.899999999994179</v>
      </c>
      <c r="E464">
        <f>電力量!E465-電力量!E464</f>
        <v>0</v>
      </c>
      <c r="F464">
        <f>電力量!F465-電力量!F464</f>
        <v>22</v>
      </c>
      <c r="G464">
        <f>電力量!G465-電力量!G464</f>
        <v>60.900000000001455</v>
      </c>
      <c r="H464">
        <f>電力量!H465-電力量!H464</f>
        <v>11</v>
      </c>
      <c r="I464">
        <f>電力量!I465-電力量!I464</f>
        <v>220</v>
      </c>
      <c r="J464">
        <f>電力量!J465-電力量!J464</f>
        <v>10.19999999999709</v>
      </c>
      <c r="K464">
        <f>電力量!K465-電力量!K464</f>
        <v>2.6000000000058208</v>
      </c>
      <c r="L464">
        <f>電力量!L465-電力量!L464</f>
        <v>19</v>
      </c>
      <c r="M464">
        <f>電力量!M465-電力量!M464</f>
        <v>39.80000000000291</v>
      </c>
      <c r="N464">
        <f>電力量!N465-電力量!N464</f>
        <v>54.200000000011642</v>
      </c>
      <c r="O464">
        <f>電力量!O465-電力量!O464</f>
        <v>21.69999999999709</v>
      </c>
      <c r="P464">
        <f>電力量!P465-電力量!P464</f>
        <v>1</v>
      </c>
      <c r="Q464">
        <f>電力量!Q465-電力量!Q464</f>
        <v>1</v>
      </c>
      <c r="R464">
        <f>電力量!R465-電力量!R464</f>
        <v>0</v>
      </c>
    </row>
    <row r="465" spans="1:18">
      <c r="A465" s="4">
        <f t="shared" ref="A465:A513" si="167">A458+(7/24)</f>
        <v>45891.291666666664</v>
      </c>
      <c r="B465">
        <f>電力量!B466-電力量!B465</f>
        <v>740</v>
      </c>
      <c r="C465">
        <f>電力量!C466-電力量!C465</f>
        <v>206</v>
      </c>
      <c r="D465">
        <f>電力量!D466-電力量!D465</f>
        <v>13.400000000001455</v>
      </c>
      <c r="E465">
        <f>電力量!E466-電力量!E465</f>
        <v>0</v>
      </c>
      <c r="F465">
        <f>電力量!F466-電力量!F465</f>
        <v>22</v>
      </c>
      <c r="G465">
        <f>電力量!G466-電力量!G465</f>
        <v>58.099999999998545</v>
      </c>
      <c r="H465">
        <f>電力量!H466-電力量!H465</f>
        <v>11</v>
      </c>
      <c r="I465">
        <f>電力量!I466-電力量!I465</f>
        <v>230</v>
      </c>
      <c r="J465">
        <f>電力量!J466-電力量!J465</f>
        <v>10.30000000000291</v>
      </c>
      <c r="K465">
        <f>電力量!K466-電力量!K465</f>
        <v>1</v>
      </c>
      <c r="L465">
        <f>電力量!L466-電力量!L465</f>
        <v>20</v>
      </c>
      <c r="M465">
        <f>電力量!M466-電力量!M465</f>
        <v>40.80000000000291</v>
      </c>
      <c r="N465">
        <f>電力量!N466-電力量!N465</f>
        <v>50.899999999994179</v>
      </c>
      <c r="O465">
        <f>電力量!O466-電力量!O465</f>
        <v>25.30000000000291</v>
      </c>
      <c r="P465">
        <f>電力量!P466-電力量!P465</f>
        <v>1</v>
      </c>
      <c r="Q465">
        <f>電力量!Q466-電力量!Q465</f>
        <v>3</v>
      </c>
      <c r="R465">
        <f>電力量!R466-電力量!R465</f>
        <v>0</v>
      </c>
    </row>
    <row r="466" spans="1:18">
      <c r="A466" s="4">
        <f t="shared" ref="A466:A514" si="168">A458+(8/24)</f>
        <v>45891.333333333336</v>
      </c>
      <c r="B466">
        <f>電力量!B467-電力量!B466</f>
        <v>852</v>
      </c>
      <c r="C466">
        <f>電力量!C467-電力量!C466</f>
        <v>232</v>
      </c>
      <c r="D466">
        <f>電力量!D467-電力量!D466</f>
        <v>15.5</v>
      </c>
      <c r="E466">
        <f>電力量!E467-電力量!E466</f>
        <v>0</v>
      </c>
      <c r="F466">
        <f>電力量!F467-電力量!F466</f>
        <v>29</v>
      </c>
      <c r="G466">
        <f>電力量!G467-電力量!G466</f>
        <v>60.799999999995634</v>
      </c>
      <c r="H466">
        <f>電力量!H467-電力量!H466</f>
        <v>13</v>
      </c>
      <c r="I466">
        <f>電力量!I467-電力量!I466</f>
        <v>258</v>
      </c>
      <c r="J466">
        <f>電力量!J467-電力量!J466</f>
        <v>10.69999999999709</v>
      </c>
      <c r="K466">
        <f>電力量!K467-電力量!K466</f>
        <v>1.1000000000058208</v>
      </c>
      <c r="L466">
        <f>電力量!L467-電力量!L466</f>
        <v>26.899999999994179</v>
      </c>
      <c r="M466">
        <f>電力量!M467-電力量!M466</f>
        <v>44.799999999995634</v>
      </c>
      <c r="N466">
        <f>電力量!N467-電力量!N466</f>
        <v>50.19999999999709</v>
      </c>
      <c r="O466">
        <f>電力量!O467-電力量!O466</f>
        <v>35.80000000000291</v>
      </c>
      <c r="P466">
        <f>電力量!P467-電力量!P466</f>
        <v>4</v>
      </c>
      <c r="Q466">
        <f>電力量!Q467-電力量!Q466</f>
        <v>9</v>
      </c>
      <c r="R466">
        <f>電力量!R467-電力量!R466</f>
        <v>0</v>
      </c>
    </row>
    <row r="467" spans="1:18">
      <c r="A467" s="4">
        <f t="shared" ref="A467:A515" si="169">A458+(9/24)</f>
        <v>45891.375</v>
      </c>
      <c r="B467">
        <f>電力量!B468-電力量!B467</f>
        <v>1090</v>
      </c>
      <c r="C467">
        <f>電力量!C468-電力量!C467</f>
        <v>309</v>
      </c>
      <c r="D467">
        <f>電力量!D468-電力量!D467</f>
        <v>25.80000000000291</v>
      </c>
      <c r="E467">
        <f>電力量!E468-電力量!E467</f>
        <v>0</v>
      </c>
      <c r="F467">
        <f>電力量!F468-電力量!F467</f>
        <v>35</v>
      </c>
      <c r="G467">
        <f>電力量!G468-電力量!G467</f>
        <v>64.600000000005821</v>
      </c>
      <c r="H467">
        <f>電力量!H468-電力量!H467</f>
        <v>22</v>
      </c>
      <c r="I467">
        <f>電力量!I468-電力量!I467</f>
        <v>353</v>
      </c>
      <c r="J467">
        <f>電力量!J468-電力量!J467</f>
        <v>11.700000000004366</v>
      </c>
      <c r="K467">
        <f>電力量!K468-電力量!K467</f>
        <v>0.19999999999708962</v>
      </c>
      <c r="L467">
        <f>電力量!L468-電力量!L467</f>
        <v>28.5</v>
      </c>
      <c r="M467">
        <f>電力量!M468-電力量!M467</f>
        <v>54.30000000000291</v>
      </c>
      <c r="N467">
        <f>電力量!N468-電力量!N467</f>
        <v>45.900000000008731</v>
      </c>
      <c r="O467">
        <f>電力量!O468-電力量!O467</f>
        <v>54.599999999991269</v>
      </c>
      <c r="P467">
        <f>電力量!P468-電力量!P467</f>
        <v>10</v>
      </c>
      <c r="Q467">
        <f>電力量!Q468-電力量!Q467</f>
        <v>15</v>
      </c>
      <c r="R467">
        <f>電力量!R468-電力量!R467</f>
        <v>0</v>
      </c>
    </row>
    <row r="468" spans="1:18">
      <c r="A468" s="4">
        <f t="shared" ref="A468:A516" si="170">A458+(10/24)</f>
        <v>45891.416666666664</v>
      </c>
      <c r="B468">
        <f>電力量!B469-電力量!B468</f>
        <v>1188</v>
      </c>
      <c r="C468">
        <f>電力量!C469-電力量!C468</f>
        <v>339</v>
      </c>
      <c r="D468">
        <f>電力量!D469-電力量!D468</f>
        <v>31.099999999998545</v>
      </c>
      <c r="E468">
        <f>電力量!E469-電力量!E468</f>
        <v>0</v>
      </c>
      <c r="F468">
        <f>電力量!F469-電力量!F468</f>
        <v>43</v>
      </c>
      <c r="G468">
        <f>電力量!G469-電力量!G468</f>
        <v>73.299999999995634</v>
      </c>
      <c r="H468">
        <f>電力量!H469-電力量!H468</f>
        <v>15</v>
      </c>
      <c r="I468">
        <f>電力量!I469-電力量!I468</f>
        <v>380</v>
      </c>
      <c r="J468">
        <f>電力量!J469-電力量!J468</f>
        <v>14.19999999999709</v>
      </c>
      <c r="K468">
        <f>電力量!K469-電力量!K468</f>
        <v>0</v>
      </c>
      <c r="L468">
        <f>電力量!L469-電力量!L468</f>
        <v>32.900000000008731</v>
      </c>
      <c r="M468">
        <f>電力量!M469-電力量!M468</f>
        <v>62.599999999998545</v>
      </c>
      <c r="N468">
        <f>電力量!N469-電力量!N468</f>
        <v>45</v>
      </c>
      <c r="O468">
        <f>電力量!O469-電力量!O468</f>
        <v>68</v>
      </c>
      <c r="P468">
        <f>電力量!P469-電力量!P468</f>
        <v>13</v>
      </c>
      <c r="Q468">
        <f>電力量!Q469-電力量!Q468</f>
        <v>20</v>
      </c>
      <c r="R468">
        <f>電力量!R469-電力量!R468</f>
        <v>0</v>
      </c>
    </row>
    <row r="469" spans="1:18">
      <c r="A469" s="4">
        <f t="shared" ref="A469:A517" si="171">A458+(11/24)</f>
        <v>45891.458333333336</v>
      </c>
      <c r="B469">
        <f>電力量!B470-電力量!B469</f>
        <v>1232</v>
      </c>
      <c r="C469">
        <f>電力量!C470-電力量!C469</f>
        <v>323</v>
      </c>
      <c r="D469">
        <f>電力量!D470-電力量!D469</f>
        <v>28.400000000001455</v>
      </c>
      <c r="E469">
        <f>電力量!E470-電力量!E469</f>
        <v>0</v>
      </c>
      <c r="F469">
        <f>電力量!F470-電力量!F469</f>
        <v>42</v>
      </c>
      <c r="G469">
        <f>電力量!G470-電力量!G469</f>
        <v>78.400000000001455</v>
      </c>
      <c r="H469">
        <f>電力量!H470-電力量!H469</f>
        <v>19</v>
      </c>
      <c r="I469">
        <f>電力量!I470-電力量!I469</f>
        <v>429</v>
      </c>
      <c r="J469">
        <f>電力量!J470-電力量!J469</f>
        <v>11.599999999998545</v>
      </c>
      <c r="K469">
        <f>電力量!K470-電力量!K469</f>
        <v>0</v>
      </c>
      <c r="L469">
        <f>電力量!L470-電力量!L469</f>
        <v>34.19999999999709</v>
      </c>
      <c r="M469">
        <f>電力量!M470-電力量!M469</f>
        <v>61.69999999999709</v>
      </c>
      <c r="N469">
        <f>電力量!N470-電力量!N469</f>
        <v>46.899999999994179</v>
      </c>
      <c r="O469">
        <f>電力量!O470-電力量!O469</f>
        <v>62.30000000000291</v>
      </c>
      <c r="P469">
        <f>電力量!P470-電力量!P469</f>
        <v>15</v>
      </c>
      <c r="Q469">
        <f>電力量!Q470-電力量!Q469</f>
        <v>23</v>
      </c>
      <c r="R469">
        <f>電力量!R470-電力量!R469</f>
        <v>0</v>
      </c>
    </row>
    <row r="470" spans="1:18">
      <c r="A470" s="4">
        <f t="shared" ref="A470:A518" si="172">A458+(12/24)</f>
        <v>45891.5</v>
      </c>
      <c r="B470">
        <f>電力量!B471-電力量!B470</f>
        <v>1255</v>
      </c>
      <c r="C470">
        <f>電力量!C471-電力量!C470</f>
        <v>324</v>
      </c>
      <c r="D470">
        <f>電力量!D471-電力量!D470</f>
        <v>30.19999999999709</v>
      </c>
      <c r="E470">
        <f>電力量!E471-電力量!E470</f>
        <v>0</v>
      </c>
      <c r="F470">
        <f>電力量!F471-電力量!F470</f>
        <v>50</v>
      </c>
      <c r="G470">
        <f>電力量!G471-電力量!G470</f>
        <v>79.69999999999709</v>
      </c>
      <c r="H470">
        <f>電力量!H471-電力量!H470</f>
        <v>16</v>
      </c>
      <c r="I470">
        <f>電力量!I471-電力量!I470</f>
        <v>439</v>
      </c>
      <c r="J470">
        <f>電力量!J471-電力量!J470</f>
        <v>12.700000000004366</v>
      </c>
      <c r="K470">
        <f>電力量!K471-電力量!K470</f>
        <v>0</v>
      </c>
      <c r="L470">
        <f>電力量!L471-電力量!L470</f>
        <v>34.399999999994179</v>
      </c>
      <c r="M470">
        <f>電力量!M471-電力量!M470</f>
        <v>56.100000000005821</v>
      </c>
      <c r="N470">
        <f>電力量!N471-電力量!N470</f>
        <v>45.100000000005821</v>
      </c>
      <c r="O470">
        <f>電力量!O471-電力量!O470</f>
        <v>66.5</v>
      </c>
      <c r="P470">
        <f>電力量!P471-電力量!P470</f>
        <v>16</v>
      </c>
      <c r="Q470">
        <f>電力量!Q471-電力量!Q470</f>
        <v>24</v>
      </c>
      <c r="R470">
        <f>電力量!R471-電力量!R470</f>
        <v>0</v>
      </c>
    </row>
    <row r="471" spans="1:18">
      <c r="A471" s="4">
        <f t="shared" ref="A471:A519" si="173">A458+(13/24)</f>
        <v>45891.541666666664</v>
      </c>
      <c r="B471">
        <f>電力量!B472-電力量!B471</f>
        <v>1288</v>
      </c>
      <c r="C471">
        <f>電力量!C472-電力量!C471</f>
        <v>334</v>
      </c>
      <c r="D471">
        <f>電力量!D472-電力量!D471</f>
        <v>28.599999999998545</v>
      </c>
      <c r="E471">
        <f>電力量!E472-電力量!E471</f>
        <v>0</v>
      </c>
      <c r="F471">
        <f>電力量!F472-電力量!F471</f>
        <v>44</v>
      </c>
      <c r="G471">
        <f>電力量!G472-電力量!G471</f>
        <v>87</v>
      </c>
      <c r="H471">
        <f>電力量!H472-電力量!H471</f>
        <v>12</v>
      </c>
      <c r="I471">
        <f>電力量!I472-電力量!I471</f>
        <v>439</v>
      </c>
      <c r="J471">
        <f>電力量!J472-電力量!J471</f>
        <v>14.299999999995634</v>
      </c>
      <c r="K471">
        <f>電力量!K472-電力量!K471</f>
        <v>0</v>
      </c>
      <c r="L471">
        <f>電力量!L472-電力量!L471</f>
        <v>41.100000000005821</v>
      </c>
      <c r="M471">
        <f>電力量!M472-電力量!M471</f>
        <v>58</v>
      </c>
      <c r="N471">
        <f>電力量!N472-電力量!N471</f>
        <v>46</v>
      </c>
      <c r="O471">
        <f>電力量!O472-電力量!O471</f>
        <v>77.100000000005821</v>
      </c>
      <c r="P471">
        <f>電力量!P472-電力量!P471</f>
        <v>13</v>
      </c>
      <c r="Q471">
        <f>電力量!Q472-電力量!Q471</f>
        <v>20</v>
      </c>
      <c r="R471">
        <f>電力量!R472-電力量!R471</f>
        <v>0</v>
      </c>
    </row>
    <row r="472" spans="1:18">
      <c r="A472" s="4">
        <f t="shared" ref="A472:A520" si="174">A458+(14/24)</f>
        <v>45891.583333333336</v>
      </c>
      <c r="B472">
        <f>電力量!B473-電力量!B472</f>
        <v>1313</v>
      </c>
      <c r="C472">
        <f>電力量!C473-電力量!C472</f>
        <v>353</v>
      </c>
      <c r="D472">
        <f>電力量!D473-電力量!D472</f>
        <v>42.5</v>
      </c>
      <c r="E472">
        <f>電力量!E473-電力量!E472</f>
        <v>0</v>
      </c>
      <c r="F472">
        <f>電力量!F473-電力量!F472</f>
        <v>46</v>
      </c>
      <c r="G472">
        <f>電力量!G473-電力量!G472</f>
        <v>82.700000000004366</v>
      </c>
      <c r="H472">
        <f>電力量!H473-電力量!H472</f>
        <v>13</v>
      </c>
      <c r="I472">
        <f>電力量!I473-電力量!I472</f>
        <v>454</v>
      </c>
      <c r="J472">
        <f>電力量!J473-電力量!J472</f>
        <v>13.400000000001455</v>
      </c>
      <c r="K472">
        <f>電力量!K473-電力量!K472</f>
        <v>0</v>
      </c>
      <c r="L472">
        <f>電力量!L473-電力量!L472</f>
        <v>41.399999999994179</v>
      </c>
      <c r="M472">
        <f>電力量!M473-電力量!M472</f>
        <v>60</v>
      </c>
      <c r="N472">
        <f>電力量!N473-電力量!N472</f>
        <v>45.799999999988358</v>
      </c>
      <c r="O472">
        <f>電力量!O473-電力量!O472</f>
        <v>56.19999999999709</v>
      </c>
      <c r="P472">
        <f>電力量!P473-電力量!P472</f>
        <v>14</v>
      </c>
      <c r="Q472">
        <f>電力量!Q473-電力量!Q472</f>
        <v>22</v>
      </c>
      <c r="R472">
        <f>電力量!R473-電力量!R472</f>
        <v>0</v>
      </c>
    </row>
    <row r="473" spans="1:18">
      <c r="A473" s="4">
        <f t="shared" ref="A473:A521" si="175">A458+(15/24)</f>
        <v>45891.625</v>
      </c>
      <c r="B473">
        <f>電力量!B474-電力量!B473</f>
        <v>1278</v>
      </c>
      <c r="C473">
        <f>電力量!C474-電力量!C473</f>
        <v>349</v>
      </c>
      <c r="D473">
        <f>電力量!D474-電力量!D473</f>
        <v>43.200000000004366</v>
      </c>
      <c r="E473">
        <f>電力量!E474-電力量!E473</f>
        <v>0</v>
      </c>
      <c r="F473">
        <f>電力量!F474-電力量!F473</f>
        <v>47</v>
      </c>
      <c r="G473">
        <f>電力量!G474-電力量!G473</f>
        <v>88.900000000001455</v>
      </c>
      <c r="H473">
        <f>電力量!H474-電力量!H473</f>
        <v>13</v>
      </c>
      <c r="I473">
        <f>電力量!I474-電力量!I473</f>
        <v>446</v>
      </c>
      <c r="J473">
        <f>電力量!J474-電力量!J473</f>
        <v>12.80000000000291</v>
      </c>
      <c r="K473">
        <f>電力量!K474-電力量!K473</f>
        <v>0</v>
      </c>
      <c r="L473">
        <f>電力量!L474-電力量!L473</f>
        <v>47.900000000008731</v>
      </c>
      <c r="M473">
        <f>電力量!M474-電力量!M473</f>
        <v>62.799999999995634</v>
      </c>
      <c r="N473">
        <f>電力量!N474-電力量!N473</f>
        <v>49.900000000008731</v>
      </c>
      <c r="O473">
        <f>電力量!O474-電力量!O473</f>
        <v>24</v>
      </c>
      <c r="P473">
        <f>電力量!P474-電力量!P473</f>
        <v>13</v>
      </c>
      <c r="Q473">
        <f>電力量!Q474-電力量!Q473</f>
        <v>18</v>
      </c>
      <c r="R473">
        <f>電力量!R474-電力量!R473</f>
        <v>0</v>
      </c>
    </row>
    <row r="474" spans="1:18">
      <c r="A474" s="4">
        <f t="shared" ref="A474:A522" si="176">A458+(16/24)</f>
        <v>45891.666666666664</v>
      </c>
      <c r="B474">
        <f>電力量!B475-電力量!B474</f>
        <v>1232</v>
      </c>
      <c r="C474">
        <f>電力量!C475-電力量!C474</f>
        <v>344</v>
      </c>
      <c r="D474">
        <f>電力量!D475-電力量!D474</f>
        <v>35.299999999995634</v>
      </c>
      <c r="E474">
        <f>電力量!E475-電力量!E474</f>
        <v>0</v>
      </c>
      <c r="F474">
        <f>電力量!F475-電力量!F474</f>
        <v>42</v>
      </c>
      <c r="G474">
        <f>電力量!G475-電力量!G474</f>
        <v>87.599999999998545</v>
      </c>
      <c r="H474">
        <f>電力量!H475-電力量!H474</f>
        <v>13</v>
      </c>
      <c r="I474">
        <f>電力量!I475-電力量!I474</f>
        <v>427</v>
      </c>
      <c r="J474">
        <f>電力量!J475-電力量!J474</f>
        <v>12.5</v>
      </c>
      <c r="K474">
        <f>電力量!K475-電力量!K474</f>
        <v>1.0999999999912689</v>
      </c>
      <c r="L474">
        <f>電力量!L475-電力量!L474</f>
        <v>44.69999999999709</v>
      </c>
      <c r="M474">
        <f>電力量!M475-電力量!M474</f>
        <v>61.599999999998545</v>
      </c>
      <c r="N474">
        <f>電力量!N475-電力量!N474</f>
        <v>53.099999999991269</v>
      </c>
      <c r="O474">
        <f>電力量!O475-電力量!O474</f>
        <v>24.19999999999709</v>
      </c>
      <c r="P474">
        <f>電力量!P475-電力量!P474</f>
        <v>9</v>
      </c>
      <c r="Q474">
        <f>電力量!Q475-電力量!Q474</f>
        <v>14</v>
      </c>
      <c r="R474">
        <f>電力量!R475-電力量!R474</f>
        <v>0</v>
      </c>
    </row>
    <row r="475" spans="1:18">
      <c r="A475" s="4">
        <f t="shared" ref="A475:A523" si="177">A458+(17/24)</f>
        <v>45891.708333333336</v>
      </c>
      <c r="B475">
        <f>電力量!B476-電力量!B475</f>
        <v>1137</v>
      </c>
      <c r="C475">
        <f>電力量!C476-電力量!C475</f>
        <v>321</v>
      </c>
      <c r="D475">
        <f>電力量!D476-電力量!D475</f>
        <v>26</v>
      </c>
      <c r="E475">
        <f>電力量!E476-電力量!E475</f>
        <v>0</v>
      </c>
      <c r="F475">
        <f>電力量!F476-電力量!F475</f>
        <v>37</v>
      </c>
      <c r="G475">
        <f>電力量!G476-電力量!G475</f>
        <v>82.5</v>
      </c>
      <c r="H475">
        <f>電力量!H476-電力量!H475</f>
        <v>11</v>
      </c>
      <c r="I475">
        <f>電力量!I476-電力量!I475</f>
        <v>393</v>
      </c>
      <c r="J475">
        <f>電力量!J476-電力量!J475</f>
        <v>12.799999999995634</v>
      </c>
      <c r="K475">
        <f>電力量!K476-電力量!K475</f>
        <v>2.3000000000029104</v>
      </c>
      <c r="L475">
        <f>電力量!L476-電力量!L475</f>
        <v>39</v>
      </c>
      <c r="M475">
        <f>電力量!M476-電力量!M475</f>
        <v>56.700000000004366</v>
      </c>
      <c r="N475">
        <f>電力量!N476-電力量!N475</f>
        <v>56.400000000008731</v>
      </c>
      <c r="O475">
        <f>電力量!O476-電力量!O475</f>
        <v>23.19999999999709</v>
      </c>
      <c r="P475">
        <f>電力量!P476-電力量!P475</f>
        <v>4</v>
      </c>
      <c r="Q475">
        <f>電力量!Q476-電力量!Q475</f>
        <v>7</v>
      </c>
      <c r="R475">
        <f>電力量!R476-電力量!R475</f>
        <v>0</v>
      </c>
    </row>
    <row r="476" spans="1:18">
      <c r="A476" s="4">
        <f t="shared" ref="A476:A524" si="178">A458+(18/24)</f>
        <v>45891.75</v>
      </c>
      <c r="B476">
        <f>電力量!B477-電力量!B476</f>
        <v>1013</v>
      </c>
      <c r="C476">
        <f>電力量!C477-電力量!C476</f>
        <v>271</v>
      </c>
      <c r="D476">
        <f>電力量!D477-電力量!D476</f>
        <v>21.30000000000291</v>
      </c>
      <c r="E476">
        <f>電力量!E477-電力量!E476</f>
        <v>0</v>
      </c>
      <c r="F476">
        <f>電力量!F477-電力量!F476</f>
        <v>31</v>
      </c>
      <c r="G476">
        <f>電力量!G477-電力量!G476</f>
        <v>77.900000000001455</v>
      </c>
      <c r="H476">
        <f>電力量!H477-電力量!H476</f>
        <v>12</v>
      </c>
      <c r="I476">
        <f>電力量!I477-電力量!I476</f>
        <v>368</v>
      </c>
      <c r="J476">
        <f>電力量!J477-電力量!J476</f>
        <v>12.099999999998545</v>
      </c>
      <c r="K476">
        <f>電力量!K477-電力量!K476</f>
        <v>3.1999999999970896</v>
      </c>
      <c r="L476">
        <f>電力量!L477-電力量!L476</f>
        <v>30.100000000005821</v>
      </c>
      <c r="M476">
        <f>電力量!M477-電力量!M476</f>
        <v>47.599999999998545</v>
      </c>
      <c r="N476">
        <f>電力量!N477-電力量!N476</f>
        <v>56.30000000000291</v>
      </c>
      <c r="O476">
        <f>電力量!O477-電力量!O476</f>
        <v>19.200000000011642</v>
      </c>
      <c r="P476">
        <f>電力量!P477-電力量!P476</f>
        <v>1</v>
      </c>
      <c r="Q476">
        <f>電力量!Q477-電力量!Q476</f>
        <v>1</v>
      </c>
      <c r="R476">
        <f>電力量!R477-電力量!R476</f>
        <v>0</v>
      </c>
    </row>
    <row r="477" spans="1:18">
      <c r="A477" s="4">
        <f t="shared" ref="A477:A525" si="179">A458+(19/24)</f>
        <v>45891.791666666664</v>
      </c>
      <c r="B477">
        <f>電力量!B478-電力量!B477</f>
        <v>905</v>
      </c>
      <c r="C477">
        <f>電力量!C478-電力量!C477</f>
        <v>245</v>
      </c>
      <c r="D477">
        <f>電力量!D478-電力量!D477</f>
        <v>18.400000000001455</v>
      </c>
      <c r="E477">
        <f>電力量!E478-電力量!E477</f>
        <v>0</v>
      </c>
      <c r="F477">
        <f>電力量!F478-電力量!F477</f>
        <v>26</v>
      </c>
      <c r="G477">
        <f>電力量!G478-電力量!G477</f>
        <v>71.899999999994179</v>
      </c>
      <c r="H477">
        <f>電力量!H478-電力量!H477</f>
        <v>11</v>
      </c>
      <c r="I477">
        <f>電力量!I478-電力量!I477</f>
        <v>309</v>
      </c>
      <c r="J477">
        <f>電力量!J478-電力量!J477</f>
        <v>12.200000000004366</v>
      </c>
      <c r="K477">
        <f>電力量!K478-電力量!K477</f>
        <v>3.2000000000116415</v>
      </c>
      <c r="L477">
        <f>電力量!L478-電力量!L477</f>
        <v>24.5</v>
      </c>
      <c r="M477">
        <f>電力量!M478-電力量!M477</f>
        <v>45.19999999999709</v>
      </c>
      <c r="N477">
        <f>電力量!N478-電力量!N477</f>
        <v>56.399999999994179</v>
      </c>
      <c r="O477">
        <f>電力量!O478-電力量!O477</f>
        <v>21.299999999988358</v>
      </c>
      <c r="P477">
        <f>電力量!P478-電力量!P477</f>
        <v>0</v>
      </c>
      <c r="Q477">
        <f>電力量!Q478-電力量!Q477</f>
        <v>0</v>
      </c>
      <c r="R477">
        <f>電力量!R478-電力量!R477</f>
        <v>0</v>
      </c>
    </row>
    <row r="478" spans="1:18">
      <c r="A478" s="4">
        <f t="shared" ref="A478:A526" si="180">A458+(20/24)</f>
        <v>45891.833333333336</v>
      </c>
      <c r="B478">
        <f>電力量!B479-電力量!B478</f>
        <v>834</v>
      </c>
      <c r="C478">
        <f>電力量!C479-電力量!C478</f>
        <v>222</v>
      </c>
      <c r="D478">
        <f>電力量!D479-電力量!D478</f>
        <v>17.099999999998545</v>
      </c>
      <c r="E478">
        <f>電力量!E479-電力量!E478</f>
        <v>0</v>
      </c>
      <c r="F478">
        <f>電力量!F479-電力量!F478</f>
        <v>24</v>
      </c>
      <c r="G478">
        <f>電力量!G479-電力量!G478</f>
        <v>70.30000000000291</v>
      </c>
      <c r="H478">
        <f>電力量!H479-電力量!H478</f>
        <v>11</v>
      </c>
      <c r="I478">
        <f>電力量!I479-電力量!I478</f>
        <v>272</v>
      </c>
      <c r="J478">
        <f>電力量!J479-電力量!J478</f>
        <v>10.900000000001455</v>
      </c>
      <c r="K478">
        <f>電力量!K479-電力量!K478</f>
        <v>2.8999999999941792</v>
      </c>
      <c r="L478">
        <f>電力量!L479-電力量!L478</f>
        <v>22.599999999991269</v>
      </c>
      <c r="M478">
        <f>電力量!M479-電力量!M478</f>
        <v>46.100000000005821</v>
      </c>
      <c r="N478">
        <f>電力量!N479-電力量!N478</f>
        <v>56.19999999999709</v>
      </c>
      <c r="O478">
        <f>電力量!O479-電力量!O478</f>
        <v>22.200000000011642</v>
      </c>
      <c r="P478">
        <f>電力量!P479-電力量!P478</f>
        <v>0</v>
      </c>
      <c r="Q478">
        <f>電力量!Q479-電力量!Q478</f>
        <v>0</v>
      </c>
      <c r="R478">
        <f>電力量!R479-電力量!R478</f>
        <v>0</v>
      </c>
    </row>
    <row r="479" spans="1:18">
      <c r="A479" s="4">
        <f t="shared" ref="A479:A527" si="181">A458+(21/24)</f>
        <v>45891.875</v>
      </c>
      <c r="B479">
        <f>電力量!B480-電力量!B479</f>
        <v>798</v>
      </c>
      <c r="C479">
        <f>電力量!C480-電力量!C479</f>
        <v>210</v>
      </c>
      <c r="D479">
        <f>電力量!D480-電力量!D479</f>
        <v>13.900000000001455</v>
      </c>
      <c r="E479">
        <f>電力量!E480-電力量!E479</f>
        <v>0</v>
      </c>
      <c r="F479">
        <f>電力量!F480-電力量!F479</f>
        <v>24</v>
      </c>
      <c r="G479">
        <f>電力量!G480-電力量!G479</f>
        <v>69.5</v>
      </c>
      <c r="H479">
        <f>電力量!H480-電力量!H479</f>
        <v>12</v>
      </c>
      <c r="I479">
        <f>電力量!I480-電力量!I479</f>
        <v>257</v>
      </c>
      <c r="J479">
        <f>電力量!J480-電力量!J479</f>
        <v>11</v>
      </c>
      <c r="K479">
        <f>電力量!K480-電力量!K479</f>
        <v>2.8999999999941792</v>
      </c>
      <c r="L479">
        <f>電力量!L480-電力量!L479</f>
        <v>24</v>
      </c>
      <c r="M479">
        <f>電力量!M480-電力量!M479</f>
        <v>45.5</v>
      </c>
      <c r="N479">
        <f>電力量!N480-電力量!N479</f>
        <v>55.5</v>
      </c>
      <c r="O479">
        <f>電力量!O480-電力量!O479</f>
        <v>19</v>
      </c>
      <c r="P479">
        <f>電力量!P480-電力量!P479</f>
        <v>0</v>
      </c>
      <c r="Q479">
        <f>電力量!Q480-電力量!Q479</f>
        <v>0</v>
      </c>
      <c r="R479">
        <f>電力量!R480-電力量!R479</f>
        <v>0</v>
      </c>
    </row>
    <row r="480" spans="1:18">
      <c r="A480" s="4">
        <f t="shared" ref="A480:A528" si="182">A458+(22/24)</f>
        <v>45891.916666666664</v>
      </c>
      <c r="B480">
        <f>電力量!B481-電力量!B480</f>
        <v>776</v>
      </c>
      <c r="C480">
        <f>電力量!C481-電力量!C480</f>
        <v>204</v>
      </c>
      <c r="D480">
        <f>電力量!D481-電力量!D480</f>
        <v>13.799999999995634</v>
      </c>
      <c r="E480">
        <f>電力量!E481-電力量!E480</f>
        <v>0</v>
      </c>
      <c r="F480">
        <f>電力量!F481-電力量!F480</f>
        <v>24</v>
      </c>
      <c r="G480">
        <f>電力量!G481-電力量!G480</f>
        <v>63.099999999998545</v>
      </c>
      <c r="H480">
        <f>電力量!H481-電力量!H480</f>
        <v>12</v>
      </c>
      <c r="I480">
        <f>電力量!I481-電力量!I480</f>
        <v>240</v>
      </c>
      <c r="J480">
        <f>電力量!J481-電力量!J480</f>
        <v>10.5</v>
      </c>
      <c r="K480">
        <f>電力量!K481-電力量!K480</f>
        <v>2.8000000000029104</v>
      </c>
      <c r="L480">
        <f>電力量!L481-電力量!L480</f>
        <v>32.600000000005821</v>
      </c>
      <c r="M480">
        <f>電力量!M481-電力量!M480</f>
        <v>44.599999999998545</v>
      </c>
      <c r="N480">
        <f>電力量!N481-電力量!N480</f>
        <v>56.100000000005821</v>
      </c>
      <c r="O480">
        <f>電力量!O481-電力量!O480</f>
        <v>17.599999999991269</v>
      </c>
      <c r="P480">
        <f>電力量!P481-電力量!P480</f>
        <v>0</v>
      </c>
      <c r="Q480">
        <f>電力量!Q481-電力量!Q480</f>
        <v>0</v>
      </c>
      <c r="R480">
        <f>電力量!R481-電力量!R480</f>
        <v>0</v>
      </c>
    </row>
    <row r="481" spans="1:18">
      <c r="A481" s="4">
        <f t="shared" ref="A481:A529" si="183">A458+(23/24)</f>
        <v>45891.958333333336</v>
      </c>
      <c r="B481">
        <f>電力量!B482-電力量!B481</f>
        <v>751</v>
      </c>
      <c r="C481">
        <f>電力量!C482-電力量!C481</f>
        <v>198</v>
      </c>
      <c r="D481">
        <f>電力量!D482-電力量!D481</f>
        <v>14.900000000001455</v>
      </c>
      <c r="E481">
        <f>電力量!E482-電力量!E481</f>
        <v>0</v>
      </c>
      <c r="F481">
        <f>電力量!F482-電力量!F481</f>
        <v>22</v>
      </c>
      <c r="G481">
        <f>電力量!G482-電力量!G481</f>
        <v>59.700000000004366</v>
      </c>
      <c r="H481">
        <f>電力量!H482-電力量!H481</f>
        <v>11</v>
      </c>
      <c r="I481">
        <f>電力量!I482-電力量!I481</f>
        <v>235</v>
      </c>
      <c r="J481">
        <f>電力量!J482-電力量!J481</f>
        <v>10.19999999999709</v>
      </c>
      <c r="K481">
        <f>電力量!K482-電力量!K481</f>
        <v>3.3000000000029104</v>
      </c>
      <c r="L481">
        <f>電力量!L482-電力量!L481</f>
        <v>27</v>
      </c>
      <c r="M481">
        <f>電力量!M482-電力量!M481</f>
        <v>42.599999999998545</v>
      </c>
      <c r="N481">
        <f>電力量!N482-電力量!N481</f>
        <v>55.599999999991269</v>
      </c>
      <c r="O481">
        <f>電力量!O482-電力量!O481</f>
        <v>17</v>
      </c>
      <c r="P481">
        <f>電力量!P482-電力量!P481</f>
        <v>0</v>
      </c>
      <c r="Q481">
        <f>電力量!Q482-電力量!Q481</f>
        <v>0</v>
      </c>
      <c r="R481">
        <f>電力量!R482-電力量!R481</f>
        <v>0</v>
      </c>
    </row>
    <row r="482" spans="1:18">
      <c r="A482" s="4">
        <v>45892</v>
      </c>
      <c r="B482">
        <f>電力量!B483-電力量!B482</f>
        <v>737</v>
      </c>
      <c r="C482">
        <f>電力量!C483-電力量!C482</f>
        <v>193</v>
      </c>
      <c r="D482">
        <f>電力量!D483-電力量!D482</f>
        <v>15</v>
      </c>
      <c r="E482">
        <f>電力量!E483-電力量!E482</f>
        <v>0</v>
      </c>
      <c r="F482">
        <f>電力量!F483-電力量!F482</f>
        <v>23</v>
      </c>
      <c r="G482">
        <f>電力量!G483-電力量!G482</f>
        <v>58.69999999999709</v>
      </c>
      <c r="H482">
        <f>電力量!H483-電力量!H482</f>
        <v>11</v>
      </c>
      <c r="I482">
        <f>電力量!I483-電力量!I482</f>
        <v>232</v>
      </c>
      <c r="J482">
        <f>電力量!J483-電力量!J482</f>
        <v>10.599999999998545</v>
      </c>
      <c r="K482">
        <f>電力量!K483-電力量!K482</f>
        <v>3.3000000000029104</v>
      </c>
      <c r="L482">
        <f>電力量!L483-電力量!L482</f>
        <v>23.30000000000291</v>
      </c>
      <c r="M482">
        <f>電力量!M483-電力量!M482</f>
        <v>42.19999999999709</v>
      </c>
      <c r="N482">
        <f>電力量!N483-電力量!N482</f>
        <v>55.900000000008731</v>
      </c>
      <c r="O482">
        <f>電力量!O483-電力量!O482</f>
        <v>16.19999999999709</v>
      </c>
      <c r="P482">
        <f>電力量!P483-電力量!P482</f>
        <v>0</v>
      </c>
      <c r="Q482">
        <f>電力量!Q483-電力量!Q482</f>
        <v>0</v>
      </c>
      <c r="R482">
        <f>電力量!R483-電力量!R482</f>
        <v>0</v>
      </c>
    </row>
    <row r="483" spans="1:18">
      <c r="A483" s="4">
        <f t="shared" si="161"/>
        <v>45892.041666666664</v>
      </c>
      <c r="B483">
        <f>電力量!B484-電力量!B483</f>
        <v>716</v>
      </c>
      <c r="C483">
        <f>電力量!C484-電力量!C483</f>
        <v>188</v>
      </c>
      <c r="D483">
        <f>電力量!D484-電力量!D483</f>
        <v>14.30000000000291</v>
      </c>
      <c r="E483">
        <f>電力量!E484-電力量!E483</f>
        <v>0</v>
      </c>
      <c r="F483">
        <f>電力量!F484-電力量!F483</f>
        <v>22</v>
      </c>
      <c r="G483">
        <f>電力量!G484-電力量!G483</f>
        <v>58.099999999998545</v>
      </c>
      <c r="H483">
        <f>電力量!H484-電力量!H483</f>
        <v>11</v>
      </c>
      <c r="I483">
        <f>電力量!I484-電力量!I483</f>
        <v>219</v>
      </c>
      <c r="J483">
        <f>電力量!J484-電力量!J483</f>
        <v>10.099999999998545</v>
      </c>
      <c r="K483">
        <f>電力量!K484-電力量!K483</f>
        <v>2.8999999999941792</v>
      </c>
      <c r="L483">
        <f>電力量!L484-電力量!L483</f>
        <v>23</v>
      </c>
      <c r="M483">
        <f>電力量!M484-電力量!M483</f>
        <v>41.600000000005821</v>
      </c>
      <c r="N483">
        <f>電力量!N484-電力量!N483</f>
        <v>55.599999999991269</v>
      </c>
      <c r="O483">
        <f>電力量!O484-電力量!O483</f>
        <v>17.900000000008731</v>
      </c>
      <c r="P483">
        <f>電力量!P484-電力量!P483</f>
        <v>0</v>
      </c>
      <c r="Q483">
        <f>電力量!Q484-電力量!Q483</f>
        <v>0</v>
      </c>
      <c r="R483">
        <f>電力量!R484-電力量!R483</f>
        <v>0</v>
      </c>
    </row>
    <row r="484" spans="1:18">
      <c r="A484" s="4">
        <f t="shared" si="162"/>
        <v>45892.083333333336</v>
      </c>
      <c r="B484">
        <f>電力量!B485-電力量!B484</f>
        <v>704</v>
      </c>
      <c r="C484">
        <f>電力量!C485-電力量!C484</f>
        <v>186</v>
      </c>
      <c r="D484">
        <f>電力量!D485-電力量!D484</f>
        <v>13.799999999995634</v>
      </c>
      <c r="E484">
        <f>電力量!E485-電力量!E484</f>
        <v>0</v>
      </c>
      <c r="F484">
        <f>電力量!F485-電力量!F484</f>
        <v>22</v>
      </c>
      <c r="G484">
        <f>電力量!G485-電力量!G484</f>
        <v>57.400000000001455</v>
      </c>
      <c r="H484">
        <f>電力量!H485-電力量!H484</f>
        <v>11</v>
      </c>
      <c r="I484">
        <f>電力量!I485-電力量!I484</f>
        <v>214</v>
      </c>
      <c r="J484">
        <f>電力量!J485-電力量!J484</f>
        <v>10.200000000004366</v>
      </c>
      <c r="K484">
        <f>電力量!K485-電力量!K484</f>
        <v>2.8000000000029104</v>
      </c>
      <c r="L484">
        <f>電力量!L485-電力量!L484</f>
        <v>22.599999999991269</v>
      </c>
      <c r="M484">
        <f>電力量!M485-電力量!M484</f>
        <v>41.099999999998545</v>
      </c>
      <c r="N484">
        <f>電力量!N485-電力量!N484</f>
        <v>55</v>
      </c>
      <c r="O484">
        <f>電力量!O485-電力量!O484</f>
        <v>16.69999999999709</v>
      </c>
      <c r="P484">
        <f>電力量!P485-電力量!P484</f>
        <v>0</v>
      </c>
      <c r="Q484">
        <f>電力量!Q485-電力量!Q484</f>
        <v>0</v>
      </c>
      <c r="R484">
        <f>電力量!R485-電力量!R484</f>
        <v>0</v>
      </c>
    </row>
    <row r="485" spans="1:18">
      <c r="A485" s="4">
        <f t="shared" si="163"/>
        <v>45892.125</v>
      </c>
      <c r="B485">
        <f>電力量!B486-電力量!B485</f>
        <v>706</v>
      </c>
      <c r="C485">
        <f>電力量!C486-電力量!C485</f>
        <v>187</v>
      </c>
      <c r="D485">
        <f>電力量!D486-電力量!D485</f>
        <v>14.900000000001455</v>
      </c>
      <c r="E485">
        <f>電力量!E486-電力量!E485</f>
        <v>0</v>
      </c>
      <c r="F485">
        <f>電力量!F486-電力量!F485</f>
        <v>22</v>
      </c>
      <c r="G485">
        <f>電力量!G486-電力量!G485</f>
        <v>56.599999999998545</v>
      </c>
      <c r="H485">
        <f>電力量!H486-電力量!H485</f>
        <v>11</v>
      </c>
      <c r="I485">
        <f>電力量!I486-電力量!I485</f>
        <v>215</v>
      </c>
      <c r="J485">
        <f>電力量!J486-電力量!J485</f>
        <v>9.9000000000014552</v>
      </c>
      <c r="K485">
        <f>電力量!K486-電力量!K485</f>
        <v>2.8999999999941792</v>
      </c>
      <c r="L485">
        <f>電力量!L486-電力量!L485</f>
        <v>21.19999999999709</v>
      </c>
      <c r="M485">
        <f>電力量!M486-電力量!M485</f>
        <v>42.900000000001455</v>
      </c>
      <c r="N485">
        <f>電力量!N486-電力量!N485</f>
        <v>55</v>
      </c>
      <c r="O485">
        <f>電力量!O486-電力量!O485</f>
        <v>16.399999999994179</v>
      </c>
      <c r="P485">
        <f>電力量!P486-電力量!P485</f>
        <v>0</v>
      </c>
      <c r="Q485">
        <f>電力量!Q486-電力量!Q485</f>
        <v>0</v>
      </c>
      <c r="R485">
        <f>電力量!R486-電力量!R485</f>
        <v>0</v>
      </c>
    </row>
    <row r="486" spans="1:18">
      <c r="A486" s="4">
        <f t="shared" si="164"/>
        <v>45892.166666666664</v>
      </c>
      <c r="B486">
        <f>電力量!B487-電力量!B486</f>
        <v>700</v>
      </c>
      <c r="C486">
        <f>電力量!C487-電力量!C486</f>
        <v>186</v>
      </c>
      <c r="D486">
        <f>電力量!D487-電力量!D486</f>
        <v>14.099999999998545</v>
      </c>
      <c r="E486">
        <f>電力量!E487-電力量!E486</f>
        <v>0</v>
      </c>
      <c r="F486">
        <f>電力量!F487-電力量!F486</f>
        <v>22</v>
      </c>
      <c r="G486">
        <f>電力量!G487-電力量!G486</f>
        <v>54</v>
      </c>
      <c r="H486">
        <f>電力量!H487-電力量!H486</f>
        <v>10</v>
      </c>
      <c r="I486">
        <f>電力量!I487-電力量!I486</f>
        <v>211</v>
      </c>
      <c r="J486">
        <f>電力量!J487-電力量!J486</f>
        <v>9.7999999999956344</v>
      </c>
      <c r="K486">
        <f>電力量!K487-電力量!K486</f>
        <v>3.2000000000116415</v>
      </c>
      <c r="L486">
        <f>電力量!L487-電力量!L486</f>
        <v>21</v>
      </c>
      <c r="M486">
        <f>電力量!M487-電力量!M486</f>
        <v>43.599999999998545</v>
      </c>
      <c r="N486">
        <f>電力量!N487-電力量!N486</f>
        <v>56.600000000005821</v>
      </c>
      <c r="O486">
        <f>電力量!O487-電力量!O486</f>
        <v>17.400000000008731</v>
      </c>
      <c r="P486">
        <f>電力量!P487-電力量!P486</f>
        <v>0</v>
      </c>
      <c r="Q486">
        <f>電力量!Q487-電力量!Q486</f>
        <v>0</v>
      </c>
      <c r="R486">
        <f>電力量!R487-電力量!R486</f>
        <v>0</v>
      </c>
    </row>
    <row r="487" spans="1:18">
      <c r="A487" s="4">
        <f t="shared" si="165"/>
        <v>45892.208333333336</v>
      </c>
      <c r="B487">
        <f>電力量!B488-電力量!B487</f>
        <v>697</v>
      </c>
      <c r="C487">
        <f>電力量!C488-電力量!C487</f>
        <v>187</v>
      </c>
      <c r="D487">
        <f>電力量!D488-電力量!D487</f>
        <v>13.5</v>
      </c>
      <c r="E487">
        <f>電力量!E488-電力量!E487</f>
        <v>0</v>
      </c>
      <c r="F487">
        <f>電力量!F488-電力量!F487</f>
        <v>21</v>
      </c>
      <c r="G487">
        <f>電力量!G488-電力量!G487</f>
        <v>54.200000000004366</v>
      </c>
      <c r="H487">
        <f>電力量!H488-電力量!H487</f>
        <v>11</v>
      </c>
      <c r="I487">
        <f>電力量!I488-電力量!I487</f>
        <v>212</v>
      </c>
      <c r="J487">
        <f>電力量!J488-電力量!J487</f>
        <v>9.8000000000029104</v>
      </c>
      <c r="K487">
        <f>電力量!K488-電力量!K487</f>
        <v>2.7999999999883585</v>
      </c>
      <c r="L487">
        <f>電力量!L488-電力量!L487</f>
        <v>20</v>
      </c>
      <c r="M487">
        <f>電力量!M488-電力量!M487</f>
        <v>41.599999999998545</v>
      </c>
      <c r="N487">
        <f>電力量!N488-電力量!N487</f>
        <v>55.19999999999709</v>
      </c>
      <c r="O487">
        <f>電力量!O488-電力量!O487</f>
        <v>17.099999999991269</v>
      </c>
      <c r="P487">
        <f>電力量!P488-電力量!P487</f>
        <v>0</v>
      </c>
      <c r="Q487">
        <f>電力量!Q488-電力量!Q487</f>
        <v>0</v>
      </c>
      <c r="R487">
        <f>電力量!R488-電力量!R487</f>
        <v>0</v>
      </c>
    </row>
    <row r="488" spans="1:18">
      <c r="A488" s="4">
        <f t="shared" si="166"/>
        <v>45892.25</v>
      </c>
      <c r="B488">
        <f>電力量!B489-電力量!B488</f>
        <v>702</v>
      </c>
      <c r="C488">
        <f>電力量!C489-電力量!C488</f>
        <v>191</v>
      </c>
      <c r="D488">
        <f>電力量!D489-電力量!D488</f>
        <v>14.400000000001455</v>
      </c>
      <c r="E488">
        <f>電力量!E489-電力量!E488</f>
        <v>0</v>
      </c>
      <c r="F488">
        <f>電力量!F489-電力量!F488</f>
        <v>22</v>
      </c>
      <c r="G488">
        <f>電力量!G489-電力量!G488</f>
        <v>53.19999999999709</v>
      </c>
      <c r="H488">
        <f>電力量!H489-電力量!H488</f>
        <v>12</v>
      </c>
      <c r="I488">
        <f>電力量!I489-電力量!I488</f>
        <v>215</v>
      </c>
      <c r="J488">
        <f>電力量!J489-電力量!J488</f>
        <v>9.6999999999970896</v>
      </c>
      <c r="K488">
        <f>電力量!K489-電力量!K488</f>
        <v>1.8000000000029104</v>
      </c>
      <c r="L488">
        <f>電力量!L489-電力量!L488</f>
        <v>21.700000000011642</v>
      </c>
      <c r="M488">
        <f>電力量!M489-電力量!M488</f>
        <v>39.69999999999709</v>
      </c>
      <c r="N488">
        <f>電力量!N489-電力量!N488</f>
        <v>54.80000000000291</v>
      </c>
      <c r="O488">
        <f>電力量!O489-電力量!O488</f>
        <v>15.400000000008731</v>
      </c>
      <c r="P488">
        <f>電力量!P489-電力量!P488</f>
        <v>0</v>
      </c>
      <c r="Q488">
        <f>電力量!Q489-電力量!Q488</f>
        <v>0</v>
      </c>
      <c r="R488">
        <f>電力量!R489-電力量!R488</f>
        <v>0</v>
      </c>
    </row>
    <row r="489" spans="1:18">
      <c r="A489" s="4">
        <f t="shared" si="167"/>
        <v>45892.291666666664</v>
      </c>
      <c r="B489">
        <f>電力量!B490-電力量!B489</f>
        <v>709</v>
      </c>
      <c r="C489">
        <f>電力量!C490-電力量!C489</f>
        <v>198</v>
      </c>
      <c r="D489">
        <f>電力量!D490-電力量!D489</f>
        <v>13.900000000001455</v>
      </c>
      <c r="E489">
        <f>電力量!E490-電力量!E489</f>
        <v>0</v>
      </c>
      <c r="F489">
        <f>電力量!F490-電力量!F489</f>
        <v>24</v>
      </c>
      <c r="G489">
        <f>電力量!G490-電力量!G489</f>
        <v>51.5</v>
      </c>
      <c r="H489">
        <f>電力量!H490-電力量!H489</f>
        <v>11</v>
      </c>
      <c r="I489">
        <f>電力量!I490-電力量!I489</f>
        <v>219</v>
      </c>
      <c r="J489">
        <f>電力量!J490-電力量!J489</f>
        <v>10.30000000000291</v>
      </c>
      <c r="K489">
        <f>電力量!K490-電力量!K489</f>
        <v>0.30000000000291038</v>
      </c>
      <c r="L489">
        <f>電力量!L490-電力量!L489</f>
        <v>21.19999999999709</v>
      </c>
      <c r="M489">
        <f>電力量!M490-電力量!M489</f>
        <v>40.600000000005821</v>
      </c>
      <c r="N489">
        <f>電力量!N490-電力量!N489</f>
        <v>52.80000000000291</v>
      </c>
      <c r="O489">
        <f>電力量!O490-電力量!O489</f>
        <v>16.599999999991269</v>
      </c>
      <c r="P489">
        <f>電力量!P490-電力量!P489</f>
        <v>1</v>
      </c>
      <c r="Q489">
        <f>電力量!Q490-電力量!Q489</f>
        <v>3</v>
      </c>
      <c r="R489">
        <f>電力量!R490-電力量!R489</f>
        <v>0</v>
      </c>
    </row>
    <row r="490" spans="1:18">
      <c r="A490" s="4">
        <f t="shared" si="168"/>
        <v>45892.333333333336</v>
      </c>
      <c r="B490">
        <f>電力量!B491-電力量!B490</f>
        <v>717</v>
      </c>
      <c r="C490">
        <f>電力量!C491-電力量!C490</f>
        <v>201</v>
      </c>
      <c r="D490">
        <f>電力量!D491-電力量!D490</f>
        <v>14.19999999999709</v>
      </c>
      <c r="E490">
        <f>電力量!E491-電力量!E490</f>
        <v>0</v>
      </c>
      <c r="F490">
        <f>電力量!F491-電力量!F490</f>
        <v>25</v>
      </c>
      <c r="G490">
        <f>電力量!G491-電力量!G490</f>
        <v>48.900000000001455</v>
      </c>
      <c r="H490">
        <f>電力量!H491-電力量!H490</f>
        <v>10</v>
      </c>
      <c r="I490">
        <f>電力量!I491-電力量!I490</f>
        <v>225</v>
      </c>
      <c r="J490">
        <f>電力量!J491-電力量!J490</f>
        <v>10.299999999995634</v>
      </c>
      <c r="K490">
        <f>電力量!K491-電力量!K490</f>
        <v>0</v>
      </c>
      <c r="L490">
        <f>電力量!L491-電力量!L490</f>
        <v>19.899999999994179</v>
      </c>
      <c r="M490">
        <f>電力量!M491-電力量!M490</f>
        <v>40.599999999998545</v>
      </c>
      <c r="N490">
        <f>電力量!N491-電力量!N490</f>
        <v>51.69999999999709</v>
      </c>
      <c r="O490">
        <f>電力量!O491-電力量!O490</f>
        <v>17.700000000011642</v>
      </c>
      <c r="P490">
        <f>電力量!P491-電力量!P490</f>
        <v>3</v>
      </c>
      <c r="Q490">
        <f>電力量!Q491-電力量!Q490</f>
        <v>5</v>
      </c>
      <c r="R490">
        <f>電力量!R491-電力量!R490</f>
        <v>0</v>
      </c>
    </row>
    <row r="491" spans="1:18">
      <c r="A491" s="4">
        <f t="shared" si="169"/>
        <v>45892.375</v>
      </c>
      <c r="B491">
        <f>電力量!B492-電力量!B491</f>
        <v>722</v>
      </c>
      <c r="C491">
        <f>電力量!C492-電力量!C491</f>
        <v>202</v>
      </c>
      <c r="D491">
        <f>電力量!D492-電力量!D491</f>
        <v>15.5</v>
      </c>
      <c r="E491">
        <f>電力量!E492-電力量!E491</f>
        <v>0</v>
      </c>
      <c r="F491">
        <f>電力量!F492-電力量!F491</f>
        <v>25</v>
      </c>
      <c r="G491">
        <f>電力量!G492-電力量!G491</f>
        <v>45.19999999999709</v>
      </c>
      <c r="H491">
        <f>電力量!H492-電力量!H491</f>
        <v>11</v>
      </c>
      <c r="I491">
        <f>電力量!I492-電力量!I491</f>
        <v>232</v>
      </c>
      <c r="J491">
        <f>電力量!J492-電力量!J491</f>
        <v>10.600000000005821</v>
      </c>
      <c r="K491">
        <f>電力量!K492-電力量!K491</f>
        <v>0</v>
      </c>
      <c r="L491">
        <f>電力量!L492-電力量!L491</f>
        <v>20.900000000008731</v>
      </c>
      <c r="M491">
        <f>電力量!M492-電力量!M491</f>
        <v>43.799999999995634</v>
      </c>
      <c r="N491">
        <f>電力量!N492-電力量!N491</f>
        <v>49.899999999994179</v>
      </c>
      <c r="O491">
        <f>電力量!O492-電力量!O491</f>
        <v>18.19999999999709</v>
      </c>
      <c r="P491">
        <f>電力量!P492-電力量!P491</f>
        <v>6</v>
      </c>
      <c r="Q491">
        <f>電力量!Q492-電力量!Q491</f>
        <v>8</v>
      </c>
      <c r="R491">
        <f>電力量!R492-電力量!R491</f>
        <v>0</v>
      </c>
    </row>
    <row r="492" spans="1:18">
      <c r="A492" s="4">
        <f t="shared" si="170"/>
        <v>45892.416666666664</v>
      </c>
      <c r="B492">
        <f>電力量!B493-電力量!B492</f>
        <v>766</v>
      </c>
      <c r="C492">
        <f>電力量!C493-電力量!C492</f>
        <v>211</v>
      </c>
      <c r="D492">
        <f>電力量!D493-電力量!D492</f>
        <v>21.30000000000291</v>
      </c>
      <c r="E492">
        <f>電力量!E493-電力量!E492</f>
        <v>0</v>
      </c>
      <c r="F492">
        <f>電力量!F493-電力量!F492</f>
        <v>26</v>
      </c>
      <c r="G492">
        <f>電力量!G493-電力量!G492</f>
        <v>43.900000000001455</v>
      </c>
      <c r="H492">
        <f>電力量!H493-電力量!H492</f>
        <v>11</v>
      </c>
      <c r="I492">
        <f>電力量!I493-電力量!I492</f>
        <v>263</v>
      </c>
      <c r="J492">
        <f>電力量!J493-電力量!J492</f>
        <v>11.19999999999709</v>
      </c>
      <c r="K492">
        <f>電力量!K493-電力量!K492</f>
        <v>0</v>
      </c>
      <c r="L492">
        <f>電力量!L493-電力量!L492</f>
        <v>24.899999999994179</v>
      </c>
      <c r="M492">
        <f>電力量!M493-電力量!M492</f>
        <v>42</v>
      </c>
      <c r="N492">
        <f>電力量!N493-電力量!N492</f>
        <v>47.900000000008731</v>
      </c>
      <c r="O492">
        <f>電力量!O493-電力量!O492</f>
        <v>18.399999999994179</v>
      </c>
      <c r="P492">
        <f>電力量!P493-電力量!P492</f>
        <v>9</v>
      </c>
      <c r="Q492">
        <f>電力量!Q493-電力量!Q492</f>
        <v>15</v>
      </c>
      <c r="R492">
        <f>電力量!R493-電力量!R492</f>
        <v>0</v>
      </c>
    </row>
    <row r="493" spans="1:18">
      <c r="A493" s="4">
        <f t="shared" si="171"/>
        <v>45892.458333333336</v>
      </c>
      <c r="B493">
        <f>電力量!B494-電力量!B493</f>
        <v>778</v>
      </c>
      <c r="C493">
        <f>電力量!C494-電力量!C493</f>
        <v>222</v>
      </c>
      <c r="D493">
        <f>電力量!D494-電力量!D493</f>
        <v>17.30000000000291</v>
      </c>
      <c r="E493">
        <f>電力量!E494-電力量!E493</f>
        <v>0</v>
      </c>
      <c r="F493">
        <f>電力量!F494-電力量!F493</f>
        <v>28</v>
      </c>
      <c r="G493">
        <f>電力量!G494-電力量!G493</f>
        <v>35.80000000000291</v>
      </c>
      <c r="H493">
        <f>電力量!H494-電力量!H493</f>
        <v>10</v>
      </c>
      <c r="I493">
        <f>電力量!I494-電力量!I493</f>
        <v>275</v>
      </c>
      <c r="J493">
        <f>電力量!J494-電力量!J493</f>
        <v>11.5</v>
      </c>
      <c r="K493">
        <f>電力量!K494-電力量!K493</f>
        <v>0</v>
      </c>
      <c r="L493">
        <f>電力量!L494-電力量!L493</f>
        <v>25.30000000000291</v>
      </c>
      <c r="M493">
        <f>電力量!M494-電力量!M493</f>
        <v>43.80000000000291</v>
      </c>
      <c r="N493">
        <f>電力量!N494-電力量!N493</f>
        <v>46</v>
      </c>
      <c r="O493">
        <f>電力量!O494-電力量!O493</f>
        <v>17.900000000008731</v>
      </c>
      <c r="P493">
        <f>電力量!P494-電力量!P493</f>
        <v>15</v>
      </c>
      <c r="Q493">
        <f>電力量!Q494-電力量!Q493</f>
        <v>22</v>
      </c>
      <c r="R493">
        <f>電力量!R494-電力量!R493</f>
        <v>0</v>
      </c>
    </row>
    <row r="494" spans="1:18">
      <c r="A494" s="4">
        <f t="shared" si="172"/>
        <v>45892.5</v>
      </c>
      <c r="B494">
        <f>電力量!B495-電力量!B494</f>
        <v>807</v>
      </c>
      <c r="C494">
        <f>電力量!C495-電力量!C494</f>
        <v>230</v>
      </c>
      <c r="D494">
        <f>電力量!D495-電力量!D494</f>
        <v>19.899999999994179</v>
      </c>
      <c r="E494">
        <f>電力量!E495-電力量!E494</f>
        <v>0</v>
      </c>
      <c r="F494">
        <f>電力量!F495-電力量!F494</f>
        <v>28</v>
      </c>
      <c r="G494">
        <f>電力量!G495-電力量!G494</f>
        <v>35.5</v>
      </c>
      <c r="H494">
        <f>電力量!H495-電力量!H494</f>
        <v>11</v>
      </c>
      <c r="I494">
        <f>電力量!I495-電力量!I494</f>
        <v>292</v>
      </c>
      <c r="J494">
        <f>電力量!J495-電力量!J494</f>
        <v>12</v>
      </c>
      <c r="K494">
        <f>電力量!K495-電力量!K494</f>
        <v>0</v>
      </c>
      <c r="L494">
        <f>電力量!L495-電力量!L494</f>
        <v>28.5</v>
      </c>
      <c r="M494">
        <f>電力量!M495-電力量!M494</f>
        <v>46.80000000000291</v>
      </c>
      <c r="N494">
        <f>電力量!N495-電力量!N494</f>
        <v>46.399999999994179</v>
      </c>
      <c r="O494">
        <f>電力量!O495-電力量!O494</f>
        <v>17.099999999991269</v>
      </c>
      <c r="P494">
        <f>電力量!P495-電力量!P494</f>
        <v>15</v>
      </c>
      <c r="Q494">
        <f>電力量!Q495-電力量!Q494</f>
        <v>24</v>
      </c>
      <c r="R494">
        <f>電力量!R495-電力量!R494</f>
        <v>0</v>
      </c>
    </row>
    <row r="495" spans="1:18">
      <c r="A495" s="4">
        <f t="shared" si="173"/>
        <v>45892.541666666664</v>
      </c>
      <c r="B495">
        <f>電力量!B496-電力量!B495</f>
        <v>831</v>
      </c>
      <c r="C495">
        <f>電力量!C496-電力量!C495</f>
        <v>237</v>
      </c>
      <c r="D495">
        <f>電力量!D496-電力量!D495</f>
        <v>20.30000000000291</v>
      </c>
      <c r="E495">
        <f>電力量!E496-電力量!E495</f>
        <v>0</v>
      </c>
      <c r="F495">
        <f>電力量!F496-電力量!F495</f>
        <v>29</v>
      </c>
      <c r="G495">
        <f>電力量!G496-電力量!G495</f>
        <v>41</v>
      </c>
      <c r="H495">
        <f>電力量!H496-電力量!H495</f>
        <v>12</v>
      </c>
      <c r="I495">
        <f>電力量!I496-電力量!I495</f>
        <v>298</v>
      </c>
      <c r="J495">
        <f>電力量!J496-電力量!J495</f>
        <v>12.099999999998545</v>
      </c>
      <c r="K495">
        <f>電力量!K496-電力量!K495</f>
        <v>0</v>
      </c>
      <c r="L495">
        <f>電力量!L496-電力量!L495</f>
        <v>29.599999999991269</v>
      </c>
      <c r="M495">
        <f>電力量!M496-電力量!M495</f>
        <v>45.599999999998545</v>
      </c>
      <c r="N495">
        <f>電力量!N496-電力量!N495</f>
        <v>44</v>
      </c>
      <c r="O495">
        <f>電力量!O496-電力量!O495</f>
        <v>18</v>
      </c>
      <c r="P495">
        <f>電力量!P496-電力量!P495</f>
        <v>16</v>
      </c>
      <c r="Q495">
        <f>電力量!Q496-電力量!Q495</f>
        <v>24</v>
      </c>
      <c r="R495">
        <f>電力量!R496-電力量!R495</f>
        <v>0</v>
      </c>
    </row>
    <row r="496" spans="1:18">
      <c r="A496" s="4">
        <f t="shared" si="174"/>
        <v>45892.583333333336</v>
      </c>
      <c r="B496">
        <f>電力量!B497-電力量!B496</f>
        <v>878</v>
      </c>
      <c r="C496">
        <f>電力量!C497-電力量!C496</f>
        <v>243</v>
      </c>
      <c r="D496">
        <f>電力量!D497-電力量!D496</f>
        <v>32.19999999999709</v>
      </c>
      <c r="E496">
        <f>電力量!E497-電力量!E496</f>
        <v>0</v>
      </c>
      <c r="F496">
        <f>電力量!F497-電力量!F496</f>
        <v>29</v>
      </c>
      <c r="G496">
        <f>電力量!G497-電力量!G496</f>
        <v>46</v>
      </c>
      <c r="H496">
        <f>電力量!H497-電力量!H496</f>
        <v>12</v>
      </c>
      <c r="I496">
        <f>電力量!I497-電力量!I496</f>
        <v>317</v>
      </c>
      <c r="J496">
        <f>電力量!J497-電力量!J496</f>
        <v>12.30000000000291</v>
      </c>
      <c r="K496">
        <f>電力量!K497-電力量!K496</f>
        <v>0</v>
      </c>
      <c r="L496">
        <f>電力量!L497-電力量!L496</f>
        <v>29.100000000005821</v>
      </c>
      <c r="M496">
        <f>電力量!M497-電力量!M496</f>
        <v>49.69999999999709</v>
      </c>
      <c r="N496">
        <f>電力量!N497-電力量!N496</f>
        <v>42.19999999999709</v>
      </c>
      <c r="O496">
        <f>電力量!O497-電力量!O496</f>
        <v>18.80000000000291</v>
      </c>
      <c r="P496">
        <f>電力量!P497-電力量!P496</f>
        <v>15</v>
      </c>
      <c r="Q496">
        <f>電力量!Q497-電力量!Q496</f>
        <v>21</v>
      </c>
      <c r="R496">
        <f>電力量!R497-電力量!R496</f>
        <v>0</v>
      </c>
    </row>
    <row r="497" spans="1:18">
      <c r="A497" s="4">
        <f t="shared" si="175"/>
        <v>45892.625</v>
      </c>
      <c r="B497">
        <f>電力量!B498-電力量!B497</f>
        <v>907</v>
      </c>
      <c r="C497">
        <f>電力量!C498-電力量!C497</f>
        <v>258</v>
      </c>
      <c r="D497">
        <f>電力量!D498-電力量!D497</f>
        <v>30.30000000000291</v>
      </c>
      <c r="E497">
        <f>電力量!E498-電力量!E497</f>
        <v>0</v>
      </c>
      <c r="F497">
        <f>電力量!F498-電力量!F497</f>
        <v>30</v>
      </c>
      <c r="G497">
        <f>電力量!G498-電力量!G497</f>
        <v>53.19999999999709</v>
      </c>
      <c r="H497">
        <f>電力量!H498-電力量!H497</f>
        <v>11</v>
      </c>
      <c r="I497">
        <f>電力量!I498-電力量!I497</f>
        <v>318</v>
      </c>
      <c r="J497">
        <f>電力量!J498-電力量!J497</f>
        <v>12.099999999998545</v>
      </c>
      <c r="K497">
        <f>電力量!K498-電力量!K497</f>
        <v>0</v>
      </c>
      <c r="L497">
        <f>電力量!L498-電力量!L497</f>
        <v>28.100000000005821</v>
      </c>
      <c r="M497">
        <f>電力量!M498-電力量!M497</f>
        <v>46.900000000001455</v>
      </c>
      <c r="N497">
        <f>電力量!N498-電力量!N497</f>
        <v>45.900000000008731</v>
      </c>
      <c r="O497">
        <f>電力量!O498-電力量!O497</f>
        <v>18.19999999999709</v>
      </c>
      <c r="P497">
        <f>電力量!P498-電力量!P497</f>
        <v>11</v>
      </c>
      <c r="Q497">
        <f>電力量!Q498-電力量!Q497</f>
        <v>18</v>
      </c>
      <c r="R497">
        <f>電力量!R498-電力量!R497</f>
        <v>0</v>
      </c>
    </row>
    <row r="498" spans="1:18">
      <c r="A498" s="4">
        <f t="shared" si="176"/>
        <v>45892.666666666664</v>
      </c>
      <c r="B498">
        <f>電力量!B499-電力量!B498</f>
        <v>909</v>
      </c>
      <c r="C498">
        <f>電力量!C499-電力量!C498</f>
        <v>256</v>
      </c>
      <c r="D498">
        <f>電力量!D499-電力量!D498</f>
        <v>26.5</v>
      </c>
      <c r="E498">
        <f>電力量!E499-電力量!E498</f>
        <v>0</v>
      </c>
      <c r="F498">
        <f>電力量!F499-電力量!F498</f>
        <v>29</v>
      </c>
      <c r="G498">
        <f>電力量!G499-電力量!G498</f>
        <v>57.599999999998545</v>
      </c>
      <c r="H498">
        <f>電力量!H499-電力量!H498</f>
        <v>11</v>
      </c>
      <c r="I498">
        <f>電力量!I499-電力量!I498</f>
        <v>313</v>
      </c>
      <c r="J498">
        <f>電力量!J499-電力量!J498</f>
        <v>13.099999999998545</v>
      </c>
      <c r="K498">
        <f>電力量!K499-電力量!K498</f>
        <v>0</v>
      </c>
      <c r="L498">
        <f>電力量!L499-電力量!L498</f>
        <v>24.799999999988358</v>
      </c>
      <c r="M498">
        <f>電力量!M499-電力量!M498</f>
        <v>48.69999999999709</v>
      </c>
      <c r="N498">
        <f>電力量!N499-電力量!N498</f>
        <v>50.69999999999709</v>
      </c>
      <c r="O498">
        <f>電力量!O499-電力量!O498</f>
        <v>19.80000000000291</v>
      </c>
      <c r="P498">
        <f>電力量!P499-電力量!P498</f>
        <v>9</v>
      </c>
      <c r="Q498">
        <f>電力量!Q499-電力量!Q498</f>
        <v>14</v>
      </c>
      <c r="R498">
        <f>電力量!R499-電力量!R498</f>
        <v>0</v>
      </c>
    </row>
    <row r="499" spans="1:18">
      <c r="A499" s="4">
        <f t="shared" si="177"/>
        <v>45892.708333333336</v>
      </c>
      <c r="B499">
        <f>電力量!B500-電力量!B499</f>
        <v>899</v>
      </c>
      <c r="C499">
        <f>電力量!C500-電力量!C499</f>
        <v>259</v>
      </c>
      <c r="D499">
        <f>電力量!D500-電力量!D499</f>
        <v>21.599999999998545</v>
      </c>
      <c r="E499">
        <f>電力量!E500-電力量!E499</f>
        <v>0</v>
      </c>
      <c r="F499">
        <f>電力量!F500-電力量!F499</f>
        <v>32</v>
      </c>
      <c r="G499">
        <f>電力量!G500-電力量!G499</f>
        <v>61.400000000001455</v>
      </c>
      <c r="H499">
        <f>電力量!H500-電力量!H499</f>
        <v>12</v>
      </c>
      <c r="I499">
        <f>電力量!I500-電力量!I499</f>
        <v>298</v>
      </c>
      <c r="J499">
        <f>電力量!J500-電力量!J499</f>
        <v>11.5</v>
      </c>
      <c r="K499">
        <f>電力量!K500-電力量!K499</f>
        <v>1.5</v>
      </c>
      <c r="L499">
        <f>電力量!L500-電力量!L499</f>
        <v>22.600000000005821</v>
      </c>
      <c r="M499">
        <f>電力量!M500-電力量!M499</f>
        <v>45.700000000004366</v>
      </c>
      <c r="N499">
        <f>電力量!N500-電力量!N499</f>
        <v>53.30000000000291</v>
      </c>
      <c r="O499">
        <f>電力量!O500-電力量!O499</f>
        <v>18</v>
      </c>
      <c r="P499">
        <f>電力量!P500-電力量!P499</f>
        <v>5</v>
      </c>
      <c r="Q499">
        <f>電力量!Q500-電力量!Q499</f>
        <v>7</v>
      </c>
      <c r="R499">
        <f>電力量!R500-電力量!R499</f>
        <v>0</v>
      </c>
    </row>
    <row r="500" spans="1:18">
      <c r="A500" s="4">
        <f t="shared" si="178"/>
        <v>45892.75</v>
      </c>
      <c r="B500">
        <f>電力量!B501-電力量!B500</f>
        <v>852</v>
      </c>
      <c r="C500">
        <f>電力量!C501-電力量!C500</f>
        <v>245</v>
      </c>
      <c r="D500">
        <f>電力量!D501-電力量!D500</f>
        <v>18.599999999998545</v>
      </c>
      <c r="E500">
        <f>電力量!E501-電力量!E500</f>
        <v>0</v>
      </c>
      <c r="F500">
        <f>電力量!F501-電力量!F500</f>
        <v>30</v>
      </c>
      <c r="G500">
        <f>電力量!G501-電力量!G500</f>
        <v>68.19999999999709</v>
      </c>
      <c r="H500">
        <f>電力量!H501-電力量!H500</f>
        <v>11</v>
      </c>
      <c r="I500">
        <f>電力量!I501-電力量!I500</f>
        <v>271</v>
      </c>
      <c r="J500">
        <f>電力量!J501-電力量!J500</f>
        <v>11</v>
      </c>
      <c r="K500">
        <f>電力量!K501-電力量!K500</f>
        <v>3.3000000000029104</v>
      </c>
      <c r="L500">
        <f>電力量!L501-電力量!L500</f>
        <v>21.899999999994179</v>
      </c>
      <c r="M500">
        <f>電力量!M501-電力量!M500</f>
        <v>43.099999999998545</v>
      </c>
      <c r="N500">
        <f>電力量!N501-電力量!N500</f>
        <v>55.899999999994179</v>
      </c>
      <c r="O500">
        <f>電力量!O501-電力量!O500</f>
        <v>15.69999999999709</v>
      </c>
      <c r="P500">
        <f>電力量!P501-電力量!P500</f>
        <v>0</v>
      </c>
      <c r="Q500">
        <f>電力量!Q501-電力量!Q500</f>
        <v>1</v>
      </c>
      <c r="R500">
        <f>電力量!R501-電力量!R500</f>
        <v>0</v>
      </c>
    </row>
    <row r="501" spans="1:18">
      <c r="A501" s="4">
        <f t="shared" si="179"/>
        <v>45892.791666666664</v>
      </c>
      <c r="B501">
        <f>電力量!B502-電力量!B501</f>
        <v>825</v>
      </c>
      <c r="C501">
        <f>電力量!C502-電力量!C501</f>
        <v>242</v>
      </c>
      <c r="D501">
        <f>電力量!D502-電力量!D501</f>
        <v>16.100000000005821</v>
      </c>
      <c r="E501">
        <f>電力量!E502-電力量!E501</f>
        <v>0</v>
      </c>
      <c r="F501">
        <f>電力量!F502-電力量!F501</f>
        <v>30</v>
      </c>
      <c r="G501">
        <f>電力量!G502-電力量!G501</f>
        <v>68.5</v>
      </c>
      <c r="H501">
        <f>電力量!H502-電力量!H501</f>
        <v>12</v>
      </c>
      <c r="I501">
        <f>電力量!I502-電力量!I501</f>
        <v>244</v>
      </c>
      <c r="J501">
        <f>電力量!J502-電力量!J501</f>
        <v>10.599999999998545</v>
      </c>
      <c r="K501">
        <f>電力量!K502-電力量!K501</f>
        <v>3.1999999999970896</v>
      </c>
      <c r="L501">
        <f>電力量!L502-電力量!L501</f>
        <v>23.30000000000291</v>
      </c>
      <c r="M501">
        <f>電力量!M502-電力量!M501</f>
        <v>45.099999999998545</v>
      </c>
      <c r="N501">
        <f>電力量!N502-電力量!N501</f>
        <v>56.19999999999709</v>
      </c>
      <c r="O501">
        <f>電力量!O502-電力量!O501</f>
        <v>17.400000000008731</v>
      </c>
      <c r="P501">
        <f>電力量!P502-電力量!P501</f>
        <v>0</v>
      </c>
      <c r="Q501">
        <f>電力量!Q502-電力量!Q501</f>
        <v>0</v>
      </c>
      <c r="R501">
        <f>電力量!R502-電力量!R501</f>
        <v>0</v>
      </c>
    </row>
    <row r="502" spans="1:18">
      <c r="A502" s="4">
        <f t="shared" si="180"/>
        <v>45892.833333333336</v>
      </c>
      <c r="B502">
        <f>電力量!B503-電力量!B502</f>
        <v>786</v>
      </c>
      <c r="C502">
        <f>電力量!C503-電力量!C502</f>
        <v>226</v>
      </c>
      <c r="D502">
        <f>電力量!D503-電力量!D502</f>
        <v>15.19999999999709</v>
      </c>
      <c r="E502">
        <f>電力量!E503-電力量!E502</f>
        <v>0</v>
      </c>
      <c r="F502">
        <f>電力量!F503-電力量!F502</f>
        <v>26</v>
      </c>
      <c r="G502">
        <f>電力量!G503-電力量!G502</f>
        <v>65.700000000004366</v>
      </c>
      <c r="H502">
        <f>電力量!H503-電力量!H502</f>
        <v>11</v>
      </c>
      <c r="I502">
        <f>電力量!I503-電力量!I502</f>
        <v>229</v>
      </c>
      <c r="J502">
        <f>電力量!J503-電力量!J502</f>
        <v>10.5</v>
      </c>
      <c r="K502">
        <f>電力量!K503-電力量!K502</f>
        <v>3</v>
      </c>
      <c r="L502">
        <f>電力量!L503-電力量!L502</f>
        <v>23.5</v>
      </c>
      <c r="M502">
        <f>電力量!M503-電力量!M502</f>
        <v>44.30000000000291</v>
      </c>
      <c r="N502">
        <f>電力量!N503-電力量!N502</f>
        <v>56.100000000005821</v>
      </c>
      <c r="O502">
        <f>電力量!O503-電力量!O502</f>
        <v>18.799999999988358</v>
      </c>
      <c r="P502">
        <f>電力量!P503-電力量!P502</f>
        <v>0</v>
      </c>
      <c r="Q502">
        <f>電力量!Q503-電力量!Q502</f>
        <v>0</v>
      </c>
      <c r="R502">
        <f>電力量!R503-電力量!R502</f>
        <v>0</v>
      </c>
    </row>
    <row r="503" spans="1:18">
      <c r="A503" s="4">
        <f t="shared" si="181"/>
        <v>45892.875</v>
      </c>
      <c r="B503">
        <f>電力量!B504-電力量!B503</f>
        <v>782</v>
      </c>
      <c r="C503">
        <f>電力量!C504-電力量!C503</f>
        <v>212</v>
      </c>
      <c r="D503">
        <f>電力量!D504-電力量!D503</f>
        <v>15.19999999999709</v>
      </c>
      <c r="E503">
        <f>電力量!E504-電力量!E503</f>
        <v>0</v>
      </c>
      <c r="F503">
        <f>電力量!F504-電力量!F503</f>
        <v>27</v>
      </c>
      <c r="G503">
        <f>電力量!G504-電力量!G503</f>
        <v>59.400000000001455</v>
      </c>
      <c r="H503">
        <f>電力量!H504-電力量!H503</f>
        <v>11</v>
      </c>
      <c r="I503">
        <f>電力量!I504-電力量!I503</f>
        <v>239</v>
      </c>
      <c r="J503">
        <f>電力量!J504-電力量!J503</f>
        <v>10.100000000005821</v>
      </c>
      <c r="K503">
        <f>電力量!K504-電力量!K503</f>
        <v>3.1000000000058208</v>
      </c>
      <c r="L503">
        <f>電力量!L504-電力量!L503</f>
        <v>31.600000000005821</v>
      </c>
      <c r="M503">
        <f>電力量!M504-電力量!M503</f>
        <v>45</v>
      </c>
      <c r="N503">
        <f>電力量!N504-電力量!N503</f>
        <v>55.5</v>
      </c>
      <c r="O503">
        <f>電力量!O504-電力量!O503</f>
        <v>19.400000000008731</v>
      </c>
      <c r="P503">
        <f>電力量!P504-電力量!P503</f>
        <v>0</v>
      </c>
      <c r="Q503">
        <f>電力量!Q504-電力量!Q503</f>
        <v>0</v>
      </c>
      <c r="R503">
        <f>電力量!R504-電力量!R503</f>
        <v>0</v>
      </c>
    </row>
    <row r="504" spans="1:18">
      <c r="A504" s="4">
        <f t="shared" si="182"/>
        <v>45892.916666666664</v>
      </c>
      <c r="B504">
        <f>電力量!B505-電力量!B504</f>
        <v>773</v>
      </c>
      <c r="C504">
        <f>電力量!C505-電力量!C504</f>
        <v>205</v>
      </c>
      <c r="D504">
        <f>電力量!D505-電力量!D504</f>
        <v>17.400000000001455</v>
      </c>
      <c r="E504">
        <f>電力量!E505-電力量!E504</f>
        <v>0</v>
      </c>
      <c r="F504">
        <f>電力量!F505-電力量!F504</f>
        <v>27</v>
      </c>
      <c r="G504">
        <f>電力量!G505-電力量!G504</f>
        <v>57.899999999994179</v>
      </c>
      <c r="H504">
        <f>電力量!H505-電力量!H504</f>
        <v>11</v>
      </c>
      <c r="I504">
        <f>電力量!I505-電力量!I504</f>
        <v>237</v>
      </c>
      <c r="J504">
        <f>電力量!J505-電力量!J504</f>
        <v>10.299999999995634</v>
      </c>
      <c r="K504">
        <f>電力量!K505-電力量!K504</f>
        <v>3.1999999999970896</v>
      </c>
      <c r="L504">
        <f>電力量!L505-電力量!L504</f>
        <v>30.599999999991269</v>
      </c>
      <c r="M504">
        <f>電力量!M505-電力量!M504</f>
        <v>44.5</v>
      </c>
      <c r="N504">
        <f>電力量!N505-電力量!N504</f>
        <v>57.69999999999709</v>
      </c>
      <c r="O504">
        <f>電力量!O505-電力量!O504</f>
        <v>17.599999999991269</v>
      </c>
      <c r="P504">
        <f>電力量!P505-電力量!P504</f>
        <v>0</v>
      </c>
      <c r="Q504">
        <f>電力量!Q505-電力量!Q504</f>
        <v>0</v>
      </c>
      <c r="R504">
        <f>電力量!R505-電力量!R504</f>
        <v>0</v>
      </c>
    </row>
    <row r="505" spans="1:18">
      <c r="A505" s="4">
        <f t="shared" si="183"/>
        <v>45892.958333333336</v>
      </c>
      <c r="B505">
        <f>電力量!B506-電力量!B505</f>
        <v>766</v>
      </c>
      <c r="C505">
        <f>電力量!C506-電力量!C505</f>
        <v>208</v>
      </c>
      <c r="D505">
        <f>電力量!D506-電力量!D505</f>
        <v>19.900000000001455</v>
      </c>
      <c r="E505">
        <f>電力量!E506-電力量!E505</f>
        <v>0</v>
      </c>
      <c r="F505">
        <f>電力量!F506-電力量!F505</f>
        <v>24</v>
      </c>
      <c r="G505">
        <f>電力量!G506-電力量!G505</f>
        <v>58.5</v>
      </c>
      <c r="H505">
        <f>電力量!H506-電力量!H505</f>
        <v>11</v>
      </c>
      <c r="I505">
        <f>電力量!I506-電力量!I505</f>
        <v>232</v>
      </c>
      <c r="J505">
        <f>電力量!J506-電力量!J505</f>
        <v>10.200000000004366</v>
      </c>
      <c r="K505">
        <f>電力量!K506-電力量!K505</f>
        <v>2.8999999999941792</v>
      </c>
      <c r="L505">
        <f>電力量!L506-電力量!L505</f>
        <v>29.5</v>
      </c>
      <c r="M505">
        <f>電力量!M506-電力量!M505</f>
        <v>44.799999999995634</v>
      </c>
      <c r="N505">
        <f>電力量!N506-電力量!N505</f>
        <v>56.100000000005821</v>
      </c>
      <c r="O505">
        <f>電力量!O506-電力量!O505</f>
        <v>17.200000000011642</v>
      </c>
      <c r="P505">
        <f>電力量!P506-電力量!P505</f>
        <v>0</v>
      </c>
      <c r="Q505">
        <f>電力量!Q506-電力量!Q505</f>
        <v>0</v>
      </c>
      <c r="R505">
        <f>電力量!R506-電力量!R505</f>
        <v>0</v>
      </c>
    </row>
    <row r="506" spans="1:18">
      <c r="A506" s="4">
        <v>45893</v>
      </c>
      <c r="B506">
        <f>電力量!B507-電力量!B506</f>
        <v>746</v>
      </c>
      <c r="C506">
        <f>電力量!C507-電力量!C506</f>
        <v>207</v>
      </c>
      <c r="D506">
        <f>電力量!D507-電力量!D506</f>
        <v>18.099999999998545</v>
      </c>
      <c r="E506">
        <f>電力量!E507-電力量!E506</f>
        <v>0</v>
      </c>
      <c r="F506">
        <f>電力量!F507-電力量!F506</f>
        <v>24</v>
      </c>
      <c r="G506">
        <f>電力量!G507-電力量!G506</f>
        <v>59.700000000004366</v>
      </c>
      <c r="H506">
        <f>電力量!H507-電力量!H506</f>
        <v>11</v>
      </c>
      <c r="I506">
        <f>電力量!I507-電力量!I506</f>
        <v>218</v>
      </c>
      <c r="J506">
        <f>電力量!J507-電力量!J506</f>
        <v>9.8999999999941792</v>
      </c>
      <c r="K506">
        <f>電力量!K507-電力量!K506</f>
        <v>3</v>
      </c>
      <c r="L506">
        <f>電力量!L507-電力量!L506</f>
        <v>29.30000000000291</v>
      </c>
      <c r="M506">
        <f>電力量!M507-電力量!M506</f>
        <v>42.100000000005821</v>
      </c>
      <c r="N506">
        <f>電力量!N507-電力量!N506</f>
        <v>56</v>
      </c>
      <c r="O506">
        <f>電力量!O507-電力量!O506</f>
        <v>16.799999999988358</v>
      </c>
      <c r="P506">
        <f>電力量!P507-電力量!P506</f>
        <v>0</v>
      </c>
      <c r="Q506">
        <f>電力量!Q507-電力量!Q506</f>
        <v>0</v>
      </c>
      <c r="R506">
        <f>電力量!R507-電力量!R506</f>
        <v>0</v>
      </c>
    </row>
    <row r="507" spans="1:18">
      <c r="A507" s="4">
        <f t="shared" si="161"/>
        <v>45893.041666666664</v>
      </c>
      <c r="B507">
        <f>電力量!B508-電力量!B507</f>
        <v>728</v>
      </c>
      <c r="C507">
        <f>電力量!C508-電力量!C507</f>
        <v>202</v>
      </c>
      <c r="D507">
        <f>電力量!D508-電力量!D507</f>
        <v>16.30000000000291</v>
      </c>
      <c r="E507">
        <f>電力量!E508-電力量!E507</f>
        <v>0</v>
      </c>
      <c r="F507">
        <f>電力量!F508-電力量!F507</f>
        <v>23</v>
      </c>
      <c r="G507">
        <f>電力量!G508-電力量!G507</f>
        <v>58.799999999995634</v>
      </c>
      <c r="H507">
        <f>電力量!H508-電力量!H507</f>
        <v>10</v>
      </c>
      <c r="I507">
        <f>電力量!I508-電力量!I507</f>
        <v>212</v>
      </c>
      <c r="J507">
        <f>電力量!J508-電力量!J507</f>
        <v>9.9000000000014552</v>
      </c>
      <c r="K507">
        <f>電力量!K508-電力量!K507</f>
        <v>2.9000000000087311</v>
      </c>
      <c r="L507">
        <f>電力量!L508-電力量!L507</f>
        <v>25.69999999999709</v>
      </c>
      <c r="M507">
        <f>電力量!M508-電力量!M507</f>
        <v>40.799999999995634</v>
      </c>
      <c r="N507">
        <f>電力量!N508-電力量!N507</f>
        <v>55.69999999999709</v>
      </c>
      <c r="O507">
        <f>電力量!O508-電力量!O507</f>
        <v>17.80000000000291</v>
      </c>
      <c r="P507">
        <f>電力量!P508-電力量!P507</f>
        <v>0</v>
      </c>
      <c r="Q507">
        <f>電力量!Q508-電力量!Q507</f>
        <v>0</v>
      </c>
      <c r="R507">
        <f>電力量!R508-電力量!R507</f>
        <v>0</v>
      </c>
    </row>
    <row r="508" spans="1:18">
      <c r="A508" s="4">
        <f t="shared" si="162"/>
        <v>45893.083333333336</v>
      </c>
      <c r="B508">
        <f>電力量!B509-電力量!B508</f>
        <v>719</v>
      </c>
      <c r="C508">
        <f>電力量!C509-電力量!C508</f>
        <v>201</v>
      </c>
      <c r="D508">
        <f>電力量!D509-電力量!D508</f>
        <v>14.099999999998545</v>
      </c>
      <c r="E508">
        <f>電力量!E509-電力量!E508</f>
        <v>0</v>
      </c>
      <c r="F508">
        <f>電力量!F509-電力量!F508</f>
        <v>22</v>
      </c>
      <c r="G508">
        <f>電力量!G509-電力量!G508</f>
        <v>58.30000000000291</v>
      </c>
      <c r="H508">
        <f>電力量!H509-電力量!H508</f>
        <v>12</v>
      </c>
      <c r="I508">
        <f>電力量!I509-電力量!I508</f>
        <v>215</v>
      </c>
      <c r="J508">
        <f>電力量!J509-電力量!J508</f>
        <v>9.8000000000029104</v>
      </c>
      <c r="K508">
        <f>電力量!K509-電力量!K508</f>
        <v>2.8999999999941792</v>
      </c>
      <c r="L508">
        <f>電力量!L509-電力量!L508</f>
        <v>22.100000000005821</v>
      </c>
      <c r="M508">
        <f>電力量!M509-電力量!M508</f>
        <v>40.700000000004366</v>
      </c>
      <c r="N508">
        <f>電力量!N509-電力量!N508</f>
        <v>55.30000000000291</v>
      </c>
      <c r="O508">
        <f>電力量!O509-電力量!O508</f>
        <v>17.400000000008731</v>
      </c>
      <c r="P508">
        <f>電力量!P509-電力量!P508</f>
        <v>0</v>
      </c>
      <c r="Q508">
        <f>電力量!Q509-電力量!Q508</f>
        <v>0</v>
      </c>
      <c r="R508">
        <f>電力量!R509-電力量!R508</f>
        <v>0</v>
      </c>
    </row>
    <row r="509" spans="1:18">
      <c r="A509" s="4">
        <f t="shared" si="163"/>
        <v>45893.125</v>
      </c>
      <c r="B509">
        <f>電力量!B510-電力量!B509</f>
        <v>711</v>
      </c>
      <c r="C509">
        <f>電力量!C510-電力量!C509</f>
        <v>196</v>
      </c>
      <c r="D509">
        <f>電力量!D510-電力量!D509</f>
        <v>12.900000000001455</v>
      </c>
      <c r="E509">
        <f>電力量!E510-電力量!E509</f>
        <v>0</v>
      </c>
      <c r="F509">
        <f>電力量!F510-電力量!F509</f>
        <v>21</v>
      </c>
      <c r="G509">
        <f>電力量!G510-電力量!G509</f>
        <v>57.599999999998545</v>
      </c>
      <c r="H509">
        <f>電力量!H510-電力量!H509</f>
        <v>10</v>
      </c>
      <c r="I509">
        <f>電力量!I510-電力量!I509</f>
        <v>213</v>
      </c>
      <c r="J509">
        <f>電力量!J510-電力量!J509</f>
        <v>9.5999999999985448</v>
      </c>
      <c r="K509">
        <f>電力量!K510-電力量!K509</f>
        <v>2.8000000000029104</v>
      </c>
      <c r="L509">
        <f>電力量!L510-電力量!L509</f>
        <v>22.30000000000291</v>
      </c>
      <c r="M509">
        <f>電力量!M510-電力量!M509</f>
        <v>42.799999999995634</v>
      </c>
      <c r="N509">
        <f>電力量!N510-電力量!N509</f>
        <v>55.399999999994179</v>
      </c>
      <c r="O509">
        <f>電力量!O510-電力量!O509</f>
        <v>16.69999999999709</v>
      </c>
      <c r="P509">
        <f>電力量!P510-電力量!P509</f>
        <v>0</v>
      </c>
      <c r="Q509">
        <f>電力量!Q510-電力量!Q509</f>
        <v>0</v>
      </c>
      <c r="R509">
        <f>電力量!R510-電力量!R509</f>
        <v>0</v>
      </c>
    </row>
    <row r="510" spans="1:18">
      <c r="A510" s="4">
        <f t="shared" si="164"/>
        <v>45893.166666666664</v>
      </c>
      <c r="B510">
        <f>電力量!B511-電力量!B510</f>
        <v>703</v>
      </c>
      <c r="C510">
        <f>電力量!C511-電力量!C510</f>
        <v>193</v>
      </c>
      <c r="D510">
        <f>電力量!D511-電力量!D510</f>
        <v>13.400000000001455</v>
      </c>
      <c r="E510">
        <f>電力量!E511-電力量!E510</f>
        <v>0</v>
      </c>
      <c r="F510">
        <f>電力量!F511-電力量!F510</f>
        <v>22</v>
      </c>
      <c r="G510">
        <f>電力量!G511-電力量!G510</f>
        <v>54.700000000004366</v>
      </c>
      <c r="H510">
        <f>電力量!H511-電力量!H510</f>
        <v>11</v>
      </c>
      <c r="I510">
        <f>電力量!I511-電力量!I510</f>
        <v>213</v>
      </c>
      <c r="J510">
        <f>電力量!J511-電力量!J510</f>
        <v>9.5999999999985448</v>
      </c>
      <c r="K510">
        <f>電力量!K511-電力量!K510</f>
        <v>2.8999999999941792</v>
      </c>
      <c r="L510">
        <f>電力量!L511-電力量!L510</f>
        <v>22.099999999991269</v>
      </c>
      <c r="M510">
        <f>電力量!M511-電力量!M510</f>
        <v>40.400000000001455</v>
      </c>
      <c r="N510">
        <f>電力量!N511-電力量!N510</f>
        <v>55.30000000000291</v>
      </c>
      <c r="O510">
        <f>電力量!O511-電力量!O510</f>
        <v>17.80000000000291</v>
      </c>
      <c r="P510">
        <f>電力量!P511-電力量!P510</f>
        <v>0</v>
      </c>
      <c r="Q510">
        <f>電力量!Q511-電力量!Q510</f>
        <v>0</v>
      </c>
      <c r="R510">
        <f>電力量!R511-電力量!R510</f>
        <v>0</v>
      </c>
    </row>
    <row r="511" spans="1:18">
      <c r="A511" s="4">
        <f t="shared" si="165"/>
        <v>45893.208333333336</v>
      </c>
      <c r="B511">
        <f>電力量!B512-電力量!B511</f>
        <v>695</v>
      </c>
      <c r="C511">
        <f>電力量!C512-電力量!C511</f>
        <v>192</v>
      </c>
      <c r="D511">
        <f>電力量!D512-電力量!D511</f>
        <v>12.599999999998545</v>
      </c>
      <c r="E511">
        <f>電力量!E512-電力量!E511</f>
        <v>0</v>
      </c>
      <c r="F511">
        <f>電力量!F512-電力量!F511</f>
        <v>20</v>
      </c>
      <c r="G511">
        <f>電力量!G512-電力量!G511</f>
        <v>54.099999999998545</v>
      </c>
      <c r="H511">
        <f>電力量!H512-電力量!H511</f>
        <v>11</v>
      </c>
      <c r="I511">
        <f>電力量!I512-電力量!I511</f>
        <v>207</v>
      </c>
      <c r="J511">
        <f>電力量!J512-電力量!J511</f>
        <v>9.5999999999985448</v>
      </c>
      <c r="K511">
        <f>電力量!K512-電力量!K511</f>
        <v>2.8000000000029104</v>
      </c>
      <c r="L511">
        <f>電力量!L512-電力量!L511</f>
        <v>21.700000000011642</v>
      </c>
      <c r="M511">
        <f>電力量!M512-電力量!M511</f>
        <v>39.5</v>
      </c>
      <c r="N511">
        <f>電力量!N512-電力量!N511</f>
        <v>55.19999999999709</v>
      </c>
      <c r="O511">
        <f>電力量!O512-電力量!O511</f>
        <v>17.599999999991269</v>
      </c>
      <c r="P511">
        <f>電力量!P512-電力量!P511</f>
        <v>0</v>
      </c>
      <c r="Q511">
        <f>電力量!Q512-電力量!Q511</f>
        <v>0</v>
      </c>
      <c r="R511">
        <f>電力量!R512-電力量!R511</f>
        <v>0</v>
      </c>
    </row>
    <row r="512" spans="1:18">
      <c r="A512" s="4">
        <f t="shared" si="166"/>
        <v>45893.25</v>
      </c>
      <c r="B512">
        <f>電力量!B513-電力量!B512</f>
        <v>685</v>
      </c>
      <c r="C512">
        <f>電力量!C513-電力量!C512</f>
        <v>193</v>
      </c>
      <c r="D512">
        <f>電力量!D513-電力量!D512</f>
        <v>13.19999999999709</v>
      </c>
      <c r="E512">
        <f>電力量!E513-電力量!E512</f>
        <v>0</v>
      </c>
      <c r="F512">
        <f>電力量!F513-電力量!F512</f>
        <v>21</v>
      </c>
      <c r="G512">
        <f>電力量!G513-電力量!G512</f>
        <v>52.5</v>
      </c>
      <c r="H512">
        <f>電力量!H513-電力量!H512</f>
        <v>10</v>
      </c>
      <c r="I512">
        <f>電力量!I513-電力量!I512</f>
        <v>204</v>
      </c>
      <c r="J512">
        <f>電力量!J513-電力量!J512</f>
        <v>9.4000000000014552</v>
      </c>
      <c r="K512">
        <f>電力量!K513-電力量!K512</f>
        <v>2.3000000000029104</v>
      </c>
      <c r="L512">
        <f>電力量!L513-電力量!L512</f>
        <v>20.19999999999709</v>
      </c>
      <c r="M512">
        <f>電力量!M513-電力量!M512</f>
        <v>39.5</v>
      </c>
      <c r="N512">
        <f>電力量!N513-電力量!N512</f>
        <v>54.80000000000291</v>
      </c>
      <c r="O512">
        <f>電力量!O513-電力量!O512</f>
        <v>14.80000000000291</v>
      </c>
      <c r="P512">
        <f>電力量!P513-電力量!P512</f>
        <v>0</v>
      </c>
      <c r="Q512">
        <f>電力量!Q513-電力量!Q512</f>
        <v>0</v>
      </c>
      <c r="R512">
        <f>電力量!R513-電力量!R512</f>
        <v>0</v>
      </c>
    </row>
    <row r="513" spans="1:18">
      <c r="A513" s="4">
        <f t="shared" si="167"/>
        <v>45893.291666666664</v>
      </c>
      <c r="B513">
        <f>電力量!B514-電力量!B513</f>
        <v>695</v>
      </c>
      <c r="C513">
        <f>電力量!C514-電力量!C513</f>
        <v>200</v>
      </c>
      <c r="D513">
        <f>電力量!D514-電力量!D513</f>
        <v>13.200000000004366</v>
      </c>
      <c r="E513">
        <f>電力量!E514-電力量!E513</f>
        <v>0</v>
      </c>
      <c r="F513">
        <f>電力量!F514-電力量!F513</f>
        <v>22</v>
      </c>
      <c r="G513">
        <f>電力量!G514-電力量!G513</f>
        <v>51</v>
      </c>
      <c r="H513">
        <f>電力量!H514-電力量!H513</f>
        <v>11</v>
      </c>
      <c r="I513">
        <f>電力量!I514-電力量!I513</f>
        <v>208</v>
      </c>
      <c r="J513">
        <f>電力量!J514-電力量!J513</f>
        <v>9.5999999999985448</v>
      </c>
      <c r="K513">
        <f>電力量!K514-電力量!K513</f>
        <v>0.5</v>
      </c>
      <c r="L513">
        <f>電力量!L514-電力量!L513</f>
        <v>19.30000000000291</v>
      </c>
      <c r="M513">
        <f>電力量!M514-電力量!M513</f>
        <v>41.099999999998545</v>
      </c>
      <c r="N513">
        <f>電力量!N514-電力量!N513</f>
        <v>53.19999999999709</v>
      </c>
      <c r="O513">
        <f>電力量!O514-電力量!O513</f>
        <v>16.600000000005821</v>
      </c>
      <c r="P513">
        <f>電力量!P514-電力量!P513</f>
        <v>2</v>
      </c>
      <c r="Q513">
        <f>電力量!Q514-電力量!Q513</f>
        <v>2</v>
      </c>
      <c r="R513">
        <f>電力量!R514-電力量!R513</f>
        <v>0</v>
      </c>
    </row>
    <row r="514" spans="1:18">
      <c r="A514" s="4">
        <f t="shared" si="168"/>
        <v>45893.333333333336</v>
      </c>
      <c r="B514">
        <f>電力量!B515-電力量!B514</f>
        <v>710</v>
      </c>
      <c r="C514">
        <f>電力量!C515-電力量!C514</f>
        <v>201</v>
      </c>
      <c r="D514">
        <f>電力量!D515-電力量!D514</f>
        <v>13.399999999994179</v>
      </c>
      <c r="E514">
        <f>電力量!E515-電力量!E514</f>
        <v>0</v>
      </c>
      <c r="F514">
        <f>電力量!F515-電力量!F514</f>
        <v>23</v>
      </c>
      <c r="G514">
        <f>電力量!G515-電力量!G514</f>
        <v>49.599999999998545</v>
      </c>
      <c r="H514">
        <f>電力量!H515-電力量!H514</f>
        <v>11</v>
      </c>
      <c r="I514">
        <f>電力量!I515-電力量!I514</f>
        <v>219</v>
      </c>
      <c r="J514">
        <f>電力量!J515-電力量!J514</f>
        <v>10</v>
      </c>
      <c r="K514">
        <f>電力量!K515-電力量!K514</f>
        <v>9.9999999991268851E-2</v>
      </c>
      <c r="L514">
        <f>電力量!L515-電力量!L514</f>
        <v>18.899999999994179</v>
      </c>
      <c r="M514">
        <f>電力量!M515-電力量!M514</f>
        <v>43</v>
      </c>
      <c r="N514">
        <f>電力量!N515-電力量!N514</f>
        <v>52</v>
      </c>
      <c r="O514">
        <f>電力量!O515-電力量!O514</f>
        <v>18.099999999991269</v>
      </c>
      <c r="P514">
        <f>電力量!P515-電力量!P514</f>
        <v>2</v>
      </c>
      <c r="Q514">
        <f>電力量!Q515-電力量!Q514</f>
        <v>4</v>
      </c>
      <c r="R514">
        <f>電力量!R515-電力量!R514</f>
        <v>0</v>
      </c>
    </row>
    <row r="515" spans="1:18">
      <c r="A515" s="4">
        <f t="shared" si="169"/>
        <v>45893.375</v>
      </c>
      <c r="B515">
        <f>電力量!B516-電力量!B515</f>
        <v>719</v>
      </c>
      <c r="C515">
        <f>電力量!C516-電力量!C515</f>
        <v>208</v>
      </c>
      <c r="D515">
        <f>電力量!D516-電力量!D515</f>
        <v>13.600000000005821</v>
      </c>
      <c r="E515">
        <f>電力量!E516-電力量!E515</f>
        <v>0</v>
      </c>
      <c r="F515">
        <f>電力量!F516-電力量!F515</f>
        <v>24</v>
      </c>
      <c r="G515">
        <f>電力量!G516-電力量!G515</f>
        <v>44.80000000000291</v>
      </c>
      <c r="H515">
        <f>電力量!H516-電力量!H515</f>
        <v>12</v>
      </c>
      <c r="I515">
        <f>電力量!I516-電力量!I515</f>
        <v>232</v>
      </c>
      <c r="J515">
        <f>電力量!J516-電力量!J515</f>
        <v>10.400000000001455</v>
      </c>
      <c r="K515">
        <f>電力量!K516-電力量!K515</f>
        <v>0</v>
      </c>
      <c r="L515">
        <f>電力量!L516-電力量!L515</f>
        <v>19.19999999999709</v>
      </c>
      <c r="M515">
        <f>電力量!M516-電力量!M515</f>
        <v>41.30000000000291</v>
      </c>
      <c r="N515">
        <f>電力量!N516-電力量!N515</f>
        <v>50.80000000000291</v>
      </c>
      <c r="O515">
        <f>電力量!O516-電力量!O515</f>
        <v>17.600000000005821</v>
      </c>
      <c r="P515">
        <f>電力量!P516-電力量!P515</f>
        <v>7</v>
      </c>
      <c r="Q515">
        <f>電力量!Q516-電力量!Q515</f>
        <v>11</v>
      </c>
      <c r="R515">
        <f>電力量!R516-電力量!R515</f>
        <v>0</v>
      </c>
    </row>
    <row r="516" spans="1:18">
      <c r="A516" s="4">
        <f t="shared" si="170"/>
        <v>45893.416666666664</v>
      </c>
      <c r="B516">
        <f>電力量!B517-電力量!B516</f>
        <v>724</v>
      </c>
      <c r="C516">
        <f>電力量!C517-電力量!C516</f>
        <v>214</v>
      </c>
      <c r="D516">
        <f>電力量!D517-電力量!D516</f>
        <v>20.69999999999709</v>
      </c>
      <c r="E516">
        <f>電力量!E517-電力量!E516</f>
        <v>0</v>
      </c>
      <c r="F516">
        <f>電力量!F517-電力量!F516</f>
        <v>26</v>
      </c>
      <c r="G516">
        <f>電力量!G517-電力量!G516</f>
        <v>36.799999999995634</v>
      </c>
      <c r="H516">
        <f>電力量!H517-電力量!H516</f>
        <v>11</v>
      </c>
      <c r="I516">
        <f>電力量!I517-電力量!I516</f>
        <v>237</v>
      </c>
      <c r="J516">
        <f>電力量!J517-電力量!J516</f>
        <v>11.30000000000291</v>
      </c>
      <c r="K516">
        <f>電力量!K517-電力量!K516</f>
        <v>0</v>
      </c>
      <c r="L516">
        <f>電力量!L517-電力量!L516</f>
        <v>20.80000000000291</v>
      </c>
      <c r="M516">
        <f>電力量!M517-電力量!M516</f>
        <v>42.599999999998545</v>
      </c>
      <c r="N516">
        <f>電力量!N517-電力量!N516</f>
        <v>45</v>
      </c>
      <c r="O516">
        <f>電力量!O517-電力量!O516</f>
        <v>18.19999999999709</v>
      </c>
      <c r="P516">
        <f>電力量!P517-電力量!P516</f>
        <v>12</v>
      </c>
      <c r="Q516">
        <f>電力量!Q517-電力量!Q516</f>
        <v>18</v>
      </c>
      <c r="R516">
        <f>電力量!R517-電力量!R516</f>
        <v>0</v>
      </c>
    </row>
    <row r="517" spans="1:18">
      <c r="A517" s="4">
        <f t="shared" si="171"/>
        <v>45893.458333333336</v>
      </c>
      <c r="B517">
        <f>電力量!B518-電力量!B517</f>
        <v>728</v>
      </c>
      <c r="C517">
        <f>電力量!C518-電力量!C517</f>
        <v>218</v>
      </c>
      <c r="D517">
        <f>電力量!D518-電力量!D517</f>
        <v>18.400000000001455</v>
      </c>
      <c r="E517">
        <f>電力量!E518-電力量!E517</f>
        <v>0</v>
      </c>
      <c r="F517">
        <f>電力量!F518-電力量!F517</f>
        <v>29</v>
      </c>
      <c r="G517">
        <f>電力量!G518-電力量!G517</f>
        <v>34.30000000000291</v>
      </c>
      <c r="H517">
        <f>電力量!H518-電力量!H517</f>
        <v>10</v>
      </c>
      <c r="I517">
        <f>電力量!I518-電力量!I517</f>
        <v>235</v>
      </c>
      <c r="J517">
        <f>電力量!J518-電力量!J517</f>
        <v>11.599999999998545</v>
      </c>
      <c r="K517">
        <f>電力量!K518-電力量!K517</f>
        <v>0</v>
      </c>
      <c r="L517">
        <f>電力量!L518-電力量!L517</f>
        <v>24.100000000005821</v>
      </c>
      <c r="M517">
        <f>電力量!M518-電力量!M517</f>
        <v>45.400000000001455</v>
      </c>
      <c r="N517">
        <f>電力量!N518-電力量!N517</f>
        <v>41.600000000005821</v>
      </c>
      <c r="O517">
        <f>電力量!O518-電力量!O517</f>
        <v>18.30000000000291</v>
      </c>
      <c r="P517">
        <f>電力量!P518-電力量!P517</f>
        <v>14</v>
      </c>
      <c r="Q517">
        <f>電力量!Q518-電力量!Q517</f>
        <v>22</v>
      </c>
      <c r="R517">
        <f>電力量!R518-電力量!R517</f>
        <v>0</v>
      </c>
    </row>
    <row r="518" spans="1:18">
      <c r="A518" s="4">
        <f t="shared" si="172"/>
        <v>45893.5</v>
      </c>
      <c r="B518">
        <f>電力量!B519-電力量!B518</f>
        <v>757</v>
      </c>
      <c r="C518">
        <f>電力量!C519-電力量!C518</f>
        <v>231</v>
      </c>
      <c r="D518">
        <f>電力量!D519-電力量!D518</f>
        <v>17.599999999998545</v>
      </c>
      <c r="E518">
        <f>電力量!E519-電力量!E518</f>
        <v>0</v>
      </c>
      <c r="F518">
        <f>電力量!F519-電力量!F518</f>
        <v>35</v>
      </c>
      <c r="G518">
        <f>電力量!G519-電力量!G518</f>
        <v>36.69999999999709</v>
      </c>
      <c r="H518">
        <f>電力量!H519-電力量!H518</f>
        <v>11</v>
      </c>
      <c r="I518">
        <f>電力量!I519-電力量!I518</f>
        <v>246</v>
      </c>
      <c r="J518">
        <f>電力量!J519-電力量!J518</f>
        <v>11.80000000000291</v>
      </c>
      <c r="K518">
        <f>電力量!K519-電力量!K518</f>
        <v>0</v>
      </c>
      <c r="L518">
        <f>電力量!L519-電力量!L518</f>
        <v>28</v>
      </c>
      <c r="M518">
        <f>電力量!M519-電力量!M518</f>
        <v>44.69999999999709</v>
      </c>
      <c r="N518">
        <f>電力量!N519-電力量!N518</f>
        <v>39.399999999994179</v>
      </c>
      <c r="O518">
        <f>電力量!O519-電力量!O518</f>
        <v>17.80000000000291</v>
      </c>
      <c r="P518">
        <f>電力量!P519-電力量!P518</f>
        <v>16</v>
      </c>
      <c r="Q518">
        <f>電力量!Q519-電力量!Q518</f>
        <v>23</v>
      </c>
      <c r="R518">
        <f>電力量!R519-電力量!R518</f>
        <v>0</v>
      </c>
    </row>
    <row r="519" spans="1:18">
      <c r="A519" s="4">
        <f t="shared" si="173"/>
        <v>45893.541666666664</v>
      </c>
      <c r="B519">
        <f>電力量!B520-電力量!B519</f>
        <v>822</v>
      </c>
      <c r="C519">
        <f>電力量!C520-電力量!C519</f>
        <v>240</v>
      </c>
      <c r="D519">
        <f>電力量!D520-電力量!D519</f>
        <v>18.400000000001455</v>
      </c>
      <c r="E519">
        <f>電力量!E520-電力量!E519</f>
        <v>0</v>
      </c>
      <c r="F519">
        <f>電力量!F520-電力量!F519</f>
        <v>35</v>
      </c>
      <c r="G519">
        <f>電力量!G520-電力量!G519</f>
        <v>47</v>
      </c>
      <c r="H519">
        <f>電力量!H520-電力量!H519</f>
        <v>12</v>
      </c>
      <c r="I519">
        <f>電力量!I520-電力量!I519</f>
        <v>277</v>
      </c>
      <c r="J519">
        <f>電力量!J520-電力量!J519</f>
        <v>11.69999999999709</v>
      </c>
      <c r="K519">
        <f>電力量!K520-電力量!K519</f>
        <v>0</v>
      </c>
      <c r="L519">
        <f>電力量!L520-電力量!L519</f>
        <v>30.799999999988358</v>
      </c>
      <c r="M519">
        <f>電力量!M520-電力量!M519</f>
        <v>50</v>
      </c>
      <c r="N519">
        <f>電力量!N520-電力量!N519</f>
        <v>40</v>
      </c>
      <c r="O519">
        <f>電力量!O520-電力量!O519</f>
        <v>18</v>
      </c>
      <c r="P519">
        <f>電力量!P520-電力量!P519</f>
        <v>15</v>
      </c>
      <c r="Q519">
        <f>電力量!Q520-電力量!Q519</f>
        <v>24</v>
      </c>
      <c r="R519">
        <f>電力量!R520-電力量!R519</f>
        <v>0</v>
      </c>
    </row>
    <row r="520" spans="1:18">
      <c r="A520" s="4">
        <f t="shared" si="174"/>
        <v>45893.583333333336</v>
      </c>
      <c r="B520">
        <f>電力量!B521-電力量!B520</f>
        <v>847</v>
      </c>
      <c r="C520">
        <f>電力量!C521-電力量!C520</f>
        <v>243</v>
      </c>
      <c r="D520">
        <f>電力量!D521-電力量!D520</f>
        <v>24.19999999999709</v>
      </c>
      <c r="E520">
        <f>電力量!E521-電力量!E520</f>
        <v>0</v>
      </c>
      <c r="F520">
        <f>電力量!F521-電力量!F520</f>
        <v>36</v>
      </c>
      <c r="G520">
        <f>電力量!G521-電力量!G520</f>
        <v>50.700000000004366</v>
      </c>
      <c r="H520">
        <f>電力量!H521-電力量!H520</f>
        <v>11</v>
      </c>
      <c r="I520">
        <f>電力量!I521-電力量!I520</f>
        <v>289</v>
      </c>
      <c r="J520">
        <f>電力量!J521-電力量!J520</f>
        <v>12</v>
      </c>
      <c r="K520">
        <f>電力量!K521-電力量!K520</f>
        <v>0</v>
      </c>
      <c r="L520">
        <f>電力量!L521-電力量!L520</f>
        <v>28.100000000005821</v>
      </c>
      <c r="M520">
        <f>電力量!M521-電力量!M520</f>
        <v>46.5</v>
      </c>
      <c r="N520">
        <f>電力量!N521-電力量!N520</f>
        <v>41.899999999994179</v>
      </c>
      <c r="O520">
        <f>電力量!O521-電力量!O520</f>
        <v>17.399999999994179</v>
      </c>
      <c r="P520">
        <f>電力量!P521-電力量!P520</f>
        <v>14</v>
      </c>
      <c r="Q520">
        <f>電力量!Q521-電力量!Q520</f>
        <v>21</v>
      </c>
      <c r="R520">
        <f>電力量!R521-電力量!R520</f>
        <v>0</v>
      </c>
    </row>
    <row r="521" spans="1:18">
      <c r="A521" s="4">
        <f t="shared" si="175"/>
        <v>45893.625</v>
      </c>
      <c r="B521">
        <f>電力量!B522-電力量!B521</f>
        <v>884</v>
      </c>
      <c r="C521">
        <f>電力量!C522-電力量!C521</f>
        <v>252</v>
      </c>
      <c r="D521">
        <f>電力量!D522-電力量!D521</f>
        <v>23.599999999998545</v>
      </c>
      <c r="E521">
        <f>電力量!E522-電力量!E521</f>
        <v>0</v>
      </c>
      <c r="F521">
        <f>電力量!F522-電力量!F521</f>
        <v>37</v>
      </c>
      <c r="G521">
        <f>電力量!G522-電力量!G521</f>
        <v>60.099999999998545</v>
      </c>
      <c r="H521">
        <f>電力量!H522-電力量!H521</f>
        <v>12</v>
      </c>
      <c r="I521">
        <f>電力量!I522-電力量!I521</f>
        <v>292</v>
      </c>
      <c r="J521">
        <f>電力量!J522-電力量!J521</f>
        <v>12.5</v>
      </c>
      <c r="K521">
        <f>電力量!K522-電力量!K521</f>
        <v>0</v>
      </c>
      <c r="L521">
        <f>電力量!L522-電力量!L521</f>
        <v>26.30000000000291</v>
      </c>
      <c r="M521">
        <f>電力量!M522-電力量!M521</f>
        <v>54</v>
      </c>
      <c r="N521">
        <f>電力量!N522-電力量!N521</f>
        <v>45.5</v>
      </c>
      <c r="O521">
        <f>電力量!O522-電力量!O521</f>
        <v>17.80000000000291</v>
      </c>
      <c r="P521">
        <f>電力量!P522-電力量!P521</f>
        <v>12</v>
      </c>
      <c r="Q521">
        <f>電力量!Q522-電力量!Q521</f>
        <v>17</v>
      </c>
      <c r="R521">
        <f>電力量!R522-電力量!R521</f>
        <v>0</v>
      </c>
    </row>
    <row r="522" spans="1:18">
      <c r="A522" s="4">
        <f t="shared" si="176"/>
        <v>45893.666666666664</v>
      </c>
      <c r="B522">
        <f>電力量!B523-電力量!B522</f>
        <v>891</v>
      </c>
      <c r="C522">
        <f>電力量!C523-電力量!C522</f>
        <v>252</v>
      </c>
      <c r="D522">
        <f>電力量!D523-電力量!D522</f>
        <v>24.600000000005821</v>
      </c>
      <c r="E522">
        <f>電力量!E523-電力量!E522</f>
        <v>0</v>
      </c>
      <c r="F522">
        <f>電力量!F523-電力量!F522</f>
        <v>36</v>
      </c>
      <c r="G522">
        <f>電力量!G523-電力量!G522</f>
        <v>66.19999999999709</v>
      </c>
      <c r="H522">
        <f>電力量!H523-電力量!H522</f>
        <v>11</v>
      </c>
      <c r="I522">
        <f>電力量!I523-電力量!I522</f>
        <v>287</v>
      </c>
      <c r="J522">
        <f>電力量!J523-電力量!J522</f>
        <v>12.80000000000291</v>
      </c>
      <c r="K522">
        <f>電力量!K523-電力量!K522</f>
        <v>0</v>
      </c>
      <c r="L522">
        <f>電力量!L523-電力量!L522</f>
        <v>23.5</v>
      </c>
      <c r="M522">
        <f>電力量!M523-電力量!M522</f>
        <v>49.099999999998545</v>
      </c>
      <c r="N522">
        <f>電力量!N523-電力量!N522</f>
        <v>52.200000000011642</v>
      </c>
      <c r="O522">
        <f>電力量!O523-電力量!O522</f>
        <v>18.599999999991269</v>
      </c>
      <c r="P522">
        <f>電力量!P523-電力量!P522</f>
        <v>6</v>
      </c>
      <c r="Q522">
        <f>電力量!Q523-電力量!Q522</f>
        <v>10</v>
      </c>
      <c r="R522">
        <f>電力量!R523-電力量!R522</f>
        <v>0</v>
      </c>
    </row>
    <row r="523" spans="1:18">
      <c r="A523" s="4">
        <f t="shared" si="177"/>
        <v>45893.708333333336</v>
      </c>
      <c r="B523">
        <f>電力量!B524-電力量!B523</f>
        <v>866</v>
      </c>
      <c r="C523">
        <f>電力量!C524-電力量!C523</f>
        <v>242</v>
      </c>
      <c r="D523">
        <f>電力量!D524-電力量!D523</f>
        <v>19.299999999995634</v>
      </c>
      <c r="E523">
        <f>電力量!E524-電力量!E523</f>
        <v>0</v>
      </c>
      <c r="F523">
        <f>電力量!F524-電力量!F523</f>
        <v>33</v>
      </c>
      <c r="G523">
        <f>電力量!G524-電力量!G523</f>
        <v>68.30000000000291</v>
      </c>
      <c r="H523">
        <f>電力量!H524-電力量!H523</f>
        <v>11</v>
      </c>
      <c r="I523">
        <f>電力量!I524-電力量!I523</f>
        <v>277</v>
      </c>
      <c r="J523">
        <f>電力量!J524-電力量!J523</f>
        <v>12.099999999998545</v>
      </c>
      <c r="K523">
        <f>電力量!K524-電力量!K523</f>
        <v>2</v>
      </c>
      <c r="L523">
        <f>電力量!L524-電力量!L523</f>
        <v>22.5</v>
      </c>
      <c r="M523">
        <f>電力量!M524-電力量!M523</f>
        <v>45.600000000005821</v>
      </c>
      <c r="N523">
        <f>電力量!N524-電力量!N523</f>
        <v>54</v>
      </c>
      <c r="O523">
        <f>電力量!O524-電力量!O523</f>
        <v>18.100000000005821</v>
      </c>
      <c r="P523">
        <f>電力量!P524-電力量!P523</f>
        <v>3</v>
      </c>
      <c r="Q523">
        <f>電力量!Q524-電力量!Q523</f>
        <v>5</v>
      </c>
      <c r="R523">
        <f>電力量!R524-電力量!R523</f>
        <v>0</v>
      </c>
    </row>
    <row r="524" spans="1:18">
      <c r="A524" s="4">
        <f t="shared" si="178"/>
        <v>45893.75</v>
      </c>
      <c r="B524">
        <f>電力量!B525-電力量!B524</f>
        <v>847</v>
      </c>
      <c r="C524">
        <f>電力量!C525-電力量!C524</f>
        <v>235</v>
      </c>
      <c r="D524">
        <f>電力量!D525-電力量!D524</f>
        <v>17.5</v>
      </c>
      <c r="E524">
        <f>電力量!E525-電力量!E524</f>
        <v>0</v>
      </c>
      <c r="F524">
        <f>電力量!F525-電力量!F524</f>
        <v>32</v>
      </c>
      <c r="G524">
        <f>電力量!G525-電力量!G524</f>
        <v>69</v>
      </c>
      <c r="H524">
        <f>電力量!H525-電力量!H524</f>
        <v>12</v>
      </c>
      <c r="I524">
        <f>電力量!I525-電力量!I524</f>
        <v>270</v>
      </c>
      <c r="J524">
        <f>電力量!J525-電力量!J524</f>
        <v>11.5</v>
      </c>
      <c r="K524">
        <f>電力量!K525-電力量!K524</f>
        <v>3</v>
      </c>
      <c r="L524">
        <f>電力量!L525-電力量!L524</f>
        <v>22.099999999991269</v>
      </c>
      <c r="M524">
        <f>電力量!M525-電力量!M524</f>
        <v>47</v>
      </c>
      <c r="N524">
        <f>電力量!N525-電力量!N524</f>
        <v>56.099999999991269</v>
      </c>
      <c r="O524">
        <f>電力量!O525-電力量!O524</f>
        <v>15.5</v>
      </c>
      <c r="P524">
        <f>電力量!P525-電力量!P524</f>
        <v>0</v>
      </c>
      <c r="Q524">
        <f>電力量!Q525-電力量!Q524</f>
        <v>0</v>
      </c>
      <c r="R524">
        <f>電力量!R525-電力量!R524</f>
        <v>0</v>
      </c>
    </row>
    <row r="525" spans="1:18">
      <c r="A525" s="4">
        <f t="shared" si="179"/>
        <v>45893.791666666664</v>
      </c>
      <c r="B525">
        <f>電力量!B526-電力量!B525</f>
        <v>824</v>
      </c>
      <c r="C525">
        <f>電力量!C526-電力量!C525</f>
        <v>218</v>
      </c>
      <c r="D525">
        <f>電力量!D526-電力量!D525</f>
        <v>15.5</v>
      </c>
      <c r="E525">
        <f>電力量!E526-電力量!E525</f>
        <v>0</v>
      </c>
      <c r="F525">
        <f>電力量!F526-電力量!F525</f>
        <v>30</v>
      </c>
      <c r="G525">
        <f>電力量!G526-電力量!G525</f>
        <v>68.099999999998545</v>
      </c>
      <c r="H525">
        <f>電力量!H526-電力量!H525</f>
        <v>11</v>
      </c>
      <c r="I525">
        <f>電力量!I526-電力量!I525</f>
        <v>269</v>
      </c>
      <c r="J525">
        <f>電力量!J526-電力量!J525</f>
        <v>10.599999999998545</v>
      </c>
      <c r="K525">
        <f>電力量!K526-電力量!K525</f>
        <v>3</v>
      </c>
      <c r="L525">
        <f>電力量!L526-電力量!L525</f>
        <v>22.30000000000291</v>
      </c>
      <c r="M525">
        <f>電力量!M526-電力量!M525</f>
        <v>44.69999999999709</v>
      </c>
      <c r="N525">
        <f>電力量!N526-電力量!N525</f>
        <v>56.400000000008731</v>
      </c>
      <c r="O525">
        <f>電力量!O526-電力量!O525</f>
        <v>17.30000000000291</v>
      </c>
      <c r="P525">
        <f>電力量!P526-電力量!P525</f>
        <v>0</v>
      </c>
      <c r="Q525">
        <f>電力量!Q526-電力量!Q525</f>
        <v>0</v>
      </c>
      <c r="R525">
        <f>電力量!R526-電力量!R525</f>
        <v>0</v>
      </c>
    </row>
    <row r="526" spans="1:18">
      <c r="A526" s="4">
        <f t="shared" si="180"/>
        <v>45893.833333333336</v>
      </c>
      <c r="B526">
        <f>電力量!B527-電力量!B526</f>
        <v>801</v>
      </c>
      <c r="C526">
        <f>電力量!C527-電力量!C526</f>
        <v>210</v>
      </c>
      <c r="D526">
        <f>電力量!D527-電力量!D526</f>
        <v>14.80000000000291</v>
      </c>
      <c r="E526">
        <f>電力量!E527-電力量!E526</f>
        <v>0</v>
      </c>
      <c r="F526">
        <f>電力量!F527-電力量!F526</f>
        <v>30</v>
      </c>
      <c r="G526">
        <f>電力量!G527-電力量!G526</f>
        <v>66.80000000000291</v>
      </c>
      <c r="H526">
        <f>電力量!H527-電力量!H526</f>
        <v>11</v>
      </c>
      <c r="I526">
        <f>電力量!I527-電力量!I526</f>
        <v>253</v>
      </c>
      <c r="J526">
        <f>電力量!J527-電力量!J526</f>
        <v>10.099999999998545</v>
      </c>
      <c r="K526">
        <f>電力量!K527-電力量!K526</f>
        <v>3.1000000000058208</v>
      </c>
      <c r="L526">
        <f>電力量!L527-電力量!L526</f>
        <v>30.600000000005821</v>
      </c>
      <c r="M526">
        <f>電力量!M527-電力量!M526</f>
        <v>42.099999999998545</v>
      </c>
      <c r="N526">
        <f>電力量!N527-電力量!N526</f>
        <v>55.899999999994179</v>
      </c>
      <c r="O526">
        <f>電力量!O527-電力量!O526</f>
        <v>17.599999999991269</v>
      </c>
      <c r="P526">
        <f>電力量!P527-電力量!P526</f>
        <v>0</v>
      </c>
      <c r="Q526">
        <f>電力量!Q527-電力量!Q526</f>
        <v>0</v>
      </c>
      <c r="R526">
        <f>電力量!R527-電力量!R526</f>
        <v>0</v>
      </c>
    </row>
    <row r="527" spans="1:18">
      <c r="A527" s="4">
        <f t="shared" si="181"/>
        <v>45893.875</v>
      </c>
      <c r="B527">
        <f>電力量!B528-電力量!B527</f>
        <v>789</v>
      </c>
      <c r="C527">
        <f>電力量!C528-電力量!C527</f>
        <v>204</v>
      </c>
      <c r="D527">
        <f>電力量!D528-電力量!D527</f>
        <v>14.400000000001455</v>
      </c>
      <c r="E527">
        <f>電力量!E528-電力量!E527</f>
        <v>0</v>
      </c>
      <c r="F527">
        <f>電力量!F528-電力量!F527</f>
        <v>32</v>
      </c>
      <c r="G527">
        <f>電力量!G528-電力量!G527</f>
        <v>66.299999999995634</v>
      </c>
      <c r="H527">
        <f>電力量!H528-電力量!H527</f>
        <v>11</v>
      </c>
      <c r="I527">
        <f>電力量!I528-電力量!I527</f>
        <v>245</v>
      </c>
      <c r="J527">
        <f>電力量!J528-電力量!J527</f>
        <v>10.200000000004366</v>
      </c>
      <c r="K527">
        <f>電力量!K528-電力量!K527</f>
        <v>3.1999999999970896</v>
      </c>
      <c r="L527">
        <f>電力量!L528-電力量!L527</f>
        <v>29.899999999994179</v>
      </c>
      <c r="M527">
        <f>電力量!M528-電力量!M527</f>
        <v>43.099999999998545</v>
      </c>
      <c r="N527">
        <f>電力量!N528-電力量!N527</f>
        <v>55.80000000000291</v>
      </c>
      <c r="O527">
        <f>電力量!O528-電力量!O527</f>
        <v>18.600000000005821</v>
      </c>
      <c r="P527">
        <f>電力量!P528-電力量!P527</f>
        <v>0</v>
      </c>
      <c r="Q527">
        <f>電力量!Q528-電力量!Q527</f>
        <v>0</v>
      </c>
      <c r="R527">
        <f>電力量!R528-電力量!R527</f>
        <v>0</v>
      </c>
    </row>
    <row r="528" spans="1:18">
      <c r="A528" s="4">
        <f t="shared" si="182"/>
        <v>45893.916666666664</v>
      </c>
      <c r="B528">
        <f>電力量!B529-電力量!B528</f>
        <v>780</v>
      </c>
      <c r="C528">
        <f>電力量!C529-電力量!C528</f>
        <v>201</v>
      </c>
      <c r="D528">
        <f>電力量!D529-電力量!D528</f>
        <v>16.399999999994179</v>
      </c>
      <c r="E528">
        <f>電力量!E529-電力量!E528</f>
        <v>0</v>
      </c>
      <c r="F528">
        <f>電力量!F529-電力量!F528</f>
        <v>29</v>
      </c>
      <c r="G528">
        <f>電力量!G529-電力量!G528</f>
        <v>61.900000000001455</v>
      </c>
      <c r="H528">
        <f>電力量!H529-電力量!H528</f>
        <v>12</v>
      </c>
      <c r="I528">
        <f>電力量!I529-電力量!I528</f>
        <v>245</v>
      </c>
      <c r="J528">
        <f>電力量!J529-電力量!J528</f>
        <v>10.19999999999709</v>
      </c>
      <c r="K528">
        <f>電力量!K529-電力量!K528</f>
        <v>3.4000000000087311</v>
      </c>
      <c r="L528">
        <f>電力量!L529-電力量!L528</f>
        <v>27.400000000008731</v>
      </c>
      <c r="M528">
        <f>電力量!M529-電力量!M528</f>
        <v>45.400000000001455</v>
      </c>
      <c r="N528">
        <f>電力量!N529-電力量!N528</f>
        <v>55.399999999994179</v>
      </c>
      <c r="O528">
        <f>電力量!O529-電力量!O528</f>
        <v>17.600000000005821</v>
      </c>
      <c r="P528">
        <f>電力量!P529-電力量!P528</f>
        <v>0</v>
      </c>
      <c r="Q528">
        <f>電力量!Q529-電力量!Q528</f>
        <v>0</v>
      </c>
      <c r="R528">
        <f>電力量!R529-電力量!R528</f>
        <v>0</v>
      </c>
    </row>
    <row r="529" spans="1:18">
      <c r="A529" s="4">
        <f t="shared" si="183"/>
        <v>45893.958333333336</v>
      </c>
      <c r="B529">
        <f>電力量!B530-電力量!B529</f>
        <v>763</v>
      </c>
      <c r="C529">
        <f>電力量!C530-電力量!C529</f>
        <v>200</v>
      </c>
      <c r="D529">
        <f>電力量!D530-電力量!D529</f>
        <v>17</v>
      </c>
      <c r="E529">
        <f>電力量!E530-電力量!E529</f>
        <v>0</v>
      </c>
      <c r="F529">
        <f>電力量!F530-電力量!F529</f>
        <v>29</v>
      </c>
      <c r="G529">
        <f>電力量!G530-電力量!G529</f>
        <v>60.80000000000291</v>
      </c>
      <c r="H529">
        <f>電力量!H530-電力量!H529</f>
        <v>11</v>
      </c>
      <c r="I529">
        <f>電力量!I530-電力量!I529</f>
        <v>233</v>
      </c>
      <c r="J529">
        <f>電力量!J530-電力量!J529</f>
        <v>9.9000000000014552</v>
      </c>
      <c r="K529">
        <f>電力量!K530-電力量!K529</f>
        <v>3.0999999999912689</v>
      </c>
      <c r="L529">
        <f>電力量!L530-電力量!L529</f>
        <v>26.19999999999709</v>
      </c>
      <c r="M529">
        <f>電力量!M530-電力量!M529</f>
        <v>45.099999999998545</v>
      </c>
      <c r="N529">
        <f>電力量!N530-電力量!N529</f>
        <v>55.400000000008731</v>
      </c>
      <c r="O529">
        <f>電力量!O530-電力量!O529</f>
        <v>17.599999999991269</v>
      </c>
      <c r="P529">
        <f>電力量!P530-電力量!P529</f>
        <v>0</v>
      </c>
      <c r="Q529">
        <f>電力量!Q530-電力量!Q529</f>
        <v>0</v>
      </c>
      <c r="R529">
        <f>電力量!R530-電力量!R529</f>
        <v>0</v>
      </c>
    </row>
    <row r="530" spans="1:18">
      <c r="A530" s="4">
        <v>45894</v>
      </c>
      <c r="B530">
        <f>電力量!B531-電力量!B530</f>
        <v>739</v>
      </c>
      <c r="C530">
        <f>電力量!C531-電力量!C530</f>
        <v>198</v>
      </c>
      <c r="D530">
        <f>電力量!D531-電力量!D530</f>
        <v>14.30000000000291</v>
      </c>
      <c r="E530">
        <f>電力量!E531-電力量!E530</f>
        <v>0</v>
      </c>
      <c r="F530">
        <f>電力量!F531-電力量!F530</f>
        <v>27</v>
      </c>
      <c r="G530">
        <f>電力量!G531-電力量!G530</f>
        <v>59.299999999995634</v>
      </c>
      <c r="H530">
        <f>電力量!H531-電力量!H530</f>
        <v>11</v>
      </c>
      <c r="I530">
        <f>電力量!I531-電力量!I530</f>
        <v>223</v>
      </c>
      <c r="J530">
        <f>電力量!J531-電力量!J530</f>
        <v>10</v>
      </c>
      <c r="K530">
        <f>電力量!K531-電力量!K530</f>
        <v>3</v>
      </c>
      <c r="L530">
        <f>電力量!L531-電力量!L530</f>
        <v>26</v>
      </c>
      <c r="M530">
        <f>電力量!M531-電力量!M530</f>
        <v>44.100000000005821</v>
      </c>
      <c r="N530">
        <f>電力量!N531-電力量!N530</f>
        <v>55.099999999991269</v>
      </c>
      <c r="O530">
        <f>電力量!O531-電力量!O530</f>
        <v>17</v>
      </c>
      <c r="P530">
        <f>電力量!P531-電力量!P530</f>
        <v>0</v>
      </c>
      <c r="Q530">
        <f>電力量!Q531-電力量!Q530</f>
        <v>0</v>
      </c>
      <c r="R530">
        <f>電力量!R531-電力量!R530</f>
        <v>0</v>
      </c>
    </row>
    <row r="531" spans="1:18">
      <c r="A531" s="4">
        <f t="shared" ref="A531:A579" si="184">A530+(1/24)</f>
        <v>45894.041666666664</v>
      </c>
      <c r="B531">
        <f>電力量!B532-電力量!B531</f>
        <v>736</v>
      </c>
      <c r="C531">
        <f>電力量!C532-電力量!C531</f>
        <v>202</v>
      </c>
      <c r="D531">
        <f>電力量!D532-電力量!D531</f>
        <v>14.80000000000291</v>
      </c>
      <c r="E531">
        <f>電力量!E532-電力量!E531</f>
        <v>0</v>
      </c>
      <c r="F531">
        <f>電力量!F532-電力量!F531</f>
        <v>25</v>
      </c>
      <c r="G531">
        <f>電力量!G532-電力量!G531</f>
        <v>59</v>
      </c>
      <c r="H531">
        <f>電力量!H532-電力量!H531</f>
        <v>11</v>
      </c>
      <c r="I531">
        <f>電力量!I532-電力量!I531</f>
        <v>220</v>
      </c>
      <c r="J531">
        <f>電力量!J532-電力量!J531</f>
        <v>9.7999999999956344</v>
      </c>
      <c r="K531">
        <f>電力量!K532-電力量!K531</f>
        <v>2.9000000000087311</v>
      </c>
      <c r="L531">
        <f>電力量!L532-電力量!L531</f>
        <v>25.599999999991269</v>
      </c>
      <c r="M531">
        <f>電力量!M532-電力量!M531</f>
        <v>41.19999999999709</v>
      </c>
      <c r="N531">
        <f>電力量!N532-電力量!N531</f>
        <v>54.900000000008731</v>
      </c>
      <c r="O531">
        <f>電力量!O532-電力量!O531</f>
        <v>17.900000000008731</v>
      </c>
      <c r="P531">
        <f>電力量!P532-電力量!P531</f>
        <v>0</v>
      </c>
      <c r="Q531">
        <f>電力量!Q532-電力量!Q531</f>
        <v>0</v>
      </c>
      <c r="R531">
        <f>電力量!R532-電力量!R531</f>
        <v>0</v>
      </c>
    </row>
    <row r="532" spans="1:18">
      <c r="A532" s="4">
        <f t="shared" ref="A532:A580" si="185">A530+(2/24)</f>
        <v>45894.083333333336</v>
      </c>
      <c r="B532">
        <f>電力量!B533-電力量!B532</f>
        <v>717</v>
      </c>
      <c r="C532">
        <f>電力量!C533-電力量!C532</f>
        <v>198</v>
      </c>
      <c r="D532">
        <f>電力量!D533-電力量!D532</f>
        <v>13.799999999995634</v>
      </c>
      <c r="E532">
        <f>電力量!E533-電力量!E532</f>
        <v>0</v>
      </c>
      <c r="F532">
        <f>電力量!F533-電力量!F532</f>
        <v>22</v>
      </c>
      <c r="G532">
        <f>電力量!G533-電力量!G532</f>
        <v>57.099999999998545</v>
      </c>
      <c r="H532">
        <f>電力量!H533-電力量!H532</f>
        <v>10</v>
      </c>
      <c r="I532">
        <f>電力量!I533-電力量!I532</f>
        <v>213</v>
      </c>
      <c r="J532">
        <f>電力量!J533-電力量!J532</f>
        <v>9.7000000000043656</v>
      </c>
      <c r="K532">
        <f>電力量!K533-電力量!K532</f>
        <v>3</v>
      </c>
      <c r="L532">
        <f>電力量!L533-電力量!L532</f>
        <v>25.5</v>
      </c>
      <c r="M532">
        <f>電力量!M533-電力量!M532</f>
        <v>40.80000000000291</v>
      </c>
      <c r="N532">
        <f>電力量!N533-電力量!N532</f>
        <v>54.799999999988358</v>
      </c>
      <c r="O532">
        <f>電力量!O533-電力量!O532</f>
        <v>17.399999999994179</v>
      </c>
      <c r="P532">
        <f>電力量!P533-電力量!P532</f>
        <v>0</v>
      </c>
      <c r="Q532">
        <f>電力量!Q533-電力量!Q532</f>
        <v>0</v>
      </c>
      <c r="R532">
        <f>電力量!R533-電力量!R532</f>
        <v>0</v>
      </c>
    </row>
    <row r="533" spans="1:18">
      <c r="A533" s="4">
        <f t="shared" ref="A533:A581" si="186">A530+(3/24)</f>
        <v>45894.125</v>
      </c>
      <c r="B533">
        <f>電力量!B534-電力量!B533</f>
        <v>706</v>
      </c>
      <c r="C533">
        <f>電力量!C534-電力量!C533</f>
        <v>194</v>
      </c>
      <c r="D533">
        <f>電力量!D534-電力量!D533</f>
        <v>13.200000000004366</v>
      </c>
      <c r="E533">
        <f>電力量!E534-電力量!E533</f>
        <v>0</v>
      </c>
      <c r="F533">
        <f>電力量!F534-電力量!F533</f>
        <v>22</v>
      </c>
      <c r="G533">
        <f>電力量!G534-電力量!G533</f>
        <v>57.100000000005821</v>
      </c>
      <c r="H533">
        <f>電力量!H534-電力量!H533</f>
        <v>11</v>
      </c>
      <c r="I533">
        <f>電力量!I534-電力量!I533</f>
        <v>208</v>
      </c>
      <c r="J533">
        <f>電力量!J534-電力量!J533</f>
        <v>9.6999999999970896</v>
      </c>
      <c r="K533">
        <f>電力量!K534-電力量!K533</f>
        <v>2.8999999999941792</v>
      </c>
      <c r="L533">
        <f>電力量!L534-電力量!L533</f>
        <v>24.700000000011642</v>
      </c>
      <c r="M533">
        <f>電力量!M534-電力量!M533</f>
        <v>40.19999999999709</v>
      </c>
      <c r="N533">
        <f>電力量!N534-電力量!N533</f>
        <v>54.80000000000291</v>
      </c>
      <c r="O533">
        <f>電力量!O534-電力量!O533</f>
        <v>17.80000000000291</v>
      </c>
      <c r="P533">
        <f>電力量!P534-電力量!P533</f>
        <v>0</v>
      </c>
      <c r="Q533">
        <f>電力量!Q534-電力量!Q533</f>
        <v>0</v>
      </c>
      <c r="R533">
        <f>電力量!R534-電力量!R533</f>
        <v>0</v>
      </c>
    </row>
    <row r="534" spans="1:18">
      <c r="A534" s="4">
        <f t="shared" ref="A534:A582" si="187">A530+(4/24)</f>
        <v>45894.166666666664</v>
      </c>
      <c r="B534">
        <f>電力量!B535-電力量!B534</f>
        <v>710</v>
      </c>
      <c r="C534">
        <f>電力量!C535-電力量!C534</f>
        <v>193</v>
      </c>
      <c r="D534">
        <f>電力量!D535-電力量!D534</f>
        <v>13.299999999995634</v>
      </c>
      <c r="E534">
        <f>電力量!E535-電力量!E534</f>
        <v>0</v>
      </c>
      <c r="F534">
        <f>電力量!F535-電力量!F534</f>
        <v>22</v>
      </c>
      <c r="G534">
        <f>電力量!G535-電力量!G534</f>
        <v>56.099999999998545</v>
      </c>
      <c r="H534">
        <f>電力量!H535-電力量!H534</f>
        <v>10</v>
      </c>
      <c r="I534">
        <f>電力量!I535-電力量!I534</f>
        <v>215</v>
      </c>
      <c r="J534">
        <f>電力量!J535-電力量!J534</f>
        <v>9.3000000000029104</v>
      </c>
      <c r="K534">
        <f>電力量!K535-電力量!K534</f>
        <v>2.8999999999941792</v>
      </c>
      <c r="L534">
        <f>電力量!L535-電力量!L534</f>
        <v>21.899999999994179</v>
      </c>
      <c r="M534">
        <f>電力量!M535-電力量!M534</f>
        <v>41.80000000000291</v>
      </c>
      <c r="N534">
        <f>電力量!N535-電力量!N534</f>
        <v>56.19999999999709</v>
      </c>
      <c r="O534">
        <f>電力量!O535-電力量!O534</f>
        <v>17.80000000000291</v>
      </c>
      <c r="P534">
        <f>電力量!P535-電力量!P534</f>
        <v>0</v>
      </c>
      <c r="Q534">
        <f>電力量!Q535-電力量!Q534</f>
        <v>0</v>
      </c>
      <c r="R534">
        <f>電力量!R535-電力量!R534</f>
        <v>0</v>
      </c>
    </row>
    <row r="535" spans="1:18">
      <c r="A535" s="4">
        <f t="shared" ref="A535:A583" si="188">A530+(5/24)</f>
        <v>45894.208333333336</v>
      </c>
      <c r="B535">
        <f>電力量!B536-電力量!B535</f>
        <v>701</v>
      </c>
      <c r="C535">
        <f>電力量!C536-電力量!C535</f>
        <v>188</v>
      </c>
      <c r="D535">
        <f>電力量!D536-電力量!D535</f>
        <v>13.599999999998545</v>
      </c>
      <c r="E535">
        <f>電力量!E536-電力量!E535</f>
        <v>0</v>
      </c>
      <c r="F535">
        <f>電力量!F536-電力量!F535</f>
        <v>21</v>
      </c>
      <c r="G535">
        <f>電力量!G536-電力量!G535</f>
        <v>55.19999999999709</v>
      </c>
      <c r="H535">
        <f>電力量!H536-電力量!H535</f>
        <v>12</v>
      </c>
      <c r="I535">
        <f>電力量!I536-電力量!I535</f>
        <v>212</v>
      </c>
      <c r="J535">
        <f>電力量!J536-電力量!J535</f>
        <v>10.69999999999709</v>
      </c>
      <c r="K535">
        <f>電力量!K536-電力量!K535</f>
        <v>2.8000000000029104</v>
      </c>
      <c r="L535">
        <f>電力量!L536-電力量!L535</f>
        <v>20.80000000000291</v>
      </c>
      <c r="M535">
        <f>電力量!M536-電力量!M535</f>
        <v>39.599999999998545</v>
      </c>
      <c r="N535">
        <f>電力量!N536-電力量!N535</f>
        <v>54.100000000005821</v>
      </c>
      <c r="O535">
        <f>電力量!O536-電力量!O535</f>
        <v>19.899999999994179</v>
      </c>
      <c r="P535">
        <f>電力量!P536-電力量!P535</f>
        <v>0</v>
      </c>
      <c r="Q535">
        <f>電力量!Q536-電力量!Q535</f>
        <v>0</v>
      </c>
      <c r="R535">
        <f>電力量!R536-電力量!R535</f>
        <v>0</v>
      </c>
    </row>
    <row r="536" spans="1:18">
      <c r="A536" s="4">
        <f t="shared" ref="A536:A584" si="189">A530+(6/24)</f>
        <v>45894.25</v>
      </c>
      <c r="B536">
        <f>電力量!B537-電力量!B536</f>
        <v>710</v>
      </c>
      <c r="C536">
        <f>電力量!C537-電力量!C536</f>
        <v>196</v>
      </c>
      <c r="D536">
        <f>電力量!D537-電力量!D536</f>
        <v>13.100000000005821</v>
      </c>
      <c r="E536">
        <f>電力量!E537-電力量!E536</f>
        <v>0</v>
      </c>
      <c r="F536">
        <f>電力量!F537-電力量!F536</f>
        <v>23</v>
      </c>
      <c r="G536">
        <f>電力量!G537-電力量!G536</f>
        <v>55.099999999998545</v>
      </c>
      <c r="H536">
        <f>電力量!H537-電力量!H536</f>
        <v>10</v>
      </c>
      <c r="I536">
        <f>電力量!I537-電力量!I536</f>
        <v>212</v>
      </c>
      <c r="J536">
        <f>電力量!J537-電力量!J536</f>
        <v>9.9000000000014552</v>
      </c>
      <c r="K536">
        <f>電力量!K537-電力量!K536</f>
        <v>2.1999999999970896</v>
      </c>
      <c r="L536">
        <f>電力量!L537-電力量!L536</f>
        <v>21.399999999994179</v>
      </c>
      <c r="M536">
        <f>電力量!M537-電力量!M536</f>
        <v>39.599999999998545</v>
      </c>
      <c r="N536">
        <f>電力量!N537-電力量!N536</f>
        <v>53.5</v>
      </c>
      <c r="O536">
        <f>電力量!O537-電力量!O536</f>
        <v>20.69999999999709</v>
      </c>
      <c r="P536">
        <f>電力量!P537-電力量!P536</f>
        <v>1</v>
      </c>
      <c r="Q536">
        <f>電力量!Q537-電力量!Q536</f>
        <v>1</v>
      </c>
      <c r="R536">
        <f>電力量!R537-電力量!R536</f>
        <v>0</v>
      </c>
    </row>
    <row r="537" spans="1:18">
      <c r="A537" s="4">
        <f t="shared" ref="A537:A585" si="190">A530+(7/24)</f>
        <v>45894.291666666664</v>
      </c>
      <c r="B537">
        <f>電力量!B538-電力量!B537</f>
        <v>756</v>
      </c>
      <c r="C537">
        <f>電力量!C538-電力量!C537</f>
        <v>219</v>
      </c>
      <c r="D537">
        <f>電力量!D538-電力量!D537</f>
        <v>14.399999999994179</v>
      </c>
      <c r="E537">
        <f>電力量!E538-電力量!E537</f>
        <v>0</v>
      </c>
      <c r="F537">
        <f>電力量!F538-電力量!F537</f>
        <v>24</v>
      </c>
      <c r="G537">
        <f>電力量!G538-電力量!G537</f>
        <v>52.30000000000291</v>
      </c>
      <c r="H537">
        <f>電力量!H538-電力量!H537</f>
        <v>11</v>
      </c>
      <c r="I537">
        <f>電力量!I538-電力量!I537</f>
        <v>227</v>
      </c>
      <c r="J537">
        <f>電力量!J538-電力量!J537</f>
        <v>10.30000000000291</v>
      </c>
      <c r="K537">
        <f>電力量!K538-電力量!K537</f>
        <v>0.30000000000291038</v>
      </c>
      <c r="L537">
        <f>電力量!L538-電力量!L537</f>
        <v>22.600000000005821</v>
      </c>
      <c r="M537">
        <f>電力量!M538-電力量!M537</f>
        <v>39.80000000000291</v>
      </c>
      <c r="N537">
        <f>電力量!N538-電力量!N537</f>
        <v>50.30000000000291</v>
      </c>
      <c r="O537">
        <f>電力量!O538-電力量!O537</f>
        <v>23.5</v>
      </c>
      <c r="P537">
        <f>電力量!P538-電力量!P537</f>
        <v>2</v>
      </c>
      <c r="Q537">
        <f>電力量!Q538-電力量!Q537</f>
        <v>4</v>
      </c>
      <c r="R537">
        <f>電力量!R538-電力量!R537</f>
        <v>0</v>
      </c>
    </row>
    <row r="538" spans="1:18">
      <c r="A538" s="4">
        <f t="shared" ref="A538:A586" si="191">A530+(8/24)</f>
        <v>45894.333333333336</v>
      </c>
      <c r="B538">
        <f>電力量!B539-電力量!B538</f>
        <v>923</v>
      </c>
      <c r="C538">
        <f>電力量!C539-電力量!C538</f>
        <v>264</v>
      </c>
      <c r="D538">
        <f>電力量!D539-電力量!D538</f>
        <v>18</v>
      </c>
      <c r="E538">
        <f>電力量!E539-電力量!E538</f>
        <v>0</v>
      </c>
      <c r="F538">
        <f>電力量!F539-電力量!F538</f>
        <v>34</v>
      </c>
      <c r="G538">
        <f>電力量!G539-電力量!G538</f>
        <v>59.30000000000291</v>
      </c>
      <c r="H538">
        <f>電力量!H539-電力量!H538</f>
        <v>16</v>
      </c>
      <c r="I538">
        <f>電力量!I539-電力量!I538</f>
        <v>274</v>
      </c>
      <c r="J538">
        <f>電力量!J539-電力量!J538</f>
        <v>10.69999999999709</v>
      </c>
      <c r="K538">
        <f>電力量!K539-電力量!K538</f>
        <v>2</v>
      </c>
      <c r="L538">
        <f>電力量!L539-電力量!L538</f>
        <v>29.899999999994179</v>
      </c>
      <c r="M538">
        <f>電力量!M539-電力量!M538</f>
        <v>54.099999999998545</v>
      </c>
      <c r="N538">
        <f>電力量!N539-電力量!N538</f>
        <v>50.5</v>
      </c>
      <c r="O538">
        <f>電力量!O539-電力量!O538</f>
        <v>36.69999999999709</v>
      </c>
      <c r="P538">
        <f>電力量!P539-電力量!P538</f>
        <v>4</v>
      </c>
      <c r="Q538">
        <f>電力量!Q539-電力量!Q538</f>
        <v>7</v>
      </c>
      <c r="R538">
        <f>電力量!R539-電力量!R538</f>
        <v>0</v>
      </c>
    </row>
    <row r="539" spans="1:18">
      <c r="A539" s="4">
        <f t="shared" ref="A539:A587" si="192">A530+(9/24)</f>
        <v>45894.375</v>
      </c>
      <c r="B539">
        <f>電力量!B540-電力量!B539</f>
        <v>1225</v>
      </c>
      <c r="C539">
        <f>電力量!C540-電力量!C539</f>
        <v>342</v>
      </c>
      <c r="D539">
        <f>電力量!D540-電力量!D539</f>
        <v>28.400000000001455</v>
      </c>
      <c r="E539">
        <f>電力量!E540-電力量!E539</f>
        <v>0</v>
      </c>
      <c r="F539">
        <f>電力量!F540-電力量!F539</f>
        <v>43</v>
      </c>
      <c r="G539">
        <f>電力量!G540-電力量!G539</f>
        <v>68.099999999998545</v>
      </c>
      <c r="H539">
        <f>電力量!H540-電力量!H539</f>
        <v>47</v>
      </c>
      <c r="I539">
        <f>電力量!I540-電力量!I539</f>
        <v>388</v>
      </c>
      <c r="J539">
        <f>電力量!J540-電力量!J539</f>
        <v>11.400000000001455</v>
      </c>
      <c r="K539">
        <f>電力量!K540-電力量!K539</f>
        <v>5.9000000000087311</v>
      </c>
      <c r="L539">
        <f>電力量!L540-電力量!L539</f>
        <v>31.400000000008731</v>
      </c>
      <c r="M539">
        <f>電力量!M540-電力量!M539</f>
        <v>59.5</v>
      </c>
      <c r="N539">
        <f>電力量!N540-電力量!N539</f>
        <v>51.19999999999709</v>
      </c>
      <c r="O539">
        <f>電力量!O540-電力量!O539</f>
        <v>55.100000000005821</v>
      </c>
      <c r="P539">
        <f>電力量!P540-電力量!P539</f>
        <v>5</v>
      </c>
      <c r="Q539">
        <f>電力量!Q540-電力量!Q539</f>
        <v>8</v>
      </c>
      <c r="R539">
        <f>電力量!R540-電力量!R539</f>
        <v>0</v>
      </c>
    </row>
    <row r="540" spans="1:18">
      <c r="A540" s="4">
        <f t="shared" ref="A540:A588" si="193">A530+(10/24)</f>
        <v>45894.416666666664</v>
      </c>
      <c r="B540">
        <f>電力量!B541-電力量!B540</f>
        <v>1385</v>
      </c>
      <c r="C540">
        <f>電力量!C541-電力量!C540</f>
        <v>387</v>
      </c>
      <c r="D540">
        <f>電力量!D541-電力量!D540</f>
        <v>31.099999999998545</v>
      </c>
      <c r="E540">
        <f>電力量!E541-電力量!E540</f>
        <v>0</v>
      </c>
      <c r="F540">
        <f>電力量!F541-電力量!F540</f>
        <v>62</v>
      </c>
      <c r="G540">
        <f>電力量!G541-電力量!G540</f>
        <v>77</v>
      </c>
      <c r="H540">
        <f>電力量!H541-電力量!H540</f>
        <v>45</v>
      </c>
      <c r="I540">
        <f>電力量!I541-電力量!I540</f>
        <v>441</v>
      </c>
      <c r="J540">
        <f>電力量!J541-電力量!J540</f>
        <v>15.900000000001455</v>
      </c>
      <c r="K540">
        <f>電力量!K541-電力量!K540</f>
        <v>5.5</v>
      </c>
      <c r="L540">
        <f>電力量!L541-電力量!L540</f>
        <v>37.299999999988358</v>
      </c>
      <c r="M540">
        <f>電力量!M541-電力量!M540</f>
        <v>67.599999999998545</v>
      </c>
      <c r="N540">
        <f>電力量!N541-電力量!N540</f>
        <v>56.5</v>
      </c>
      <c r="O540">
        <f>電力量!O541-電力量!O540</f>
        <v>67.80000000000291</v>
      </c>
      <c r="P540">
        <f>電力量!P541-電力量!P540</f>
        <v>7</v>
      </c>
      <c r="Q540">
        <f>電力量!Q541-電力量!Q540</f>
        <v>11</v>
      </c>
      <c r="R540">
        <f>電力量!R541-電力量!R540</f>
        <v>0</v>
      </c>
    </row>
    <row r="541" spans="1:18">
      <c r="A541" s="4">
        <f t="shared" ref="A541:A589" si="194">A530+(11/24)</f>
        <v>45894.458333333336</v>
      </c>
      <c r="B541">
        <f>電力量!B542-電力量!B541</f>
        <v>1413</v>
      </c>
      <c r="C541">
        <f>電力量!C542-電力量!C541</f>
        <v>388</v>
      </c>
      <c r="D541">
        <f>電力量!D542-電力量!D541</f>
        <v>36</v>
      </c>
      <c r="E541">
        <f>電力量!E542-電力量!E541</f>
        <v>0</v>
      </c>
      <c r="F541">
        <f>電力量!F542-電力量!F541</f>
        <v>65</v>
      </c>
      <c r="G541">
        <f>電力量!G542-電力量!G541</f>
        <v>78.799999999995634</v>
      </c>
      <c r="H541">
        <f>電力量!H542-電力量!H541</f>
        <v>44</v>
      </c>
      <c r="I541">
        <f>電力量!I542-電力量!I541</f>
        <v>471</v>
      </c>
      <c r="J541">
        <f>電力量!J542-電力量!J541</f>
        <v>14.399999999994179</v>
      </c>
      <c r="K541">
        <f>電力量!K542-電力量!K541</f>
        <v>1.2999999999883585</v>
      </c>
      <c r="L541">
        <f>電力量!L542-電力量!L541</f>
        <v>40.30000000000291</v>
      </c>
      <c r="M541">
        <f>電力量!M542-電力量!M541</f>
        <v>62.900000000001455</v>
      </c>
      <c r="N541">
        <f>電力量!N542-電力量!N541</f>
        <v>52.5</v>
      </c>
      <c r="O541">
        <f>電力量!O542-電力量!O541</f>
        <v>64</v>
      </c>
      <c r="P541">
        <f>電力量!P542-電力量!P541</f>
        <v>14</v>
      </c>
      <c r="Q541">
        <f>電力量!Q542-電力量!Q541</f>
        <v>21</v>
      </c>
      <c r="R541">
        <f>電力量!R542-電力量!R541</f>
        <v>0</v>
      </c>
    </row>
    <row r="542" spans="1:18">
      <c r="A542" s="4">
        <f t="shared" ref="A542:A590" si="195">A530+(12/24)</f>
        <v>45894.5</v>
      </c>
      <c r="B542">
        <f>電力量!B543-電力量!B542</f>
        <v>1437</v>
      </c>
      <c r="C542">
        <f>電力量!C543-電力量!C542</f>
        <v>391</v>
      </c>
      <c r="D542">
        <f>電力量!D543-電力量!D542</f>
        <v>40.700000000004366</v>
      </c>
      <c r="E542">
        <f>電力量!E543-電力量!E542</f>
        <v>0</v>
      </c>
      <c r="F542">
        <f>電力量!F543-電力量!F542</f>
        <v>64</v>
      </c>
      <c r="G542">
        <f>電力量!G543-電力量!G542</f>
        <v>88.900000000001455</v>
      </c>
      <c r="H542">
        <f>電力量!H543-電力量!H542</f>
        <v>23</v>
      </c>
      <c r="I542">
        <f>電力量!I543-電力量!I542</f>
        <v>486</v>
      </c>
      <c r="J542">
        <f>電力量!J543-電力量!J542</f>
        <v>12.30000000000291</v>
      </c>
      <c r="K542">
        <f>電力量!K543-電力量!K542</f>
        <v>0.10000000000582077</v>
      </c>
      <c r="L542">
        <f>電力量!L543-電力量!L542</f>
        <v>47.900000000008731</v>
      </c>
      <c r="M542">
        <f>電力量!M543-電力量!M542</f>
        <v>60.900000000001455</v>
      </c>
      <c r="N542">
        <f>電力量!N543-電力量!N542</f>
        <v>49.899999999994179</v>
      </c>
      <c r="O542">
        <f>電力量!O543-電力量!O542</f>
        <v>72.599999999991269</v>
      </c>
      <c r="P542">
        <f>電力量!P543-電力量!P542</f>
        <v>15</v>
      </c>
      <c r="Q542">
        <f>電力量!Q543-電力量!Q542</f>
        <v>23</v>
      </c>
      <c r="R542">
        <f>電力量!R543-電力量!R542</f>
        <v>0</v>
      </c>
    </row>
    <row r="543" spans="1:18">
      <c r="A543" s="4">
        <f t="shared" ref="A543:A591" si="196">A530+(13/24)</f>
        <v>45894.541666666664</v>
      </c>
      <c r="B543">
        <f>電力量!B544-電力量!B543</f>
        <v>1512</v>
      </c>
      <c r="C543">
        <f>電力量!C544-電力量!C543</f>
        <v>396</v>
      </c>
      <c r="D543">
        <f>電力量!D544-電力量!D543</f>
        <v>47</v>
      </c>
      <c r="E543">
        <f>電力量!E544-電力量!E543</f>
        <v>0</v>
      </c>
      <c r="F543">
        <f>電力量!F544-電力量!F543</f>
        <v>65</v>
      </c>
      <c r="G543">
        <f>電力量!G544-電力量!G543</f>
        <v>93.200000000004366</v>
      </c>
      <c r="H543">
        <f>電力量!H544-電力量!H543</f>
        <v>34</v>
      </c>
      <c r="I543">
        <f>電力量!I544-電力量!I543</f>
        <v>502</v>
      </c>
      <c r="J543">
        <f>電力量!J544-電力量!J543</f>
        <v>11.900000000001455</v>
      </c>
      <c r="K543">
        <f>電力量!K544-電力量!K543</f>
        <v>0</v>
      </c>
      <c r="L543">
        <f>電力量!L544-電力量!L543</f>
        <v>56.899999999994179</v>
      </c>
      <c r="M543">
        <f>電力量!M544-電力量!M543</f>
        <v>61.5</v>
      </c>
      <c r="N543">
        <f>電力量!N544-電力量!N543</f>
        <v>49.400000000008731</v>
      </c>
      <c r="O543">
        <f>電力量!O544-電力量!O543</f>
        <v>75.30000000000291</v>
      </c>
      <c r="P543">
        <f>電力量!P544-電力量!P543</f>
        <v>15</v>
      </c>
      <c r="Q543">
        <f>電力量!Q544-電力量!Q543</f>
        <v>23</v>
      </c>
      <c r="R543">
        <f>電力量!R544-電力量!R543</f>
        <v>0</v>
      </c>
    </row>
    <row r="544" spans="1:18">
      <c r="A544" s="4">
        <f t="shared" ref="A544:A592" si="197">A530+(14/24)</f>
        <v>45894.583333333336</v>
      </c>
      <c r="B544">
        <f>電力量!B545-電力量!B544</f>
        <v>1553</v>
      </c>
      <c r="C544">
        <f>電力量!C545-電力量!C544</f>
        <v>414</v>
      </c>
      <c r="D544">
        <f>電力量!D545-電力量!D544</f>
        <v>50.900000000001455</v>
      </c>
      <c r="E544">
        <f>電力量!E545-電力量!E544</f>
        <v>0</v>
      </c>
      <c r="F544">
        <f>電力量!F545-電力量!F544</f>
        <v>73</v>
      </c>
      <c r="G544">
        <f>電力量!G545-電力量!G544</f>
        <v>100.39999999999418</v>
      </c>
      <c r="H544">
        <f>電力量!H545-電力量!H544</f>
        <v>50</v>
      </c>
      <c r="I544">
        <f>電力量!I545-電力量!I544</f>
        <v>504</v>
      </c>
      <c r="J544">
        <f>電力量!J545-電力量!J544</f>
        <v>12</v>
      </c>
      <c r="K544">
        <f>電力量!K545-電力量!K544</f>
        <v>0</v>
      </c>
      <c r="L544">
        <f>電力量!L545-電力量!L544</f>
        <v>64.30000000000291</v>
      </c>
      <c r="M544">
        <f>電力量!M545-電力量!M544</f>
        <v>56.899999999994179</v>
      </c>
      <c r="N544">
        <f>電力量!N545-電力量!N544</f>
        <v>52.30000000000291</v>
      </c>
      <c r="O544">
        <f>電力量!O545-電力量!O544</f>
        <v>58.5</v>
      </c>
      <c r="P544">
        <f>電力量!P545-電力量!P544</f>
        <v>14</v>
      </c>
      <c r="Q544">
        <f>電力量!Q545-電力量!Q544</f>
        <v>21</v>
      </c>
      <c r="R544">
        <f>電力量!R545-電力量!R544</f>
        <v>0</v>
      </c>
    </row>
    <row r="545" spans="1:18">
      <c r="A545" s="4">
        <f t="shared" ref="A545:A593" si="198">A530+(15/24)</f>
        <v>45894.625</v>
      </c>
      <c r="B545">
        <f>電力量!B546-電力量!B545</f>
        <v>1534</v>
      </c>
      <c r="C545">
        <f>電力量!C546-電力量!C545</f>
        <v>418</v>
      </c>
      <c r="D545">
        <f>電力量!D546-電力量!D545</f>
        <v>46.5</v>
      </c>
      <c r="E545">
        <f>電力量!E546-電力量!E545</f>
        <v>0</v>
      </c>
      <c r="F545">
        <f>電力量!F546-電力量!F545</f>
        <v>69</v>
      </c>
      <c r="G545">
        <f>電力量!G546-電力量!G545</f>
        <v>111.60000000000582</v>
      </c>
      <c r="H545">
        <f>電力量!H546-電力量!H545</f>
        <v>47</v>
      </c>
      <c r="I545">
        <f>電力量!I546-電力量!I545</f>
        <v>503</v>
      </c>
      <c r="J545">
        <f>電力量!J546-電力量!J545</f>
        <v>13.599999999998545</v>
      </c>
      <c r="K545">
        <f>電力量!K546-電力量!K545</f>
        <v>0.10000000000582077</v>
      </c>
      <c r="L545">
        <f>電力量!L546-電力量!L545</f>
        <v>59.19999999999709</v>
      </c>
      <c r="M545">
        <f>電力量!M546-電力量!M545</f>
        <v>65.700000000004366</v>
      </c>
      <c r="N545">
        <f>電力量!N546-電力量!N545</f>
        <v>50.399999999994179</v>
      </c>
      <c r="O545">
        <f>電力量!O546-電力量!O545</f>
        <v>36.600000000005821</v>
      </c>
      <c r="P545">
        <f>電力量!P546-電力量!P545</f>
        <v>12</v>
      </c>
      <c r="Q545">
        <f>電力量!Q546-電力量!Q545</f>
        <v>17</v>
      </c>
      <c r="R545">
        <f>電力量!R546-電力量!R545</f>
        <v>0</v>
      </c>
    </row>
    <row r="546" spans="1:18">
      <c r="A546" s="4">
        <f t="shared" ref="A546:A594" si="199">A530+(16/24)</f>
        <v>45894.666666666664</v>
      </c>
      <c r="B546">
        <f>電力量!B547-電力量!B546</f>
        <v>1462</v>
      </c>
      <c r="C546">
        <f>電力量!C547-電力量!C546</f>
        <v>399</v>
      </c>
      <c r="D546">
        <f>電力量!D547-電力量!D546</f>
        <v>46.19999999999709</v>
      </c>
      <c r="E546">
        <f>電力量!E547-電力量!E546</f>
        <v>0</v>
      </c>
      <c r="F546">
        <f>電力量!F547-電力量!F546</f>
        <v>59</v>
      </c>
      <c r="G546">
        <f>電力量!G547-電力量!G546</f>
        <v>114.79999999999563</v>
      </c>
      <c r="H546">
        <f>電力量!H547-電力量!H546</f>
        <v>46</v>
      </c>
      <c r="I546">
        <f>電力量!I547-電力量!I546</f>
        <v>474</v>
      </c>
      <c r="J546">
        <f>電力量!J547-電力量!J546</f>
        <v>12.19999999999709</v>
      </c>
      <c r="K546">
        <f>電力量!K547-電力量!K546</f>
        <v>4.5</v>
      </c>
      <c r="L546">
        <f>電力量!L547-電力量!L546</f>
        <v>52.600000000005821</v>
      </c>
      <c r="M546">
        <f>電力量!M547-電力量!M546</f>
        <v>58.900000000001455</v>
      </c>
      <c r="N546">
        <f>電力量!N547-電力量!N546</f>
        <v>52.600000000005821</v>
      </c>
      <c r="O546">
        <f>電力量!O547-電力量!O546</f>
        <v>34.80000000000291</v>
      </c>
      <c r="P546">
        <f>電力量!P547-電力量!P546</f>
        <v>8</v>
      </c>
      <c r="Q546">
        <f>電力量!Q547-電力量!Q546</f>
        <v>13</v>
      </c>
      <c r="R546">
        <f>電力量!R547-電力量!R546</f>
        <v>0</v>
      </c>
    </row>
    <row r="547" spans="1:18">
      <c r="A547" s="4">
        <f t="shared" ref="A547:A595" si="200">A530+(17/24)</f>
        <v>45894.708333333336</v>
      </c>
      <c r="B547">
        <f>電力量!B548-電力量!B547</f>
        <v>1268</v>
      </c>
      <c r="C547">
        <f>電力量!C548-電力量!C547</f>
        <v>353</v>
      </c>
      <c r="D547">
        <f>電力量!D548-電力量!D547</f>
        <v>37.900000000001455</v>
      </c>
      <c r="E547">
        <f>電力量!E548-電力量!E547</f>
        <v>0</v>
      </c>
      <c r="F547">
        <f>電力量!F548-電力量!F547</f>
        <v>53</v>
      </c>
      <c r="G547">
        <f>電力量!G548-電力量!G547</f>
        <v>97.099999999998545</v>
      </c>
      <c r="H547">
        <f>電力量!H548-電力量!H547</f>
        <v>17</v>
      </c>
      <c r="I547">
        <f>電力量!I548-電力量!I547</f>
        <v>434</v>
      </c>
      <c r="J547">
        <f>電力量!J548-電力量!J547</f>
        <v>12.100000000005821</v>
      </c>
      <c r="K547">
        <f>電力量!K548-電力量!K547</f>
        <v>2.3999999999941792</v>
      </c>
      <c r="L547">
        <f>電力量!L548-電力量!L547</f>
        <v>42.399999999994179</v>
      </c>
      <c r="M547">
        <f>電力量!M548-電力量!M547</f>
        <v>47.399999999994179</v>
      </c>
      <c r="N547">
        <f>電力量!N548-電力量!N547</f>
        <v>55.399999999994179</v>
      </c>
      <c r="O547">
        <f>電力量!O548-電力量!O547</f>
        <v>32.69999999999709</v>
      </c>
      <c r="P547">
        <f>電力量!P548-電力量!P547</f>
        <v>4</v>
      </c>
      <c r="Q547">
        <f>電力量!Q548-電力量!Q547</f>
        <v>7</v>
      </c>
      <c r="R547">
        <f>電力量!R548-電力量!R547</f>
        <v>0</v>
      </c>
    </row>
    <row r="548" spans="1:18">
      <c r="A548" s="4">
        <f t="shared" ref="A548:A596" si="201">A530+(18/24)</f>
        <v>45894.75</v>
      </c>
      <c r="B548">
        <f>電力量!B549-電力量!B548</f>
        <v>1073</v>
      </c>
      <c r="C548">
        <f>電力量!C549-電力量!C548</f>
        <v>287</v>
      </c>
      <c r="D548">
        <f>電力量!D549-電力量!D548</f>
        <v>28.900000000001455</v>
      </c>
      <c r="E548">
        <f>電力量!E549-電力量!E548</f>
        <v>0</v>
      </c>
      <c r="F548">
        <f>電力量!F549-電力量!F548</f>
        <v>44</v>
      </c>
      <c r="G548">
        <f>電力量!G549-電力量!G548</f>
        <v>78.5</v>
      </c>
      <c r="H548">
        <f>電力量!H549-電力量!H548</f>
        <v>13</v>
      </c>
      <c r="I548">
        <f>電力量!I549-電力量!I548</f>
        <v>372</v>
      </c>
      <c r="J548">
        <f>電力量!J549-電力量!J548</f>
        <v>11.5</v>
      </c>
      <c r="K548">
        <f>電力量!K549-電力量!K548</f>
        <v>2.3999999999941792</v>
      </c>
      <c r="L548">
        <f>電力量!L549-電力量!L548</f>
        <v>34.399999999994179</v>
      </c>
      <c r="M548">
        <f>電力量!M549-電力量!M548</f>
        <v>45.600000000005821</v>
      </c>
      <c r="N548">
        <f>電力量!N549-電力量!N548</f>
        <v>56.80000000000291</v>
      </c>
      <c r="O548">
        <f>電力量!O549-電力量!O548</f>
        <v>26.5</v>
      </c>
      <c r="P548">
        <f>電力量!P549-電力量!P548</f>
        <v>1</v>
      </c>
      <c r="Q548">
        <f>電力量!Q549-電力量!Q548</f>
        <v>0</v>
      </c>
      <c r="R548">
        <f>電力量!R549-電力量!R548</f>
        <v>0</v>
      </c>
    </row>
    <row r="549" spans="1:18">
      <c r="A549" s="4">
        <f t="shared" ref="A549:A597" si="202">A530+(19/24)</f>
        <v>45894.791666666664</v>
      </c>
      <c r="B549">
        <f>電力量!B550-電力量!B549</f>
        <v>963</v>
      </c>
      <c r="C549">
        <f>電力量!C550-電力量!C549</f>
        <v>264</v>
      </c>
      <c r="D549">
        <f>電力量!D550-電力量!D549</f>
        <v>22.799999999995634</v>
      </c>
      <c r="E549">
        <f>電力量!E550-電力量!E549</f>
        <v>0</v>
      </c>
      <c r="F549">
        <f>電力量!F550-電力量!F549</f>
        <v>34</v>
      </c>
      <c r="G549">
        <f>電力量!G550-電力量!G549</f>
        <v>75.700000000004366</v>
      </c>
      <c r="H549">
        <f>電力量!H550-電力量!H549</f>
        <v>11</v>
      </c>
      <c r="I549">
        <f>電力量!I550-電力量!I549</f>
        <v>323</v>
      </c>
      <c r="J549">
        <f>電力量!J550-電力量!J549</f>
        <v>10.799999999995634</v>
      </c>
      <c r="K549">
        <f>電力量!K550-電力量!K549</f>
        <v>2.7000000000116415</v>
      </c>
      <c r="L549">
        <f>電力量!L550-電力量!L549</f>
        <v>32.100000000005821</v>
      </c>
      <c r="M549">
        <f>電力量!M550-電力量!M549</f>
        <v>44.5</v>
      </c>
      <c r="N549">
        <f>電力量!N550-電力量!N549</f>
        <v>57.099999999991269</v>
      </c>
      <c r="O549">
        <f>電力量!O550-電力量!O549</f>
        <v>20.80000000000291</v>
      </c>
      <c r="P549">
        <f>電力量!P550-電力量!P549</f>
        <v>0</v>
      </c>
      <c r="Q549">
        <f>電力量!Q550-電力量!Q549</f>
        <v>0</v>
      </c>
      <c r="R549">
        <f>電力量!R550-電力量!R549</f>
        <v>0</v>
      </c>
    </row>
    <row r="550" spans="1:18">
      <c r="A550" s="4">
        <f t="shared" ref="A550:A598" si="203">A530+(20/24)</f>
        <v>45894.833333333336</v>
      </c>
      <c r="B550">
        <f>電力量!B551-電力量!B550</f>
        <v>893</v>
      </c>
      <c r="C550">
        <f>電力量!C551-電力量!C550</f>
        <v>259</v>
      </c>
      <c r="D550">
        <f>電力量!D551-電力量!D550</f>
        <v>19.099999999998545</v>
      </c>
      <c r="E550">
        <f>電力量!E551-電力量!E550</f>
        <v>0</v>
      </c>
      <c r="F550">
        <f>電力量!F551-電力量!F550</f>
        <v>31</v>
      </c>
      <c r="G550">
        <f>電力量!G551-電力量!G550</f>
        <v>65.5</v>
      </c>
      <c r="H550">
        <f>電力量!H551-電力量!H550</f>
        <v>12</v>
      </c>
      <c r="I550">
        <f>電力量!I551-電力量!I550</f>
        <v>285</v>
      </c>
      <c r="J550">
        <f>電力量!J551-電力量!J550</f>
        <v>10.900000000001455</v>
      </c>
      <c r="K550">
        <f>電力量!K551-電力量!K550</f>
        <v>3.0999999999912689</v>
      </c>
      <c r="L550">
        <f>電力量!L551-電力量!L550</f>
        <v>30.100000000005821</v>
      </c>
      <c r="M550">
        <f>電力量!M551-電力量!M550</f>
        <v>39.69999999999709</v>
      </c>
      <c r="N550">
        <f>電力量!N551-電力量!N550</f>
        <v>56.100000000005821</v>
      </c>
      <c r="O550">
        <f>電力量!O551-電力量!O550</f>
        <v>19.399999999994179</v>
      </c>
      <c r="P550">
        <f>電力量!P551-電力量!P550</f>
        <v>0</v>
      </c>
      <c r="Q550">
        <f>電力量!Q551-電力量!Q550</f>
        <v>0</v>
      </c>
      <c r="R550">
        <f>電力量!R551-電力量!R550</f>
        <v>0</v>
      </c>
    </row>
    <row r="551" spans="1:18">
      <c r="A551" s="4">
        <f t="shared" ref="A551:A599" si="204">A530+(21/24)</f>
        <v>45894.875</v>
      </c>
      <c r="B551">
        <f>電力量!B552-電力量!B551</f>
        <v>851</v>
      </c>
      <c r="C551">
        <f>電力量!C552-電力量!C551</f>
        <v>237</v>
      </c>
      <c r="D551">
        <f>電力量!D552-電力量!D551</f>
        <v>18.200000000004366</v>
      </c>
      <c r="E551">
        <f>電力量!E552-電力量!E551</f>
        <v>0</v>
      </c>
      <c r="F551">
        <f>電力量!F552-電力量!F551</f>
        <v>33</v>
      </c>
      <c r="G551">
        <f>電力量!G552-電力量!G551</f>
        <v>62.5</v>
      </c>
      <c r="H551">
        <f>電力量!H552-電力量!H551</f>
        <v>11</v>
      </c>
      <c r="I551">
        <f>電力量!I552-電力量!I551</f>
        <v>269</v>
      </c>
      <c r="J551">
        <f>電力量!J552-電力量!J551</f>
        <v>10.69999999999709</v>
      </c>
      <c r="K551">
        <f>電力量!K552-電力量!K551</f>
        <v>2.6000000000058208</v>
      </c>
      <c r="L551">
        <f>電力量!L552-電力量!L551</f>
        <v>31.5</v>
      </c>
      <c r="M551">
        <f>電力量!M552-電力量!M551</f>
        <v>41.900000000001455</v>
      </c>
      <c r="N551">
        <f>電力量!N552-電力量!N551</f>
        <v>56.19999999999709</v>
      </c>
      <c r="O551">
        <f>電力量!O552-電力量!O551</f>
        <v>19.69999999999709</v>
      </c>
      <c r="P551">
        <f>電力量!P552-電力量!P551</f>
        <v>0</v>
      </c>
      <c r="Q551">
        <f>電力量!Q552-電力量!Q551</f>
        <v>0</v>
      </c>
      <c r="R551">
        <f>電力量!R552-電力量!R551</f>
        <v>0</v>
      </c>
    </row>
    <row r="552" spans="1:18">
      <c r="A552" s="4">
        <f t="shared" ref="A552:A600" si="205">A530+(22/24)</f>
        <v>45894.916666666664</v>
      </c>
      <c r="B552">
        <f>電力量!B553-電力量!B552</f>
        <v>831</v>
      </c>
      <c r="C552">
        <f>電力量!C553-電力量!C552</f>
        <v>230</v>
      </c>
      <c r="D552">
        <f>電力量!D553-電力量!D552</f>
        <v>16.900000000001455</v>
      </c>
      <c r="E552">
        <f>電力量!E553-電力量!E552</f>
        <v>0</v>
      </c>
      <c r="F552">
        <f>電力量!F553-電力量!F552</f>
        <v>32</v>
      </c>
      <c r="G552">
        <f>電力量!G553-電力量!G552</f>
        <v>62.900000000001455</v>
      </c>
      <c r="H552">
        <f>電力量!H553-電力量!H552</f>
        <v>12</v>
      </c>
      <c r="I552">
        <f>電力量!I553-電力量!I552</f>
        <v>258</v>
      </c>
      <c r="J552">
        <f>電力量!J553-電力量!J552</f>
        <v>10.600000000005821</v>
      </c>
      <c r="K552">
        <f>電力量!K553-電力量!K552</f>
        <v>2.6999999999970896</v>
      </c>
      <c r="L552">
        <f>電力量!L553-電力量!L552</f>
        <v>32.299999999988358</v>
      </c>
      <c r="M552">
        <f>電力量!M553-電力量!M552</f>
        <v>41.599999999998545</v>
      </c>
      <c r="N552">
        <f>電力量!N553-電力量!N552</f>
        <v>55.80000000000291</v>
      </c>
      <c r="O552">
        <f>電力量!O553-電力量!O552</f>
        <v>17.600000000005821</v>
      </c>
      <c r="P552">
        <f>電力量!P553-電力量!P552</f>
        <v>0</v>
      </c>
      <c r="Q552">
        <f>電力量!Q553-電力量!Q552</f>
        <v>0</v>
      </c>
      <c r="R552">
        <f>電力量!R553-電力量!R552</f>
        <v>0</v>
      </c>
    </row>
    <row r="553" spans="1:18">
      <c r="A553" s="4">
        <f t="shared" ref="A553:A601" si="206">A530+(23/24)</f>
        <v>45894.958333333336</v>
      </c>
      <c r="B553">
        <f>電力量!B554-電力量!B553</f>
        <v>812</v>
      </c>
      <c r="C553">
        <f>電力量!C554-電力量!C553</f>
        <v>217</v>
      </c>
      <c r="D553">
        <f>電力量!D554-電力量!D553</f>
        <v>16.099999999998545</v>
      </c>
      <c r="E553">
        <f>電力量!E554-電力量!E553</f>
        <v>0</v>
      </c>
      <c r="F553">
        <f>電力量!F554-電力量!F553</f>
        <v>33</v>
      </c>
      <c r="G553">
        <f>電力量!G554-電力量!G553</f>
        <v>61.299999999995634</v>
      </c>
      <c r="H553">
        <f>電力量!H554-電力量!H553</f>
        <v>11</v>
      </c>
      <c r="I553">
        <f>電力量!I554-電力量!I553</f>
        <v>255</v>
      </c>
      <c r="J553">
        <f>電力量!J554-電力量!J553</f>
        <v>10.599999999998545</v>
      </c>
      <c r="K553">
        <f>電力量!K554-電力量!K553</f>
        <v>2.6999999999970896</v>
      </c>
      <c r="L553">
        <f>電力量!L554-電力量!L553</f>
        <v>32.100000000005821</v>
      </c>
      <c r="M553">
        <f>電力量!M554-電力量!M553</f>
        <v>42.19999999999709</v>
      </c>
      <c r="N553">
        <f>電力量!N554-電力量!N553</f>
        <v>56</v>
      </c>
      <c r="O553">
        <f>電力量!O554-電力量!O553</f>
        <v>18.30000000000291</v>
      </c>
      <c r="P553">
        <f>電力量!P554-電力量!P553</f>
        <v>0</v>
      </c>
      <c r="Q553">
        <f>電力量!Q554-電力量!Q553</f>
        <v>0</v>
      </c>
      <c r="R553">
        <f>電力量!R554-電力量!R553</f>
        <v>0</v>
      </c>
    </row>
    <row r="554" spans="1:18">
      <c r="A554" s="4">
        <v>45895</v>
      </c>
      <c r="B554">
        <f>電力量!B555-電力量!B554</f>
        <v>790</v>
      </c>
      <c r="C554">
        <f>電力量!C555-電力量!C554</f>
        <v>212</v>
      </c>
      <c r="D554">
        <f>電力量!D555-電力量!D554</f>
        <v>13.900000000001455</v>
      </c>
      <c r="E554">
        <f>電力量!E555-電力量!E554</f>
        <v>0</v>
      </c>
      <c r="F554">
        <f>電力量!F555-電力量!F554</f>
        <v>30</v>
      </c>
      <c r="G554">
        <f>電力量!G555-電力量!G554</f>
        <v>60.099999999998545</v>
      </c>
      <c r="H554">
        <f>電力量!H555-電力量!H554</f>
        <v>12</v>
      </c>
      <c r="I554">
        <f>電力量!I555-電力量!I554</f>
        <v>249</v>
      </c>
      <c r="J554">
        <f>電力量!J555-電力量!J554</f>
        <v>10.299999999995634</v>
      </c>
      <c r="K554">
        <f>電力量!K555-電力量!K554</f>
        <v>2.6999999999970896</v>
      </c>
      <c r="L554">
        <f>電力量!L555-電力量!L554</f>
        <v>31.80000000000291</v>
      </c>
      <c r="M554">
        <f>電力量!M555-電力量!M554</f>
        <v>41.80000000000291</v>
      </c>
      <c r="N554">
        <f>電力量!N555-電力量!N554</f>
        <v>54.899999999994179</v>
      </c>
      <c r="O554">
        <f>電力量!O555-電力量!O554</f>
        <v>16.69999999999709</v>
      </c>
      <c r="P554">
        <f>電力量!P555-電力量!P554</f>
        <v>0</v>
      </c>
      <c r="Q554">
        <f>電力量!Q555-電力量!Q554</f>
        <v>0</v>
      </c>
      <c r="R554">
        <f>電力量!R555-電力量!R554</f>
        <v>0</v>
      </c>
    </row>
    <row r="555" spans="1:18">
      <c r="A555" s="4">
        <f t="shared" si="184"/>
        <v>45895.041666666664</v>
      </c>
      <c r="B555">
        <f>電力量!B556-電力量!B555</f>
        <v>766</v>
      </c>
      <c r="C555">
        <f>電力量!C556-電力量!C555</f>
        <v>207</v>
      </c>
      <c r="D555">
        <f>電力量!D556-電力量!D555</f>
        <v>14.19999999999709</v>
      </c>
      <c r="E555">
        <f>電力量!E556-電力量!E555</f>
        <v>0</v>
      </c>
      <c r="F555">
        <f>電力量!F556-電力量!F555</f>
        <v>23</v>
      </c>
      <c r="G555">
        <f>電力量!G556-電力量!G555</f>
        <v>60.5</v>
      </c>
      <c r="H555">
        <f>電力量!H556-電力量!H555</f>
        <v>11</v>
      </c>
      <c r="I555">
        <f>電力量!I556-電力量!I555</f>
        <v>244</v>
      </c>
      <c r="J555">
        <f>電力量!J556-電力量!J555</f>
        <v>10.5</v>
      </c>
      <c r="K555">
        <f>電力量!K556-電力量!K555</f>
        <v>2.6000000000058208</v>
      </c>
      <c r="L555">
        <f>電力量!L556-電力量!L555</f>
        <v>24.80000000000291</v>
      </c>
      <c r="M555">
        <f>電力量!M556-電力量!M555</f>
        <v>39.599999999998545</v>
      </c>
      <c r="N555">
        <f>電力量!N556-電力量!N555</f>
        <v>55</v>
      </c>
      <c r="O555">
        <f>電力量!O556-電力量!O555</f>
        <v>17.5</v>
      </c>
      <c r="P555">
        <f>電力量!P556-電力量!P555</f>
        <v>0</v>
      </c>
      <c r="Q555">
        <f>電力量!Q556-電力量!Q555</f>
        <v>0</v>
      </c>
      <c r="R555">
        <f>電力量!R556-電力量!R555</f>
        <v>0</v>
      </c>
    </row>
    <row r="556" spans="1:18">
      <c r="A556" s="4">
        <f t="shared" si="185"/>
        <v>45895.083333333336</v>
      </c>
      <c r="B556">
        <f>電力量!B557-電力量!B556</f>
        <v>737</v>
      </c>
      <c r="C556">
        <f>電力量!C557-電力量!C556</f>
        <v>204</v>
      </c>
      <c r="D556">
        <f>電力量!D557-電力量!D556</f>
        <v>13.19999999999709</v>
      </c>
      <c r="E556">
        <f>電力量!E557-電力量!E556</f>
        <v>0</v>
      </c>
      <c r="F556">
        <f>電力量!F557-電力量!F556</f>
        <v>21</v>
      </c>
      <c r="G556">
        <f>電力量!G557-電力量!G556</f>
        <v>58.400000000001455</v>
      </c>
      <c r="H556">
        <f>電力量!H557-電力量!H556</f>
        <v>10</v>
      </c>
      <c r="I556">
        <f>電力量!I557-電力量!I556</f>
        <v>230</v>
      </c>
      <c r="J556">
        <f>電力量!J557-電力量!J556</f>
        <v>10.30000000000291</v>
      </c>
      <c r="K556">
        <f>電力量!K557-電力量!K556</f>
        <v>2.6999999999970896</v>
      </c>
      <c r="L556">
        <f>電力量!L557-電力量!L556</f>
        <v>23.799999999988358</v>
      </c>
      <c r="M556">
        <f>電力量!M557-電力量!M556</f>
        <v>38.599999999998545</v>
      </c>
      <c r="N556">
        <f>電力量!N557-電力量!N556</f>
        <v>54.700000000011642</v>
      </c>
      <c r="O556">
        <f>電力量!O557-電力量!O556</f>
        <v>17</v>
      </c>
      <c r="P556">
        <f>電力量!P557-電力量!P556</f>
        <v>0</v>
      </c>
      <c r="Q556">
        <f>電力量!Q557-電力量!Q556</f>
        <v>0</v>
      </c>
      <c r="R556">
        <f>電力量!R557-電力量!R556</f>
        <v>0</v>
      </c>
    </row>
    <row r="557" spans="1:18">
      <c r="A557" s="4">
        <f t="shared" si="186"/>
        <v>45895.125</v>
      </c>
      <c r="B557">
        <f>電力量!B558-電力量!B557</f>
        <v>727</v>
      </c>
      <c r="C557">
        <f>電力量!C558-電力量!C557</f>
        <v>197</v>
      </c>
      <c r="D557">
        <f>電力量!D558-電力量!D557</f>
        <v>13.400000000001455</v>
      </c>
      <c r="E557">
        <f>電力量!E558-電力量!E557</f>
        <v>0</v>
      </c>
      <c r="F557">
        <f>電力量!F558-電力量!F557</f>
        <v>21</v>
      </c>
      <c r="G557">
        <f>電力量!G558-電力量!G557</f>
        <v>57.099999999998545</v>
      </c>
      <c r="H557">
        <f>電力量!H558-電力量!H557</f>
        <v>11</v>
      </c>
      <c r="I557">
        <f>電力量!I558-電力量!I557</f>
        <v>225</v>
      </c>
      <c r="J557">
        <f>電力量!J558-電力量!J557</f>
        <v>10</v>
      </c>
      <c r="K557">
        <f>電力量!K558-電力量!K557</f>
        <v>2.6999999999970896</v>
      </c>
      <c r="L557">
        <f>電力量!L558-電力量!L557</f>
        <v>23.700000000011642</v>
      </c>
      <c r="M557">
        <f>電力量!M558-電力量!M557</f>
        <v>40.5</v>
      </c>
      <c r="N557">
        <f>電力量!N558-電力量!N557</f>
        <v>55</v>
      </c>
      <c r="O557">
        <f>電力量!O558-電力量!O557</f>
        <v>17.69999999999709</v>
      </c>
      <c r="P557">
        <f>電力量!P558-電力量!P557</f>
        <v>0</v>
      </c>
      <c r="Q557">
        <f>電力量!Q558-電力量!Q557</f>
        <v>0</v>
      </c>
      <c r="R557">
        <f>電力量!R558-電力量!R557</f>
        <v>0</v>
      </c>
    </row>
    <row r="558" spans="1:18">
      <c r="A558" s="4">
        <f t="shared" si="187"/>
        <v>45895.166666666664</v>
      </c>
      <c r="B558">
        <f>電力量!B559-電力量!B558</f>
        <v>730</v>
      </c>
      <c r="C558">
        <f>電力量!C559-電力量!C558</f>
        <v>196</v>
      </c>
      <c r="D558">
        <f>電力量!D559-電力量!D558</f>
        <v>13.80000000000291</v>
      </c>
      <c r="E558">
        <f>電力量!E559-電力量!E558</f>
        <v>0</v>
      </c>
      <c r="F558">
        <f>電力量!F559-電力量!F558</f>
        <v>20</v>
      </c>
      <c r="G558">
        <f>電力量!G559-電力量!G558</f>
        <v>56.100000000005821</v>
      </c>
      <c r="H558">
        <f>電力量!H559-電力量!H558</f>
        <v>11</v>
      </c>
      <c r="I558">
        <f>電力量!I559-電力量!I558</f>
        <v>224</v>
      </c>
      <c r="J558">
        <f>電力量!J559-電力量!J558</f>
        <v>10.19999999999709</v>
      </c>
      <c r="K558">
        <f>電力量!K559-電力量!K558</f>
        <v>3.1000000000058208</v>
      </c>
      <c r="L558">
        <f>電力量!L559-電力量!L558</f>
        <v>22.899999999994179</v>
      </c>
      <c r="M558">
        <f>電力量!M559-電力量!M558</f>
        <v>43.100000000005821</v>
      </c>
      <c r="N558">
        <f>電力量!N559-電力量!N558</f>
        <v>58.799999999988358</v>
      </c>
      <c r="O558">
        <f>電力量!O559-電力量!O558</f>
        <v>17.69999999999709</v>
      </c>
      <c r="P558">
        <f>電力量!P559-電力量!P558</f>
        <v>0</v>
      </c>
      <c r="Q558">
        <f>電力量!Q559-電力量!Q558</f>
        <v>0</v>
      </c>
      <c r="R558">
        <f>電力量!R559-電力量!R558</f>
        <v>0</v>
      </c>
    </row>
    <row r="559" spans="1:18">
      <c r="A559" s="4">
        <f t="shared" si="188"/>
        <v>45895.208333333336</v>
      </c>
      <c r="B559">
        <f>電力量!B560-電力量!B559</f>
        <v>714</v>
      </c>
      <c r="C559">
        <f>電力量!C560-電力量!C559</f>
        <v>189</v>
      </c>
      <c r="D559">
        <f>電力量!D560-電力量!D559</f>
        <v>13.299999999995634</v>
      </c>
      <c r="E559">
        <f>電力量!E560-電力量!E559</f>
        <v>0</v>
      </c>
      <c r="F559">
        <f>電力量!F560-電力量!F559</f>
        <v>21</v>
      </c>
      <c r="G559">
        <f>電力量!G560-電力量!G559</f>
        <v>55.19999999999709</v>
      </c>
      <c r="H559">
        <f>電力量!H560-電力量!H559</f>
        <v>11</v>
      </c>
      <c r="I559">
        <f>電力量!I560-電力量!I559</f>
        <v>227</v>
      </c>
      <c r="J559">
        <f>電力量!J560-電力量!J559</f>
        <v>10.100000000005821</v>
      </c>
      <c r="K559">
        <f>電力量!K560-電力量!K559</f>
        <v>3</v>
      </c>
      <c r="L559">
        <f>電力量!L560-電力量!L559</f>
        <v>21.899999999994179</v>
      </c>
      <c r="M559">
        <f>電力量!M560-電力量!M559</f>
        <v>37.5</v>
      </c>
      <c r="N559">
        <f>電力量!N560-電力量!N559</f>
        <v>54.600000000005821</v>
      </c>
      <c r="O559">
        <f>電力量!O560-電力量!O559</f>
        <v>19</v>
      </c>
      <c r="P559">
        <f>電力量!P560-電力量!P559</f>
        <v>0</v>
      </c>
      <c r="Q559">
        <f>電力量!Q560-電力量!Q559</f>
        <v>0</v>
      </c>
      <c r="R559">
        <f>電力量!R560-電力量!R559</f>
        <v>0</v>
      </c>
    </row>
    <row r="560" spans="1:18">
      <c r="A560" s="4">
        <f t="shared" si="189"/>
        <v>45895.25</v>
      </c>
      <c r="B560">
        <f>電力量!B561-電力量!B560</f>
        <v>718</v>
      </c>
      <c r="C560">
        <f>電力量!C561-電力量!C560</f>
        <v>195</v>
      </c>
      <c r="D560">
        <f>電力量!D561-電力量!D560</f>
        <v>13.5</v>
      </c>
      <c r="E560">
        <f>電力量!E561-電力量!E560</f>
        <v>0</v>
      </c>
      <c r="F560">
        <f>電力量!F561-電力量!F560</f>
        <v>21</v>
      </c>
      <c r="G560">
        <f>電力量!G561-電力量!G560</f>
        <v>54.30000000000291</v>
      </c>
      <c r="H560">
        <f>電力量!H561-電力量!H560</f>
        <v>10</v>
      </c>
      <c r="I560">
        <f>電力量!I561-電力量!I560</f>
        <v>227</v>
      </c>
      <c r="J560">
        <f>電力量!J561-電力量!J560</f>
        <v>9.5999999999985448</v>
      </c>
      <c r="K560">
        <f>電力量!K561-電力量!K560</f>
        <v>2.1999999999970896</v>
      </c>
      <c r="L560">
        <f>電力量!L561-電力量!L560</f>
        <v>22.30000000000291</v>
      </c>
      <c r="M560">
        <f>電力量!M561-電力量!M560</f>
        <v>37.19999999999709</v>
      </c>
      <c r="N560">
        <f>電力量!N561-電力量!N560</f>
        <v>54.19999999999709</v>
      </c>
      <c r="O560">
        <f>電力量!O561-電力量!O560</f>
        <v>19.30000000000291</v>
      </c>
      <c r="P560">
        <f>電力量!P561-電力量!P560</f>
        <v>0</v>
      </c>
      <c r="Q560">
        <f>電力量!Q561-電力量!Q560</f>
        <v>1</v>
      </c>
      <c r="R560">
        <f>電力量!R561-電力量!R560</f>
        <v>0</v>
      </c>
    </row>
    <row r="561" spans="1:18">
      <c r="A561" s="4">
        <f t="shared" si="190"/>
        <v>45895.291666666664</v>
      </c>
      <c r="B561">
        <f>電力量!B562-電力量!B561</f>
        <v>769</v>
      </c>
      <c r="C561">
        <f>電力量!C562-電力量!C561</f>
        <v>206</v>
      </c>
      <c r="D561">
        <f>電力量!D562-電力量!D561</f>
        <v>14</v>
      </c>
      <c r="E561">
        <f>電力量!E562-電力量!E561</f>
        <v>0</v>
      </c>
      <c r="F561">
        <f>電力量!F562-電力量!F561</f>
        <v>27</v>
      </c>
      <c r="G561">
        <f>電力量!G562-電力量!G561</f>
        <v>53</v>
      </c>
      <c r="H561">
        <f>電力量!H562-電力量!H561</f>
        <v>12</v>
      </c>
      <c r="I561">
        <f>電力量!I562-電力量!I561</f>
        <v>242</v>
      </c>
      <c r="J561">
        <f>電力量!J562-電力量!J561</f>
        <v>11.69999999999709</v>
      </c>
      <c r="K561">
        <f>電力量!K562-電力量!K561</f>
        <v>0.60000000000582077</v>
      </c>
      <c r="L561">
        <f>電力量!L562-電力量!L561</f>
        <v>24.19999999999709</v>
      </c>
      <c r="M561">
        <f>電力量!M562-電力量!M561</f>
        <v>37.900000000001455</v>
      </c>
      <c r="N561">
        <f>電力量!N562-電力量!N561</f>
        <v>51.400000000008731</v>
      </c>
      <c r="O561">
        <f>電力量!O562-電力量!O561</f>
        <v>28.399999999994179</v>
      </c>
      <c r="P561">
        <f>電力量!P562-電力量!P561</f>
        <v>1</v>
      </c>
      <c r="Q561">
        <f>電力量!Q562-電力量!Q561</f>
        <v>2</v>
      </c>
      <c r="R561">
        <f>電力量!R562-電力量!R561</f>
        <v>0</v>
      </c>
    </row>
    <row r="562" spans="1:18">
      <c r="A562" s="4">
        <f t="shared" si="191"/>
        <v>45895.333333333336</v>
      </c>
      <c r="B562">
        <f>電力量!B563-電力量!B562</f>
        <v>919</v>
      </c>
      <c r="C562">
        <f>電力量!C563-電力量!C562</f>
        <v>250</v>
      </c>
      <c r="D562">
        <f>電力量!D563-電力量!D562</f>
        <v>18.80000000000291</v>
      </c>
      <c r="E562">
        <f>電力量!E563-電力量!E562</f>
        <v>0</v>
      </c>
      <c r="F562">
        <f>電力量!F563-電力量!F562</f>
        <v>31</v>
      </c>
      <c r="G562">
        <f>電力量!G563-電力量!G562</f>
        <v>53.799999999995634</v>
      </c>
      <c r="H562">
        <f>電力量!H563-電力量!H562</f>
        <v>11</v>
      </c>
      <c r="I562">
        <f>電力量!I563-電力量!I562</f>
        <v>302</v>
      </c>
      <c r="J562">
        <f>電力量!J563-電力量!J562</f>
        <v>12</v>
      </c>
      <c r="K562">
        <f>電力量!K563-電力量!K562</f>
        <v>9.9999999991268851E-2</v>
      </c>
      <c r="L562">
        <f>電力量!L563-電力量!L562</f>
        <v>31.700000000011642</v>
      </c>
      <c r="M562">
        <f>電力量!M563-電力量!M562</f>
        <v>46</v>
      </c>
      <c r="N562">
        <f>電力量!N563-電力量!N562</f>
        <v>49.399999999994179</v>
      </c>
      <c r="O562">
        <f>電力量!O563-電力量!O562</f>
        <v>38</v>
      </c>
      <c r="P562">
        <f>電力量!P563-電力量!P562</f>
        <v>5</v>
      </c>
      <c r="Q562">
        <f>電力量!Q563-電力量!Q562</f>
        <v>10</v>
      </c>
      <c r="R562">
        <f>電力量!R563-電力量!R562</f>
        <v>0</v>
      </c>
    </row>
    <row r="563" spans="1:18">
      <c r="A563" s="4">
        <f t="shared" si="192"/>
        <v>45895.375</v>
      </c>
      <c r="B563">
        <f>電力量!B564-電力量!B563</f>
        <v>1183</v>
      </c>
      <c r="C563">
        <f>電力量!C564-電力量!C563</f>
        <v>332</v>
      </c>
      <c r="D563">
        <f>電力量!D564-電力量!D563</f>
        <v>28.599999999998545</v>
      </c>
      <c r="E563">
        <f>電力量!E564-電力量!E563</f>
        <v>0</v>
      </c>
      <c r="F563">
        <f>電力量!F564-電力量!F563</f>
        <v>39</v>
      </c>
      <c r="G563">
        <f>電力量!G564-電力量!G563</f>
        <v>62.5</v>
      </c>
      <c r="H563">
        <f>電力量!H564-電力量!H563</f>
        <v>44</v>
      </c>
      <c r="I563">
        <f>電力量!I564-電力量!I563</f>
        <v>375</v>
      </c>
      <c r="J563">
        <f>電力量!J564-電力量!J563</f>
        <v>11.80000000000291</v>
      </c>
      <c r="K563">
        <f>電力量!K564-電力量!K563</f>
        <v>0</v>
      </c>
      <c r="L563">
        <f>電力量!L564-電力量!L563</f>
        <v>37</v>
      </c>
      <c r="M563">
        <f>電力量!M564-電力量!M563</f>
        <v>51.19999999999709</v>
      </c>
      <c r="N563">
        <f>電力量!N564-電力量!N563</f>
        <v>48</v>
      </c>
      <c r="O563">
        <f>電力量!O564-電力量!O563</f>
        <v>55.900000000008731</v>
      </c>
      <c r="P563">
        <f>電力量!P564-電力量!P563</f>
        <v>10</v>
      </c>
      <c r="Q563">
        <f>電力量!Q564-電力量!Q563</f>
        <v>15</v>
      </c>
      <c r="R563">
        <f>電力量!R564-電力量!R563</f>
        <v>0</v>
      </c>
    </row>
    <row r="564" spans="1:18">
      <c r="A564" s="4">
        <f t="shared" si="193"/>
        <v>45895.416666666664</v>
      </c>
      <c r="B564">
        <f>電力量!B565-電力量!B564</f>
        <v>1308</v>
      </c>
      <c r="C564">
        <f>電力量!C565-電力量!C564</f>
        <v>364</v>
      </c>
      <c r="D564">
        <f>電力量!D565-電力量!D564</f>
        <v>33.700000000004366</v>
      </c>
      <c r="E564">
        <f>電力量!E565-電力量!E564</f>
        <v>0</v>
      </c>
      <c r="F564">
        <f>電力量!F565-電力量!F564</f>
        <v>49</v>
      </c>
      <c r="G564">
        <f>電力量!G565-電力量!G564</f>
        <v>82.30000000000291</v>
      </c>
      <c r="H564">
        <f>電力量!H565-電力量!H564</f>
        <v>47</v>
      </c>
      <c r="I564">
        <f>電力量!I565-電力量!I564</f>
        <v>417</v>
      </c>
      <c r="J564">
        <f>電力量!J565-電力量!J564</f>
        <v>15.19999999999709</v>
      </c>
      <c r="K564">
        <f>電力量!K565-電力量!K564</f>
        <v>0.10000000000582077</v>
      </c>
      <c r="L564">
        <f>電力量!L565-電力量!L564</f>
        <v>42.299999999988358</v>
      </c>
      <c r="M564">
        <f>電力量!M565-電力量!M564</f>
        <v>47.900000000001455</v>
      </c>
      <c r="N564">
        <f>電力量!N565-電力量!N564</f>
        <v>51.69999999999709</v>
      </c>
      <c r="O564">
        <f>電力量!O565-電力量!O564</f>
        <v>70.69999999999709</v>
      </c>
      <c r="P564">
        <f>電力量!P565-電力量!P564</f>
        <v>13</v>
      </c>
      <c r="Q564">
        <f>電力量!Q565-電力量!Q564</f>
        <v>19</v>
      </c>
      <c r="R564">
        <f>電力量!R565-電力量!R564</f>
        <v>0</v>
      </c>
    </row>
    <row r="565" spans="1:18">
      <c r="A565" s="4">
        <f t="shared" si="194"/>
        <v>45895.458333333336</v>
      </c>
      <c r="B565">
        <f>電力量!B566-電力量!B565</f>
        <v>1389</v>
      </c>
      <c r="C565">
        <f>電力量!C566-電力量!C565</f>
        <v>388</v>
      </c>
      <c r="D565">
        <f>電力量!D566-電力量!D565</f>
        <v>36.599999999998545</v>
      </c>
      <c r="E565">
        <f>電力量!E566-電力量!E565</f>
        <v>0</v>
      </c>
      <c r="F565">
        <f>電力量!F566-電力量!F565</f>
        <v>59</v>
      </c>
      <c r="G565">
        <f>電力量!G566-電力量!G565</f>
        <v>100.90000000000146</v>
      </c>
      <c r="H565">
        <f>電力量!H566-電力量!H565</f>
        <v>47</v>
      </c>
      <c r="I565">
        <f>電力量!I566-電力量!I565</f>
        <v>446</v>
      </c>
      <c r="J565">
        <f>電力量!J566-電力量!J565</f>
        <v>16.200000000004366</v>
      </c>
      <c r="K565">
        <f>電力量!K566-電力量!K565</f>
        <v>0</v>
      </c>
      <c r="L565">
        <f>電力量!L566-電力量!L565</f>
        <v>40</v>
      </c>
      <c r="M565">
        <f>電力量!M566-電力量!M565</f>
        <v>54.599999999998545</v>
      </c>
      <c r="N565">
        <f>電力量!N566-電力量!N565</f>
        <v>48.19999999999709</v>
      </c>
      <c r="O565">
        <f>電力量!O566-電力量!O565</f>
        <v>65.600000000005821</v>
      </c>
      <c r="P565">
        <f>電力量!P566-電力量!P565</f>
        <v>14</v>
      </c>
      <c r="Q565">
        <f>電力量!Q566-電力量!Q565</f>
        <v>22</v>
      </c>
      <c r="R565">
        <f>電力量!R566-電力量!R565</f>
        <v>0</v>
      </c>
    </row>
    <row r="566" spans="1:18">
      <c r="A566" s="4">
        <f t="shared" si="195"/>
        <v>45895.5</v>
      </c>
      <c r="B566">
        <f>電力量!B567-電力量!B566</f>
        <v>1438</v>
      </c>
      <c r="C566">
        <f>電力量!C567-電力量!C566</f>
        <v>392</v>
      </c>
      <c r="D566">
        <f>電力量!D567-電力量!D566</f>
        <v>42.099999999998545</v>
      </c>
      <c r="E566">
        <f>電力量!E567-電力量!E566</f>
        <v>0</v>
      </c>
      <c r="F566">
        <f>電力量!F567-電力量!F566</f>
        <v>60</v>
      </c>
      <c r="G566">
        <f>電力量!G567-電力量!G566</f>
        <v>99.899999999994179</v>
      </c>
      <c r="H566">
        <f>電力量!H567-電力量!H566</f>
        <v>34</v>
      </c>
      <c r="I566">
        <f>電力量!I567-電力量!I566</f>
        <v>487</v>
      </c>
      <c r="J566">
        <f>電力量!J567-電力量!J566</f>
        <v>15</v>
      </c>
      <c r="K566">
        <f>電力量!K567-電力量!K566</f>
        <v>0.19999999999708962</v>
      </c>
      <c r="L566">
        <f>電力量!L567-電力量!L566</f>
        <v>42.200000000011642</v>
      </c>
      <c r="M566">
        <f>電力量!M567-電力量!M566</f>
        <v>57.30000000000291</v>
      </c>
      <c r="N566">
        <f>電力量!N567-電力量!N566</f>
        <v>51.30000000000291</v>
      </c>
      <c r="O566">
        <f>電力量!O567-電力量!O566</f>
        <v>68.399999999994179</v>
      </c>
      <c r="P566">
        <f>電力量!P567-電力量!P566</f>
        <v>15</v>
      </c>
      <c r="Q566">
        <f>電力量!Q567-電力量!Q566</f>
        <v>23</v>
      </c>
      <c r="R566">
        <f>電力量!R567-電力量!R566</f>
        <v>0</v>
      </c>
    </row>
    <row r="567" spans="1:18">
      <c r="A567" s="4">
        <f t="shared" si="196"/>
        <v>45895.541666666664</v>
      </c>
      <c r="B567">
        <f>電力量!B568-電力量!B567</f>
        <v>1517</v>
      </c>
      <c r="C567">
        <f>電力量!C568-電力量!C567</f>
        <v>399</v>
      </c>
      <c r="D567">
        <f>電力量!D568-電力量!D567</f>
        <v>50.5</v>
      </c>
      <c r="E567">
        <f>電力量!E568-電力量!E567</f>
        <v>0</v>
      </c>
      <c r="F567">
        <f>電力量!F568-電力量!F567</f>
        <v>70</v>
      </c>
      <c r="G567">
        <f>電力量!G568-電力量!G567</f>
        <v>115.80000000000291</v>
      </c>
      <c r="H567">
        <f>電力量!H568-電力量!H567</f>
        <v>45</v>
      </c>
      <c r="I567">
        <f>電力量!I568-電力量!I567</f>
        <v>498</v>
      </c>
      <c r="J567">
        <f>電力量!J568-電力量!J567</f>
        <v>15.5</v>
      </c>
      <c r="K567">
        <f>電力量!K568-電力量!K567</f>
        <v>0</v>
      </c>
      <c r="L567">
        <f>電力量!L568-電力量!L567</f>
        <v>47.299999999988358</v>
      </c>
      <c r="M567">
        <f>電力量!M568-電力量!M567</f>
        <v>55.799999999995634</v>
      </c>
      <c r="N567">
        <f>電力量!N568-電力量!N567</f>
        <v>47.30000000000291</v>
      </c>
      <c r="O567">
        <f>電力量!O568-電力量!O567</f>
        <v>76.30000000000291</v>
      </c>
      <c r="P567">
        <f>電力量!P568-電力量!P567</f>
        <v>15</v>
      </c>
      <c r="Q567">
        <f>電力量!Q568-電力量!Q567</f>
        <v>23</v>
      </c>
      <c r="R567">
        <f>電力量!R568-電力量!R567</f>
        <v>0</v>
      </c>
    </row>
    <row r="568" spans="1:18">
      <c r="A568" s="4">
        <f t="shared" si="197"/>
        <v>45895.583333333336</v>
      </c>
      <c r="B568">
        <f>電力量!B569-電力量!B568</f>
        <v>1551</v>
      </c>
      <c r="C568">
        <f>電力量!C569-電力量!C568</f>
        <v>423</v>
      </c>
      <c r="D568">
        <f>電力量!D569-電力量!D568</f>
        <v>50.400000000001455</v>
      </c>
      <c r="E568">
        <f>電力量!E569-電力量!E568</f>
        <v>0</v>
      </c>
      <c r="F568">
        <f>電力量!F569-電力量!F568</f>
        <v>65</v>
      </c>
      <c r="G568">
        <f>電力量!G569-電力量!G568</f>
        <v>128.30000000000291</v>
      </c>
      <c r="H568">
        <f>電力量!H569-電力量!H568</f>
        <v>44</v>
      </c>
      <c r="I568">
        <f>電力量!I569-電力量!I568</f>
        <v>503</v>
      </c>
      <c r="J568">
        <f>電力量!J569-電力量!J568</f>
        <v>15.099999999998545</v>
      </c>
      <c r="K568">
        <f>電力量!K569-電力量!K568</f>
        <v>0.10000000000582077</v>
      </c>
      <c r="L568">
        <f>電力量!L569-電力量!L568</f>
        <v>50.900000000008731</v>
      </c>
      <c r="M568">
        <f>電力量!M569-電力量!M568</f>
        <v>66.5</v>
      </c>
      <c r="N568">
        <f>電力量!N569-電力量!N568</f>
        <v>48.399999999994179</v>
      </c>
      <c r="O568">
        <f>電力量!O569-電力量!O568</f>
        <v>52.80000000000291</v>
      </c>
      <c r="P568">
        <f>電力量!P569-電力量!P568</f>
        <v>15</v>
      </c>
      <c r="Q568">
        <f>電力量!Q569-電力量!Q568</f>
        <v>22</v>
      </c>
      <c r="R568">
        <f>電力量!R569-電力量!R568</f>
        <v>0</v>
      </c>
    </row>
    <row r="569" spans="1:18">
      <c r="A569" s="4">
        <f t="shared" si="198"/>
        <v>45895.625</v>
      </c>
      <c r="B569">
        <f>電力量!B570-電力量!B569</f>
        <v>1533</v>
      </c>
      <c r="C569">
        <f>電力量!C570-電力量!C569</f>
        <v>429</v>
      </c>
      <c r="D569">
        <f>電力量!D570-電力量!D569</f>
        <v>49.099999999998545</v>
      </c>
      <c r="E569">
        <f>電力量!E570-電力量!E569</f>
        <v>0</v>
      </c>
      <c r="F569">
        <f>電力量!F570-電力量!F569</f>
        <v>65</v>
      </c>
      <c r="G569">
        <f>電力量!G570-電力量!G569</f>
        <v>130</v>
      </c>
      <c r="H569">
        <f>電力量!H570-電力量!H569</f>
        <v>39</v>
      </c>
      <c r="I569">
        <f>電力量!I570-電力量!I569</f>
        <v>504</v>
      </c>
      <c r="J569">
        <f>電力量!J570-電力量!J569</f>
        <v>13.19999999999709</v>
      </c>
      <c r="K569">
        <f>電力量!K570-電力量!K569</f>
        <v>3.8000000000029104</v>
      </c>
      <c r="L569">
        <f>電力量!L570-電力量!L569</f>
        <v>50.19999999999709</v>
      </c>
      <c r="M569">
        <f>電力量!M570-電力量!M569</f>
        <v>61.30000000000291</v>
      </c>
      <c r="N569">
        <f>電力量!N570-電力量!N569</f>
        <v>55</v>
      </c>
      <c r="O569">
        <f>電力量!O570-電力量!O569</f>
        <v>29.799999999988358</v>
      </c>
      <c r="P569">
        <f>電力量!P570-電力量!P569</f>
        <v>8</v>
      </c>
      <c r="Q569">
        <f>電力量!Q570-電力量!Q569</f>
        <v>13</v>
      </c>
      <c r="R569">
        <f>電力量!R570-電力量!R569</f>
        <v>0</v>
      </c>
    </row>
    <row r="570" spans="1:18">
      <c r="A570" s="4">
        <f t="shared" si="199"/>
        <v>45895.666666666664</v>
      </c>
      <c r="B570">
        <f>電力量!B571-電力量!B570</f>
        <v>1418</v>
      </c>
      <c r="C570">
        <f>電力量!C571-電力量!C570</f>
        <v>386</v>
      </c>
      <c r="D570">
        <f>電力量!D571-電力量!D570</f>
        <v>42.30000000000291</v>
      </c>
      <c r="E570">
        <f>電力量!E571-電力量!E570</f>
        <v>0</v>
      </c>
      <c r="F570">
        <f>電力量!F571-電力量!F570</f>
        <v>52</v>
      </c>
      <c r="G570">
        <f>電力量!G571-電力量!G570</f>
        <v>139.19999999999709</v>
      </c>
      <c r="H570">
        <f>電力量!H571-電力量!H570</f>
        <v>42</v>
      </c>
      <c r="I570">
        <f>電力量!I571-電力量!I570</f>
        <v>464</v>
      </c>
      <c r="J570">
        <f>電力量!J571-電力量!J570</f>
        <v>11</v>
      </c>
      <c r="K570">
        <f>電力量!K571-電力量!K570</f>
        <v>7.5999999999912689</v>
      </c>
      <c r="L570">
        <f>電力量!L571-電力量!L570</f>
        <v>42.100000000005821</v>
      </c>
      <c r="M570">
        <f>電力量!M571-電力量!M570</f>
        <v>56.399999999994179</v>
      </c>
      <c r="N570">
        <f>電力量!N571-電力量!N570</f>
        <v>57.200000000011642</v>
      </c>
      <c r="O570">
        <f>電力量!O571-電力量!O570</f>
        <v>24.5</v>
      </c>
      <c r="P570">
        <f>電力量!P571-電力量!P570</f>
        <v>3</v>
      </c>
      <c r="Q570">
        <f>電力量!Q571-電力量!Q570</f>
        <v>3</v>
      </c>
      <c r="R570">
        <f>電力量!R571-電力量!R570</f>
        <v>0</v>
      </c>
    </row>
    <row r="571" spans="1:18">
      <c r="A571" s="4">
        <f t="shared" si="200"/>
        <v>45895.708333333336</v>
      </c>
      <c r="B571">
        <f>電力量!B572-電力量!B571</f>
        <v>1254</v>
      </c>
      <c r="C571">
        <f>電力量!C572-電力量!C571</f>
        <v>365</v>
      </c>
      <c r="D571">
        <f>電力量!D572-電力量!D571</f>
        <v>35.799999999995634</v>
      </c>
      <c r="E571">
        <f>電力量!E572-電力量!E571</f>
        <v>0</v>
      </c>
      <c r="F571">
        <f>電力量!F572-電力量!F571</f>
        <v>44</v>
      </c>
      <c r="G571">
        <f>電力量!G572-電力量!G571</f>
        <v>106.09999999999854</v>
      </c>
      <c r="H571">
        <f>電力量!H572-電力量!H571</f>
        <v>20</v>
      </c>
      <c r="I571">
        <f>電力量!I572-電力量!I571</f>
        <v>414</v>
      </c>
      <c r="J571">
        <f>電力量!J572-電力量!J571</f>
        <v>11</v>
      </c>
      <c r="K571">
        <f>電力量!K572-電力量!K571</f>
        <v>3.1000000000058208</v>
      </c>
      <c r="L571">
        <f>電力量!L572-電力量!L571</f>
        <v>40.299999999988358</v>
      </c>
      <c r="M571">
        <f>電力量!M572-電力量!M571</f>
        <v>48.400000000008731</v>
      </c>
      <c r="N571">
        <f>電力量!N572-電力量!N571</f>
        <v>56.5</v>
      </c>
      <c r="O571">
        <f>電力量!O572-電力量!O571</f>
        <v>24.30000000000291</v>
      </c>
      <c r="P571">
        <f>電力量!P572-電力量!P571</f>
        <v>3</v>
      </c>
      <c r="Q571">
        <f>電力量!Q572-電力量!Q571</f>
        <v>5</v>
      </c>
      <c r="R571">
        <f>電力量!R572-電力量!R571</f>
        <v>0</v>
      </c>
    </row>
    <row r="572" spans="1:18">
      <c r="A572" s="4">
        <f t="shared" si="201"/>
        <v>45895.75</v>
      </c>
      <c r="B572">
        <f>電力量!B573-電力量!B572</f>
        <v>1098</v>
      </c>
      <c r="C572">
        <f>電力量!C573-電力量!C572</f>
        <v>303</v>
      </c>
      <c r="D572">
        <f>電力量!D573-電力量!D572</f>
        <v>28.80000000000291</v>
      </c>
      <c r="E572">
        <f>電力量!E573-電力量!E572</f>
        <v>0</v>
      </c>
      <c r="F572">
        <f>電力量!F573-電力量!F572</f>
        <v>32</v>
      </c>
      <c r="G572">
        <f>電力量!G573-電力量!G572</f>
        <v>90.80000000000291</v>
      </c>
      <c r="H572">
        <f>電力量!H573-電力量!H572</f>
        <v>18</v>
      </c>
      <c r="I572">
        <f>電力量!I573-電力量!I572</f>
        <v>372</v>
      </c>
      <c r="J572">
        <f>電力量!J573-電力量!J572</f>
        <v>10.80000000000291</v>
      </c>
      <c r="K572">
        <f>電力量!K573-電力量!K572</f>
        <v>3.8000000000029104</v>
      </c>
      <c r="L572">
        <f>電力量!L573-電力量!L572</f>
        <v>35.80000000000291</v>
      </c>
      <c r="M572">
        <f>電力量!M573-電力量!M572</f>
        <v>45.19999999999709</v>
      </c>
      <c r="N572">
        <f>電力量!N573-電力量!N572</f>
        <v>57</v>
      </c>
      <c r="O572">
        <f>電力量!O573-電力量!O572</f>
        <v>20.5</v>
      </c>
      <c r="P572">
        <f>電力量!P573-電力量!P572</f>
        <v>0</v>
      </c>
      <c r="Q572">
        <f>電力量!Q573-電力量!Q572</f>
        <v>1</v>
      </c>
      <c r="R572">
        <f>電力量!R573-電力量!R572</f>
        <v>0</v>
      </c>
    </row>
    <row r="573" spans="1:18">
      <c r="A573" s="4">
        <f t="shared" si="202"/>
        <v>45895.791666666664</v>
      </c>
      <c r="B573">
        <f>電力量!B574-電力量!B573</f>
        <v>1014</v>
      </c>
      <c r="C573">
        <f>電力量!C574-電力量!C573</f>
        <v>280</v>
      </c>
      <c r="D573">
        <f>電力量!D574-電力量!D573</f>
        <v>19.900000000001455</v>
      </c>
      <c r="E573">
        <f>電力量!E574-電力量!E573</f>
        <v>0</v>
      </c>
      <c r="F573">
        <f>電力量!F574-電力量!F573</f>
        <v>24</v>
      </c>
      <c r="G573">
        <f>電力量!G574-電力量!G573</f>
        <v>85.5</v>
      </c>
      <c r="H573">
        <f>電力量!H574-電力量!H573</f>
        <v>14</v>
      </c>
      <c r="I573">
        <f>電力量!I574-電力量!I573</f>
        <v>357</v>
      </c>
      <c r="J573">
        <f>電力量!J574-電力量!J573</f>
        <v>10.599999999998545</v>
      </c>
      <c r="K573">
        <f>電力量!K574-電力量!K573</f>
        <v>3.8999999999941792</v>
      </c>
      <c r="L573">
        <f>電力量!L574-電力量!L573</f>
        <v>29.900000000008731</v>
      </c>
      <c r="M573">
        <f>電力量!M574-電力量!M573</f>
        <v>43.100000000005821</v>
      </c>
      <c r="N573">
        <f>電力量!N574-電力量!N573</f>
        <v>57.299999999988358</v>
      </c>
      <c r="O573">
        <f>電力量!O574-電力量!O573</f>
        <v>23.30000000000291</v>
      </c>
      <c r="P573">
        <f>電力量!P574-電力量!P573</f>
        <v>0</v>
      </c>
      <c r="Q573">
        <f>電力量!Q574-電力量!Q573</f>
        <v>0</v>
      </c>
      <c r="R573">
        <f>電力量!R574-電力量!R573</f>
        <v>0</v>
      </c>
    </row>
    <row r="574" spans="1:18">
      <c r="A574" s="4">
        <f t="shared" si="203"/>
        <v>45895.833333333336</v>
      </c>
      <c r="B574">
        <f>電力量!B575-電力量!B574</f>
        <v>933</v>
      </c>
      <c r="C574">
        <f>電力量!C575-電力量!C574</f>
        <v>257</v>
      </c>
      <c r="D574">
        <f>電力量!D575-電力量!D574</f>
        <v>19.899999999994179</v>
      </c>
      <c r="E574">
        <f>電力量!E575-電力量!E574</f>
        <v>0</v>
      </c>
      <c r="F574">
        <f>電力量!F575-電力量!F574</f>
        <v>22</v>
      </c>
      <c r="G574">
        <f>電力量!G575-電力量!G574</f>
        <v>77</v>
      </c>
      <c r="H574">
        <f>電力量!H575-電力量!H574</f>
        <v>12</v>
      </c>
      <c r="I574">
        <f>電力量!I575-電力量!I574</f>
        <v>317</v>
      </c>
      <c r="J574">
        <f>電力量!J575-電力量!J574</f>
        <v>10.5</v>
      </c>
      <c r="K574">
        <f>電力量!K575-電力量!K574</f>
        <v>3.8999999999941792</v>
      </c>
      <c r="L574">
        <f>電力量!L575-電力量!L574</f>
        <v>28.299999999988358</v>
      </c>
      <c r="M574">
        <f>電力量!M575-電力量!M574</f>
        <v>41.19999999999709</v>
      </c>
      <c r="N574">
        <f>電力量!N575-電力量!N574</f>
        <v>56.80000000000291</v>
      </c>
      <c r="O574">
        <f>電力量!O575-電力量!O574</f>
        <v>24</v>
      </c>
      <c r="P574">
        <f>電力量!P575-電力量!P574</f>
        <v>0</v>
      </c>
      <c r="Q574">
        <f>電力量!Q575-電力量!Q574</f>
        <v>0</v>
      </c>
      <c r="R574">
        <f>電力量!R575-電力量!R574</f>
        <v>0</v>
      </c>
    </row>
    <row r="575" spans="1:18">
      <c r="A575" s="4">
        <f t="shared" si="204"/>
        <v>45895.875</v>
      </c>
      <c r="B575">
        <f>電力量!B576-電力量!B575</f>
        <v>870</v>
      </c>
      <c r="C575">
        <f>電力量!C576-電力量!C575</f>
        <v>237</v>
      </c>
      <c r="D575">
        <f>電力量!D576-電力量!D575</f>
        <v>19.200000000004366</v>
      </c>
      <c r="E575">
        <f>電力量!E576-電力量!E575</f>
        <v>0</v>
      </c>
      <c r="F575">
        <f>電力量!F576-電力量!F575</f>
        <v>20</v>
      </c>
      <c r="G575">
        <f>電力量!G576-電力量!G575</f>
        <v>80.099999999998545</v>
      </c>
      <c r="H575">
        <f>電力量!H576-電力量!H575</f>
        <v>12</v>
      </c>
      <c r="I575">
        <f>電力量!I576-電力量!I575</f>
        <v>287</v>
      </c>
      <c r="J575">
        <f>電力量!J576-電力量!J575</f>
        <v>10.30000000000291</v>
      </c>
      <c r="K575">
        <f>電力量!K576-電力量!K575</f>
        <v>3.9000000000087311</v>
      </c>
      <c r="L575">
        <f>電力量!L576-電力量!L575</f>
        <v>25.5</v>
      </c>
      <c r="M575">
        <f>電力量!M576-電力量!M575</f>
        <v>38.80000000000291</v>
      </c>
      <c r="N575">
        <f>電力量!N576-電力量!N575</f>
        <v>55.600000000005821</v>
      </c>
      <c r="O575">
        <f>電力量!O576-電力量!O575</f>
        <v>23.399999999994179</v>
      </c>
      <c r="P575">
        <f>電力量!P576-電力量!P575</f>
        <v>0</v>
      </c>
      <c r="Q575">
        <f>電力量!Q576-電力量!Q575</f>
        <v>0</v>
      </c>
      <c r="R575">
        <f>電力量!R576-電力量!R575</f>
        <v>0</v>
      </c>
    </row>
    <row r="576" spans="1:18">
      <c r="A576" s="4">
        <f t="shared" si="205"/>
        <v>45895.916666666664</v>
      </c>
      <c r="B576">
        <f>電力量!B577-電力量!B576</f>
        <v>797</v>
      </c>
      <c r="C576">
        <f>電力量!C577-電力量!C576</f>
        <v>201</v>
      </c>
      <c r="D576">
        <f>電力量!D577-電力量!D576</f>
        <v>16</v>
      </c>
      <c r="E576">
        <f>電力量!E577-電力量!E576</f>
        <v>0</v>
      </c>
      <c r="F576">
        <f>電力量!F577-電力量!F576</f>
        <v>19</v>
      </c>
      <c r="G576">
        <f>電力量!G577-電力量!G576</f>
        <v>70.69999999999709</v>
      </c>
      <c r="H576">
        <f>電力量!H577-電力量!H576</f>
        <v>11</v>
      </c>
      <c r="I576">
        <f>電力量!I577-電力量!I576</f>
        <v>275</v>
      </c>
      <c r="J576">
        <f>電力量!J577-電力量!J576</f>
        <v>9.7999999999956344</v>
      </c>
      <c r="K576">
        <f>電力量!K577-電力量!K576</f>
        <v>3.5</v>
      </c>
      <c r="L576">
        <f>電力量!L577-電力量!L576</f>
        <v>26.700000000011642</v>
      </c>
      <c r="M576">
        <f>電力量!M577-電力量!M576</f>
        <v>37.69999999999709</v>
      </c>
      <c r="N576">
        <f>電力量!N577-電力量!N576</f>
        <v>54.80000000000291</v>
      </c>
      <c r="O576">
        <f>電力量!O577-電力量!O576</f>
        <v>18.30000000000291</v>
      </c>
      <c r="P576">
        <f>電力量!P577-電力量!P576</f>
        <v>0</v>
      </c>
      <c r="Q576">
        <f>電力量!Q577-電力量!Q576</f>
        <v>0</v>
      </c>
      <c r="R576">
        <f>電力量!R577-電力量!R576</f>
        <v>0</v>
      </c>
    </row>
    <row r="577" spans="1:18">
      <c r="A577" s="4">
        <f t="shared" si="206"/>
        <v>45895.958333333336</v>
      </c>
      <c r="B577">
        <f>電力量!B578-電力量!B577</f>
        <v>770</v>
      </c>
      <c r="C577">
        <f>電力量!C578-電力量!C577</f>
        <v>194</v>
      </c>
      <c r="D577">
        <f>電力量!D578-電力量!D577</f>
        <v>17</v>
      </c>
      <c r="E577">
        <f>電力量!E578-電力量!E577</f>
        <v>0</v>
      </c>
      <c r="F577">
        <f>電力量!F578-電力量!F577</f>
        <v>19</v>
      </c>
      <c r="G577">
        <f>電力量!G578-電力量!G577</f>
        <v>67.400000000001455</v>
      </c>
      <c r="H577">
        <f>電力量!H578-電力量!H577</f>
        <v>11</v>
      </c>
      <c r="I577">
        <f>電力量!I578-電力量!I577</f>
        <v>260</v>
      </c>
      <c r="J577">
        <f>電力量!J578-電力量!J577</f>
        <v>9.8000000000029104</v>
      </c>
      <c r="K577">
        <f>電力量!K578-電力量!K577</f>
        <v>3.3999999999941792</v>
      </c>
      <c r="L577">
        <f>電力量!L578-電力量!L577</f>
        <v>27.399999999994179</v>
      </c>
      <c r="M577">
        <f>電力量!M578-電力量!M577</f>
        <v>36.69999999999709</v>
      </c>
      <c r="N577">
        <f>電力量!N578-電力量!N577</f>
        <v>54.5</v>
      </c>
      <c r="O577">
        <f>電力量!O578-電力量!O577</f>
        <v>18.19999999999709</v>
      </c>
      <c r="P577">
        <f>電力量!P578-電力量!P577</f>
        <v>0</v>
      </c>
      <c r="Q577">
        <f>電力量!Q578-電力量!Q577</f>
        <v>0</v>
      </c>
      <c r="R577">
        <f>電力量!R578-電力量!R577</f>
        <v>0</v>
      </c>
    </row>
    <row r="578" spans="1:18">
      <c r="A578" s="4">
        <v>45896</v>
      </c>
      <c r="B578">
        <f>電力量!B579-電力量!B578</f>
        <v>753</v>
      </c>
      <c r="C578">
        <f>電力量!C579-電力量!C578</f>
        <v>194</v>
      </c>
      <c r="D578">
        <f>電力量!D579-電力量!D578</f>
        <v>16.799999999995634</v>
      </c>
      <c r="E578">
        <f>電力量!E579-電力量!E578</f>
        <v>0</v>
      </c>
      <c r="F578">
        <f>電力量!F579-電力量!F578</f>
        <v>19</v>
      </c>
      <c r="G578">
        <f>電力量!G579-電力量!G578</f>
        <v>63.30000000000291</v>
      </c>
      <c r="H578">
        <f>電力量!H579-電力量!H578</f>
        <v>12</v>
      </c>
      <c r="I578">
        <f>電力量!I579-電力量!I578</f>
        <v>252</v>
      </c>
      <c r="J578">
        <f>電力量!J579-電力量!J578</f>
        <v>9.5999999999985448</v>
      </c>
      <c r="K578">
        <f>電力量!K579-電力量!K578</f>
        <v>3.4000000000087311</v>
      </c>
      <c r="L578">
        <f>電力量!L579-電力量!L578</f>
        <v>23.80000000000291</v>
      </c>
      <c r="M578">
        <f>電力量!M579-電力量!M578</f>
        <v>36.5</v>
      </c>
      <c r="N578">
        <f>電力量!N579-電力量!N578</f>
        <v>54.799999999988358</v>
      </c>
      <c r="O578">
        <f>電力量!O579-電力量!O578</f>
        <v>16</v>
      </c>
      <c r="P578">
        <f>電力量!P579-電力量!P578</f>
        <v>0</v>
      </c>
      <c r="Q578">
        <f>電力量!Q579-電力量!Q578</f>
        <v>0</v>
      </c>
      <c r="R578">
        <f>電力量!R579-電力量!R578</f>
        <v>0</v>
      </c>
    </row>
    <row r="579" spans="1:18">
      <c r="A579" s="4">
        <f t="shared" si="184"/>
        <v>45896.041666666664</v>
      </c>
      <c r="B579">
        <f>電力量!B580-電力量!B579</f>
        <v>734</v>
      </c>
      <c r="C579">
        <f>電力量!C580-電力量!C579</f>
        <v>189</v>
      </c>
      <c r="D579">
        <f>電力量!D580-電力量!D579</f>
        <v>15.100000000005821</v>
      </c>
      <c r="E579">
        <f>電力量!E580-電力量!E579</f>
        <v>0</v>
      </c>
      <c r="F579">
        <f>電力量!F580-電力量!F579</f>
        <v>18</v>
      </c>
      <c r="G579">
        <f>電力量!G580-電力量!G579</f>
        <v>63.599999999998545</v>
      </c>
      <c r="H579">
        <f>電力量!H580-電力量!H579</f>
        <v>11</v>
      </c>
      <c r="I579">
        <f>電力量!I580-電力量!I579</f>
        <v>243</v>
      </c>
      <c r="J579">
        <f>電力量!J580-電力量!J579</f>
        <v>9.5</v>
      </c>
      <c r="K579">
        <f>電力量!K580-電力量!K579</f>
        <v>3.3999999999941792</v>
      </c>
      <c r="L579">
        <f>電力量!L580-電力量!L579</f>
        <v>22.69999999999709</v>
      </c>
      <c r="M579">
        <f>電力量!M580-電力量!M579</f>
        <v>36.30000000000291</v>
      </c>
      <c r="N579">
        <f>電力量!N580-電力量!N579</f>
        <v>54.5</v>
      </c>
      <c r="O579">
        <f>電力量!O580-電力量!O579</f>
        <v>17.30000000000291</v>
      </c>
      <c r="P579">
        <f>電力量!P580-電力量!P579</f>
        <v>0</v>
      </c>
      <c r="Q579">
        <f>電力量!Q580-電力量!Q579</f>
        <v>0</v>
      </c>
      <c r="R579">
        <f>電力量!R580-電力量!R579</f>
        <v>0</v>
      </c>
    </row>
    <row r="580" spans="1:18">
      <c r="A580" s="4">
        <f t="shared" si="185"/>
        <v>45896.083333333336</v>
      </c>
      <c r="B580">
        <f>電力量!B581-電力量!B580</f>
        <v>732</v>
      </c>
      <c r="C580">
        <f>電力量!C581-電力量!C580</f>
        <v>186</v>
      </c>
      <c r="D580">
        <f>電力量!D581-電力量!D580</f>
        <v>14.399999999994179</v>
      </c>
      <c r="E580">
        <f>電力量!E581-電力量!E580</f>
        <v>0</v>
      </c>
      <c r="F580">
        <f>電力量!F581-電力量!F580</f>
        <v>18</v>
      </c>
      <c r="G580">
        <f>電力量!G581-電力量!G580</f>
        <v>60.19999999999709</v>
      </c>
      <c r="H580">
        <f>電力量!H581-電力量!H580</f>
        <v>11</v>
      </c>
      <c r="I580">
        <f>電力量!I581-電力量!I580</f>
        <v>245</v>
      </c>
      <c r="J580">
        <f>電力量!J581-電力量!J580</f>
        <v>9.6999999999970896</v>
      </c>
      <c r="K580">
        <f>電力量!K581-電力量!K580</f>
        <v>3.5</v>
      </c>
      <c r="L580">
        <f>電力量!L581-電力量!L580</f>
        <v>22.399999999994179</v>
      </c>
      <c r="M580">
        <f>電力量!M581-電力量!M580</f>
        <v>38.399999999994179</v>
      </c>
      <c r="N580">
        <f>電力量!N581-電力量!N580</f>
        <v>55</v>
      </c>
      <c r="O580">
        <f>電力量!O581-電力量!O580</f>
        <v>16.80000000000291</v>
      </c>
      <c r="P580">
        <f>電力量!P581-電力量!P580</f>
        <v>0</v>
      </c>
      <c r="Q580">
        <f>電力量!Q581-電力量!Q580</f>
        <v>0</v>
      </c>
      <c r="R580">
        <f>電力量!R581-電力量!R580</f>
        <v>0</v>
      </c>
    </row>
    <row r="581" spans="1:18">
      <c r="A581" s="4">
        <f t="shared" si="186"/>
        <v>45896.125</v>
      </c>
      <c r="B581">
        <f>電力量!B582-電力量!B581</f>
        <v>731</v>
      </c>
      <c r="C581">
        <f>電力量!C582-電力量!C581</f>
        <v>189</v>
      </c>
      <c r="D581">
        <f>電力量!D582-電力量!D581</f>
        <v>14.80000000000291</v>
      </c>
      <c r="E581">
        <f>電力量!E582-電力量!E581</f>
        <v>0</v>
      </c>
      <c r="F581">
        <f>電力量!F582-電力量!F581</f>
        <v>19</v>
      </c>
      <c r="G581">
        <f>電力量!G582-電力量!G581</f>
        <v>57.30000000000291</v>
      </c>
      <c r="H581">
        <f>電力量!H582-電力量!H581</f>
        <v>12</v>
      </c>
      <c r="I581">
        <f>電力量!I582-電力量!I581</f>
        <v>243</v>
      </c>
      <c r="J581">
        <f>電力量!J582-電力量!J581</f>
        <v>9.5</v>
      </c>
      <c r="K581">
        <f>電力量!K582-電力量!K581</f>
        <v>3.5</v>
      </c>
      <c r="L581">
        <f>電力量!L582-電力量!L581</f>
        <v>22.400000000008731</v>
      </c>
      <c r="M581">
        <f>電力量!M582-電力量!M581</f>
        <v>39.5</v>
      </c>
      <c r="N581">
        <f>電力量!N582-電力量!N581</f>
        <v>54.5</v>
      </c>
      <c r="O581">
        <f>電力量!O582-電力量!O581</f>
        <v>17.19999999999709</v>
      </c>
      <c r="P581">
        <f>電力量!P582-電力量!P581</f>
        <v>0</v>
      </c>
      <c r="Q581">
        <f>電力量!Q582-電力量!Q581</f>
        <v>0</v>
      </c>
      <c r="R581">
        <f>電力量!R582-電力量!R581</f>
        <v>0</v>
      </c>
    </row>
    <row r="582" spans="1:18">
      <c r="A582" s="4">
        <f t="shared" si="187"/>
        <v>45896.166666666664</v>
      </c>
      <c r="B582">
        <f>電力量!B583-電力量!B582</f>
        <v>729</v>
      </c>
      <c r="C582">
        <f>電力量!C583-電力量!C582</f>
        <v>190</v>
      </c>
      <c r="D582">
        <f>電力量!D583-電力量!D582</f>
        <v>13.599999999998545</v>
      </c>
      <c r="E582">
        <f>電力量!E583-電力量!E582</f>
        <v>0</v>
      </c>
      <c r="F582">
        <f>電力量!F583-電力量!F582</f>
        <v>18</v>
      </c>
      <c r="G582">
        <f>電力量!G583-電力量!G582</f>
        <v>57.099999999998545</v>
      </c>
      <c r="H582">
        <f>電力量!H583-電力量!H582</f>
        <v>11</v>
      </c>
      <c r="I582">
        <f>電力量!I583-電力量!I582</f>
        <v>240</v>
      </c>
      <c r="J582">
        <f>電力量!J583-電力量!J582</f>
        <v>9.6000000000058208</v>
      </c>
      <c r="K582">
        <f>電力量!K583-電力量!K582</f>
        <v>3.5</v>
      </c>
      <c r="L582">
        <f>電力量!L583-電力量!L582</f>
        <v>22.19999999999709</v>
      </c>
      <c r="M582">
        <f>電力量!M583-電力量!M582</f>
        <v>39.900000000008731</v>
      </c>
      <c r="N582">
        <f>電力量!N583-電力量!N582</f>
        <v>55.600000000005821</v>
      </c>
      <c r="O582">
        <f>電力量!O583-電力量!O582</f>
        <v>17.600000000005821</v>
      </c>
      <c r="P582">
        <f>電力量!P583-電力量!P582</f>
        <v>0</v>
      </c>
      <c r="Q582">
        <f>電力量!Q583-電力量!Q582</f>
        <v>0</v>
      </c>
      <c r="R582">
        <f>電力量!R583-電力量!R582</f>
        <v>0</v>
      </c>
    </row>
    <row r="583" spans="1:18">
      <c r="A583" s="4">
        <f t="shared" si="188"/>
        <v>45896.208333333336</v>
      </c>
      <c r="B583">
        <f>電力量!B584-電力量!B583</f>
        <v>722</v>
      </c>
      <c r="C583">
        <f>電力量!C584-電力量!C583</f>
        <v>189</v>
      </c>
      <c r="D583">
        <f>電力量!D584-電力量!D583</f>
        <v>13.30000000000291</v>
      </c>
      <c r="E583">
        <f>電力量!E584-電力量!E583</f>
        <v>0</v>
      </c>
      <c r="F583">
        <f>電力量!F584-電力量!F583</f>
        <v>19</v>
      </c>
      <c r="G583">
        <f>電力量!G584-電力量!G583</f>
        <v>57.30000000000291</v>
      </c>
      <c r="H583">
        <f>電力量!H584-電力量!H583</f>
        <v>11</v>
      </c>
      <c r="I583">
        <f>電力量!I584-電力量!I583</f>
        <v>233</v>
      </c>
      <c r="J583">
        <f>電力量!J584-電力量!J583</f>
        <v>9.7999999999956344</v>
      </c>
      <c r="K583">
        <f>電力量!K584-電力量!K583</f>
        <v>3.5</v>
      </c>
      <c r="L583">
        <f>電力量!L584-電力量!L583</f>
        <v>21.399999999994179</v>
      </c>
      <c r="M583">
        <f>電力量!M584-電力量!M583</f>
        <v>37.69999999999709</v>
      </c>
      <c r="N583">
        <f>電力量!N584-電力量!N583</f>
        <v>55.5</v>
      </c>
      <c r="O583">
        <f>電力量!O584-電力量!O583</f>
        <v>20.5</v>
      </c>
      <c r="P583">
        <f>電力量!P584-電力量!P583</f>
        <v>0</v>
      </c>
      <c r="Q583">
        <f>電力量!Q584-電力量!Q583</f>
        <v>0</v>
      </c>
      <c r="R583">
        <f>電力量!R584-電力量!R583</f>
        <v>0</v>
      </c>
    </row>
    <row r="584" spans="1:18">
      <c r="A584" s="4">
        <f t="shared" si="189"/>
        <v>45896.25</v>
      </c>
      <c r="B584">
        <f>電力量!B585-電力量!B584</f>
        <v>709</v>
      </c>
      <c r="C584">
        <f>電力量!C585-電力量!C584</f>
        <v>191</v>
      </c>
      <c r="D584">
        <f>電力量!D585-電力量!D584</f>
        <v>13.099999999998545</v>
      </c>
      <c r="E584">
        <f>電力量!E585-電力量!E584</f>
        <v>0</v>
      </c>
      <c r="F584">
        <f>電力量!F585-電力量!F584</f>
        <v>17</v>
      </c>
      <c r="G584">
        <f>電力量!G585-電力量!G584</f>
        <v>55.099999999998545</v>
      </c>
      <c r="H584">
        <f>電力量!H585-電力量!H584</f>
        <v>12</v>
      </c>
      <c r="I584">
        <f>電力量!I585-電力量!I584</f>
        <v>226</v>
      </c>
      <c r="J584">
        <f>電力量!J585-電力量!J584</f>
        <v>9.2000000000043656</v>
      </c>
      <c r="K584">
        <f>電力量!K585-電力量!K584</f>
        <v>3.6000000000058208</v>
      </c>
      <c r="L584">
        <f>電力量!L585-電力量!L584</f>
        <v>20.5</v>
      </c>
      <c r="M584">
        <f>電力量!M585-電力量!M584</f>
        <v>36.80000000000291</v>
      </c>
      <c r="N584">
        <f>電力量!N585-電力量!N584</f>
        <v>54.899999999994179</v>
      </c>
      <c r="O584">
        <f>電力量!O585-電力量!O584</f>
        <v>18.80000000000291</v>
      </c>
      <c r="P584">
        <f>電力量!P585-電力量!P584</f>
        <v>0</v>
      </c>
      <c r="Q584">
        <f>電力量!Q585-電力量!Q584</f>
        <v>0</v>
      </c>
      <c r="R584">
        <f>電力量!R585-電力量!R584</f>
        <v>0</v>
      </c>
    </row>
    <row r="585" spans="1:18">
      <c r="A585" s="4">
        <f t="shared" si="190"/>
        <v>45896.291666666664</v>
      </c>
      <c r="B585">
        <f>電力量!B586-電力量!B585</f>
        <v>724</v>
      </c>
      <c r="C585">
        <f>電力量!C586-電力量!C585</f>
        <v>198</v>
      </c>
      <c r="D585">
        <f>電力量!D586-電力量!D585</f>
        <v>12.80000000000291</v>
      </c>
      <c r="E585">
        <f>電力量!E586-電力量!E585</f>
        <v>0</v>
      </c>
      <c r="F585">
        <f>電力量!F586-電力量!F585</f>
        <v>17</v>
      </c>
      <c r="G585">
        <f>電力量!G586-電力量!G585</f>
        <v>53.599999999998545</v>
      </c>
      <c r="H585">
        <f>電力量!H586-電力量!H585</f>
        <v>11</v>
      </c>
      <c r="I585">
        <f>電力量!I586-電力量!I585</f>
        <v>228</v>
      </c>
      <c r="J585">
        <f>電力量!J586-電力量!J585</f>
        <v>9.1999999999970896</v>
      </c>
      <c r="K585">
        <f>電力量!K586-電力量!K585</f>
        <v>3</v>
      </c>
      <c r="L585">
        <f>電力量!L586-電力量!L585</f>
        <v>20.5</v>
      </c>
      <c r="M585">
        <f>電力量!M586-電力量!M585</f>
        <v>35.5</v>
      </c>
      <c r="N585">
        <f>電力量!N586-電力量!N585</f>
        <v>54.200000000011642</v>
      </c>
      <c r="O585">
        <f>電力量!O586-電力量!O585</f>
        <v>25.599999999991269</v>
      </c>
      <c r="P585">
        <f>電力量!P586-電力量!P585</f>
        <v>1</v>
      </c>
      <c r="Q585">
        <f>電力量!Q586-電力量!Q585</f>
        <v>1</v>
      </c>
      <c r="R585">
        <f>電力量!R586-電力量!R585</f>
        <v>0</v>
      </c>
    </row>
    <row r="586" spans="1:18">
      <c r="A586" s="4">
        <f t="shared" si="191"/>
        <v>45896.333333333336</v>
      </c>
      <c r="B586">
        <f>電力量!B587-電力量!B586</f>
        <v>845</v>
      </c>
      <c r="C586">
        <f>電力量!C587-電力量!C586</f>
        <v>231</v>
      </c>
      <c r="D586">
        <f>電力量!D587-電力量!D586</f>
        <v>17.099999999998545</v>
      </c>
      <c r="E586">
        <f>電力量!E587-電力量!E586</f>
        <v>0</v>
      </c>
      <c r="F586">
        <f>電力量!F587-電力量!F586</f>
        <v>23</v>
      </c>
      <c r="G586">
        <f>電力量!G587-電力量!G586</f>
        <v>60</v>
      </c>
      <c r="H586">
        <f>電力量!H587-電力量!H586</f>
        <v>11</v>
      </c>
      <c r="I586">
        <f>電力量!I587-電力量!I586</f>
        <v>259</v>
      </c>
      <c r="J586">
        <f>電力量!J587-電力量!J586</f>
        <v>9.1999999999970896</v>
      </c>
      <c r="K586">
        <f>電力量!K587-電力量!K586</f>
        <v>6</v>
      </c>
      <c r="L586">
        <f>電力量!L587-電力量!L586</f>
        <v>27</v>
      </c>
      <c r="M586">
        <f>電力量!M587-電力量!M586</f>
        <v>42.899999999994179</v>
      </c>
      <c r="N586">
        <f>電力量!N587-電力量!N586</f>
        <v>56</v>
      </c>
      <c r="O586">
        <f>電力量!O587-電力量!O586</f>
        <v>36.69999999999709</v>
      </c>
      <c r="P586">
        <f>電力量!P587-電力量!P586</f>
        <v>0</v>
      </c>
      <c r="Q586">
        <f>電力量!Q587-電力量!Q586</f>
        <v>1</v>
      </c>
      <c r="R586">
        <f>電力量!R587-電力量!R586</f>
        <v>0</v>
      </c>
    </row>
    <row r="587" spans="1:18">
      <c r="A587" s="4">
        <f t="shared" si="192"/>
        <v>45896.375</v>
      </c>
      <c r="B587">
        <f>電力量!B588-電力量!B587</f>
        <v>1069</v>
      </c>
      <c r="C587">
        <f>電力量!C588-電力量!C587</f>
        <v>291</v>
      </c>
      <c r="D587">
        <f>電力量!D588-電力量!D587</f>
        <v>22</v>
      </c>
      <c r="E587">
        <f>電力量!E588-電力量!E587</f>
        <v>0</v>
      </c>
      <c r="F587">
        <f>電力量!F588-電力量!F587</f>
        <v>39</v>
      </c>
      <c r="G587">
        <f>電力量!G588-電力量!G587</f>
        <v>68.099999999998545</v>
      </c>
      <c r="H587">
        <f>電力量!H588-電力量!H587</f>
        <v>37</v>
      </c>
      <c r="I587">
        <f>電力量!I588-電力量!I587</f>
        <v>328</v>
      </c>
      <c r="J587">
        <f>電力量!J588-電力量!J587</f>
        <v>9.9000000000014552</v>
      </c>
      <c r="K587">
        <f>電力量!K588-電力量!K587</f>
        <v>5.7999999999883585</v>
      </c>
      <c r="L587">
        <f>電力量!L588-電力量!L587</f>
        <v>33.200000000011642</v>
      </c>
      <c r="M587">
        <f>電力量!M588-電力量!M587</f>
        <v>45</v>
      </c>
      <c r="N587">
        <f>電力量!N588-電力量!N587</f>
        <v>55.399999999994179</v>
      </c>
      <c r="O587">
        <f>電力量!O588-電力量!O587</f>
        <v>49.200000000011642</v>
      </c>
      <c r="P587">
        <f>電力量!P588-電力量!P587</f>
        <v>2</v>
      </c>
      <c r="Q587">
        <f>電力量!Q588-電力量!Q587</f>
        <v>3</v>
      </c>
      <c r="R587">
        <f>電力量!R588-電力量!R587</f>
        <v>0</v>
      </c>
    </row>
    <row r="588" spans="1:18">
      <c r="A588" s="4">
        <f t="shared" si="193"/>
        <v>45896.416666666664</v>
      </c>
      <c r="B588">
        <f>電力量!B589-電力量!B588</f>
        <v>1246</v>
      </c>
      <c r="C588">
        <f>電力量!C589-電力量!C588</f>
        <v>346</v>
      </c>
      <c r="D588">
        <f>電力量!D589-電力量!D588</f>
        <v>24.400000000001455</v>
      </c>
      <c r="E588">
        <f>電力量!E589-電力量!E588</f>
        <v>0</v>
      </c>
      <c r="F588">
        <f>電力量!F589-電力量!F588</f>
        <v>51</v>
      </c>
      <c r="G588">
        <f>電力量!G589-電力量!G588</f>
        <v>87.900000000001455</v>
      </c>
      <c r="H588">
        <f>電力量!H589-電力量!H588</f>
        <v>34</v>
      </c>
      <c r="I588">
        <f>電力量!I589-電力量!I588</f>
        <v>398</v>
      </c>
      <c r="J588">
        <f>電力量!J589-電力量!J588</f>
        <v>12.099999999998545</v>
      </c>
      <c r="K588">
        <f>電力量!K589-電力量!K588</f>
        <v>1.6000000000058208</v>
      </c>
      <c r="L588">
        <f>電力量!L589-電力量!L588</f>
        <v>31.899999999994179</v>
      </c>
      <c r="M588">
        <f>電力量!M589-電力量!M588</f>
        <v>45.80000000000291</v>
      </c>
      <c r="N588">
        <f>電力量!N589-電力量!N588</f>
        <v>52.899999999994179</v>
      </c>
      <c r="O588">
        <f>電力量!O589-電力量!O588</f>
        <v>68.69999999999709</v>
      </c>
      <c r="P588">
        <f>電力量!P589-電力量!P588</f>
        <v>7</v>
      </c>
      <c r="Q588">
        <f>電力量!Q589-電力量!Q588</f>
        <v>10</v>
      </c>
      <c r="R588">
        <f>電力量!R589-電力量!R588</f>
        <v>0</v>
      </c>
    </row>
    <row r="589" spans="1:18">
      <c r="A589" s="4">
        <f t="shared" si="194"/>
        <v>45896.458333333336</v>
      </c>
      <c r="B589">
        <f>電力量!B590-電力量!B589</f>
        <v>1301</v>
      </c>
      <c r="C589">
        <f>電力量!C590-電力量!C589</f>
        <v>347</v>
      </c>
      <c r="D589">
        <f>電力量!D590-電力量!D589</f>
        <v>30.599999999998545</v>
      </c>
      <c r="E589">
        <f>電力量!E590-電力量!E589</f>
        <v>0</v>
      </c>
      <c r="F589">
        <f>電力量!F590-電力量!F589</f>
        <v>53</v>
      </c>
      <c r="G589">
        <f>電力量!G590-電力量!G589</f>
        <v>96.400000000001455</v>
      </c>
      <c r="H589">
        <f>電力量!H590-電力量!H589</f>
        <v>39</v>
      </c>
      <c r="I589">
        <f>電力量!I590-電力量!I589</f>
        <v>416</v>
      </c>
      <c r="J589">
        <f>電力量!J590-電力量!J589</f>
        <v>13.900000000001455</v>
      </c>
      <c r="K589">
        <f>電力量!K590-電力量!K589</f>
        <v>1.1000000000058208</v>
      </c>
      <c r="L589">
        <f>電力量!L590-電力量!L589</f>
        <v>41.30000000000291</v>
      </c>
      <c r="M589">
        <f>電力量!M590-電力量!M589</f>
        <v>53</v>
      </c>
      <c r="N589">
        <f>電力量!N590-電力量!N589</f>
        <v>50.30000000000291</v>
      </c>
      <c r="O589">
        <f>電力量!O590-電力量!O589</f>
        <v>69.399999999994179</v>
      </c>
      <c r="P589">
        <f>電力量!P590-電力量!P589</f>
        <v>9</v>
      </c>
      <c r="Q589">
        <f>電力量!Q590-電力量!Q589</f>
        <v>14</v>
      </c>
      <c r="R589">
        <f>電力量!R590-電力量!R589</f>
        <v>0</v>
      </c>
    </row>
    <row r="590" spans="1:18">
      <c r="A590" s="4">
        <f t="shared" si="195"/>
        <v>45896.5</v>
      </c>
      <c r="B590">
        <f>電力量!B591-電力量!B590</f>
        <v>1312</v>
      </c>
      <c r="C590">
        <f>電力量!C591-電力量!C590</f>
        <v>353</v>
      </c>
      <c r="D590">
        <f>電力量!D591-電力量!D590</f>
        <v>28.5</v>
      </c>
      <c r="E590">
        <f>電力量!E591-電力量!E590</f>
        <v>0</v>
      </c>
      <c r="F590">
        <f>電力量!F591-電力量!F590</f>
        <v>54</v>
      </c>
      <c r="G590">
        <f>電力量!G591-電力量!G590</f>
        <v>96.80000000000291</v>
      </c>
      <c r="H590">
        <f>電力量!H591-電力量!H590</f>
        <v>25</v>
      </c>
      <c r="I590">
        <f>電力量!I591-電力量!I590</f>
        <v>432</v>
      </c>
      <c r="J590">
        <f>電力量!J591-電力量!J590</f>
        <v>13.599999999998545</v>
      </c>
      <c r="K590">
        <f>電力量!K591-電力量!K590</f>
        <v>1.2999999999883585</v>
      </c>
      <c r="L590">
        <f>電力量!L591-電力量!L590</f>
        <v>51</v>
      </c>
      <c r="M590">
        <f>電力量!M591-電力量!M590</f>
        <v>47.69999999999709</v>
      </c>
      <c r="N590">
        <f>電力量!N591-電力量!N590</f>
        <v>50</v>
      </c>
      <c r="O590">
        <f>電力量!O591-電力量!O590</f>
        <v>70</v>
      </c>
      <c r="P590">
        <f>電力量!P591-電力量!P590</f>
        <v>10</v>
      </c>
      <c r="Q590">
        <f>電力量!Q591-電力量!Q590</f>
        <v>15</v>
      </c>
      <c r="R590">
        <f>電力量!R591-電力量!R590</f>
        <v>0</v>
      </c>
    </row>
    <row r="591" spans="1:18">
      <c r="A591" s="4">
        <f t="shared" si="196"/>
        <v>45896.541666666664</v>
      </c>
      <c r="B591">
        <f>電力量!B592-電力量!B591</f>
        <v>1396</v>
      </c>
      <c r="C591">
        <f>電力量!C592-電力量!C591</f>
        <v>371</v>
      </c>
      <c r="D591">
        <f>電力量!D592-電力量!D591</f>
        <v>33.099999999998545</v>
      </c>
      <c r="E591">
        <f>電力量!E592-電力量!E591</f>
        <v>0</v>
      </c>
      <c r="F591">
        <f>電力量!F592-電力量!F591</f>
        <v>57</v>
      </c>
      <c r="G591">
        <f>電力量!G592-電力量!G591</f>
        <v>113.39999999999418</v>
      </c>
      <c r="H591">
        <f>電力量!H592-電力量!H591</f>
        <v>11</v>
      </c>
      <c r="I591">
        <f>電力量!I592-電力量!I591</f>
        <v>466</v>
      </c>
      <c r="J591">
        <f>電力量!J592-電力量!J591</f>
        <v>13.80000000000291</v>
      </c>
      <c r="K591">
        <f>電力量!K592-電力量!K591</f>
        <v>1.7000000000116415</v>
      </c>
      <c r="L591">
        <f>電力量!L592-電力量!L591</f>
        <v>51.69999999999709</v>
      </c>
      <c r="M591">
        <f>電力量!M592-電力量!M591</f>
        <v>59.30000000000291</v>
      </c>
      <c r="N591">
        <f>電力量!N592-電力量!N591</f>
        <v>50.400000000008731</v>
      </c>
      <c r="O591">
        <f>電力量!O592-電力量!O591</f>
        <v>73.69999999999709</v>
      </c>
      <c r="P591">
        <f>電力量!P592-電力量!P591</f>
        <v>11</v>
      </c>
      <c r="Q591">
        <f>電力量!Q592-電力量!Q591</f>
        <v>17</v>
      </c>
      <c r="R591">
        <f>電力量!R592-電力量!R591</f>
        <v>0</v>
      </c>
    </row>
    <row r="592" spans="1:18">
      <c r="A592" s="4">
        <f t="shared" si="197"/>
        <v>45896.583333333336</v>
      </c>
      <c r="B592">
        <f>電力量!B593-電力量!B592</f>
        <v>1435</v>
      </c>
      <c r="C592">
        <f>電力量!C593-電力量!C592</f>
        <v>387</v>
      </c>
      <c r="D592">
        <f>電力量!D593-電力量!D592</f>
        <v>40.400000000001455</v>
      </c>
      <c r="E592">
        <f>電力量!E593-電力量!E592</f>
        <v>0</v>
      </c>
      <c r="F592">
        <f>電力量!F593-電力量!F592</f>
        <v>55</v>
      </c>
      <c r="G592">
        <f>電力量!G593-電力量!G592</f>
        <v>125.80000000000291</v>
      </c>
      <c r="H592">
        <f>電力量!H593-電力量!H592</f>
        <v>11</v>
      </c>
      <c r="I592">
        <f>電力量!I593-電力量!I592</f>
        <v>481</v>
      </c>
      <c r="J592">
        <f>電力量!J593-電力量!J592</f>
        <v>14.19999999999709</v>
      </c>
      <c r="K592">
        <f>電力量!K593-電力量!K592</f>
        <v>4.0999999999912689</v>
      </c>
      <c r="L592">
        <f>電力量!L593-電力量!L592</f>
        <v>49.80000000000291</v>
      </c>
      <c r="M592">
        <f>電力量!M593-電力量!M592</f>
        <v>59.30000000000291</v>
      </c>
      <c r="N592">
        <f>電力量!N593-電力量!N592</f>
        <v>54.19999999999709</v>
      </c>
      <c r="O592">
        <f>電力量!O593-電力量!O592</f>
        <v>54.30000000000291</v>
      </c>
      <c r="P592">
        <f>電力量!P593-電力量!P592</f>
        <v>7</v>
      </c>
      <c r="Q592">
        <f>電力量!Q593-電力量!Q592</f>
        <v>11</v>
      </c>
      <c r="R592">
        <f>電力量!R593-電力量!R592</f>
        <v>0</v>
      </c>
    </row>
    <row r="593" spans="1:18">
      <c r="A593" s="4">
        <f t="shared" si="198"/>
        <v>45896.625</v>
      </c>
      <c r="B593">
        <f>電力量!B594-電力量!B593</f>
        <v>1386</v>
      </c>
      <c r="C593">
        <f>電力量!C594-電力量!C593</f>
        <v>399</v>
      </c>
      <c r="D593">
        <f>電力量!D594-電力量!D593</f>
        <v>37.299999999995634</v>
      </c>
      <c r="E593">
        <f>電力量!E594-電力量!E593</f>
        <v>0</v>
      </c>
      <c r="F593">
        <f>電力量!F594-電力量!F593</f>
        <v>54</v>
      </c>
      <c r="G593">
        <f>電力量!G594-電力量!G593</f>
        <v>119.09999999999854</v>
      </c>
      <c r="H593">
        <f>電力量!H594-電力量!H593</f>
        <v>11</v>
      </c>
      <c r="I593">
        <f>電力量!I594-電力量!I593</f>
        <v>476</v>
      </c>
      <c r="J593">
        <f>電力量!J594-電力量!J593</f>
        <v>12.30000000000291</v>
      </c>
      <c r="K593">
        <f>電力量!K594-電力量!K593</f>
        <v>2.1000000000058208</v>
      </c>
      <c r="L593">
        <f>電力量!L594-電力量!L593</f>
        <v>43.599999999991269</v>
      </c>
      <c r="M593">
        <f>電力量!M594-電力量!M593</f>
        <v>55.599999999991269</v>
      </c>
      <c r="N593">
        <f>電力量!N594-電力量!N593</f>
        <v>53.30000000000291</v>
      </c>
      <c r="O593">
        <f>電力量!O594-電力量!O593</f>
        <v>26.600000000005821</v>
      </c>
      <c r="P593">
        <f>電力量!P594-電力量!P593</f>
        <v>7</v>
      </c>
      <c r="Q593">
        <f>電力量!Q594-電力量!Q593</f>
        <v>11</v>
      </c>
      <c r="R593">
        <f>電力量!R594-電力量!R593</f>
        <v>0</v>
      </c>
    </row>
    <row r="594" spans="1:18">
      <c r="A594" s="4">
        <f t="shared" si="199"/>
        <v>45896.666666666664</v>
      </c>
      <c r="B594">
        <f>電力量!B595-電力量!B594</f>
        <v>1323</v>
      </c>
      <c r="C594">
        <f>電力量!C595-電力量!C594</f>
        <v>378</v>
      </c>
      <c r="D594">
        <f>電力量!D595-電力量!D594</f>
        <v>35.100000000005821</v>
      </c>
      <c r="E594">
        <f>電力量!E595-電力量!E594</f>
        <v>0</v>
      </c>
      <c r="F594">
        <f>電力量!F595-電力量!F594</f>
        <v>49</v>
      </c>
      <c r="G594">
        <f>電力量!G595-電力量!G594</f>
        <v>105.59999999999854</v>
      </c>
      <c r="H594">
        <f>電力量!H595-電力量!H594</f>
        <v>12</v>
      </c>
      <c r="I594">
        <f>電力量!I595-電力量!I594</f>
        <v>464</v>
      </c>
      <c r="J594">
        <f>電力量!J595-電力量!J594</f>
        <v>12</v>
      </c>
      <c r="K594">
        <f>電力量!K595-電力量!K594</f>
        <v>2</v>
      </c>
      <c r="L594">
        <f>電力量!L595-電力量!L594</f>
        <v>42.200000000011642</v>
      </c>
      <c r="M594">
        <f>電力量!M595-電力量!M594</f>
        <v>50</v>
      </c>
      <c r="N594">
        <f>電力量!N595-電力量!N594</f>
        <v>51.599999999991269</v>
      </c>
      <c r="O594">
        <f>電力量!O595-電力量!O594</f>
        <v>26.80000000000291</v>
      </c>
      <c r="P594">
        <f>電力量!P595-電力量!P594</f>
        <v>7</v>
      </c>
      <c r="Q594">
        <f>電力量!Q595-電力量!Q594</f>
        <v>11</v>
      </c>
      <c r="R594">
        <f>電力量!R595-電力量!R594</f>
        <v>0</v>
      </c>
    </row>
    <row r="595" spans="1:18">
      <c r="A595" s="4">
        <f t="shared" si="200"/>
        <v>45896.708333333336</v>
      </c>
      <c r="B595">
        <f>電力量!B596-電力量!B595</f>
        <v>1219</v>
      </c>
      <c r="C595">
        <f>電力量!C596-電力量!C595</f>
        <v>349</v>
      </c>
      <c r="D595">
        <f>電力量!D596-電力量!D595</f>
        <v>28.899999999994179</v>
      </c>
      <c r="E595">
        <f>電力量!E596-電力量!E595</f>
        <v>0</v>
      </c>
      <c r="F595">
        <f>電力量!F596-電力量!F595</f>
        <v>39</v>
      </c>
      <c r="G595">
        <f>電力量!G596-電力量!G595</f>
        <v>96.700000000004366</v>
      </c>
      <c r="H595">
        <f>電力量!H596-電力量!H595</f>
        <v>12</v>
      </c>
      <c r="I595">
        <f>電力量!I596-電力量!I595</f>
        <v>434</v>
      </c>
      <c r="J595">
        <f>電力量!J596-電力量!J595</f>
        <v>12.69999999999709</v>
      </c>
      <c r="K595">
        <f>電力量!K596-電力量!K595</f>
        <v>0.89999999999417923</v>
      </c>
      <c r="L595">
        <f>電力量!L596-電力量!L595</f>
        <v>34.599999999991269</v>
      </c>
      <c r="M595">
        <f>電力量!M596-電力量!M595</f>
        <v>47.19999999999709</v>
      </c>
      <c r="N595">
        <f>電力量!N596-電力量!N595</f>
        <v>53.600000000005821</v>
      </c>
      <c r="O595">
        <f>電力量!O596-電力量!O595</f>
        <v>26.799999999988358</v>
      </c>
      <c r="P595">
        <f>電力量!P596-電力量!P595</f>
        <v>4</v>
      </c>
      <c r="Q595">
        <f>電力量!Q596-電力量!Q595</f>
        <v>6</v>
      </c>
      <c r="R595">
        <f>電力量!R596-電力量!R595</f>
        <v>0</v>
      </c>
    </row>
    <row r="596" spans="1:18">
      <c r="A596" s="4">
        <f t="shared" si="201"/>
        <v>45896.75</v>
      </c>
      <c r="B596">
        <f>電力量!B597-電力量!B596</f>
        <v>1067</v>
      </c>
      <c r="C596">
        <f>電力量!C597-電力量!C596</f>
        <v>288</v>
      </c>
      <c r="D596">
        <f>電力量!D597-電力量!D596</f>
        <v>16.80000000000291</v>
      </c>
      <c r="E596">
        <f>電力量!E597-電力量!E596</f>
        <v>0</v>
      </c>
      <c r="F596">
        <f>電力量!F597-電力量!F596</f>
        <v>34</v>
      </c>
      <c r="G596">
        <f>電力量!G597-電力量!G596</f>
        <v>88.099999999998545</v>
      </c>
      <c r="H596">
        <f>電力量!H597-電力量!H596</f>
        <v>11</v>
      </c>
      <c r="I596">
        <f>電力量!I597-電力量!I596</f>
        <v>393</v>
      </c>
      <c r="J596">
        <f>電力量!J597-電力量!J596</f>
        <v>12.900000000001455</v>
      </c>
      <c r="K596">
        <f>電力量!K597-電力量!K596</f>
        <v>3.4000000000087311</v>
      </c>
      <c r="L596">
        <f>電力量!L597-電力量!L596</f>
        <v>25.100000000005821</v>
      </c>
      <c r="M596">
        <f>電力量!M597-電力量!M596</f>
        <v>42.600000000005821</v>
      </c>
      <c r="N596">
        <f>電力量!N597-電力量!N596</f>
        <v>55.5</v>
      </c>
      <c r="O596">
        <f>電力量!O597-電力量!O596</f>
        <v>22.80000000000291</v>
      </c>
      <c r="P596">
        <f>電力量!P597-電力量!P596</f>
        <v>1</v>
      </c>
      <c r="Q596">
        <f>電力量!Q597-電力量!Q596</f>
        <v>1</v>
      </c>
      <c r="R596">
        <f>電力量!R597-電力量!R596</f>
        <v>0</v>
      </c>
    </row>
    <row r="597" spans="1:18">
      <c r="A597" s="4">
        <f t="shared" si="202"/>
        <v>45896.791666666664</v>
      </c>
      <c r="B597">
        <f>電力量!B598-電力量!B597</f>
        <v>961</v>
      </c>
      <c r="C597">
        <f>電力量!C598-電力量!C597</f>
        <v>260</v>
      </c>
      <c r="D597">
        <f>電力量!D598-電力量!D597</f>
        <v>16</v>
      </c>
      <c r="E597">
        <f>電力量!E598-電力量!E597</f>
        <v>0</v>
      </c>
      <c r="F597">
        <f>電力量!F598-電力量!F597</f>
        <v>27</v>
      </c>
      <c r="G597">
        <f>電力量!G598-電力量!G597</f>
        <v>79.19999999999709</v>
      </c>
      <c r="H597">
        <f>電力量!H598-電力量!H597</f>
        <v>11</v>
      </c>
      <c r="I597">
        <f>電力量!I598-電力量!I597</f>
        <v>341</v>
      </c>
      <c r="J597">
        <f>電力量!J598-電力量!J597</f>
        <v>11</v>
      </c>
      <c r="K597">
        <f>電力量!K598-電力量!K597</f>
        <v>3.6999999999970896</v>
      </c>
      <c r="L597">
        <f>電力量!L598-電力量!L597</f>
        <v>23.80000000000291</v>
      </c>
      <c r="M597">
        <f>電力量!M598-電力量!M597</f>
        <v>41.399999999994179</v>
      </c>
      <c r="N597">
        <f>電力量!N598-電力量!N597</f>
        <v>56.19999999999709</v>
      </c>
      <c r="O597">
        <f>電力量!O598-電力量!O597</f>
        <v>24.19999999999709</v>
      </c>
      <c r="P597">
        <f>電力量!P598-電力量!P597</f>
        <v>0</v>
      </c>
      <c r="Q597">
        <f>電力量!Q598-電力量!Q597</f>
        <v>0</v>
      </c>
      <c r="R597">
        <f>電力量!R598-電力量!R597</f>
        <v>0</v>
      </c>
    </row>
    <row r="598" spans="1:18">
      <c r="A598" s="4">
        <f t="shared" si="203"/>
        <v>45896.833333333336</v>
      </c>
      <c r="B598">
        <f>電力量!B599-電力量!B598</f>
        <v>881</v>
      </c>
      <c r="C598">
        <f>電力量!C599-電力量!C598</f>
        <v>237</v>
      </c>
      <c r="D598">
        <f>電力量!D599-電力量!D598</f>
        <v>15</v>
      </c>
      <c r="E598">
        <f>電力量!E599-電力量!E598</f>
        <v>0</v>
      </c>
      <c r="F598">
        <f>電力量!F599-電力量!F598</f>
        <v>25</v>
      </c>
      <c r="G598">
        <f>電力量!G599-電力量!G598</f>
        <v>73.700000000004366</v>
      </c>
      <c r="H598">
        <f>電力量!H599-電力量!H598</f>
        <v>12</v>
      </c>
      <c r="I598">
        <f>電力量!I599-電力量!I598</f>
        <v>303</v>
      </c>
      <c r="J598">
        <f>電力量!J599-電力量!J598</f>
        <v>10.099999999998545</v>
      </c>
      <c r="K598">
        <f>電力量!K599-電力量!K598</f>
        <v>3.5999999999912689</v>
      </c>
      <c r="L598">
        <f>電力量!L599-電力量!L598</f>
        <v>23</v>
      </c>
      <c r="M598">
        <f>電力量!M599-電力量!M598</f>
        <v>41.400000000008731</v>
      </c>
      <c r="N598">
        <f>電力量!N599-電力量!N598</f>
        <v>56.399999999994179</v>
      </c>
      <c r="O598">
        <f>電力量!O599-電力量!O598</f>
        <v>21.5</v>
      </c>
      <c r="P598">
        <f>電力量!P599-電力量!P598</f>
        <v>0</v>
      </c>
      <c r="Q598">
        <f>電力量!Q599-電力量!Q598</f>
        <v>0</v>
      </c>
      <c r="R598">
        <f>電力量!R599-電力量!R598</f>
        <v>0</v>
      </c>
    </row>
    <row r="599" spans="1:18">
      <c r="A599" s="4">
        <f t="shared" si="204"/>
        <v>45896.875</v>
      </c>
      <c r="B599">
        <f>電力量!B600-電力量!B599</f>
        <v>865</v>
      </c>
      <c r="C599">
        <f>電力量!C600-電力量!C599</f>
        <v>235</v>
      </c>
      <c r="D599">
        <f>電力量!D600-電力量!D599</f>
        <v>15.80000000000291</v>
      </c>
      <c r="E599">
        <f>電力量!E600-電力量!E599</f>
        <v>0</v>
      </c>
      <c r="F599">
        <f>電力量!F600-電力量!F599</f>
        <v>24</v>
      </c>
      <c r="G599">
        <f>電力量!G600-電力量!G599</f>
        <v>73</v>
      </c>
      <c r="H599">
        <f>電力量!H600-電力量!H599</f>
        <v>11</v>
      </c>
      <c r="I599">
        <f>電力量!I600-電力量!I599</f>
        <v>288</v>
      </c>
      <c r="J599">
        <f>電力量!J600-電力量!J599</f>
        <v>9.9000000000014552</v>
      </c>
      <c r="K599">
        <f>電力量!K600-電力量!K599</f>
        <v>3.7000000000116415</v>
      </c>
      <c r="L599">
        <f>電力量!L600-電力量!L599</f>
        <v>24.299999999988358</v>
      </c>
      <c r="M599">
        <f>電力量!M600-電力量!M599</f>
        <v>44.19999999999709</v>
      </c>
      <c r="N599">
        <f>電力量!N600-電力量!N599</f>
        <v>56.200000000011642</v>
      </c>
      <c r="O599">
        <f>電力量!O600-電力量!O599</f>
        <v>21.600000000005821</v>
      </c>
      <c r="P599">
        <f>電力量!P600-電力量!P599</f>
        <v>0</v>
      </c>
      <c r="Q599">
        <f>電力量!Q600-電力量!Q599</f>
        <v>0</v>
      </c>
      <c r="R599">
        <f>電力量!R600-電力量!R599</f>
        <v>0</v>
      </c>
    </row>
    <row r="600" spans="1:18">
      <c r="A600" s="4">
        <f t="shared" si="205"/>
        <v>45896.916666666664</v>
      </c>
      <c r="B600">
        <f>電力量!B601-電力量!B600</f>
        <v>832</v>
      </c>
      <c r="C600">
        <f>電力量!C601-電力量!C600</f>
        <v>220</v>
      </c>
      <c r="D600">
        <f>電力量!D601-電力量!D600</f>
        <v>14.099999999998545</v>
      </c>
      <c r="E600">
        <f>電力量!E601-電力量!E600</f>
        <v>0</v>
      </c>
      <c r="F600">
        <f>電力量!F601-電力量!F600</f>
        <v>24</v>
      </c>
      <c r="G600">
        <f>電力量!G601-電力量!G600</f>
        <v>74</v>
      </c>
      <c r="H600">
        <f>電力量!H601-電力量!H600</f>
        <v>11</v>
      </c>
      <c r="I600">
        <f>電力量!I601-電力量!I600</f>
        <v>279</v>
      </c>
      <c r="J600">
        <f>電力量!J601-電力量!J600</f>
        <v>10</v>
      </c>
      <c r="K600">
        <f>電力量!K601-電力量!K600</f>
        <v>3.5</v>
      </c>
      <c r="L600">
        <f>電力量!L601-電力量!L600</f>
        <v>24.700000000011642</v>
      </c>
      <c r="M600">
        <f>電力量!M601-電力量!M600</f>
        <v>38</v>
      </c>
      <c r="N600">
        <f>電力量!N601-電力量!N600</f>
        <v>57.399999999994179</v>
      </c>
      <c r="O600">
        <f>電力量!O601-電力量!O600</f>
        <v>19.399999999994179</v>
      </c>
      <c r="P600">
        <f>電力量!P601-電力量!P600</f>
        <v>0</v>
      </c>
      <c r="Q600">
        <f>電力量!Q601-電力量!Q600</f>
        <v>0</v>
      </c>
      <c r="R600">
        <f>電力量!R601-電力量!R600</f>
        <v>0</v>
      </c>
    </row>
    <row r="601" spans="1:18">
      <c r="A601" s="4">
        <f t="shared" si="206"/>
        <v>45896.958333333336</v>
      </c>
      <c r="B601">
        <f>電力量!B602-電力量!B601</f>
        <v>792</v>
      </c>
      <c r="C601">
        <f>電力量!C602-電力量!C601</f>
        <v>209</v>
      </c>
      <c r="D601">
        <f>電力量!D602-電力量!D601</f>
        <v>13.400000000001455</v>
      </c>
      <c r="E601">
        <f>電力量!E602-電力量!E601</f>
        <v>0</v>
      </c>
      <c r="F601">
        <f>電力量!F602-電力量!F601</f>
        <v>21</v>
      </c>
      <c r="G601">
        <f>電力量!G602-電力量!G601</f>
        <v>67.69999999999709</v>
      </c>
      <c r="H601">
        <f>電力量!H602-電力量!H601</f>
        <v>12</v>
      </c>
      <c r="I601">
        <f>電力量!I602-電力量!I601</f>
        <v>264</v>
      </c>
      <c r="J601">
        <f>電力量!J602-電力量!J601</f>
        <v>9.9000000000014552</v>
      </c>
      <c r="K601">
        <f>電力量!K602-電力量!K601</f>
        <v>3.3999999999941792</v>
      </c>
      <c r="L601">
        <f>電力量!L602-電力量!L601</f>
        <v>24.299999999988358</v>
      </c>
      <c r="M601">
        <f>電力量!M602-電力量!M601</f>
        <v>36.80000000000291</v>
      </c>
      <c r="N601">
        <f>電力量!N602-電力量!N601</f>
        <v>55.399999999994179</v>
      </c>
      <c r="O601">
        <f>電力量!O602-電力量!O601</f>
        <v>19</v>
      </c>
      <c r="P601">
        <f>電力量!P602-電力量!P601</f>
        <v>0</v>
      </c>
      <c r="Q601">
        <f>電力量!Q602-電力量!Q601</f>
        <v>0</v>
      </c>
      <c r="R601">
        <f>電力量!R602-電力量!R601</f>
        <v>0</v>
      </c>
    </row>
    <row r="602" spans="1:18">
      <c r="A602" s="4">
        <v>45897</v>
      </c>
      <c r="B602">
        <f>電力量!B603-電力量!B602</f>
        <v>756</v>
      </c>
      <c r="C602">
        <f>電力量!C603-電力量!C602</f>
        <v>200</v>
      </c>
      <c r="D602">
        <f>電力量!D603-電力量!D602</f>
        <v>13.799999999995634</v>
      </c>
      <c r="E602">
        <f>電力量!E603-電力量!E602</f>
        <v>0</v>
      </c>
      <c r="F602">
        <f>電力量!F603-電力量!F602</f>
        <v>21</v>
      </c>
      <c r="G602">
        <f>電力量!G603-電力量!G602</f>
        <v>63.30000000000291</v>
      </c>
      <c r="H602">
        <f>電力量!H603-電力量!H602</f>
        <v>11</v>
      </c>
      <c r="I602">
        <f>電力量!I603-電力量!I602</f>
        <v>249</v>
      </c>
      <c r="J602">
        <f>電力量!J603-電力量!J602</f>
        <v>9.5999999999985448</v>
      </c>
      <c r="K602">
        <f>電力量!K603-電力量!K602</f>
        <v>3.3999999999941792</v>
      </c>
      <c r="L602">
        <f>電力量!L603-電力量!L602</f>
        <v>23.30000000000291</v>
      </c>
      <c r="M602">
        <f>電力量!M603-電力量!M602</f>
        <v>36.80000000000291</v>
      </c>
      <c r="N602">
        <f>電力量!N603-電力量!N602</f>
        <v>55.400000000008731</v>
      </c>
      <c r="O602">
        <f>電力量!O603-電力量!O602</f>
        <v>18</v>
      </c>
      <c r="P602">
        <f>電力量!P603-電力量!P602</f>
        <v>0</v>
      </c>
      <c r="Q602">
        <f>電力量!Q603-電力量!Q602</f>
        <v>0</v>
      </c>
      <c r="R602">
        <f>電力量!R603-電力量!R602</f>
        <v>0</v>
      </c>
    </row>
    <row r="603" spans="1:18">
      <c r="A603" s="4">
        <f t="shared" ref="A603:A651" si="207">A602+(1/24)</f>
        <v>45897.041666666664</v>
      </c>
      <c r="B603">
        <f>電力量!B604-電力量!B603</f>
        <v>730</v>
      </c>
      <c r="C603">
        <f>電力量!C604-電力量!C603</f>
        <v>192</v>
      </c>
      <c r="D603">
        <f>電力量!D604-電力量!D603</f>
        <v>12.599999999998545</v>
      </c>
      <c r="E603">
        <f>電力量!E604-電力量!E603</f>
        <v>0</v>
      </c>
      <c r="F603">
        <f>電力量!F604-電力量!F603</f>
        <v>20</v>
      </c>
      <c r="G603">
        <f>電力量!G604-電力量!G603</f>
        <v>57.400000000001455</v>
      </c>
      <c r="H603">
        <f>電力量!H604-電力量!H603</f>
        <v>11</v>
      </c>
      <c r="I603">
        <f>電力量!I604-電力量!I603</f>
        <v>237</v>
      </c>
      <c r="J603">
        <f>電力量!J604-電力量!J603</f>
        <v>9.5</v>
      </c>
      <c r="K603">
        <f>電力量!K604-電力量!K603</f>
        <v>3.4000000000087311</v>
      </c>
      <c r="L603">
        <f>電力量!L604-電力量!L603</f>
        <v>22.80000000000291</v>
      </c>
      <c r="M603">
        <f>電力量!M604-電力量!M603</f>
        <v>39.5</v>
      </c>
      <c r="N603">
        <f>電力量!N604-電力量!N603</f>
        <v>55.19999999999709</v>
      </c>
      <c r="O603">
        <f>電力量!O604-電力量!O603</f>
        <v>19.600000000005821</v>
      </c>
      <c r="P603">
        <f>電力量!P604-電力量!P603</f>
        <v>0</v>
      </c>
      <c r="Q603">
        <f>電力量!Q604-電力量!Q603</f>
        <v>0</v>
      </c>
      <c r="R603">
        <f>電力量!R604-電力量!R603</f>
        <v>0</v>
      </c>
    </row>
    <row r="604" spans="1:18">
      <c r="A604" s="4">
        <f t="shared" ref="A604:A652" si="208">A602+(2/24)</f>
        <v>45897.083333333336</v>
      </c>
      <c r="B604">
        <f>電力量!B605-電力量!B604</f>
        <v>720</v>
      </c>
      <c r="C604">
        <f>電力量!C605-電力量!C604</f>
        <v>191</v>
      </c>
      <c r="D604">
        <f>電力量!D605-電力量!D604</f>
        <v>13.400000000001455</v>
      </c>
      <c r="E604">
        <f>電力量!E605-電力量!E604</f>
        <v>0</v>
      </c>
      <c r="F604">
        <f>電力量!F605-電力量!F604</f>
        <v>21</v>
      </c>
      <c r="G604">
        <f>電力量!G605-電力量!G604</f>
        <v>56.399999999994179</v>
      </c>
      <c r="H604">
        <f>電力量!H605-電力量!H604</f>
        <v>11</v>
      </c>
      <c r="I604">
        <f>電力量!I605-電力量!I604</f>
        <v>229</v>
      </c>
      <c r="J604">
        <f>電力量!J605-電力量!J604</f>
        <v>9.5999999999985448</v>
      </c>
      <c r="K604">
        <f>電力量!K605-電力量!K604</f>
        <v>3.3000000000029104</v>
      </c>
      <c r="L604">
        <f>電力量!L605-電力量!L604</f>
        <v>24.69999999999709</v>
      </c>
      <c r="M604">
        <f>電力量!M605-電力量!M604</f>
        <v>38.5</v>
      </c>
      <c r="N604">
        <f>電力量!N605-電力量!N604</f>
        <v>54.19999999999709</v>
      </c>
      <c r="O604">
        <f>電力量!O605-電力量!O604</f>
        <v>18.5</v>
      </c>
      <c r="P604">
        <f>電力量!P605-電力量!P604</f>
        <v>0</v>
      </c>
      <c r="Q604">
        <f>電力量!Q605-電力量!Q604</f>
        <v>0</v>
      </c>
      <c r="R604">
        <f>電力量!R605-電力量!R604</f>
        <v>0</v>
      </c>
    </row>
    <row r="605" spans="1:18">
      <c r="A605" s="4">
        <f t="shared" ref="A605:A653" si="209">A602+(3/24)</f>
        <v>45897.125</v>
      </c>
      <c r="B605">
        <f>電力量!B606-電力量!B605</f>
        <v>713</v>
      </c>
      <c r="C605">
        <f>電力量!C606-電力量!C605</f>
        <v>186</v>
      </c>
      <c r="D605">
        <f>電力量!D606-電力量!D605</f>
        <v>13.30000000000291</v>
      </c>
      <c r="E605">
        <f>電力量!E606-電力量!E605</f>
        <v>0</v>
      </c>
      <c r="F605">
        <f>電力量!F606-電力量!F605</f>
        <v>21</v>
      </c>
      <c r="G605">
        <f>電力量!G606-電力量!G605</f>
        <v>55.80000000000291</v>
      </c>
      <c r="H605">
        <f>電力量!H606-電力量!H605</f>
        <v>11</v>
      </c>
      <c r="I605">
        <f>電力量!I606-電力量!I605</f>
        <v>227</v>
      </c>
      <c r="J605">
        <f>電力量!J606-電力量!J605</f>
        <v>9.4000000000014552</v>
      </c>
      <c r="K605">
        <f>電力量!K606-電力量!K605</f>
        <v>3.3999999999941792</v>
      </c>
      <c r="L605">
        <f>電力量!L606-電力量!L605</f>
        <v>24.900000000008731</v>
      </c>
      <c r="M605">
        <f>電力量!M606-電力量!M605</f>
        <v>37.399999999994179</v>
      </c>
      <c r="N605">
        <f>電力量!N606-電力量!N605</f>
        <v>54.19999999999709</v>
      </c>
      <c r="O605">
        <f>電力量!O606-電力量!O605</f>
        <v>18.80000000000291</v>
      </c>
      <c r="P605">
        <f>電力量!P606-電力量!P605</f>
        <v>0</v>
      </c>
      <c r="Q605">
        <f>電力量!Q606-電力量!Q605</f>
        <v>0</v>
      </c>
      <c r="R605">
        <f>電力量!R606-電力量!R605</f>
        <v>0</v>
      </c>
    </row>
    <row r="606" spans="1:18">
      <c r="A606" s="4">
        <f t="shared" ref="A606:A654" si="210">A602+(4/24)</f>
        <v>45897.166666666664</v>
      </c>
      <c r="B606">
        <f>電力量!B607-電力量!B606</f>
        <v>710</v>
      </c>
      <c r="C606">
        <f>電力量!C607-電力量!C606</f>
        <v>185</v>
      </c>
      <c r="D606">
        <f>電力量!D607-電力量!D606</f>
        <v>13.099999999998545</v>
      </c>
      <c r="E606">
        <f>電力量!E607-電力量!E606</f>
        <v>0</v>
      </c>
      <c r="F606">
        <f>電力量!F607-電力量!F606</f>
        <v>20</v>
      </c>
      <c r="G606">
        <f>電力量!G607-電力量!G606</f>
        <v>54.900000000001455</v>
      </c>
      <c r="H606">
        <f>電力量!H607-電力量!H606</f>
        <v>11</v>
      </c>
      <c r="I606">
        <f>電力量!I607-電力量!I606</f>
        <v>225</v>
      </c>
      <c r="J606">
        <f>電力量!J607-電力量!J606</f>
        <v>9.4000000000014552</v>
      </c>
      <c r="K606">
        <f>電力量!K607-電力量!K606</f>
        <v>3.8000000000029104</v>
      </c>
      <c r="L606">
        <f>電力量!L607-電力量!L606</f>
        <v>23.5</v>
      </c>
      <c r="M606">
        <f>電力量!M607-電力量!M606</f>
        <v>38.5</v>
      </c>
      <c r="N606">
        <f>電力量!N607-電力量!N606</f>
        <v>55.5</v>
      </c>
      <c r="O606">
        <f>電力量!O607-電力量!O606</f>
        <v>20</v>
      </c>
      <c r="P606">
        <f>電力量!P607-電力量!P606</f>
        <v>0</v>
      </c>
      <c r="Q606">
        <f>電力量!Q607-電力量!Q606</f>
        <v>0</v>
      </c>
      <c r="R606">
        <f>電力量!R607-電力量!R606</f>
        <v>0</v>
      </c>
    </row>
    <row r="607" spans="1:18">
      <c r="A607" s="4">
        <f t="shared" ref="A607:A655" si="211">A602+(5/24)</f>
        <v>45897.208333333336</v>
      </c>
      <c r="B607">
        <f>電力量!B608-電力量!B607</f>
        <v>699</v>
      </c>
      <c r="C607">
        <f>電力量!C608-電力量!C607</f>
        <v>182</v>
      </c>
      <c r="D607">
        <f>電力量!D608-電力量!D607</f>
        <v>13.69999999999709</v>
      </c>
      <c r="E607">
        <f>電力量!E608-電力量!E607</f>
        <v>0</v>
      </c>
      <c r="F607">
        <f>電力量!F608-電力量!F607</f>
        <v>19</v>
      </c>
      <c r="G607">
        <f>電力量!G608-電力量!G607</f>
        <v>54.400000000001455</v>
      </c>
      <c r="H607">
        <f>電力量!H608-電力量!H607</f>
        <v>12</v>
      </c>
      <c r="I607">
        <f>電力量!I608-電力量!I607</f>
        <v>222</v>
      </c>
      <c r="J607">
        <f>電力量!J608-電力量!J607</f>
        <v>9.1999999999970896</v>
      </c>
      <c r="K607">
        <f>電力量!K608-電力量!K607</f>
        <v>3.3999999999941792</v>
      </c>
      <c r="L607">
        <f>電力量!L608-電力量!L607</f>
        <v>21</v>
      </c>
      <c r="M607">
        <f>電力量!M608-電力量!M607</f>
        <v>37.600000000005821</v>
      </c>
      <c r="N607">
        <f>電力量!N608-電力量!N607</f>
        <v>54.600000000005821</v>
      </c>
      <c r="O607">
        <f>電力量!O608-電力量!O607</f>
        <v>20.5</v>
      </c>
      <c r="P607">
        <f>電力量!P608-電力量!P607</f>
        <v>0</v>
      </c>
      <c r="Q607">
        <f>電力量!Q608-電力量!Q607</f>
        <v>0</v>
      </c>
      <c r="R607">
        <f>電力量!R608-電力量!R607</f>
        <v>0</v>
      </c>
    </row>
    <row r="608" spans="1:18">
      <c r="A608" s="4">
        <f t="shared" ref="A608:A656" si="212">A602+(6/24)</f>
        <v>45897.25</v>
      </c>
      <c r="B608">
        <f>電力量!B609-電力量!B608</f>
        <v>699</v>
      </c>
      <c r="C608">
        <f>電力量!C609-電力量!C608</f>
        <v>183</v>
      </c>
      <c r="D608">
        <f>電力量!D609-電力量!D608</f>
        <v>13</v>
      </c>
      <c r="E608">
        <f>電力量!E609-電力量!E608</f>
        <v>0</v>
      </c>
      <c r="F608">
        <f>電力量!F609-電力量!F608</f>
        <v>18</v>
      </c>
      <c r="G608">
        <f>電力量!G609-電力量!G608</f>
        <v>52.799999999995634</v>
      </c>
      <c r="H608">
        <f>電力量!H609-電力量!H608</f>
        <v>10</v>
      </c>
      <c r="I608">
        <f>電力量!I609-電力量!I608</f>
        <v>228</v>
      </c>
      <c r="J608">
        <f>電力量!J609-電力量!J608</f>
        <v>9.1000000000058208</v>
      </c>
      <c r="K608">
        <f>電力量!K609-電力量!K608</f>
        <v>2.5</v>
      </c>
      <c r="L608">
        <f>電力量!L609-電力量!L608</f>
        <v>20.299999999988358</v>
      </c>
      <c r="M608">
        <f>電力量!M609-電力量!M608</f>
        <v>34.69999999999709</v>
      </c>
      <c r="N608">
        <f>電力量!N609-電力量!N608</f>
        <v>54</v>
      </c>
      <c r="O608">
        <f>電力量!O609-電力量!O608</f>
        <v>20.399999999994179</v>
      </c>
      <c r="P608">
        <f>電力量!P609-電力量!P608</f>
        <v>0</v>
      </c>
      <c r="Q608">
        <f>電力量!Q609-電力量!Q608</f>
        <v>1</v>
      </c>
      <c r="R608">
        <f>電力量!R609-電力量!R608</f>
        <v>0</v>
      </c>
    </row>
    <row r="609" spans="1:18">
      <c r="A609" s="4">
        <f t="shared" ref="A609:A657" si="213">A602+(7/24)</f>
        <v>45897.291666666664</v>
      </c>
      <c r="B609">
        <f>電力量!B610-電力量!B609</f>
        <v>724</v>
      </c>
      <c r="C609">
        <f>電力量!C610-電力量!C609</f>
        <v>199</v>
      </c>
      <c r="D609">
        <f>電力量!D610-電力量!D609</f>
        <v>13.80000000000291</v>
      </c>
      <c r="E609">
        <f>電力量!E610-電力量!E609</f>
        <v>0</v>
      </c>
      <c r="F609">
        <f>電力量!F610-電力量!F609</f>
        <v>19</v>
      </c>
      <c r="G609">
        <f>電力量!G610-電力量!G609</f>
        <v>50.200000000004366</v>
      </c>
      <c r="H609">
        <f>電力量!H610-電力量!H609</f>
        <v>11</v>
      </c>
      <c r="I609">
        <f>電力量!I610-電力量!I609</f>
        <v>235</v>
      </c>
      <c r="J609">
        <f>電力量!J610-電力量!J609</f>
        <v>8.5</v>
      </c>
      <c r="K609">
        <f>電力量!K610-電力量!K609</f>
        <v>0.69999999999708962</v>
      </c>
      <c r="L609">
        <f>電力量!L610-電力量!L609</f>
        <v>22.400000000008731</v>
      </c>
      <c r="M609">
        <f>電力量!M610-電力量!M609</f>
        <v>35.19999999999709</v>
      </c>
      <c r="N609">
        <f>電力量!N610-電力量!N609</f>
        <v>51.399999999994179</v>
      </c>
      <c r="O609">
        <f>電力量!O610-電力量!O609</f>
        <v>24.5</v>
      </c>
      <c r="P609">
        <f>電力量!P610-電力量!P609</f>
        <v>2</v>
      </c>
      <c r="Q609">
        <f>電力量!Q610-電力量!Q609</f>
        <v>3</v>
      </c>
      <c r="R609">
        <f>電力量!R610-電力量!R609</f>
        <v>0</v>
      </c>
    </row>
    <row r="610" spans="1:18">
      <c r="A610" s="4">
        <f t="shared" ref="A610:A658" si="214">A602+(8/24)</f>
        <v>45897.333333333336</v>
      </c>
      <c r="B610">
        <f>電力量!B611-電力量!B610</f>
        <v>865</v>
      </c>
      <c r="C610">
        <f>電力量!C611-電力量!C610</f>
        <v>236</v>
      </c>
      <c r="D610">
        <f>電力量!D611-電力量!D610</f>
        <v>15</v>
      </c>
      <c r="E610">
        <f>電力量!E611-電力量!E610</f>
        <v>0</v>
      </c>
      <c r="F610">
        <f>電力量!F611-電力量!F610</f>
        <v>25</v>
      </c>
      <c r="G610">
        <f>電力量!G611-電力量!G610</f>
        <v>52.799999999995634</v>
      </c>
      <c r="H610">
        <f>電力量!H611-電力量!H610</f>
        <v>11</v>
      </c>
      <c r="I610">
        <f>電力量!I611-電力量!I610</f>
        <v>287</v>
      </c>
      <c r="J610">
        <f>電力量!J611-電力量!J610</f>
        <v>9.5</v>
      </c>
      <c r="K610">
        <f>電力量!K611-電力量!K610</f>
        <v>0</v>
      </c>
      <c r="L610">
        <f>電力量!L611-電力量!L610</f>
        <v>29</v>
      </c>
      <c r="M610">
        <f>電力量!M611-電力量!M610</f>
        <v>43.600000000005821</v>
      </c>
      <c r="N610">
        <f>電力量!N611-電力量!N610</f>
        <v>48.80000000000291</v>
      </c>
      <c r="O610">
        <f>電力量!O611-電力量!O610</f>
        <v>38.600000000005821</v>
      </c>
      <c r="P610">
        <f>電力量!P611-電力量!P610</f>
        <v>5</v>
      </c>
      <c r="Q610">
        <f>電力量!Q611-電力量!Q610</f>
        <v>10</v>
      </c>
      <c r="R610">
        <f>電力量!R611-電力量!R610</f>
        <v>0</v>
      </c>
    </row>
    <row r="611" spans="1:18">
      <c r="A611" s="4">
        <f t="shared" ref="A611:A659" si="215">A602+(9/24)</f>
        <v>45897.375</v>
      </c>
      <c r="B611">
        <f>電力量!B612-電力量!B611</f>
        <v>1082</v>
      </c>
      <c r="C611">
        <f>電力量!C612-電力量!C611</f>
        <v>298</v>
      </c>
      <c r="D611">
        <f>電力量!D612-電力量!D611</f>
        <v>23</v>
      </c>
      <c r="E611">
        <f>電力量!E612-電力量!E611</f>
        <v>0</v>
      </c>
      <c r="F611">
        <f>電力量!F612-電力量!F611</f>
        <v>35</v>
      </c>
      <c r="G611">
        <f>電力量!G612-電力量!G611</f>
        <v>63.30000000000291</v>
      </c>
      <c r="H611">
        <f>電力量!H612-電力量!H611</f>
        <v>11</v>
      </c>
      <c r="I611">
        <f>電力量!I612-電力量!I611</f>
        <v>370</v>
      </c>
      <c r="J611">
        <f>電力量!J612-電力量!J611</f>
        <v>4.7999999999956344</v>
      </c>
      <c r="K611">
        <f>電力量!K612-電力量!K611</f>
        <v>3.2000000000116415</v>
      </c>
      <c r="L611">
        <f>電力量!L612-電力量!L611</f>
        <v>31.80000000000291</v>
      </c>
      <c r="M611">
        <f>電力量!M612-電力量!M611</f>
        <v>45.5</v>
      </c>
      <c r="N611">
        <f>電力量!N612-電力量!N611</f>
        <v>51.900000000008731</v>
      </c>
      <c r="O611">
        <f>電力量!O612-電力量!O611</f>
        <v>55.30000000000291</v>
      </c>
      <c r="P611">
        <f>電力量!P612-電力量!P611</f>
        <v>6</v>
      </c>
      <c r="Q611">
        <f>電力量!Q612-電力量!Q611</f>
        <v>8</v>
      </c>
      <c r="R611">
        <f>電力量!R612-電力量!R611</f>
        <v>0</v>
      </c>
    </row>
    <row r="612" spans="1:18">
      <c r="A612" s="4">
        <f t="shared" ref="A612:A660" si="216">A602+(10/24)</f>
        <v>45897.416666666664</v>
      </c>
      <c r="B612">
        <f>電力量!B613-電力量!B612</f>
        <v>1248</v>
      </c>
      <c r="C612">
        <f>電力量!C613-電力量!C612</f>
        <v>337</v>
      </c>
      <c r="D612">
        <f>電力量!D613-電力量!D612</f>
        <v>31.19999999999709</v>
      </c>
      <c r="E612">
        <f>電力量!E613-電力量!E612</f>
        <v>0</v>
      </c>
      <c r="F612">
        <f>電力量!F613-電力量!F612</f>
        <v>50</v>
      </c>
      <c r="G612">
        <f>電力量!G613-電力量!G612</f>
        <v>91</v>
      </c>
      <c r="H612">
        <f>電力量!H613-電力量!H612</f>
        <v>24</v>
      </c>
      <c r="I612">
        <f>電力量!I613-電力量!I612</f>
        <v>404</v>
      </c>
      <c r="J612">
        <f>電力量!J613-電力量!J612</f>
        <v>5.9000000000014552</v>
      </c>
      <c r="K612">
        <f>電力量!K613-電力量!K612</f>
        <v>0.89999999999417923</v>
      </c>
      <c r="L612">
        <f>電力量!L613-電力量!L612</f>
        <v>32.399999999994179</v>
      </c>
      <c r="M612">
        <f>電力量!M613-電力量!M612</f>
        <v>53.099999999991269</v>
      </c>
      <c r="N612">
        <f>電力量!N613-電力量!N612</f>
        <v>50.299999999988358</v>
      </c>
      <c r="O612">
        <f>電力量!O613-電力量!O612</f>
        <v>72.5</v>
      </c>
      <c r="P612">
        <f>電力量!P613-電力量!P612</f>
        <v>10</v>
      </c>
      <c r="Q612">
        <f>電力量!Q613-電力量!Q612</f>
        <v>16</v>
      </c>
      <c r="R612">
        <f>電力量!R613-電力量!R612</f>
        <v>0</v>
      </c>
    </row>
    <row r="613" spans="1:18">
      <c r="A613" s="4">
        <f t="shared" ref="A613:A661" si="217">A602+(11/24)</f>
        <v>45897.458333333336</v>
      </c>
      <c r="B613">
        <f>電力量!B614-電力量!B613</f>
        <v>1277</v>
      </c>
      <c r="C613">
        <f>電力量!C614-電力量!C613</f>
        <v>369</v>
      </c>
      <c r="D613">
        <f>電力量!D614-電力量!D613</f>
        <v>30.600000000005821</v>
      </c>
      <c r="E613">
        <f>電力量!E614-電力量!E613</f>
        <v>0</v>
      </c>
      <c r="F613">
        <f>電力量!F614-電力量!F613</f>
        <v>50</v>
      </c>
      <c r="G613">
        <f>電力量!G614-電力量!G613</f>
        <v>88.599999999998545</v>
      </c>
      <c r="H613">
        <f>電力量!H614-電力量!H613</f>
        <v>14</v>
      </c>
      <c r="I613">
        <f>電力量!I614-電力量!I613</f>
        <v>426</v>
      </c>
      <c r="J613">
        <f>電力量!J614-電力量!J613</f>
        <v>6.0999999999985448</v>
      </c>
      <c r="K613">
        <f>電力量!K614-電力量!K613</f>
        <v>0.10000000000582077</v>
      </c>
      <c r="L613">
        <f>電力量!L614-電力量!L613</f>
        <v>37.30000000000291</v>
      </c>
      <c r="M613">
        <f>電力量!M614-電力量!M613</f>
        <v>52.100000000005821</v>
      </c>
      <c r="N613">
        <f>電力量!N614-電力量!N613</f>
        <v>45.100000000005821</v>
      </c>
      <c r="O613">
        <f>電力量!O614-電力量!O613</f>
        <v>67.69999999999709</v>
      </c>
      <c r="P613">
        <f>電力量!P614-電力量!P613</f>
        <v>14</v>
      </c>
      <c r="Q613">
        <f>電力量!Q614-電力量!Q613</f>
        <v>21</v>
      </c>
      <c r="R613">
        <f>電力量!R614-電力量!R613</f>
        <v>0</v>
      </c>
    </row>
    <row r="614" spans="1:18">
      <c r="A614" s="4">
        <f t="shared" ref="A614:A662" si="218">A602+(12/24)</f>
        <v>45897.5</v>
      </c>
      <c r="B614">
        <f>電力量!B615-電力量!B614</f>
        <v>1314</v>
      </c>
      <c r="C614">
        <f>電力量!C615-電力量!C614</f>
        <v>372</v>
      </c>
      <c r="D614">
        <f>電力量!D615-電力量!D614</f>
        <v>31.69999999999709</v>
      </c>
      <c r="E614">
        <f>電力量!E615-電力量!E614</f>
        <v>0</v>
      </c>
      <c r="F614">
        <f>電力量!F615-電力量!F614</f>
        <v>60</v>
      </c>
      <c r="G614">
        <f>電力量!G615-電力量!G614</f>
        <v>91.69999999999709</v>
      </c>
      <c r="H614">
        <f>電力量!H615-電力量!H614</f>
        <v>14</v>
      </c>
      <c r="I614">
        <f>電力量!I615-電力量!I614</f>
        <v>436</v>
      </c>
      <c r="J614">
        <f>電力量!J615-電力量!J614</f>
        <v>10.80000000000291</v>
      </c>
      <c r="K614">
        <f>電力量!K615-電力量!K614</f>
        <v>0</v>
      </c>
      <c r="L614">
        <f>電力量!L615-電力量!L614</f>
        <v>42.19999999999709</v>
      </c>
      <c r="M614">
        <f>電力量!M615-電力量!M614</f>
        <v>54.099999999991269</v>
      </c>
      <c r="N614">
        <f>電力量!N615-電力量!N614</f>
        <v>46.80000000000291</v>
      </c>
      <c r="O614">
        <f>電力量!O615-電力量!O614</f>
        <v>66.399999999994179</v>
      </c>
      <c r="P614">
        <f>電力量!P615-電力量!P614</f>
        <v>10</v>
      </c>
      <c r="Q614">
        <f>電力量!Q615-電力量!Q614</f>
        <v>17</v>
      </c>
      <c r="R614">
        <f>電力量!R615-電力量!R614</f>
        <v>0</v>
      </c>
    </row>
    <row r="615" spans="1:18">
      <c r="A615" s="4">
        <f t="shared" ref="A615:A663" si="219">A602+(13/24)</f>
        <v>45897.541666666664</v>
      </c>
      <c r="B615">
        <f>電力量!B616-電力量!B615</f>
        <v>1398</v>
      </c>
      <c r="C615">
        <f>電力量!C616-電力量!C615</f>
        <v>404</v>
      </c>
      <c r="D615">
        <f>電力量!D616-電力量!D615</f>
        <v>41.400000000001455</v>
      </c>
      <c r="E615">
        <f>電力量!E616-電力量!E615</f>
        <v>0</v>
      </c>
      <c r="F615">
        <f>電力量!F616-電力量!F615</f>
        <v>58</v>
      </c>
      <c r="G615">
        <f>電力量!G616-電力量!G615</f>
        <v>96.100000000005821</v>
      </c>
      <c r="H615">
        <f>電力量!H616-電力量!H615</f>
        <v>16</v>
      </c>
      <c r="I615">
        <f>電力量!I616-電力量!I615</f>
        <v>456</v>
      </c>
      <c r="J615">
        <f>電力量!J616-電力量!J615</f>
        <v>11.5</v>
      </c>
      <c r="K615">
        <f>電力量!K616-電力量!K615</f>
        <v>0.19999999999708962</v>
      </c>
      <c r="L615">
        <f>電力量!L616-電力量!L615</f>
        <v>49.600000000005821</v>
      </c>
      <c r="M615">
        <f>電力量!M616-電力量!M615</f>
        <v>56.5</v>
      </c>
      <c r="N615">
        <f>電力量!N616-電力量!N615</f>
        <v>43.899999999994179</v>
      </c>
      <c r="O615">
        <f>電力量!O616-電力量!O615</f>
        <v>74.400000000008731</v>
      </c>
      <c r="P615">
        <f>電力量!P616-電力量!P615</f>
        <v>14</v>
      </c>
      <c r="Q615">
        <f>電力量!Q616-電力量!Q615</f>
        <v>20</v>
      </c>
      <c r="R615">
        <f>電力量!R616-電力量!R615</f>
        <v>0</v>
      </c>
    </row>
    <row r="616" spans="1:18">
      <c r="A616" s="4">
        <f t="shared" ref="A616:A664" si="220">A602+(14/24)</f>
        <v>45897.583333333336</v>
      </c>
      <c r="B616">
        <f>電力量!B617-電力量!B616</f>
        <v>1446</v>
      </c>
      <c r="C616">
        <f>電力量!C617-電力量!C616</f>
        <v>425</v>
      </c>
      <c r="D616">
        <f>電力量!D617-電力量!D616</f>
        <v>41.799999999995634</v>
      </c>
      <c r="E616">
        <f>電力量!E617-電力量!E616</f>
        <v>0</v>
      </c>
      <c r="F616">
        <f>電力量!F617-電力量!F616</f>
        <v>63</v>
      </c>
      <c r="G616">
        <f>電力量!G617-電力量!G616</f>
        <v>110.5</v>
      </c>
      <c r="H616">
        <f>電力量!H617-電力量!H616</f>
        <v>12</v>
      </c>
      <c r="I616">
        <f>電力量!I617-電力量!I616</f>
        <v>481</v>
      </c>
      <c r="J616">
        <f>電力量!J617-電力量!J616</f>
        <v>12.099999999998545</v>
      </c>
      <c r="K616">
        <f>電力量!K617-電力量!K616</f>
        <v>0</v>
      </c>
      <c r="L616">
        <f>電力量!L617-電力量!L616</f>
        <v>47.099999999991269</v>
      </c>
      <c r="M616">
        <f>電力量!M617-電力量!M616</f>
        <v>57.900000000008731</v>
      </c>
      <c r="N616">
        <f>電力量!N617-電力量!N616</f>
        <v>44.30000000000291</v>
      </c>
      <c r="O616">
        <f>電力量!O617-電力量!O616</f>
        <v>52.69999999999709</v>
      </c>
      <c r="P616">
        <f>電力量!P617-電力量!P616</f>
        <v>14</v>
      </c>
      <c r="Q616">
        <f>電力量!Q617-電力量!Q616</f>
        <v>22</v>
      </c>
      <c r="R616">
        <f>電力量!R617-電力量!R616</f>
        <v>0</v>
      </c>
    </row>
    <row r="617" spans="1:18">
      <c r="A617" s="4">
        <f t="shared" ref="A617:A665" si="221">A602+(15/24)</f>
        <v>45897.625</v>
      </c>
      <c r="B617">
        <f>電力量!B618-電力量!B617</f>
        <v>1392</v>
      </c>
      <c r="C617">
        <f>電力量!C618-電力量!C617</f>
        <v>396</v>
      </c>
      <c r="D617">
        <f>電力量!D618-電力量!D617</f>
        <v>40.80000000000291</v>
      </c>
      <c r="E617">
        <f>電力量!E618-電力量!E617</f>
        <v>0</v>
      </c>
      <c r="F617">
        <f>電力量!F618-電力量!F617</f>
        <v>59</v>
      </c>
      <c r="G617">
        <f>電力量!G618-電力量!G617</f>
        <v>104.89999999999418</v>
      </c>
      <c r="H617">
        <f>電力量!H618-電力量!H617</f>
        <v>11</v>
      </c>
      <c r="I617">
        <f>電力量!I618-電力量!I617</f>
        <v>465</v>
      </c>
      <c r="J617">
        <f>電力量!J618-電力量!J617</f>
        <v>13.69999999999709</v>
      </c>
      <c r="K617">
        <f>電力量!K618-電力量!K617</f>
        <v>0</v>
      </c>
      <c r="L617">
        <f>電力量!L618-電力量!L617</f>
        <v>53.80000000000291</v>
      </c>
      <c r="M617">
        <f>電力量!M618-電力量!M617</f>
        <v>57.099999999991269</v>
      </c>
      <c r="N617">
        <f>電力量!N618-電力量!N617</f>
        <v>48.399999999994179</v>
      </c>
      <c r="O617">
        <f>電力量!O618-電力量!O617</f>
        <v>30.899999999994179</v>
      </c>
      <c r="P617">
        <f>電力量!P618-電力量!P617</f>
        <v>12</v>
      </c>
      <c r="Q617">
        <f>電力量!Q618-電力量!Q617</f>
        <v>18</v>
      </c>
      <c r="R617">
        <f>電力量!R618-電力量!R617</f>
        <v>0</v>
      </c>
    </row>
    <row r="618" spans="1:18">
      <c r="A618" s="4">
        <f t="shared" ref="A618:A666" si="222">A602+(16/24)</f>
        <v>45897.666666666664</v>
      </c>
      <c r="B618">
        <f>電力量!B619-電力量!B618</f>
        <v>1337</v>
      </c>
      <c r="C618">
        <f>電力量!C619-電力量!C618</f>
        <v>373</v>
      </c>
      <c r="D618">
        <f>電力量!D619-電力量!D618</f>
        <v>37</v>
      </c>
      <c r="E618">
        <f>電力量!E619-電力量!E618</f>
        <v>0</v>
      </c>
      <c r="F618">
        <f>電力量!F619-電力量!F618</f>
        <v>55</v>
      </c>
      <c r="G618">
        <f>電力量!G619-電力量!G618</f>
        <v>103.90000000000146</v>
      </c>
      <c r="H618">
        <f>電力量!H619-電力量!H618</f>
        <v>14</v>
      </c>
      <c r="I618">
        <f>電力量!I619-電力量!I618</f>
        <v>455</v>
      </c>
      <c r="J618">
        <f>電力量!J619-電力量!J618</f>
        <v>11</v>
      </c>
      <c r="K618">
        <f>電力量!K619-電力量!K618</f>
        <v>3.0999999999912689</v>
      </c>
      <c r="L618">
        <f>電力量!L619-電力量!L618</f>
        <v>51.899999999994179</v>
      </c>
      <c r="M618">
        <f>電力量!M619-電力量!M618</f>
        <v>53.5</v>
      </c>
      <c r="N618">
        <f>電力量!N619-電力量!N618</f>
        <v>50.900000000008731</v>
      </c>
      <c r="O618">
        <f>電力量!O619-電力量!O618</f>
        <v>29.100000000005821</v>
      </c>
      <c r="P618">
        <f>電力量!P619-電力量!P618</f>
        <v>9</v>
      </c>
      <c r="Q618">
        <f>電力量!Q619-電力量!Q618</f>
        <v>14</v>
      </c>
      <c r="R618">
        <f>電力量!R619-電力量!R618</f>
        <v>0</v>
      </c>
    </row>
    <row r="619" spans="1:18">
      <c r="A619" s="4">
        <f t="shared" ref="A619:A667" si="223">A602+(17/24)</f>
        <v>45897.708333333336</v>
      </c>
      <c r="B619">
        <f>電力量!B620-電力量!B619</f>
        <v>1226</v>
      </c>
      <c r="C619">
        <f>電力量!C620-電力量!C619</f>
        <v>343</v>
      </c>
      <c r="D619">
        <f>電力量!D620-電力量!D619</f>
        <v>29.19999999999709</v>
      </c>
      <c r="E619">
        <f>電力量!E620-電力量!E619</f>
        <v>0</v>
      </c>
      <c r="F619">
        <f>電力量!F620-電力量!F619</f>
        <v>42</v>
      </c>
      <c r="G619">
        <f>電力量!G620-電力量!G619</f>
        <v>99.099999999998545</v>
      </c>
      <c r="H619">
        <f>電力量!H620-電力量!H619</f>
        <v>25</v>
      </c>
      <c r="I619">
        <f>電力量!I620-電力量!I619</f>
        <v>407</v>
      </c>
      <c r="J619">
        <f>電力量!J620-電力量!J619</f>
        <v>9.2000000000043656</v>
      </c>
      <c r="K619">
        <f>電力量!K620-電力量!K619</f>
        <v>3.9000000000087311</v>
      </c>
      <c r="L619">
        <f>電力量!L620-電力量!L619</f>
        <v>47.900000000008731</v>
      </c>
      <c r="M619">
        <f>電力量!M620-電力量!M619</f>
        <v>51</v>
      </c>
      <c r="N619">
        <f>電力量!N620-電力量!N619</f>
        <v>55.30000000000291</v>
      </c>
      <c r="O619">
        <f>電力量!O620-電力量!O619</f>
        <v>28.399999999994179</v>
      </c>
      <c r="P619">
        <f>電力量!P620-電力量!P619</f>
        <v>4</v>
      </c>
      <c r="Q619">
        <f>電力量!Q620-電力量!Q619</f>
        <v>6</v>
      </c>
      <c r="R619">
        <f>電力量!R620-電力量!R619</f>
        <v>0</v>
      </c>
    </row>
    <row r="620" spans="1:18">
      <c r="A620" s="4">
        <f t="shared" ref="A620:A668" si="224">A602+(18/24)</f>
        <v>45897.75</v>
      </c>
      <c r="B620">
        <f>電力量!B621-電力量!B620</f>
        <v>1074</v>
      </c>
      <c r="C620">
        <f>電力量!C621-電力量!C620</f>
        <v>291</v>
      </c>
      <c r="D620">
        <f>電力量!D621-電力量!D620</f>
        <v>19.30000000000291</v>
      </c>
      <c r="E620">
        <f>電力量!E621-電力量!E620</f>
        <v>0</v>
      </c>
      <c r="F620">
        <f>電力量!F621-電力量!F620</f>
        <v>31</v>
      </c>
      <c r="G620">
        <f>電力量!G621-電力量!G620</f>
        <v>87.5</v>
      </c>
      <c r="H620">
        <f>電力量!H621-電力量!H620</f>
        <v>21</v>
      </c>
      <c r="I620">
        <f>電力量!I621-電力量!I620</f>
        <v>373</v>
      </c>
      <c r="J620">
        <f>電力量!J621-電力量!J620</f>
        <v>8.2999999999956344</v>
      </c>
      <c r="K620">
        <f>電力量!K621-電力量!K620</f>
        <v>3.6999999999970896</v>
      </c>
      <c r="L620">
        <f>電力量!L621-電力量!L620</f>
        <v>39.399999999994179</v>
      </c>
      <c r="M620">
        <f>電力量!M621-電力量!M620</f>
        <v>49</v>
      </c>
      <c r="N620">
        <f>電力量!N621-電力量!N620</f>
        <v>54.799999999988358</v>
      </c>
      <c r="O620">
        <f>電力量!O621-電力量!O620</f>
        <v>24.80000000000291</v>
      </c>
      <c r="P620">
        <f>電力量!P621-電力量!P620</f>
        <v>1</v>
      </c>
      <c r="Q620">
        <f>電力量!Q621-電力量!Q620</f>
        <v>1</v>
      </c>
      <c r="R620">
        <f>電力量!R621-電力量!R620</f>
        <v>0</v>
      </c>
    </row>
    <row r="621" spans="1:18">
      <c r="A621" s="4">
        <f t="shared" ref="A621:A669" si="225">A602+(19/24)</f>
        <v>45897.791666666664</v>
      </c>
      <c r="B621">
        <f>電力量!B622-電力量!B621</f>
        <v>936</v>
      </c>
      <c r="C621">
        <f>電力量!C622-電力量!C621</f>
        <v>253</v>
      </c>
      <c r="D621">
        <f>電力量!D622-電力量!D621</f>
        <v>17.599999999998545</v>
      </c>
      <c r="E621">
        <f>電力量!E622-電力量!E621</f>
        <v>0</v>
      </c>
      <c r="F621">
        <f>電力量!F622-電力量!F621</f>
        <v>25</v>
      </c>
      <c r="G621">
        <f>電力量!G622-電力量!G621</f>
        <v>75.700000000004366</v>
      </c>
      <c r="H621">
        <f>電力量!H622-電力量!H621</f>
        <v>13</v>
      </c>
      <c r="I621">
        <f>電力量!I622-電力量!I621</f>
        <v>321</v>
      </c>
      <c r="J621">
        <f>電力量!J622-電力量!J621</f>
        <v>7.6000000000058208</v>
      </c>
      <c r="K621">
        <f>電力量!K622-電力量!K621</f>
        <v>3.8000000000029104</v>
      </c>
      <c r="L621">
        <f>電力量!L622-電力量!L621</f>
        <v>34.19999999999709</v>
      </c>
      <c r="M621">
        <f>電力量!M622-電力量!M621</f>
        <v>44</v>
      </c>
      <c r="N621">
        <f>電力量!N622-電力量!N621</f>
        <v>54.5</v>
      </c>
      <c r="O621">
        <f>電力量!O622-電力量!O621</f>
        <v>25.399999999994179</v>
      </c>
      <c r="P621">
        <f>電力量!P622-電力量!P621</f>
        <v>0</v>
      </c>
      <c r="Q621">
        <f>電力量!Q622-電力量!Q621</f>
        <v>0</v>
      </c>
      <c r="R621">
        <f>電力量!R622-電力量!R621</f>
        <v>0</v>
      </c>
    </row>
    <row r="622" spans="1:18">
      <c r="A622" s="4">
        <f t="shared" ref="A622:A670" si="226">A602+(20/24)</f>
        <v>45897.833333333336</v>
      </c>
      <c r="B622">
        <f>電力量!B623-電力量!B622</f>
        <v>843</v>
      </c>
      <c r="C622">
        <f>電力量!C623-電力量!C622</f>
        <v>222</v>
      </c>
      <c r="D622">
        <f>電力量!D623-電力量!D622</f>
        <v>19.700000000004366</v>
      </c>
      <c r="E622">
        <f>電力量!E623-電力量!E622</f>
        <v>0</v>
      </c>
      <c r="F622">
        <f>電力量!F623-電力量!F622</f>
        <v>23</v>
      </c>
      <c r="G622">
        <f>電力量!G623-電力量!G622</f>
        <v>70.299999999995634</v>
      </c>
      <c r="H622">
        <f>電力量!H623-電力量!H622</f>
        <v>13</v>
      </c>
      <c r="I622">
        <f>電力量!I623-電力量!I622</f>
        <v>275</v>
      </c>
      <c r="J622">
        <f>電力量!J623-電力量!J622</f>
        <v>7.2999999999956344</v>
      </c>
      <c r="K622">
        <f>電力量!K623-電力量!K622</f>
        <v>3.5</v>
      </c>
      <c r="L622">
        <f>電力量!L623-電力量!L622</f>
        <v>28.400000000008731</v>
      </c>
      <c r="M622">
        <f>電力量!M623-電力量!M622</f>
        <v>43.5</v>
      </c>
      <c r="N622">
        <f>電力量!N623-電力量!N622</f>
        <v>54.5</v>
      </c>
      <c r="O622">
        <f>電力量!O623-電力量!O622</f>
        <v>26.400000000008731</v>
      </c>
      <c r="P622">
        <f>電力量!P623-電力量!P622</f>
        <v>0</v>
      </c>
      <c r="Q622">
        <f>電力量!Q623-電力量!Q622</f>
        <v>0</v>
      </c>
      <c r="R622">
        <f>電力量!R623-電力量!R622</f>
        <v>0</v>
      </c>
    </row>
    <row r="623" spans="1:18">
      <c r="A623" s="4">
        <f t="shared" ref="A623:A671" si="227">A602+(21/24)</f>
        <v>45897.875</v>
      </c>
      <c r="B623">
        <f>電力量!B624-電力量!B623</f>
        <v>793</v>
      </c>
      <c r="C623">
        <f>電力量!C624-電力量!C623</f>
        <v>206</v>
      </c>
      <c r="D623">
        <f>電力量!D624-電力量!D623</f>
        <v>17.299999999995634</v>
      </c>
      <c r="E623">
        <f>電力量!E624-電力量!E623</f>
        <v>0</v>
      </c>
      <c r="F623">
        <f>電力量!F624-電力量!F623</f>
        <v>23</v>
      </c>
      <c r="G623">
        <f>電力量!G624-電力量!G623</f>
        <v>66.30000000000291</v>
      </c>
      <c r="H623">
        <f>電力量!H624-電力量!H623</f>
        <v>13</v>
      </c>
      <c r="I623">
        <f>電力量!I624-電力量!I623</f>
        <v>259</v>
      </c>
      <c r="J623">
        <f>電力量!J624-電力量!J623</f>
        <v>6.7000000000043656</v>
      </c>
      <c r="K623">
        <f>電力量!K624-電力量!K623</f>
        <v>3.3999999999941792</v>
      </c>
      <c r="L623">
        <f>電力量!L624-電力量!L623</f>
        <v>23.30000000000291</v>
      </c>
      <c r="M623">
        <f>電力量!M624-電力量!M623</f>
        <v>43.900000000008731</v>
      </c>
      <c r="N623">
        <f>電力量!N624-電力量!N623</f>
        <v>54.200000000011642</v>
      </c>
      <c r="O623">
        <f>電力量!O624-電力量!O623</f>
        <v>24.899999999994179</v>
      </c>
      <c r="P623">
        <f>電力量!P624-電力量!P623</f>
        <v>0</v>
      </c>
      <c r="Q623">
        <f>電力量!Q624-電力量!Q623</f>
        <v>0</v>
      </c>
      <c r="R623">
        <f>電力量!R624-電力量!R623</f>
        <v>0</v>
      </c>
    </row>
    <row r="624" spans="1:18">
      <c r="A624" s="4">
        <f t="shared" ref="A624:A672" si="228">A602+(22/24)</f>
        <v>45897.916666666664</v>
      </c>
      <c r="B624">
        <f>電力量!B625-電力量!B624</f>
        <v>786</v>
      </c>
      <c r="C624">
        <f>電力量!C625-電力量!C624</f>
        <v>200</v>
      </c>
      <c r="D624">
        <f>電力量!D625-電力量!D624</f>
        <v>17.400000000001455</v>
      </c>
      <c r="E624">
        <f>電力量!E625-電力量!E624</f>
        <v>0</v>
      </c>
      <c r="F624">
        <f>電力量!F625-電力量!F624</f>
        <v>23</v>
      </c>
      <c r="G624">
        <f>電力量!G625-電力量!G624</f>
        <v>64.69999999999709</v>
      </c>
      <c r="H624">
        <f>電力量!H625-電力量!H624</f>
        <v>12</v>
      </c>
      <c r="I624">
        <f>電力量!I625-電力量!I624</f>
        <v>265</v>
      </c>
      <c r="J624">
        <f>電力量!J625-電力量!J624</f>
        <v>6.5999999999985448</v>
      </c>
      <c r="K624">
        <f>電力量!K625-電力量!K624</f>
        <v>3.3000000000029104</v>
      </c>
      <c r="L624">
        <f>電力量!L625-電力量!L624</f>
        <v>24.5</v>
      </c>
      <c r="M624">
        <f>電力量!M625-電力量!M624</f>
        <v>41.899999999994179</v>
      </c>
      <c r="N624">
        <f>電力量!N625-電力量!N624</f>
        <v>56.299999999988358</v>
      </c>
      <c r="O624">
        <f>電力量!O625-電力量!O624</f>
        <v>21.30000000000291</v>
      </c>
      <c r="P624">
        <f>電力量!P625-電力量!P624</f>
        <v>0</v>
      </c>
      <c r="Q624">
        <f>電力量!Q625-電力量!Q624</f>
        <v>0</v>
      </c>
      <c r="R624">
        <f>電力量!R625-電力量!R624</f>
        <v>0</v>
      </c>
    </row>
    <row r="625" spans="1:18">
      <c r="A625" s="4">
        <f t="shared" ref="A625:A673" si="229">A602+(23/24)</f>
        <v>45897.958333333336</v>
      </c>
      <c r="B625">
        <f>電力量!B626-電力量!B625</f>
        <v>758</v>
      </c>
      <c r="C625">
        <f>電力量!C626-電力量!C625</f>
        <v>191</v>
      </c>
      <c r="D625">
        <f>電力量!D626-電力量!D625</f>
        <v>14.69999999999709</v>
      </c>
      <c r="E625">
        <f>電力量!E626-電力量!E625</f>
        <v>0</v>
      </c>
      <c r="F625">
        <f>電力量!F626-電力量!F625</f>
        <v>21</v>
      </c>
      <c r="G625">
        <f>電力量!G626-電力量!G625</f>
        <v>67.5</v>
      </c>
      <c r="H625">
        <f>電力量!H626-電力量!H625</f>
        <v>12</v>
      </c>
      <c r="I625">
        <f>電力量!I626-電力量!I625</f>
        <v>256</v>
      </c>
      <c r="J625">
        <f>電力量!J626-電力量!J625</f>
        <v>6.2999999999956344</v>
      </c>
      <c r="K625">
        <f>電力量!K626-電力量!K625</f>
        <v>3.3000000000029104</v>
      </c>
      <c r="L625">
        <f>電力量!L626-電力量!L625</f>
        <v>22.799999999988358</v>
      </c>
      <c r="M625">
        <f>電力量!M626-電力量!M625</f>
        <v>37.900000000008731</v>
      </c>
      <c r="N625">
        <f>電力量!N626-電力量!N625</f>
        <v>53.700000000011642</v>
      </c>
      <c r="O625">
        <f>電力量!O626-電力量!O625</f>
        <v>20</v>
      </c>
      <c r="P625">
        <f>電力量!P626-電力量!P625</f>
        <v>0</v>
      </c>
      <c r="Q625">
        <f>電力量!Q626-電力量!Q625</f>
        <v>0</v>
      </c>
      <c r="R625">
        <f>電力量!R626-電力量!R625</f>
        <v>0</v>
      </c>
    </row>
    <row r="626" spans="1:18">
      <c r="A626" s="4">
        <v>45898</v>
      </c>
      <c r="B626">
        <f>電力量!B627-電力量!B626</f>
        <v>737</v>
      </c>
      <c r="C626">
        <f>電力量!C627-電力量!C626</f>
        <v>186</v>
      </c>
      <c r="D626">
        <f>電力量!D627-電力量!D626</f>
        <v>14.700000000004366</v>
      </c>
      <c r="E626">
        <f>電力量!E627-電力量!E626</f>
        <v>0</v>
      </c>
      <c r="F626">
        <f>電力量!F627-電力量!F626</f>
        <v>21</v>
      </c>
      <c r="G626">
        <f>電力量!G627-電力量!G626</f>
        <v>68</v>
      </c>
      <c r="H626">
        <f>電力量!H627-電力量!H626</f>
        <v>13</v>
      </c>
      <c r="I626">
        <f>電力量!I627-電力量!I626</f>
        <v>241</v>
      </c>
      <c r="J626">
        <f>電力量!J627-電力量!J626</f>
        <v>6</v>
      </c>
      <c r="K626">
        <f>電力量!K627-電力量!K626</f>
        <v>3.3000000000029104</v>
      </c>
      <c r="L626">
        <f>電力量!L627-電力量!L626</f>
        <v>24.100000000005821</v>
      </c>
      <c r="M626">
        <f>電力量!M627-電力量!M626</f>
        <v>37.19999999999709</v>
      </c>
      <c r="N626">
        <f>電力量!N627-電力量!N626</f>
        <v>53.69999999999709</v>
      </c>
      <c r="O626">
        <f>電力量!O627-電力量!O626</f>
        <v>19</v>
      </c>
      <c r="P626">
        <f>電力量!P627-電力量!P626</f>
        <v>0</v>
      </c>
      <c r="Q626">
        <f>電力量!Q627-電力量!Q626</f>
        <v>0</v>
      </c>
      <c r="R626">
        <f>電力量!R627-電力量!R626</f>
        <v>0</v>
      </c>
    </row>
    <row r="627" spans="1:18">
      <c r="A627" s="4">
        <f t="shared" si="207"/>
        <v>45898.041666666664</v>
      </c>
      <c r="B627">
        <f>電力量!B628-電力量!B627</f>
        <v>712</v>
      </c>
      <c r="C627">
        <f>電力量!C628-電力量!C627</f>
        <v>177</v>
      </c>
      <c r="D627">
        <f>電力量!D628-電力量!D627</f>
        <v>13.900000000001455</v>
      </c>
      <c r="E627">
        <f>電力量!E628-電力量!E627</f>
        <v>0</v>
      </c>
      <c r="F627">
        <f>電力量!F628-電力量!F627</f>
        <v>20</v>
      </c>
      <c r="G627">
        <f>電力量!G628-電力量!G627</f>
        <v>63.5</v>
      </c>
      <c r="H627">
        <f>電力量!H628-電力量!H627</f>
        <v>12</v>
      </c>
      <c r="I627">
        <f>電力量!I628-電力量!I627</f>
        <v>234</v>
      </c>
      <c r="J627">
        <f>電力量!J628-電力量!J627</f>
        <v>6.2000000000043656</v>
      </c>
      <c r="K627">
        <f>電力量!K628-電力量!K627</f>
        <v>3.2999999999883585</v>
      </c>
      <c r="L627">
        <f>電力量!L628-電力量!L627</f>
        <v>22.80000000000291</v>
      </c>
      <c r="M627">
        <f>電力量!M628-電力量!M627</f>
        <v>36.80000000000291</v>
      </c>
      <c r="N627">
        <f>電力量!N628-電力量!N627</f>
        <v>53.5</v>
      </c>
      <c r="O627">
        <f>電力量!O628-電力量!O627</f>
        <v>19.899999999994179</v>
      </c>
      <c r="P627">
        <f>電力量!P628-電力量!P627</f>
        <v>0</v>
      </c>
      <c r="Q627">
        <f>電力量!Q628-電力量!Q627</f>
        <v>0</v>
      </c>
      <c r="R627">
        <f>電力量!R628-電力量!R627</f>
        <v>0</v>
      </c>
    </row>
    <row r="628" spans="1:18">
      <c r="A628" s="4">
        <f t="shared" si="208"/>
        <v>45898.083333333336</v>
      </c>
      <c r="B628">
        <f>電力量!B629-電力量!B628</f>
        <v>701</v>
      </c>
      <c r="C628">
        <f>電力量!C629-電力量!C628</f>
        <v>172</v>
      </c>
      <c r="D628">
        <f>電力量!D629-電力量!D628</f>
        <v>14.099999999998545</v>
      </c>
      <c r="E628">
        <f>電力量!E629-電力量!E628</f>
        <v>0</v>
      </c>
      <c r="F628">
        <f>電力量!F629-電力量!F628</f>
        <v>20</v>
      </c>
      <c r="G628">
        <f>電力量!G629-電力量!G628</f>
        <v>61.700000000004366</v>
      </c>
      <c r="H628">
        <f>電力量!H629-電力量!H628</f>
        <v>12</v>
      </c>
      <c r="I628">
        <f>電力量!I629-電力量!I628</f>
        <v>231</v>
      </c>
      <c r="J628">
        <f>電力量!J629-電力量!J628</f>
        <v>6.0999999999985448</v>
      </c>
      <c r="K628">
        <f>電力量!K629-電力量!K628</f>
        <v>3.2000000000116415</v>
      </c>
      <c r="L628">
        <f>電力量!L629-電力量!L628</f>
        <v>22.099999999991269</v>
      </c>
      <c r="M628">
        <f>電力量!M629-電力量!M628</f>
        <v>36.799999999988358</v>
      </c>
      <c r="N628">
        <f>電力量!N629-電力量!N628</f>
        <v>53.69999999999709</v>
      </c>
      <c r="O628">
        <f>電力量!O629-電力量!O628</f>
        <v>19.400000000008731</v>
      </c>
      <c r="P628">
        <f>電力量!P629-電力量!P628</f>
        <v>0</v>
      </c>
      <c r="Q628">
        <f>電力量!Q629-電力量!Q628</f>
        <v>0</v>
      </c>
      <c r="R628">
        <f>電力量!R629-電力量!R628</f>
        <v>0</v>
      </c>
    </row>
    <row r="629" spans="1:18">
      <c r="A629" s="4">
        <f t="shared" si="209"/>
        <v>45898.125</v>
      </c>
      <c r="B629">
        <f>電力量!B630-電力量!B629</f>
        <v>680</v>
      </c>
      <c r="C629">
        <f>電力量!C630-電力量!C629</f>
        <v>169</v>
      </c>
      <c r="D629">
        <f>電力量!D630-電力量!D629</f>
        <v>14.599999999998545</v>
      </c>
      <c r="E629">
        <f>電力量!E630-電力量!E629</f>
        <v>0</v>
      </c>
      <c r="F629">
        <f>電力量!F630-電力量!F629</f>
        <v>19</v>
      </c>
      <c r="G629">
        <f>電力量!G630-電力量!G629</f>
        <v>61.900000000001455</v>
      </c>
      <c r="H629">
        <f>電力量!H630-電力量!H629</f>
        <v>11</v>
      </c>
      <c r="I629">
        <f>電力量!I630-電力量!I629</f>
        <v>215</v>
      </c>
      <c r="J629">
        <f>電力量!J630-電力量!J629</f>
        <v>5.6999999999970896</v>
      </c>
      <c r="K629">
        <f>電力量!K630-電力量!K629</f>
        <v>3.1999999999970896</v>
      </c>
      <c r="L629">
        <f>電力量!L630-電力量!L629</f>
        <v>21.80000000000291</v>
      </c>
      <c r="M629">
        <f>電力量!M630-電力量!M629</f>
        <v>36.400000000008731</v>
      </c>
      <c r="N629">
        <f>電力量!N630-電力量!N629</f>
        <v>53.5</v>
      </c>
      <c r="O629">
        <f>電力量!O630-電力量!O629</f>
        <v>19.099999999991269</v>
      </c>
      <c r="P629">
        <f>電力量!P630-電力量!P629</f>
        <v>0</v>
      </c>
      <c r="Q629">
        <f>電力量!Q630-電力量!Q629</f>
        <v>0</v>
      </c>
      <c r="R629">
        <f>電力量!R630-電力量!R629</f>
        <v>0</v>
      </c>
    </row>
    <row r="630" spans="1:18">
      <c r="A630" s="4">
        <f t="shared" si="210"/>
        <v>45898.166666666664</v>
      </c>
      <c r="B630">
        <f>電力量!B631-電力量!B630</f>
        <v>673</v>
      </c>
      <c r="C630">
        <f>電力量!C631-電力量!C630</f>
        <v>166</v>
      </c>
      <c r="D630">
        <f>電力量!D631-電力量!D630</f>
        <v>13.599999999998545</v>
      </c>
      <c r="E630">
        <f>電力量!E631-電力量!E630</f>
        <v>0</v>
      </c>
      <c r="F630">
        <f>電力量!F631-電力量!F630</f>
        <v>20</v>
      </c>
      <c r="G630">
        <f>電力量!G631-電力量!G630</f>
        <v>60.19999999999709</v>
      </c>
      <c r="H630">
        <f>電力量!H631-電力量!H630</f>
        <v>12</v>
      </c>
      <c r="I630">
        <f>電力量!I631-電力量!I630</f>
        <v>210</v>
      </c>
      <c r="J630">
        <f>電力量!J631-電力量!J630</f>
        <v>5.9000000000014552</v>
      </c>
      <c r="K630">
        <f>電力量!K631-電力量!K630</f>
        <v>3.0999999999912689</v>
      </c>
      <c r="L630">
        <f>電力量!L631-電力量!L630</f>
        <v>21.5</v>
      </c>
      <c r="M630">
        <f>電力量!M631-電力量!M630</f>
        <v>35.80000000000291</v>
      </c>
      <c r="N630">
        <f>電力量!N631-電力量!N630</f>
        <v>56.100000000005821</v>
      </c>
      <c r="O630">
        <f>電力量!O631-電力量!O630</f>
        <v>20.100000000005821</v>
      </c>
      <c r="P630">
        <f>電力量!P631-電力量!P630</f>
        <v>0</v>
      </c>
      <c r="Q630">
        <f>電力量!Q631-電力量!Q630</f>
        <v>0</v>
      </c>
      <c r="R630">
        <f>電力量!R631-電力量!R630</f>
        <v>0</v>
      </c>
    </row>
    <row r="631" spans="1:18">
      <c r="A631" s="4">
        <f t="shared" si="211"/>
        <v>45898.208333333336</v>
      </c>
      <c r="B631">
        <f>電力量!B632-電力量!B631</f>
        <v>672</v>
      </c>
      <c r="C631">
        <f>電力量!C632-電力量!C631</f>
        <v>169</v>
      </c>
      <c r="D631">
        <f>電力量!D632-電力量!D631</f>
        <v>14</v>
      </c>
      <c r="E631">
        <f>電力量!E632-電力量!E631</f>
        <v>0</v>
      </c>
      <c r="F631">
        <f>電力量!F632-電力量!F631</f>
        <v>19</v>
      </c>
      <c r="G631">
        <f>電力量!G632-電力量!G631</f>
        <v>59.599999999998545</v>
      </c>
      <c r="H631">
        <f>電力量!H632-電力量!H631</f>
        <v>12</v>
      </c>
      <c r="I631">
        <f>電力量!I632-電力量!I631</f>
        <v>209</v>
      </c>
      <c r="J631">
        <f>電力量!J632-電力量!J631</f>
        <v>5.9000000000014552</v>
      </c>
      <c r="K631">
        <f>電力量!K632-電力量!K631</f>
        <v>3.5</v>
      </c>
      <c r="L631">
        <f>電力量!L632-電力量!L631</f>
        <v>21.600000000005821</v>
      </c>
      <c r="M631">
        <f>電力量!M632-電力量!M631</f>
        <v>35.599999999991269</v>
      </c>
      <c r="N631">
        <f>電力量!N632-電力量!N631</f>
        <v>53.799999999988358</v>
      </c>
      <c r="O631">
        <f>電力量!O632-電力量!O631</f>
        <v>21.100000000005821</v>
      </c>
      <c r="P631">
        <f>電力量!P632-電力量!P631</f>
        <v>0</v>
      </c>
      <c r="Q631">
        <f>電力量!Q632-電力量!Q631</f>
        <v>0</v>
      </c>
      <c r="R631">
        <f>電力量!R632-電力量!R631</f>
        <v>0</v>
      </c>
    </row>
    <row r="632" spans="1:18">
      <c r="A632" s="4">
        <f t="shared" si="212"/>
        <v>45898.25</v>
      </c>
      <c r="B632">
        <f>電力量!B633-電力量!B632</f>
        <v>673</v>
      </c>
      <c r="C632">
        <f>電力量!C633-電力量!C632</f>
        <v>171</v>
      </c>
      <c r="D632">
        <f>電力量!D633-電力量!D632</f>
        <v>14.099999999998545</v>
      </c>
      <c r="E632">
        <f>電力量!E633-電力量!E632</f>
        <v>0</v>
      </c>
      <c r="F632">
        <f>電力量!F633-電力量!F632</f>
        <v>19</v>
      </c>
      <c r="G632">
        <f>電力量!G633-電力量!G632</f>
        <v>58.599999999998545</v>
      </c>
      <c r="H632">
        <f>電力量!H633-電力量!H632</f>
        <v>12</v>
      </c>
      <c r="I632">
        <f>電力量!I633-電力量!I632</f>
        <v>210</v>
      </c>
      <c r="J632">
        <f>電力量!J633-電力量!J632</f>
        <v>5.6999999999970896</v>
      </c>
      <c r="K632">
        <f>電力量!K633-電力量!K632</f>
        <v>2.7000000000116415</v>
      </c>
      <c r="L632">
        <f>電力量!L633-電力量!L632</f>
        <v>21</v>
      </c>
      <c r="M632">
        <f>電力量!M633-電力量!M632</f>
        <v>35.900000000008731</v>
      </c>
      <c r="N632">
        <f>電力量!N633-電力量!N632</f>
        <v>53.200000000011642</v>
      </c>
      <c r="O632">
        <f>電力量!O633-電力量!O632</f>
        <v>21.299999999988358</v>
      </c>
      <c r="P632">
        <f>電力量!P633-電力量!P632</f>
        <v>0</v>
      </c>
      <c r="Q632">
        <f>電力量!Q633-電力量!Q632</f>
        <v>1</v>
      </c>
      <c r="R632">
        <f>電力量!R633-電力量!R632</f>
        <v>0</v>
      </c>
    </row>
    <row r="633" spans="1:18">
      <c r="A633" s="4">
        <f t="shared" si="213"/>
        <v>45898.291666666664</v>
      </c>
      <c r="B633">
        <f>電力量!B634-電力量!B633</f>
        <v>714</v>
      </c>
      <c r="C633">
        <f>電力量!C634-電力量!C633</f>
        <v>184</v>
      </c>
      <c r="D633">
        <f>電力量!D634-電力量!D633</f>
        <v>14.200000000004366</v>
      </c>
      <c r="E633">
        <f>電力量!E634-電力量!E633</f>
        <v>0</v>
      </c>
      <c r="F633">
        <f>電力量!F634-電力量!F633</f>
        <v>20</v>
      </c>
      <c r="G633">
        <f>電力量!G634-電力量!G633</f>
        <v>57.30000000000291</v>
      </c>
      <c r="H633">
        <f>電力量!H634-電力量!H633</f>
        <v>13</v>
      </c>
      <c r="I633">
        <f>電力量!I634-電力量!I633</f>
        <v>230</v>
      </c>
      <c r="J633">
        <f>電力量!J634-電力量!J633</f>
        <v>6.2000000000043656</v>
      </c>
      <c r="K633">
        <f>電力量!K634-電力量!K633</f>
        <v>1</v>
      </c>
      <c r="L633">
        <f>電力量!L634-電力量!L633</f>
        <v>21.80000000000291</v>
      </c>
      <c r="M633">
        <f>電力量!M634-電力量!M633</f>
        <v>37.399999999994179</v>
      </c>
      <c r="N633">
        <f>電力量!N634-電力量!N633</f>
        <v>51</v>
      </c>
      <c r="O633">
        <f>電力量!O634-電力量!O633</f>
        <v>26.900000000008731</v>
      </c>
      <c r="P633">
        <f>電力量!P634-電力量!P633</f>
        <v>2</v>
      </c>
      <c r="Q633">
        <f>電力量!Q634-電力量!Q633</f>
        <v>3</v>
      </c>
      <c r="R633">
        <f>電力量!R634-電力量!R633</f>
        <v>0</v>
      </c>
    </row>
    <row r="634" spans="1:18">
      <c r="A634" s="4">
        <f t="shared" si="214"/>
        <v>45898.333333333336</v>
      </c>
      <c r="B634">
        <f>電力量!B635-電力量!B634</f>
        <v>839</v>
      </c>
      <c r="C634">
        <f>電力量!C635-電力量!C634</f>
        <v>218</v>
      </c>
      <c r="D634">
        <f>電力量!D635-電力量!D634</f>
        <v>17.599999999998545</v>
      </c>
      <c r="E634">
        <f>電力量!E635-電力量!E634</f>
        <v>0</v>
      </c>
      <c r="F634">
        <f>電力量!F635-電力量!F634</f>
        <v>31</v>
      </c>
      <c r="G634">
        <f>電力量!G635-電力量!G634</f>
        <v>55.599999999998545</v>
      </c>
      <c r="H634">
        <f>電力量!H635-電力量!H634</f>
        <v>12</v>
      </c>
      <c r="I634">
        <f>電力量!I635-電力量!I634</f>
        <v>269</v>
      </c>
      <c r="J634">
        <f>電力量!J635-電力量!J634</f>
        <v>6.9000000000014552</v>
      </c>
      <c r="K634">
        <f>電力量!K635-電力量!K634</f>
        <v>0.29999999998835847</v>
      </c>
      <c r="L634">
        <f>電力量!L635-電力量!L634</f>
        <v>27</v>
      </c>
      <c r="M634">
        <f>電力量!M635-電力量!M634</f>
        <v>43.69999999999709</v>
      </c>
      <c r="N634">
        <f>電力量!N635-電力量!N634</f>
        <v>47.799999999988358</v>
      </c>
      <c r="O634">
        <f>電力量!O635-電力量!O634</f>
        <v>47.80000000000291</v>
      </c>
      <c r="P634">
        <f>電力量!P635-電力量!P634</f>
        <v>5</v>
      </c>
      <c r="Q634">
        <f>電力量!Q635-電力量!Q634</f>
        <v>9</v>
      </c>
      <c r="R634">
        <f>電力量!R635-電力量!R634</f>
        <v>0</v>
      </c>
    </row>
    <row r="635" spans="1:18">
      <c r="A635" s="4">
        <f t="shared" si="215"/>
        <v>45898.375</v>
      </c>
      <c r="B635">
        <f>電力量!B636-電力量!B635</f>
        <v>1066</v>
      </c>
      <c r="C635">
        <f>電力量!C636-電力量!C635</f>
        <v>274</v>
      </c>
      <c r="D635">
        <f>電力量!D636-電力量!D635</f>
        <v>26.30000000000291</v>
      </c>
      <c r="E635">
        <f>電力量!E636-電力量!E635</f>
        <v>0</v>
      </c>
      <c r="F635">
        <f>電力量!F636-電力量!F635</f>
        <v>41</v>
      </c>
      <c r="G635">
        <f>電力量!G636-電力量!G635</f>
        <v>73.599999999998545</v>
      </c>
      <c r="H635">
        <f>電力量!H636-電力量!H635</f>
        <v>12</v>
      </c>
      <c r="I635">
        <f>電力量!I636-電力量!I635</f>
        <v>365</v>
      </c>
      <c r="J635">
        <f>電力量!J636-電力量!J635</f>
        <v>6.7999999999956344</v>
      </c>
      <c r="K635">
        <f>電力量!K636-電力量!K635</f>
        <v>1.5</v>
      </c>
      <c r="L635">
        <f>電力量!L636-電力量!L635</f>
        <v>29.399999999994179</v>
      </c>
      <c r="M635">
        <f>電力量!M636-電力量!M635</f>
        <v>46.19999999999709</v>
      </c>
      <c r="N635">
        <f>電力量!N636-電力量!N635</f>
        <v>50.100000000005821</v>
      </c>
      <c r="O635">
        <f>電力量!O636-電力量!O635</f>
        <v>58.099999999991269</v>
      </c>
      <c r="P635">
        <f>電力量!P636-電力量!P635</f>
        <v>9</v>
      </c>
      <c r="Q635">
        <f>電力量!Q636-電力量!Q635</f>
        <v>13</v>
      </c>
      <c r="R635">
        <f>電力量!R636-電力量!R635</f>
        <v>0</v>
      </c>
    </row>
    <row r="636" spans="1:18">
      <c r="A636" s="4">
        <f t="shared" si="216"/>
        <v>45898.416666666664</v>
      </c>
      <c r="B636">
        <f>電力量!B637-電力量!B636</f>
        <v>1224</v>
      </c>
      <c r="C636">
        <f>電力量!C637-電力量!C636</f>
        <v>331</v>
      </c>
      <c r="D636">
        <f>電力量!D637-電力量!D636</f>
        <v>32.899999999994179</v>
      </c>
      <c r="E636">
        <f>電力量!E637-電力量!E636</f>
        <v>0</v>
      </c>
      <c r="F636">
        <f>電力量!F637-電力量!F636</f>
        <v>65</v>
      </c>
      <c r="G636">
        <f>電力量!G637-電力量!G636</f>
        <v>85</v>
      </c>
      <c r="H636">
        <f>電力量!H637-電力量!H636</f>
        <v>13</v>
      </c>
      <c r="I636">
        <f>電力量!I637-電力量!I636</f>
        <v>413</v>
      </c>
      <c r="J636">
        <f>電力量!J637-電力量!J636</f>
        <v>8.5999999999985448</v>
      </c>
      <c r="K636">
        <f>電力量!K637-電力量!K636</f>
        <v>1.1000000000058208</v>
      </c>
      <c r="L636">
        <f>電力量!L637-電力量!L636</f>
        <v>29</v>
      </c>
      <c r="M636">
        <f>電力量!M637-電力量!M636</f>
        <v>45.700000000011642</v>
      </c>
      <c r="N636">
        <f>電力量!N637-電力量!N636</f>
        <v>52.69999999999709</v>
      </c>
      <c r="O636">
        <f>電力量!O637-電力量!O636</f>
        <v>65.400000000008731</v>
      </c>
      <c r="P636">
        <f>電力量!P637-電力量!P636</f>
        <v>9</v>
      </c>
      <c r="Q636">
        <f>電力量!Q637-電力量!Q636</f>
        <v>15</v>
      </c>
      <c r="R636">
        <f>電力量!R637-電力量!R636</f>
        <v>0</v>
      </c>
    </row>
    <row r="637" spans="1:18">
      <c r="A637" s="4">
        <f t="shared" si="217"/>
        <v>45898.458333333336</v>
      </c>
      <c r="B637">
        <f>電力量!B638-電力量!B637</f>
        <v>1267</v>
      </c>
      <c r="C637">
        <f>電力量!C638-電力量!C637</f>
        <v>347</v>
      </c>
      <c r="D637">
        <f>電力量!D638-電力量!D637</f>
        <v>34.400000000001455</v>
      </c>
      <c r="E637">
        <f>電力量!E638-電力量!E637</f>
        <v>0</v>
      </c>
      <c r="F637">
        <f>電力量!F638-電力量!F637</f>
        <v>71</v>
      </c>
      <c r="G637">
        <f>電力量!G638-電力量!G637</f>
        <v>80.600000000005821</v>
      </c>
      <c r="H637">
        <f>電力量!H638-電力量!H637</f>
        <v>13</v>
      </c>
      <c r="I637">
        <f>電力量!I638-電力量!I637</f>
        <v>434</v>
      </c>
      <c r="J637">
        <f>電力量!J638-電力量!J637</f>
        <v>9.4000000000014552</v>
      </c>
      <c r="K637">
        <f>電力量!K638-電力量!K637</f>
        <v>1</v>
      </c>
      <c r="L637">
        <f>電力量!L638-電力量!L637</f>
        <v>33.5</v>
      </c>
      <c r="M637">
        <f>電力量!M638-電力量!M637</f>
        <v>48</v>
      </c>
      <c r="N637">
        <f>電力量!N638-電力量!N637</f>
        <v>53.69999999999709</v>
      </c>
      <c r="O637">
        <f>電力量!O638-電力量!O637</f>
        <v>63.19999999999709</v>
      </c>
      <c r="P637">
        <f>電力量!P638-電力量!P637</f>
        <v>15</v>
      </c>
      <c r="Q637">
        <f>電力量!Q638-電力量!Q637</f>
        <v>22</v>
      </c>
      <c r="R637">
        <f>電力量!R638-電力量!R637</f>
        <v>0</v>
      </c>
    </row>
    <row r="638" spans="1:18">
      <c r="A638" s="4">
        <f t="shared" si="218"/>
        <v>45898.5</v>
      </c>
      <c r="B638">
        <f>電力量!B639-電力量!B638</f>
        <v>1297</v>
      </c>
      <c r="C638">
        <f>電力量!C639-電力量!C638</f>
        <v>352</v>
      </c>
      <c r="D638">
        <f>電力量!D639-電力量!D638</f>
        <v>37.900000000001455</v>
      </c>
      <c r="E638">
        <f>電力量!E639-電力量!E638</f>
        <v>0</v>
      </c>
      <c r="F638">
        <f>電力量!F639-電力量!F638</f>
        <v>64</v>
      </c>
      <c r="G638">
        <f>電力量!G639-電力量!G638</f>
        <v>81.099999999998545</v>
      </c>
      <c r="H638">
        <f>電力量!H639-電力量!H638</f>
        <v>12</v>
      </c>
      <c r="I638">
        <f>電力量!I639-電力量!I638</f>
        <v>456</v>
      </c>
      <c r="J638">
        <f>電力量!J639-電力量!J638</f>
        <v>10.30000000000291</v>
      </c>
      <c r="K638">
        <f>電力量!K639-電力量!K638</f>
        <v>0.39999999999417923</v>
      </c>
      <c r="L638">
        <f>電力量!L639-電力量!L638</f>
        <v>35.19999999999709</v>
      </c>
      <c r="M638">
        <f>電力量!M639-電力量!M638</f>
        <v>50.19999999999709</v>
      </c>
      <c r="N638">
        <f>電力量!N639-電力量!N638</f>
        <v>51.400000000008731</v>
      </c>
      <c r="O638">
        <f>電力量!O639-電力量!O638</f>
        <v>72.5</v>
      </c>
      <c r="P638">
        <f>電力量!P639-電力量!P638</f>
        <v>15</v>
      </c>
      <c r="Q638">
        <f>電力量!Q639-電力量!Q638</f>
        <v>24</v>
      </c>
      <c r="R638">
        <f>電力量!R639-電力量!R638</f>
        <v>0</v>
      </c>
    </row>
    <row r="639" spans="1:18">
      <c r="A639" s="4">
        <f t="shared" si="219"/>
        <v>45898.541666666664</v>
      </c>
      <c r="B639">
        <f>電力量!B640-電力量!B639</f>
        <v>1346</v>
      </c>
      <c r="C639">
        <f>電力量!C640-電力量!C639</f>
        <v>366</v>
      </c>
      <c r="D639">
        <f>電力量!D640-電力量!D639</f>
        <v>39.19999999999709</v>
      </c>
      <c r="E639">
        <f>電力量!E640-電力量!E639</f>
        <v>0</v>
      </c>
      <c r="F639">
        <f>電力量!F640-電力量!F639</f>
        <v>56</v>
      </c>
      <c r="G639">
        <f>電力量!G640-電力量!G639</f>
        <v>94.900000000001455</v>
      </c>
      <c r="H639">
        <f>電力量!H640-電力量!H639</f>
        <v>15</v>
      </c>
      <c r="I639">
        <f>電力量!I640-電力量!I639</f>
        <v>471</v>
      </c>
      <c r="J639">
        <f>電力量!J640-電力量!J639</f>
        <v>9.7999999999956344</v>
      </c>
      <c r="K639">
        <f>電力量!K640-電力量!K639</f>
        <v>2.3000000000029104</v>
      </c>
      <c r="L639">
        <f>電力量!L640-電力量!L639</f>
        <v>38.30000000000291</v>
      </c>
      <c r="M639">
        <f>電力量!M640-電力量!M639</f>
        <v>48.5</v>
      </c>
      <c r="N639">
        <f>電力量!N640-電力量!N639</f>
        <v>51.5</v>
      </c>
      <c r="O639">
        <f>電力量!O640-電力量!O639</f>
        <v>72.099999999991269</v>
      </c>
      <c r="P639">
        <f>電力量!P640-電力量!P639</f>
        <v>13</v>
      </c>
      <c r="Q639">
        <f>電力量!Q640-電力量!Q639</f>
        <v>18</v>
      </c>
      <c r="R639">
        <f>電力量!R640-電力量!R639</f>
        <v>0</v>
      </c>
    </row>
    <row r="640" spans="1:18">
      <c r="A640" s="4">
        <f t="shared" si="220"/>
        <v>45898.583333333336</v>
      </c>
      <c r="B640">
        <f>電力量!B641-電力量!B640</f>
        <v>1389</v>
      </c>
      <c r="C640">
        <f>電力量!C641-電力量!C640</f>
        <v>387</v>
      </c>
      <c r="D640">
        <f>電力量!D641-電力量!D640</f>
        <v>43.200000000004366</v>
      </c>
      <c r="E640">
        <f>電力量!E641-電力量!E640</f>
        <v>0</v>
      </c>
      <c r="F640">
        <f>電力量!F641-電力量!F640</f>
        <v>55</v>
      </c>
      <c r="G640">
        <f>電力量!G641-電力量!G640</f>
        <v>100.19999999999709</v>
      </c>
      <c r="H640">
        <f>電力量!H641-電力量!H640</f>
        <v>25</v>
      </c>
      <c r="I640">
        <f>電力量!I641-電力量!I640</f>
        <v>485</v>
      </c>
      <c r="J640">
        <f>電力量!J641-電力量!J640</f>
        <v>10.900000000001455</v>
      </c>
      <c r="K640">
        <f>電力量!K641-電力量!K640</f>
        <v>0.5</v>
      </c>
      <c r="L640">
        <f>電力量!L641-電力量!L640</f>
        <v>43.5</v>
      </c>
      <c r="M640">
        <f>電力量!M641-電力量!M640</f>
        <v>50.599999999991269</v>
      </c>
      <c r="N640">
        <f>電力量!N641-電力量!N640</f>
        <v>50.80000000000291</v>
      </c>
      <c r="O640">
        <f>電力量!O641-電力量!O640</f>
        <v>59.900000000008731</v>
      </c>
      <c r="P640">
        <f>電力量!P641-電力量!P640</f>
        <v>13</v>
      </c>
      <c r="Q640">
        <f>電力量!Q641-電力量!Q640</f>
        <v>21</v>
      </c>
      <c r="R640">
        <f>電力量!R641-電力量!R640</f>
        <v>0</v>
      </c>
    </row>
    <row r="641" spans="1:18">
      <c r="A641" s="4">
        <f t="shared" si="221"/>
        <v>45898.625</v>
      </c>
      <c r="B641">
        <f>電力量!B642-電力量!B641</f>
        <v>1360</v>
      </c>
      <c r="C641">
        <f>電力量!C642-電力量!C641</f>
        <v>384</v>
      </c>
      <c r="D641">
        <f>電力量!D642-電力量!D641</f>
        <v>40</v>
      </c>
      <c r="E641">
        <f>電力量!E642-電力量!E641</f>
        <v>0</v>
      </c>
      <c r="F641">
        <f>電力量!F642-電力量!F641</f>
        <v>52</v>
      </c>
      <c r="G641">
        <f>電力量!G642-電力量!G641</f>
        <v>108.80000000000291</v>
      </c>
      <c r="H641">
        <f>電力量!H642-電力量!H641</f>
        <v>25</v>
      </c>
      <c r="I641">
        <f>電力量!I642-電力量!I641</f>
        <v>469</v>
      </c>
      <c r="J641">
        <f>電力量!J642-電力量!J641</f>
        <v>11.5</v>
      </c>
      <c r="K641">
        <f>電力量!K642-電力量!K641</f>
        <v>0.60000000000582077</v>
      </c>
      <c r="L641">
        <f>電力量!L642-電力量!L641</f>
        <v>44.80000000000291</v>
      </c>
      <c r="M641">
        <f>電力量!M642-電力量!M641</f>
        <v>52.400000000008731</v>
      </c>
      <c r="N641">
        <f>電力量!N642-電力量!N641</f>
        <v>51.19999999999709</v>
      </c>
      <c r="O641">
        <f>電力量!O642-電力量!O641</f>
        <v>34.599999999991269</v>
      </c>
      <c r="P641">
        <f>電力量!P642-電力量!P641</f>
        <v>11</v>
      </c>
      <c r="Q641">
        <f>電力量!Q642-電力量!Q641</f>
        <v>16</v>
      </c>
      <c r="R641">
        <f>電力量!R642-電力量!R641</f>
        <v>0</v>
      </c>
    </row>
    <row r="642" spans="1:18">
      <c r="A642" s="4">
        <f t="shared" si="222"/>
        <v>45898.666666666664</v>
      </c>
      <c r="B642">
        <f>電力量!B643-電力量!B642</f>
        <v>1312</v>
      </c>
      <c r="C642">
        <f>電力量!C643-電力量!C642</f>
        <v>375</v>
      </c>
      <c r="D642">
        <f>電力量!D643-電力量!D642</f>
        <v>36.400000000001455</v>
      </c>
      <c r="E642">
        <f>電力量!E643-電力量!E642</f>
        <v>0</v>
      </c>
      <c r="F642">
        <f>電力量!F643-電力量!F642</f>
        <v>50</v>
      </c>
      <c r="G642">
        <f>電力量!G643-電力量!G642</f>
        <v>102.09999999999854</v>
      </c>
      <c r="H642">
        <f>電力量!H643-電力量!H642</f>
        <v>25</v>
      </c>
      <c r="I642">
        <f>電力量!I643-電力量!I642</f>
        <v>447</v>
      </c>
      <c r="J642">
        <f>電力量!J643-電力量!J642</f>
        <v>10.400000000001455</v>
      </c>
      <c r="K642">
        <f>電力量!K643-電力量!K642</f>
        <v>3.8000000000029104</v>
      </c>
      <c r="L642">
        <f>電力量!L643-電力量!L642</f>
        <v>41</v>
      </c>
      <c r="M642">
        <f>電力量!M643-電力量!M642</f>
        <v>50.80000000000291</v>
      </c>
      <c r="N642">
        <f>電力量!N643-電力量!N642</f>
        <v>52.5</v>
      </c>
      <c r="O642">
        <f>電力量!O643-電力量!O642</f>
        <v>35.700000000011642</v>
      </c>
      <c r="P642">
        <f>電力量!P643-電力量!P642</f>
        <v>8</v>
      </c>
      <c r="Q642">
        <f>電力量!Q643-電力量!Q642</f>
        <v>13</v>
      </c>
      <c r="R642">
        <f>電力量!R643-電力量!R642</f>
        <v>0</v>
      </c>
    </row>
    <row r="643" spans="1:18">
      <c r="A643" s="4">
        <f t="shared" si="223"/>
        <v>45898.708333333336</v>
      </c>
      <c r="B643">
        <f>電力量!B644-電力量!B643</f>
        <v>1184</v>
      </c>
      <c r="C643">
        <f>電力量!C644-電力量!C643</f>
        <v>346</v>
      </c>
      <c r="D643">
        <f>電力量!D644-電力量!D643</f>
        <v>26.899999999994179</v>
      </c>
      <c r="E643">
        <f>電力量!E644-電力量!E643</f>
        <v>0</v>
      </c>
      <c r="F643">
        <f>電力量!F644-電力量!F643</f>
        <v>43</v>
      </c>
      <c r="G643">
        <f>電力量!G644-電力量!G643</f>
        <v>89.400000000001455</v>
      </c>
      <c r="H643">
        <f>電力量!H644-電力量!H643</f>
        <v>13</v>
      </c>
      <c r="I643">
        <f>電力量!I644-電力量!I643</f>
        <v>410</v>
      </c>
      <c r="J643">
        <f>電力量!J644-電力量!J643</f>
        <v>9.3000000000029104</v>
      </c>
      <c r="K643">
        <f>電力量!K644-電力量!K643</f>
        <v>3.3999999999941792</v>
      </c>
      <c r="L643">
        <f>電力量!L644-電力量!L643</f>
        <v>32.899999999994179</v>
      </c>
      <c r="M643">
        <f>電力量!M644-電力量!M643</f>
        <v>46.099999999991269</v>
      </c>
      <c r="N643">
        <f>電力量!N644-電力量!N643</f>
        <v>55.399999999994179</v>
      </c>
      <c r="O643">
        <f>電力量!O644-電力量!O643</f>
        <v>31.599999999991269</v>
      </c>
      <c r="P643">
        <f>電力量!P644-電力量!P643</f>
        <v>4</v>
      </c>
      <c r="Q643">
        <f>電力量!Q644-電力量!Q643</f>
        <v>6</v>
      </c>
      <c r="R643">
        <f>電力量!R644-電力量!R643</f>
        <v>0</v>
      </c>
    </row>
    <row r="644" spans="1:18">
      <c r="A644" s="4">
        <f t="shared" si="224"/>
        <v>45898.75</v>
      </c>
      <c r="B644">
        <f>電力量!B645-電力量!B644</f>
        <v>1037</v>
      </c>
      <c r="C644">
        <f>電力量!C645-電力量!C644</f>
        <v>292</v>
      </c>
      <c r="D644">
        <f>電力量!D645-電力量!D644</f>
        <v>19.700000000004366</v>
      </c>
      <c r="E644">
        <f>電力量!E645-電力量!E644</f>
        <v>0</v>
      </c>
      <c r="F644">
        <f>電力量!F645-電力量!F644</f>
        <v>33</v>
      </c>
      <c r="G644">
        <f>電力量!G645-電力量!G644</f>
        <v>83.899999999994179</v>
      </c>
      <c r="H644">
        <f>電力量!H645-電力量!H644</f>
        <v>13</v>
      </c>
      <c r="I644">
        <f>電力量!I645-電力量!I644</f>
        <v>360</v>
      </c>
      <c r="J644">
        <f>電力量!J645-電力量!J644</f>
        <v>8.5</v>
      </c>
      <c r="K644">
        <f>電力量!K645-電力量!K644</f>
        <v>3.3999999999941792</v>
      </c>
      <c r="L644">
        <f>電力量!L645-電力量!L644</f>
        <v>24.30000000000291</v>
      </c>
      <c r="M644">
        <f>電力量!M645-電力量!M644</f>
        <v>45.80000000000291</v>
      </c>
      <c r="N644">
        <f>電力量!N645-電力量!N644</f>
        <v>57</v>
      </c>
      <c r="O644">
        <f>電力量!O645-電力量!O644</f>
        <v>26.600000000005821</v>
      </c>
      <c r="P644">
        <f>電力量!P645-電力量!P644</f>
        <v>0</v>
      </c>
      <c r="Q644">
        <f>電力量!Q645-電力量!Q644</f>
        <v>0</v>
      </c>
      <c r="R644">
        <f>電力量!R645-電力量!R644</f>
        <v>0</v>
      </c>
    </row>
    <row r="645" spans="1:18">
      <c r="A645" s="4">
        <f t="shared" si="225"/>
        <v>45898.791666666664</v>
      </c>
      <c r="B645">
        <f>電力量!B646-電力量!B645</f>
        <v>921</v>
      </c>
      <c r="C645">
        <f>電力量!C646-電力量!C645</f>
        <v>247</v>
      </c>
      <c r="D645">
        <f>電力量!D646-電力量!D645</f>
        <v>18.299999999995634</v>
      </c>
      <c r="E645">
        <f>電力量!E646-電力量!E645</f>
        <v>0</v>
      </c>
      <c r="F645">
        <f>電力量!F646-電力量!F645</f>
        <v>28</v>
      </c>
      <c r="G645">
        <f>電力量!G646-電力量!G645</f>
        <v>78.80000000000291</v>
      </c>
      <c r="H645">
        <f>電力量!H646-電力量!H645</f>
        <v>12</v>
      </c>
      <c r="I645">
        <f>電力量!I646-電力量!I645</f>
        <v>311</v>
      </c>
      <c r="J645">
        <f>電力量!J646-電力量!J645</f>
        <v>8.2999999999956344</v>
      </c>
      <c r="K645">
        <f>電力量!K646-電力量!K645</f>
        <v>3.7000000000116415</v>
      </c>
      <c r="L645">
        <f>電力量!L646-電力量!L645</f>
        <v>23.5</v>
      </c>
      <c r="M645">
        <f>電力量!M646-電力量!M645</f>
        <v>42.399999999994179</v>
      </c>
      <c r="N645">
        <f>電力量!N646-電力量!N645</f>
        <v>57.5</v>
      </c>
      <c r="O645">
        <f>電力量!O646-電力量!O645</f>
        <v>26.899999999994179</v>
      </c>
      <c r="P645">
        <f>電力量!P646-電力量!P645</f>
        <v>0</v>
      </c>
      <c r="Q645">
        <f>電力量!Q646-電力量!Q645</f>
        <v>0</v>
      </c>
      <c r="R645">
        <f>電力量!R646-電力量!R645</f>
        <v>0</v>
      </c>
    </row>
    <row r="646" spans="1:18">
      <c r="A646" s="4">
        <f t="shared" si="226"/>
        <v>45898.833333333336</v>
      </c>
      <c r="B646">
        <f>電力量!B647-電力量!B646</f>
        <v>841</v>
      </c>
      <c r="C646">
        <f>電力量!C647-電力量!C646</f>
        <v>218</v>
      </c>
      <c r="D646">
        <f>電力量!D647-電力量!D646</f>
        <v>16.900000000001455</v>
      </c>
      <c r="E646">
        <f>電力量!E647-電力量!E646</f>
        <v>0</v>
      </c>
      <c r="F646">
        <f>電力量!F647-電力量!F646</f>
        <v>27</v>
      </c>
      <c r="G646">
        <f>電力量!G647-電力量!G646</f>
        <v>69.900000000001455</v>
      </c>
      <c r="H646">
        <f>電力量!H647-電力量!H646</f>
        <v>14</v>
      </c>
      <c r="I646">
        <f>電力量!I647-電力量!I646</f>
        <v>276</v>
      </c>
      <c r="J646">
        <f>電力量!J647-電力量!J646</f>
        <v>8.2000000000043656</v>
      </c>
      <c r="K646">
        <f>電力量!K647-電力量!K646</f>
        <v>3.6999999999970896</v>
      </c>
      <c r="L646">
        <f>電力量!L647-電力量!L646</f>
        <v>21.399999999994179</v>
      </c>
      <c r="M646">
        <f>電力量!M647-電力量!M646</f>
        <v>42.5</v>
      </c>
      <c r="N646">
        <f>電力量!N647-電力量!N646</f>
        <v>57.600000000005821</v>
      </c>
      <c r="O646">
        <f>電力量!O647-電力量!O646</f>
        <v>27.600000000005821</v>
      </c>
      <c r="P646">
        <f>電力量!P647-電力量!P646</f>
        <v>0</v>
      </c>
      <c r="Q646">
        <f>電力量!Q647-電力量!Q646</f>
        <v>0</v>
      </c>
      <c r="R646">
        <f>電力量!R647-電力量!R646</f>
        <v>0</v>
      </c>
    </row>
    <row r="647" spans="1:18">
      <c r="A647" s="4">
        <f t="shared" si="227"/>
        <v>45898.875</v>
      </c>
      <c r="B647">
        <f>電力量!B648-電力量!B647</f>
        <v>784</v>
      </c>
      <c r="C647">
        <f>電力量!C648-電力量!C647</f>
        <v>204</v>
      </c>
      <c r="D647">
        <f>電力量!D648-電力量!D647</f>
        <v>16.400000000001455</v>
      </c>
      <c r="E647">
        <f>電力量!E648-電力量!E647</f>
        <v>0</v>
      </c>
      <c r="F647">
        <f>電力量!F648-電力量!F647</f>
        <v>26</v>
      </c>
      <c r="G647">
        <f>電力量!G648-電力量!G647</f>
        <v>61.5</v>
      </c>
      <c r="H647">
        <f>電力量!H648-電力量!H647</f>
        <v>13</v>
      </c>
      <c r="I647">
        <f>電力量!I648-電力量!I647</f>
        <v>251</v>
      </c>
      <c r="J647">
        <f>電力量!J648-電力量!J647</f>
        <v>7.2999999999956344</v>
      </c>
      <c r="K647">
        <f>電力量!K648-電力量!K647</f>
        <v>3.5999999999912689</v>
      </c>
      <c r="L647">
        <f>電力量!L648-電力量!L647</f>
        <v>21.30000000000291</v>
      </c>
      <c r="M647">
        <f>電力量!M648-電力量!M647</f>
        <v>40.900000000008731</v>
      </c>
      <c r="N647">
        <f>電力量!N648-電力量!N647</f>
        <v>56.5</v>
      </c>
      <c r="O647">
        <f>電力量!O648-電力量!O647</f>
        <v>25.399999999994179</v>
      </c>
      <c r="P647">
        <f>電力量!P648-電力量!P647</f>
        <v>0</v>
      </c>
      <c r="Q647">
        <f>電力量!Q648-電力量!Q647</f>
        <v>0</v>
      </c>
      <c r="R647">
        <f>電力量!R648-電力量!R647</f>
        <v>0</v>
      </c>
    </row>
    <row r="648" spans="1:18">
      <c r="A648" s="4">
        <f t="shared" si="228"/>
        <v>45898.916666666664</v>
      </c>
      <c r="B648">
        <f>電力量!B649-電力量!B648</f>
        <v>756</v>
      </c>
      <c r="C648">
        <f>電力量!C649-電力量!C648</f>
        <v>201</v>
      </c>
      <c r="D648">
        <f>電力量!D649-電力量!D648</f>
        <v>14.900000000001455</v>
      </c>
      <c r="E648">
        <f>電力量!E649-電力量!E648</f>
        <v>0</v>
      </c>
      <c r="F648">
        <f>電力量!F649-電力量!F648</f>
        <v>26</v>
      </c>
      <c r="G648">
        <f>電力量!G649-電力量!G648</f>
        <v>57.099999999998545</v>
      </c>
      <c r="H648">
        <f>電力量!H649-電力量!H648</f>
        <v>12</v>
      </c>
      <c r="I648">
        <f>電力量!I649-電力量!I648</f>
        <v>238</v>
      </c>
      <c r="J648">
        <f>電力量!J649-電力量!J648</f>
        <v>6.8000000000029104</v>
      </c>
      <c r="K648">
        <f>電力量!K649-電力量!K648</f>
        <v>3.6000000000058208</v>
      </c>
      <c r="L648">
        <f>電力量!L649-電力量!L648</f>
        <v>20.80000000000291</v>
      </c>
      <c r="M648">
        <f>電力量!M649-電力量!M648</f>
        <v>41.69999999999709</v>
      </c>
      <c r="N648">
        <f>電力量!N649-電力量!N648</f>
        <v>56</v>
      </c>
      <c r="O648">
        <f>電力量!O649-電力量!O648</f>
        <v>21.100000000005821</v>
      </c>
      <c r="P648">
        <f>電力量!P649-電力量!P648</f>
        <v>0</v>
      </c>
      <c r="Q648">
        <f>電力量!Q649-電力量!Q648</f>
        <v>0</v>
      </c>
      <c r="R648">
        <f>電力量!R649-電力量!R648</f>
        <v>0</v>
      </c>
    </row>
    <row r="649" spans="1:18">
      <c r="A649" s="4">
        <f t="shared" si="229"/>
        <v>45898.958333333336</v>
      </c>
      <c r="B649">
        <f>電力量!B650-電力量!B649</f>
        <v>740</v>
      </c>
      <c r="C649">
        <f>電力量!C650-電力量!C649</f>
        <v>196</v>
      </c>
      <c r="D649">
        <f>電力量!D650-電力量!D649</f>
        <v>13.299999999995634</v>
      </c>
      <c r="E649">
        <f>電力量!E650-電力量!E649</f>
        <v>0</v>
      </c>
      <c r="F649">
        <f>電力量!F650-電力量!F649</f>
        <v>24</v>
      </c>
      <c r="G649">
        <f>電力量!G650-電力量!G649</f>
        <v>56.400000000001455</v>
      </c>
      <c r="H649">
        <f>電力量!H650-電力量!H649</f>
        <v>13</v>
      </c>
      <c r="I649">
        <f>電力量!I650-電力量!I649</f>
        <v>236</v>
      </c>
      <c r="J649">
        <f>電力量!J650-電力量!J649</f>
        <v>6.6999999999970896</v>
      </c>
      <c r="K649">
        <f>電力量!K650-電力量!K649</f>
        <v>3.3999999999941792</v>
      </c>
      <c r="L649">
        <f>電力量!L650-電力量!L649</f>
        <v>22.100000000005821</v>
      </c>
      <c r="M649">
        <f>電力量!M650-電力量!M649</f>
        <v>40.30000000000291</v>
      </c>
      <c r="N649">
        <f>電力量!N650-電力量!N649</f>
        <v>55.5</v>
      </c>
      <c r="O649">
        <f>電力量!O650-電力量!O649</f>
        <v>21.30000000000291</v>
      </c>
      <c r="P649">
        <f>電力量!P650-電力量!P649</f>
        <v>0</v>
      </c>
      <c r="Q649">
        <f>電力量!Q650-電力量!Q649</f>
        <v>0</v>
      </c>
      <c r="R649">
        <f>電力量!R650-電力量!R649</f>
        <v>0</v>
      </c>
    </row>
    <row r="650" spans="1:18">
      <c r="A650" s="4">
        <v>45899</v>
      </c>
      <c r="B650">
        <f>電力量!B651-電力量!B650</f>
        <v>714</v>
      </c>
      <c r="C650">
        <f>電力量!C651-電力量!C650</f>
        <v>188</v>
      </c>
      <c r="D650">
        <f>電力量!D651-電力量!D650</f>
        <v>14.100000000005821</v>
      </c>
      <c r="E650">
        <f>電力量!E651-電力量!E650</f>
        <v>0</v>
      </c>
      <c r="F650">
        <f>電力量!F651-電力量!F650</f>
        <v>21</v>
      </c>
      <c r="G650">
        <f>電力量!G651-電力量!G650</f>
        <v>55</v>
      </c>
      <c r="H650">
        <f>電力量!H651-電力量!H650</f>
        <v>12</v>
      </c>
      <c r="I650">
        <f>電力量!I651-電力量!I650</f>
        <v>224</v>
      </c>
      <c r="J650">
        <f>電力量!J651-電力量!J650</f>
        <v>6.7000000000043656</v>
      </c>
      <c r="K650">
        <f>電力量!K651-電力量!K650</f>
        <v>3.5</v>
      </c>
      <c r="L650">
        <f>電力量!L651-電力量!L650</f>
        <v>23.299999999988358</v>
      </c>
      <c r="M650">
        <f>電力量!M651-電力量!M650</f>
        <v>38.19999999999709</v>
      </c>
      <c r="N650">
        <f>電力量!N651-電力量!N650</f>
        <v>56.399999999994179</v>
      </c>
      <c r="O650">
        <f>電力量!O651-電力量!O650</f>
        <v>18.899999999994179</v>
      </c>
      <c r="P650">
        <f>電力量!P651-電力量!P650</f>
        <v>0</v>
      </c>
      <c r="Q650">
        <f>電力量!Q651-電力量!Q650</f>
        <v>0</v>
      </c>
      <c r="R650">
        <f>電力量!R651-電力量!R650</f>
        <v>0</v>
      </c>
    </row>
    <row r="651" spans="1:18">
      <c r="A651" s="4">
        <f t="shared" si="207"/>
        <v>45899.041666666664</v>
      </c>
      <c r="B651">
        <f>電力量!B652-電力量!B651</f>
        <v>702</v>
      </c>
      <c r="C651">
        <f>電力量!C652-電力量!C651</f>
        <v>184</v>
      </c>
      <c r="D651">
        <f>電力量!D652-電力量!D651</f>
        <v>13.799999999995634</v>
      </c>
      <c r="E651">
        <f>電力量!E652-電力量!E651</f>
        <v>0</v>
      </c>
      <c r="F651">
        <f>電力量!F652-電力量!F651</f>
        <v>20</v>
      </c>
      <c r="G651">
        <f>電力量!G652-電力量!G651</f>
        <v>54.69999999999709</v>
      </c>
      <c r="H651">
        <f>電力量!H652-電力量!H651</f>
        <v>12</v>
      </c>
      <c r="I651">
        <f>電力量!I652-電力量!I651</f>
        <v>220</v>
      </c>
      <c r="J651">
        <f>電力量!J652-電力量!J651</f>
        <v>6.5</v>
      </c>
      <c r="K651">
        <f>電力量!K652-電力量!K651</f>
        <v>3.7000000000116415</v>
      </c>
      <c r="L651">
        <f>電力量!L652-電力量!L651</f>
        <v>22.80000000000291</v>
      </c>
      <c r="M651">
        <f>電力量!M652-電力量!M651</f>
        <v>36.80000000000291</v>
      </c>
      <c r="N651">
        <f>電力量!N652-電力量!N651</f>
        <v>55.400000000008731</v>
      </c>
      <c r="O651">
        <f>電力量!O652-電力量!O651</f>
        <v>20.899999999994179</v>
      </c>
      <c r="P651">
        <f>電力量!P652-電力量!P651</f>
        <v>0</v>
      </c>
      <c r="Q651">
        <f>電力量!Q652-電力量!Q651</f>
        <v>0</v>
      </c>
      <c r="R651">
        <f>電力量!R652-電力量!R651</f>
        <v>0</v>
      </c>
    </row>
    <row r="652" spans="1:18">
      <c r="A652" s="4">
        <f t="shared" si="208"/>
        <v>45899.083333333336</v>
      </c>
      <c r="B652">
        <f>電力量!B653-電力量!B652</f>
        <v>690</v>
      </c>
      <c r="C652">
        <f>電力量!C653-電力量!C652</f>
        <v>183</v>
      </c>
      <c r="D652">
        <f>電力量!D653-電力量!D652</f>
        <v>14</v>
      </c>
      <c r="E652">
        <f>電力量!E653-電力量!E652</f>
        <v>0</v>
      </c>
      <c r="F652">
        <f>電力量!F653-電力量!F652</f>
        <v>19</v>
      </c>
      <c r="G652">
        <f>電力量!G653-電力量!G652</f>
        <v>53.900000000001455</v>
      </c>
      <c r="H652">
        <f>電力量!H653-電力量!H652</f>
        <v>13</v>
      </c>
      <c r="I652">
        <f>電力量!I653-電力量!I652</f>
        <v>210</v>
      </c>
      <c r="J652">
        <f>電力量!J653-電力量!J652</f>
        <v>6.6999999999970896</v>
      </c>
      <c r="K652">
        <f>電力量!K653-電力量!K652</f>
        <v>3.8999999999941792</v>
      </c>
      <c r="L652">
        <f>電力量!L653-電力量!L652</f>
        <v>23.400000000008731</v>
      </c>
      <c r="M652">
        <f>電力量!M653-電力量!M652</f>
        <v>37.30000000000291</v>
      </c>
      <c r="N652">
        <f>電力量!N653-電力量!N652</f>
        <v>54.899999999994179</v>
      </c>
      <c r="O652">
        <f>電力量!O653-電力量!O652</f>
        <v>21.5</v>
      </c>
      <c r="P652">
        <f>電力量!P653-電力量!P652</f>
        <v>0</v>
      </c>
      <c r="Q652">
        <f>電力量!Q653-電力量!Q652</f>
        <v>0</v>
      </c>
      <c r="R652">
        <f>電力量!R653-電力量!R652</f>
        <v>0</v>
      </c>
    </row>
    <row r="653" spans="1:18">
      <c r="A653" s="4">
        <f t="shared" si="209"/>
        <v>45899.125</v>
      </c>
      <c r="B653">
        <f>電力量!B654-電力量!B653</f>
        <v>683</v>
      </c>
      <c r="C653">
        <f>電力量!C654-電力量!C653</f>
        <v>181</v>
      </c>
      <c r="D653">
        <f>電力量!D654-電力量!D653</f>
        <v>13.700000000004366</v>
      </c>
      <c r="E653">
        <f>電力量!E654-電力量!E653</f>
        <v>0</v>
      </c>
      <c r="F653">
        <f>電力量!F654-電力量!F653</f>
        <v>18</v>
      </c>
      <c r="G653">
        <f>電力量!G654-電力量!G653</f>
        <v>52.30000000000291</v>
      </c>
      <c r="H653">
        <f>電力量!H654-電力量!H653</f>
        <v>12</v>
      </c>
      <c r="I653">
        <f>電力量!I654-電力量!I653</f>
        <v>211</v>
      </c>
      <c r="J653">
        <f>電力量!J654-電力量!J653</f>
        <v>6.1999999999970896</v>
      </c>
      <c r="K653">
        <f>電力量!K654-電力量!K653</f>
        <v>3.8999999999941792</v>
      </c>
      <c r="L653">
        <f>電力量!L654-電力量!L653</f>
        <v>22.399999999994179</v>
      </c>
      <c r="M653">
        <f>電力量!M654-電力量!M653</f>
        <v>36.799999999988358</v>
      </c>
      <c r="N653">
        <f>電力量!N654-電力量!N653</f>
        <v>54.80000000000291</v>
      </c>
      <c r="O653">
        <f>電力量!O654-電力量!O653</f>
        <v>20.700000000011642</v>
      </c>
      <c r="P653">
        <f>電力量!P654-電力量!P653</f>
        <v>0</v>
      </c>
      <c r="Q653">
        <f>電力量!Q654-電力量!Q653</f>
        <v>0</v>
      </c>
      <c r="R653">
        <f>電力量!R654-電力量!R653</f>
        <v>0</v>
      </c>
    </row>
    <row r="654" spans="1:18">
      <c r="A654" s="4">
        <f t="shared" si="210"/>
        <v>45899.166666666664</v>
      </c>
      <c r="B654">
        <f>電力量!B655-電力量!B654</f>
        <v>673</v>
      </c>
      <c r="C654">
        <f>電力量!C655-電力量!C654</f>
        <v>180</v>
      </c>
      <c r="D654">
        <f>電力量!D655-電力量!D654</f>
        <v>13.299999999995634</v>
      </c>
      <c r="E654">
        <f>電力量!E655-電力量!E654</f>
        <v>0</v>
      </c>
      <c r="F654">
        <f>電力量!F655-電力量!F654</f>
        <v>18</v>
      </c>
      <c r="G654">
        <f>電力量!G655-電力量!G654</f>
        <v>52.099999999998545</v>
      </c>
      <c r="H654">
        <f>電力量!H655-電力量!H654</f>
        <v>12</v>
      </c>
      <c r="I654">
        <f>電力量!I655-電力量!I654</f>
        <v>205</v>
      </c>
      <c r="J654">
        <f>電力量!J655-電力量!J654</f>
        <v>6.3000000000029104</v>
      </c>
      <c r="K654">
        <f>電力量!K655-電力量!K654</f>
        <v>3.4000000000087311</v>
      </c>
      <c r="L654">
        <f>電力量!L655-電力量!L654</f>
        <v>21.600000000005821</v>
      </c>
      <c r="M654">
        <f>電力量!M655-電力量!M654</f>
        <v>36.600000000005821</v>
      </c>
      <c r="N654">
        <f>電力量!N655-電力量!N654</f>
        <v>55.5</v>
      </c>
      <c r="O654">
        <f>電力量!O655-電力量!O654</f>
        <v>20.799999999988358</v>
      </c>
      <c r="P654">
        <f>電力量!P655-電力量!P654</f>
        <v>0</v>
      </c>
      <c r="Q654">
        <f>電力量!Q655-電力量!Q654</f>
        <v>0</v>
      </c>
      <c r="R654">
        <f>電力量!R655-電力量!R654</f>
        <v>0</v>
      </c>
    </row>
    <row r="655" spans="1:18">
      <c r="A655" s="4">
        <f t="shared" si="211"/>
        <v>45899.208333333336</v>
      </c>
      <c r="B655">
        <f>電力量!B656-電力量!B655</f>
        <v>669</v>
      </c>
      <c r="C655">
        <f>電力量!C656-電力量!C655</f>
        <v>182</v>
      </c>
      <c r="D655">
        <f>電力量!D656-電力量!D655</f>
        <v>14.099999999998545</v>
      </c>
      <c r="E655">
        <f>電力量!E656-電力量!E655</f>
        <v>0</v>
      </c>
      <c r="F655">
        <f>電力量!F656-電力量!F655</f>
        <v>18</v>
      </c>
      <c r="G655">
        <f>電力量!G656-電力量!G655</f>
        <v>52</v>
      </c>
      <c r="H655">
        <f>電力量!H656-電力量!H655</f>
        <v>12</v>
      </c>
      <c r="I655">
        <f>電力量!I656-電力量!I655</f>
        <v>202</v>
      </c>
      <c r="J655">
        <f>電力量!J656-電力量!J655</f>
        <v>5.8000000000029104</v>
      </c>
      <c r="K655">
        <f>電力量!K656-電力量!K655</f>
        <v>3.3000000000029104</v>
      </c>
      <c r="L655">
        <f>電力量!L656-電力量!L655</f>
        <v>19.69999999999709</v>
      </c>
      <c r="M655">
        <f>電力量!M656-電力量!M655</f>
        <v>37.30000000000291</v>
      </c>
      <c r="N655">
        <f>電力量!N656-電力量!N655</f>
        <v>55</v>
      </c>
      <c r="O655">
        <f>電力量!O656-電力量!O655</f>
        <v>19.80000000000291</v>
      </c>
      <c r="P655">
        <f>電力量!P656-電力量!P655</f>
        <v>0</v>
      </c>
      <c r="Q655">
        <f>電力量!Q656-電力量!Q655</f>
        <v>0</v>
      </c>
      <c r="R655">
        <f>電力量!R656-電力量!R655</f>
        <v>0</v>
      </c>
    </row>
    <row r="656" spans="1:18">
      <c r="A656" s="4">
        <f t="shared" si="212"/>
        <v>45899.25</v>
      </c>
      <c r="B656">
        <f>電力量!B657-電力量!B656</f>
        <v>674</v>
      </c>
      <c r="C656">
        <f>電力量!C657-電力量!C656</f>
        <v>182</v>
      </c>
      <c r="D656">
        <f>電力量!D657-電力量!D656</f>
        <v>13.80000000000291</v>
      </c>
      <c r="E656">
        <f>電力量!E657-電力量!E656</f>
        <v>0</v>
      </c>
      <c r="F656">
        <f>電力量!F657-電力量!F656</f>
        <v>19</v>
      </c>
      <c r="G656">
        <f>電力量!G657-電力量!G656</f>
        <v>50.599999999998545</v>
      </c>
      <c r="H656">
        <f>電力量!H657-電力量!H656</f>
        <v>12</v>
      </c>
      <c r="I656">
        <f>電力量!I657-電力量!I656</f>
        <v>210</v>
      </c>
      <c r="J656">
        <f>電力量!J657-電力量!J656</f>
        <v>6.2999999999956344</v>
      </c>
      <c r="K656">
        <f>電力量!K657-電力量!K656</f>
        <v>2.1999999999970896</v>
      </c>
      <c r="L656">
        <f>電力量!L657-電力量!L656</f>
        <v>19.19999999999709</v>
      </c>
      <c r="M656">
        <f>電力量!M657-電力量!M656</f>
        <v>39.19999999999709</v>
      </c>
      <c r="N656">
        <f>電力量!N657-電力量!N656</f>
        <v>54.099999999991269</v>
      </c>
      <c r="O656">
        <f>電力量!O657-電力量!O656</f>
        <v>18</v>
      </c>
      <c r="P656">
        <f>電力量!P657-電力量!P656</f>
        <v>1</v>
      </c>
      <c r="Q656">
        <f>電力量!Q657-電力量!Q656</f>
        <v>1</v>
      </c>
      <c r="R656">
        <f>電力量!R657-電力量!R656</f>
        <v>0</v>
      </c>
    </row>
    <row r="657" spans="1:18">
      <c r="A657" s="4">
        <f t="shared" si="213"/>
        <v>45899.291666666664</v>
      </c>
      <c r="B657">
        <f>電力量!B658-電力量!B657</f>
        <v>675</v>
      </c>
      <c r="C657">
        <f>電力量!C658-電力量!C657</f>
        <v>183</v>
      </c>
      <c r="D657">
        <f>電力量!D658-電力量!D657</f>
        <v>14.099999999998545</v>
      </c>
      <c r="E657">
        <f>電力量!E658-電力量!E657</f>
        <v>0</v>
      </c>
      <c r="F657">
        <f>電力量!F658-電力量!F657</f>
        <v>20</v>
      </c>
      <c r="G657">
        <f>電力量!G658-電力量!G657</f>
        <v>48</v>
      </c>
      <c r="H657">
        <f>電力量!H658-電力量!H657</f>
        <v>12</v>
      </c>
      <c r="I657">
        <f>電力量!I658-電力量!I657</f>
        <v>214</v>
      </c>
      <c r="J657">
        <f>電力量!J658-電力量!J657</f>
        <v>6.5</v>
      </c>
      <c r="K657">
        <f>電力量!K658-電力量!K657</f>
        <v>0.5</v>
      </c>
      <c r="L657">
        <f>電力量!L658-電力量!L657</f>
        <v>19.100000000005821</v>
      </c>
      <c r="M657">
        <f>電力量!M658-電力量!M657</f>
        <v>37.19999999999709</v>
      </c>
      <c r="N657">
        <f>電力量!N658-電力量!N657</f>
        <v>51.600000000005821</v>
      </c>
      <c r="O657">
        <f>電力量!O658-電力量!O657</f>
        <v>19.900000000008731</v>
      </c>
      <c r="P657">
        <f>電力量!P658-電力量!P657</f>
        <v>2</v>
      </c>
      <c r="Q657">
        <f>電力量!Q658-電力量!Q657</f>
        <v>4</v>
      </c>
      <c r="R657">
        <f>電力量!R658-電力量!R657</f>
        <v>0</v>
      </c>
    </row>
    <row r="658" spans="1:18">
      <c r="A658" s="4">
        <f t="shared" si="214"/>
        <v>45899.333333333336</v>
      </c>
      <c r="B658">
        <f>電力量!B659-電力量!B658</f>
        <v>694</v>
      </c>
      <c r="C658">
        <f>電力量!C659-電力量!C658</f>
        <v>186</v>
      </c>
      <c r="D658">
        <f>電力量!D659-電力量!D658</f>
        <v>13.80000000000291</v>
      </c>
      <c r="E658">
        <f>電力量!E659-電力量!E658</f>
        <v>0</v>
      </c>
      <c r="F658">
        <f>電力量!F659-電力量!F658</f>
        <v>22</v>
      </c>
      <c r="G658">
        <f>電力量!G659-電力量!G658</f>
        <v>41.400000000001455</v>
      </c>
      <c r="H658">
        <f>電力量!H659-電力量!H658</f>
        <v>12</v>
      </c>
      <c r="I658">
        <f>電力量!I659-電力量!I658</f>
        <v>227</v>
      </c>
      <c r="J658">
        <f>電力量!J659-電力量!J658</f>
        <v>6.7000000000043656</v>
      </c>
      <c r="K658">
        <f>電力量!K659-電力量!K658</f>
        <v>0</v>
      </c>
      <c r="L658">
        <f>電力量!L659-電力量!L658</f>
        <v>21.19999999999709</v>
      </c>
      <c r="M658">
        <f>電力量!M659-電力量!M658</f>
        <v>40.400000000008731</v>
      </c>
      <c r="N658">
        <f>電力量!N659-電力量!N658</f>
        <v>49.19999999999709</v>
      </c>
      <c r="O658">
        <f>電力量!O659-電力量!O658</f>
        <v>21.69999999999709</v>
      </c>
      <c r="P658">
        <f>電力量!P659-電力量!P658</f>
        <v>5</v>
      </c>
      <c r="Q658">
        <f>電力量!Q659-電力量!Q658</f>
        <v>8</v>
      </c>
      <c r="R658">
        <f>電力量!R659-電力量!R658</f>
        <v>0</v>
      </c>
    </row>
    <row r="659" spans="1:18">
      <c r="A659" s="4">
        <f t="shared" si="215"/>
        <v>45899.375</v>
      </c>
      <c r="B659">
        <f>電力量!B660-電力量!B659</f>
        <v>699</v>
      </c>
      <c r="C659">
        <f>電力量!C660-電力量!C659</f>
        <v>191</v>
      </c>
      <c r="D659">
        <f>電力量!D660-電力量!D659</f>
        <v>15.19999999999709</v>
      </c>
      <c r="E659">
        <f>電力量!E660-電力量!E659</f>
        <v>0</v>
      </c>
      <c r="F659">
        <f>電力量!F660-電力量!F659</f>
        <v>23</v>
      </c>
      <c r="G659">
        <f>電力量!G660-電力量!G659</f>
        <v>33.599999999998545</v>
      </c>
      <c r="H659">
        <f>電力量!H660-電力量!H659</f>
        <v>13</v>
      </c>
      <c r="I659">
        <f>電力量!I660-電力量!I659</f>
        <v>239</v>
      </c>
      <c r="J659">
        <f>電力量!J660-電力量!J659</f>
        <v>6.8999999999941792</v>
      </c>
      <c r="K659">
        <f>電力量!K660-電力量!K659</f>
        <v>0</v>
      </c>
      <c r="L659">
        <f>電力量!L660-電力量!L659</f>
        <v>20.899999999994179</v>
      </c>
      <c r="M659">
        <f>電力量!M660-電力量!M659</f>
        <v>43.69999999999709</v>
      </c>
      <c r="N659">
        <f>電力量!N660-電力量!N659</f>
        <v>46.19999999999709</v>
      </c>
      <c r="O659">
        <f>電力量!O660-電力量!O659</f>
        <v>21.19999999999709</v>
      </c>
      <c r="P659">
        <f>電力量!P660-電力量!P659</f>
        <v>9</v>
      </c>
      <c r="Q659">
        <f>電力量!Q660-電力量!Q659</f>
        <v>14</v>
      </c>
      <c r="R659">
        <f>電力量!R660-電力量!R659</f>
        <v>0</v>
      </c>
    </row>
    <row r="660" spans="1:18">
      <c r="A660" s="4">
        <f t="shared" si="216"/>
        <v>45899.416666666664</v>
      </c>
      <c r="B660">
        <f>電力量!B661-電力量!B660</f>
        <v>711</v>
      </c>
      <c r="C660">
        <f>電力量!C661-電力量!C660</f>
        <v>200</v>
      </c>
      <c r="D660">
        <f>電力量!D661-電力量!D660</f>
        <v>16.700000000004366</v>
      </c>
      <c r="E660">
        <f>電力量!E661-電力量!E660</f>
        <v>0</v>
      </c>
      <c r="F660">
        <f>電力量!F661-電力量!F660</f>
        <v>23</v>
      </c>
      <c r="G660">
        <f>電力量!G661-電力量!G660</f>
        <v>29.69999999999709</v>
      </c>
      <c r="H660">
        <f>電力量!H661-電力量!H660</f>
        <v>12</v>
      </c>
      <c r="I660">
        <f>電力量!I661-電力量!I660</f>
        <v>252</v>
      </c>
      <c r="J660">
        <f>電力量!J661-電力量!J660</f>
        <v>6.8000000000029104</v>
      </c>
      <c r="K660">
        <f>電力量!K661-電力量!K660</f>
        <v>0</v>
      </c>
      <c r="L660">
        <f>電力量!L661-電力量!L660</f>
        <v>20.80000000000291</v>
      </c>
      <c r="M660">
        <f>電力量!M661-電力量!M660</f>
        <v>43.5</v>
      </c>
      <c r="N660">
        <f>電力量!N661-電力量!N660</f>
        <v>43.5</v>
      </c>
      <c r="O660">
        <f>電力量!O661-電力量!O660</f>
        <v>21.30000000000291</v>
      </c>
      <c r="P660">
        <f>電力量!P661-電力量!P660</f>
        <v>12</v>
      </c>
      <c r="Q660">
        <f>電力量!Q661-電力量!Q660</f>
        <v>20</v>
      </c>
      <c r="R660">
        <f>電力量!R661-電力量!R660</f>
        <v>0</v>
      </c>
    </row>
    <row r="661" spans="1:18">
      <c r="A661" s="4">
        <f t="shared" si="217"/>
        <v>45899.458333333336</v>
      </c>
      <c r="B661">
        <f>電力量!B662-電力量!B661</f>
        <v>727</v>
      </c>
      <c r="C661">
        <f>電力量!C662-電力量!C661</f>
        <v>204</v>
      </c>
      <c r="D661">
        <f>電力量!D662-電力量!D661</f>
        <v>16.19999999999709</v>
      </c>
      <c r="E661">
        <f>電力量!E662-電力量!E661</f>
        <v>0</v>
      </c>
      <c r="F661">
        <f>電力量!F662-電力量!F661</f>
        <v>29</v>
      </c>
      <c r="G661">
        <f>電力量!G662-電力量!G661</f>
        <v>30.900000000001455</v>
      </c>
      <c r="H661">
        <f>電力量!H662-電力量!H661</f>
        <v>17</v>
      </c>
      <c r="I661">
        <f>電力量!I662-電力量!I661</f>
        <v>253</v>
      </c>
      <c r="J661">
        <f>電力量!J662-電力量!J661</f>
        <v>7.4000000000014552</v>
      </c>
      <c r="K661">
        <f>電力量!K662-電力量!K661</f>
        <v>0</v>
      </c>
      <c r="L661">
        <f>電力量!L662-電力量!L661</f>
        <v>21</v>
      </c>
      <c r="M661">
        <f>電力量!M662-電力量!M661</f>
        <v>44.19999999999709</v>
      </c>
      <c r="N661">
        <f>電力量!N662-電力量!N661</f>
        <v>41.80000000000291</v>
      </c>
      <c r="O661">
        <f>電力量!O662-電力量!O661</f>
        <v>21.099999999991269</v>
      </c>
      <c r="P661">
        <f>電力量!P662-電力量!P661</f>
        <v>15</v>
      </c>
      <c r="Q661">
        <f>電力量!Q662-電力量!Q661</f>
        <v>22</v>
      </c>
      <c r="R661">
        <f>電力量!R662-電力量!R661</f>
        <v>0</v>
      </c>
    </row>
    <row r="662" spans="1:18">
      <c r="A662" s="4">
        <f t="shared" si="218"/>
        <v>45899.5</v>
      </c>
      <c r="B662">
        <f>電力量!B663-電力量!B662</f>
        <v>770</v>
      </c>
      <c r="C662">
        <f>電力量!C663-電力量!C662</f>
        <v>219</v>
      </c>
      <c r="D662">
        <f>電力量!D663-電力量!D662</f>
        <v>21</v>
      </c>
      <c r="E662">
        <f>電力量!E663-電力量!E662</f>
        <v>0</v>
      </c>
      <c r="F662">
        <f>電力量!F663-電力量!F662</f>
        <v>31</v>
      </c>
      <c r="G662">
        <f>電力量!G663-電力量!G662</f>
        <v>30.30000000000291</v>
      </c>
      <c r="H662">
        <f>電力量!H663-電力量!H662</f>
        <v>36</v>
      </c>
      <c r="I662">
        <f>電力量!I663-電力量!I662</f>
        <v>259</v>
      </c>
      <c r="J662">
        <f>電力量!J663-電力量!J662</f>
        <v>8</v>
      </c>
      <c r="K662">
        <f>電力量!K663-電力量!K662</f>
        <v>0</v>
      </c>
      <c r="L662">
        <f>電力量!L663-電力量!L662</f>
        <v>21.399999999994179</v>
      </c>
      <c r="M662">
        <f>電力量!M663-電力量!M662</f>
        <v>43.69999999999709</v>
      </c>
      <c r="N662">
        <f>電力量!N663-電力量!N662</f>
        <v>40.600000000005821</v>
      </c>
      <c r="O662">
        <f>電力量!O663-電力量!O662</f>
        <v>18.900000000008731</v>
      </c>
      <c r="P662">
        <f>電力量!P663-電力量!P662</f>
        <v>16</v>
      </c>
      <c r="Q662">
        <f>電力量!Q663-電力量!Q662</f>
        <v>24</v>
      </c>
      <c r="R662">
        <f>電力量!R663-電力量!R662</f>
        <v>0</v>
      </c>
    </row>
    <row r="663" spans="1:18">
      <c r="A663" s="4">
        <f t="shared" si="219"/>
        <v>45899.541666666664</v>
      </c>
      <c r="B663">
        <f>電力量!B664-電力量!B663</f>
        <v>816</v>
      </c>
      <c r="C663">
        <f>電力量!C664-電力量!C663</f>
        <v>226</v>
      </c>
      <c r="D663">
        <f>電力量!D664-電力量!D663</f>
        <v>22.099999999998545</v>
      </c>
      <c r="E663">
        <f>電力量!E664-電力量!E663</f>
        <v>0</v>
      </c>
      <c r="F663">
        <f>電力量!F664-電力量!F663</f>
        <v>34</v>
      </c>
      <c r="G663">
        <f>電力量!G664-電力量!G663</f>
        <v>35.19999999999709</v>
      </c>
      <c r="H663">
        <f>電力量!H664-電力量!H663</f>
        <v>35</v>
      </c>
      <c r="I663">
        <f>電力量!I664-電力量!I663</f>
        <v>278</v>
      </c>
      <c r="J663">
        <f>電力量!J664-電力量!J663</f>
        <v>8.4000000000014552</v>
      </c>
      <c r="K663">
        <f>電力量!K664-電力量!K663</f>
        <v>0</v>
      </c>
      <c r="L663">
        <f>電力量!L664-電力量!L663</f>
        <v>25.400000000008731</v>
      </c>
      <c r="M663">
        <f>電力量!M664-電力量!M663</f>
        <v>43.600000000005821</v>
      </c>
      <c r="N663">
        <f>電力量!N664-電力量!N663</f>
        <v>41.5</v>
      </c>
      <c r="O663">
        <f>電力量!O664-電力量!O663</f>
        <v>21.30000000000291</v>
      </c>
      <c r="P663">
        <f>電力量!P664-電力量!P663</f>
        <v>14</v>
      </c>
      <c r="Q663">
        <f>電力量!Q664-電力量!Q663</f>
        <v>22</v>
      </c>
      <c r="R663">
        <f>電力量!R664-電力量!R663</f>
        <v>0</v>
      </c>
    </row>
    <row r="664" spans="1:18">
      <c r="A664" s="4">
        <f t="shared" si="220"/>
        <v>45899.583333333336</v>
      </c>
      <c r="B664">
        <f>電力量!B665-電力量!B664</f>
        <v>844</v>
      </c>
      <c r="C664">
        <f>電力量!C665-電力量!C664</f>
        <v>234</v>
      </c>
      <c r="D664">
        <f>電力量!D665-電力量!D664</f>
        <v>22.400000000001455</v>
      </c>
      <c r="E664">
        <f>電力量!E665-電力量!E664</f>
        <v>0</v>
      </c>
      <c r="F664">
        <f>電力量!F665-電力量!F664</f>
        <v>36</v>
      </c>
      <c r="G664">
        <f>電力量!G665-電力量!G664</f>
        <v>35.099999999998545</v>
      </c>
      <c r="H664">
        <f>電力量!H665-電力量!H664</f>
        <v>34</v>
      </c>
      <c r="I664">
        <f>電力量!I665-電力量!I664</f>
        <v>284</v>
      </c>
      <c r="J664">
        <f>電力量!J665-電力量!J664</f>
        <v>8.8999999999941792</v>
      </c>
      <c r="K664">
        <f>電力量!K665-電力量!K664</f>
        <v>0</v>
      </c>
      <c r="L664">
        <f>電力量!L665-電力量!L664</f>
        <v>31.19999999999709</v>
      </c>
      <c r="M664">
        <f>電力量!M665-電力量!M664</f>
        <v>44.399999999994179</v>
      </c>
      <c r="N664">
        <f>電力量!N665-電力量!N664</f>
        <v>42.30000000000291</v>
      </c>
      <c r="O664">
        <f>電力量!O665-電力量!O664</f>
        <v>21.899999999994179</v>
      </c>
      <c r="P664">
        <f>電力量!P665-電力量!P664</f>
        <v>15</v>
      </c>
      <c r="Q664">
        <f>電力量!Q665-電力量!Q664</f>
        <v>22</v>
      </c>
      <c r="R664">
        <f>電力量!R665-電力量!R664</f>
        <v>0</v>
      </c>
    </row>
    <row r="665" spans="1:18">
      <c r="A665" s="4">
        <f t="shared" si="221"/>
        <v>45899.625</v>
      </c>
      <c r="B665">
        <f>電力量!B666-電力量!B665</f>
        <v>878</v>
      </c>
      <c r="C665">
        <f>電力量!C666-電力量!C665</f>
        <v>234</v>
      </c>
      <c r="D665">
        <f>電力量!D666-電力量!D665</f>
        <v>23.400000000001455</v>
      </c>
      <c r="E665">
        <f>電力量!E666-電力量!E665</f>
        <v>0</v>
      </c>
      <c r="F665">
        <f>電力量!F666-電力量!F665</f>
        <v>33</v>
      </c>
      <c r="G665">
        <f>電力量!G666-電力量!G665</f>
        <v>49.700000000004366</v>
      </c>
      <c r="H665">
        <f>電力量!H666-電力量!H665</f>
        <v>34</v>
      </c>
      <c r="I665">
        <f>電力量!I666-電力量!I665</f>
        <v>292</v>
      </c>
      <c r="J665">
        <f>電力量!J666-電力量!J665</f>
        <v>9.4000000000014552</v>
      </c>
      <c r="K665">
        <f>電力量!K666-電力量!K665</f>
        <v>0.30000000000291038</v>
      </c>
      <c r="L665">
        <f>電力量!L666-電力量!L665</f>
        <v>29</v>
      </c>
      <c r="M665">
        <f>電力量!M666-電力量!M665</f>
        <v>45</v>
      </c>
      <c r="N665">
        <f>電力量!N666-電力量!N665</f>
        <v>47.19999999999709</v>
      </c>
      <c r="O665">
        <f>電力量!O666-電力量!O665</f>
        <v>20.399999999994179</v>
      </c>
      <c r="P665">
        <f>電力量!P666-電力量!P665</f>
        <v>10</v>
      </c>
      <c r="Q665">
        <f>電力量!Q666-電力量!Q665</f>
        <v>15</v>
      </c>
      <c r="R665">
        <f>電力量!R666-電力量!R665</f>
        <v>0</v>
      </c>
    </row>
    <row r="666" spans="1:18">
      <c r="A666" s="4">
        <f t="shared" si="222"/>
        <v>45899.666666666664</v>
      </c>
      <c r="B666">
        <f>電力量!B667-電力量!B666</f>
        <v>861</v>
      </c>
      <c r="C666">
        <f>電力量!C667-電力量!C666</f>
        <v>221</v>
      </c>
      <c r="D666">
        <f>電力量!D667-電力量!D666</f>
        <v>23.299999999995634</v>
      </c>
      <c r="E666">
        <f>電力量!E667-電力量!E666</f>
        <v>0</v>
      </c>
      <c r="F666">
        <f>電力量!F667-電力量!F666</f>
        <v>29</v>
      </c>
      <c r="G666">
        <f>電力量!G667-電力量!G666</f>
        <v>63.299999999995634</v>
      </c>
      <c r="H666">
        <f>電力量!H667-電力量!H666</f>
        <v>23</v>
      </c>
      <c r="I666">
        <f>電力量!I667-電力量!I666</f>
        <v>290</v>
      </c>
      <c r="J666">
        <f>電力量!J667-電力量!J666</f>
        <v>8.4000000000014552</v>
      </c>
      <c r="K666">
        <f>電力量!K667-電力量!K666</f>
        <v>1.5999999999912689</v>
      </c>
      <c r="L666">
        <f>電力量!L667-電力量!L666</f>
        <v>22.5</v>
      </c>
      <c r="M666">
        <f>電力量!M667-電力量!M666</f>
        <v>42.80000000000291</v>
      </c>
      <c r="N666">
        <f>電力量!N667-電力量!N666</f>
        <v>53.19999999999709</v>
      </c>
      <c r="O666">
        <f>電力量!O667-電力量!O666</f>
        <v>21.100000000005821</v>
      </c>
      <c r="P666">
        <f>電力量!P667-電力量!P666</f>
        <v>3</v>
      </c>
      <c r="Q666">
        <f>電力量!Q667-電力量!Q666</f>
        <v>5</v>
      </c>
      <c r="R666">
        <f>電力量!R667-電力量!R666</f>
        <v>0</v>
      </c>
    </row>
    <row r="667" spans="1:18">
      <c r="A667" s="4">
        <f t="shared" si="223"/>
        <v>45899.708333333336</v>
      </c>
      <c r="B667">
        <f>電力量!B668-電力量!B667</f>
        <v>812</v>
      </c>
      <c r="C667">
        <f>電力量!C668-電力量!C667</f>
        <v>204</v>
      </c>
      <c r="D667">
        <f>電力量!D668-電力量!D667</f>
        <v>18.200000000004366</v>
      </c>
      <c r="E667">
        <f>電力量!E668-電力量!E667</f>
        <v>0</v>
      </c>
      <c r="F667">
        <f>電力量!F668-電力量!F667</f>
        <v>27</v>
      </c>
      <c r="G667">
        <f>電力量!G668-電力量!G667</f>
        <v>62.900000000001455</v>
      </c>
      <c r="H667">
        <f>電力量!H668-電力量!H667</f>
        <v>12</v>
      </c>
      <c r="I667">
        <f>電力量!I668-電力量!I667</f>
        <v>278</v>
      </c>
      <c r="J667">
        <f>電力量!J668-電力量!J667</f>
        <v>7.5999999999985448</v>
      </c>
      <c r="K667">
        <f>電力量!K668-電力量!K667</f>
        <v>4</v>
      </c>
      <c r="L667">
        <f>電力量!L668-電力量!L667</f>
        <v>22.30000000000291</v>
      </c>
      <c r="M667">
        <f>電力量!M668-電力量!M667</f>
        <v>41.80000000000291</v>
      </c>
      <c r="N667">
        <f>電力量!N668-電力量!N667</f>
        <v>56.100000000005821</v>
      </c>
      <c r="O667">
        <f>電力量!O668-電力量!O667</f>
        <v>20.899999999994179</v>
      </c>
      <c r="P667">
        <f>電力量!P668-電力量!P667</f>
        <v>0</v>
      </c>
      <c r="Q667">
        <f>電力量!Q668-電力量!Q667</f>
        <v>0</v>
      </c>
      <c r="R667">
        <f>電力量!R668-電力量!R667</f>
        <v>0</v>
      </c>
    </row>
    <row r="668" spans="1:18">
      <c r="A668" s="4">
        <f t="shared" si="224"/>
        <v>45899.75</v>
      </c>
      <c r="B668">
        <f>電力量!B669-電力量!B668</f>
        <v>772</v>
      </c>
      <c r="C668">
        <f>電力量!C669-電力量!C668</f>
        <v>203</v>
      </c>
      <c r="D668">
        <f>電力量!D669-電力量!D668</f>
        <v>15.5</v>
      </c>
      <c r="E668">
        <f>電力量!E669-電力量!E668</f>
        <v>0</v>
      </c>
      <c r="F668">
        <f>電力量!F669-電力量!F668</f>
        <v>24</v>
      </c>
      <c r="G668">
        <f>電力量!G669-電力量!G668</f>
        <v>59.099999999998545</v>
      </c>
      <c r="H668">
        <f>電力量!H669-電力量!H668</f>
        <v>13</v>
      </c>
      <c r="I668">
        <f>電力量!I669-電力量!I668</f>
        <v>255</v>
      </c>
      <c r="J668">
        <f>電力量!J669-電力量!J668</f>
        <v>7.4000000000014552</v>
      </c>
      <c r="K668">
        <f>電力量!K669-電力量!K668</f>
        <v>4.1000000000058208</v>
      </c>
      <c r="L668">
        <f>電力量!L669-電力量!L668</f>
        <v>21</v>
      </c>
      <c r="M668">
        <f>電力量!M669-電力量!M668</f>
        <v>39.19999999999709</v>
      </c>
      <c r="N668">
        <f>電力量!N669-電力量!N668</f>
        <v>56</v>
      </c>
      <c r="O668">
        <f>電力量!O669-電力量!O668</f>
        <v>19.30000000000291</v>
      </c>
      <c r="P668">
        <f>電力量!P669-電力量!P668</f>
        <v>0</v>
      </c>
      <c r="Q668">
        <f>電力量!Q669-電力量!Q668</f>
        <v>0</v>
      </c>
      <c r="R668">
        <f>電力量!R669-電力量!R668</f>
        <v>0</v>
      </c>
    </row>
    <row r="669" spans="1:18">
      <c r="A669" s="4">
        <f t="shared" si="225"/>
        <v>45899.791666666664</v>
      </c>
      <c r="B669">
        <f>電力量!B670-電力量!B669</f>
        <v>761</v>
      </c>
      <c r="C669">
        <f>電力量!C670-電力量!C669</f>
        <v>203</v>
      </c>
      <c r="D669">
        <f>電力量!D670-電力量!D669</f>
        <v>18.099999999998545</v>
      </c>
      <c r="E669">
        <f>電力量!E670-電力量!E669</f>
        <v>0</v>
      </c>
      <c r="F669">
        <f>電力量!F670-電力量!F669</f>
        <v>22</v>
      </c>
      <c r="G669">
        <f>電力量!G670-電力量!G669</f>
        <v>57.5</v>
      </c>
      <c r="H669">
        <f>電力量!H670-電力量!H669</f>
        <v>12</v>
      </c>
      <c r="I669">
        <f>電力量!I670-電力量!I669</f>
        <v>243</v>
      </c>
      <c r="J669">
        <f>電力量!J670-電力量!J669</f>
        <v>8</v>
      </c>
      <c r="K669">
        <f>電力量!K670-電力量!K669</f>
        <v>4.1999999999970896</v>
      </c>
      <c r="L669">
        <f>電力量!L670-電力量!L669</f>
        <v>22</v>
      </c>
      <c r="M669">
        <f>電力量!M670-電力量!M669</f>
        <v>38.899999999994179</v>
      </c>
      <c r="N669">
        <f>電力量!N670-電力量!N669</f>
        <v>56.5</v>
      </c>
      <c r="O669">
        <f>電力量!O670-電力量!O669</f>
        <v>20.19999999999709</v>
      </c>
      <c r="P669">
        <f>電力量!P670-電力量!P669</f>
        <v>0</v>
      </c>
      <c r="Q669">
        <f>電力量!Q670-電力量!Q669</f>
        <v>0</v>
      </c>
      <c r="R669">
        <f>電力量!R670-電力量!R669</f>
        <v>0</v>
      </c>
    </row>
    <row r="670" spans="1:18">
      <c r="A670" s="4">
        <f t="shared" si="226"/>
        <v>45899.833333333336</v>
      </c>
      <c r="B670">
        <f>電力量!B671-電力量!B670</f>
        <v>747</v>
      </c>
      <c r="C670">
        <f>電力量!C671-電力量!C670</f>
        <v>197</v>
      </c>
      <c r="D670">
        <f>電力量!D671-電力量!D670</f>
        <v>17.30000000000291</v>
      </c>
      <c r="E670">
        <f>電力量!E671-電力量!E670</f>
        <v>0</v>
      </c>
      <c r="F670">
        <f>電力量!F671-電力量!F670</f>
        <v>23</v>
      </c>
      <c r="G670">
        <f>電力量!G671-電力量!G670</f>
        <v>53.30000000000291</v>
      </c>
      <c r="H670">
        <f>電力量!H671-電力量!H670</f>
        <v>13</v>
      </c>
      <c r="I670">
        <f>電力量!I671-電力量!I670</f>
        <v>241</v>
      </c>
      <c r="J670">
        <f>電力量!J671-電力量!J670</f>
        <v>7.3000000000029104</v>
      </c>
      <c r="K670">
        <f>電力量!K671-電力量!K670</f>
        <v>3.8000000000029104</v>
      </c>
      <c r="L670">
        <f>電力量!L671-電力量!L670</f>
        <v>22</v>
      </c>
      <c r="M670">
        <f>電力量!M671-電力量!M670</f>
        <v>39.700000000011642</v>
      </c>
      <c r="N670">
        <f>電力量!N671-電力量!N670</f>
        <v>55.899999999994179</v>
      </c>
      <c r="O670">
        <f>電力量!O671-電力量!O670</f>
        <v>20.700000000011642</v>
      </c>
      <c r="P670">
        <f>電力量!P671-電力量!P670</f>
        <v>0</v>
      </c>
      <c r="Q670">
        <f>電力量!Q671-電力量!Q670</f>
        <v>0</v>
      </c>
      <c r="R670">
        <f>電力量!R671-電力量!R670</f>
        <v>0</v>
      </c>
    </row>
    <row r="671" spans="1:18">
      <c r="A671" s="4">
        <f t="shared" si="227"/>
        <v>45899.875</v>
      </c>
      <c r="B671">
        <f>電力量!B672-電力量!B671</f>
        <v>747</v>
      </c>
      <c r="C671">
        <f>電力量!C672-電力量!C671</f>
        <v>195</v>
      </c>
      <c r="D671">
        <f>電力量!D672-電力量!D671</f>
        <v>16.399999999994179</v>
      </c>
      <c r="E671">
        <f>電力量!E672-電力量!E671</f>
        <v>0</v>
      </c>
      <c r="F671">
        <f>電力量!F672-電力量!F671</f>
        <v>22</v>
      </c>
      <c r="G671">
        <f>電力量!G672-電力量!G671</f>
        <v>53.5</v>
      </c>
      <c r="H671">
        <f>電力量!H672-電力量!H671</f>
        <v>13</v>
      </c>
      <c r="I671">
        <f>電力量!I672-電力量!I671</f>
        <v>241</v>
      </c>
      <c r="J671">
        <f>電力量!J672-電力量!J671</f>
        <v>7</v>
      </c>
      <c r="K671">
        <f>電力量!K672-電力量!K671</f>
        <v>3.6999999999970896</v>
      </c>
      <c r="L671">
        <f>電力量!L672-電力量!L671</f>
        <v>22.19999999999709</v>
      </c>
      <c r="M671">
        <f>電力量!M672-電力量!M671</f>
        <v>45</v>
      </c>
      <c r="N671">
        <f>電力量!N672-電力量!N671</f>
        <v>56.100000000005821</v>
      </c>
      <c r="O671">
        <f>電力量!O672-電力量!O671</f>
        <v>21.099999999991269</v>
      </c>
      <c r="P671">
        <f>電力量!P672-電力量!P671</f>
        <v>0</v>
      </c>
      <c r="Q671">
        <f>電力量!Q672-電力量!Q671</f>
        <v>0</v>
      </c>
      <c r="R671">
        <f>電力量!R672-電力量!R671</f>
        <v>0</v>
      </c>
    </row>
    <row r="672" spans="1:18">
      <c r="A672" s="4">
        <f t="shared" si="228"/>
        <v>45899.916666666664</v>
      </c>
      <c r="B672">
        <f>電力量!B673-電力量!B672</f>
        <v>735</v>
      </c>
      <c r="C672">
        <f>電力量!C673-電力量!C672</f>
        <v>190</v>
      </c>
      <c r="D672">
        <f>電力量!D673-電力量!D672</f>
        <v>16.200000000004366</v>
      </c>
      <c r="E672">
        <f>電力量!E673-電力量!E672</f>
        <v>0</v>
      </c>
      <c r="F672">
        <f>電力量!F673-電力量!F672</f>
        <v>21</v>
      </c>
      <c r="G672">
        <f>電力量!G673-電力量!G672</f>
        <v>53.5</v>
      </c>
      <c r="H672">
        <f>電力量!H673-電力量!H672</f>
        <v>13</v>
      </c>
      <c r="I672">
        <f>電力量!I673-電力量!I672</f>
        <v>237</v>
      </c>
      <c r="J672">
        <f>電力量!J673-電力量!J672</f>
        <v>7</v>
      </c>
      <c r="K672">
        <f>電力量!K673-電力量!K672</f>
        <v>3.6999999999970896</v>
      </c>
      <c r="L672">
        <f>電力量!L673-電力量!L672</f>
        <v>22</v>
      </c>
      <c r="M672">
        <f>電力量!M673-電力量!M672</f>
        <v>42.5</v>
      </c>
      <c r="N672">
        <f>電力量!N673-電力量!N672</f>
        <v>55.299999999988358</v>
      </c>
      <c r="O672">
        <f>電力量!O673-電力量!O672</f>
        <v>19.80000000000291</v>
      </c>
      <c r="P672">
        <f>電力量!P673-電力量!P672</f>
        <v>0</v>
      </c>
      <c r="Q672">
        <f>電力量!Q673-電力量!Q672</f>
        <v>0</v>
      </c>
      <c r="R672">
        <f>電力量!R673-電力量!R672</f>
        <v>0</v>
      </c>
    </row>
    <row r="673" spans="1:18">
      <c r="A673" s="4">
        <f t="shared" si="229"/>
        <v>45899.958333333336</v>
      </c>
      <c r="B673">
        <f>電力量!B674-電力量!B673</f>
        <v>722</v>
      </c>
      <c r="C673">
        <f>電力量!C674-電力量!C673</f>
        <v>190</v>
      </c>
      <c r="D673">
        <f>電力量!D674-電力量!D673</f>
        <v>15.599999999998545</v>
      </c>
      <c r="E673">
        <f>電力量!E674-電力量!E673</f>
        <v>0</v>
      </c>
      <c r="F673">
        <f>電力量!F674-電力量!F673</f>
        <v>22</v>
      </c>
      <c r="G673">
        <f>電力量!G674-電力量!G673</f>
        <v>56.5</v>
      </c>
      <c r="H673">
        <f>電力量!H674-電力量!H673</f>
        <v>13</v>
      </c>
      <c r="I673">
        <f>電力量!I674-電力量!I673</f>
        <v>228</v>
      </c>
      <c r="J673">
        <f>電力量!J674-電力量!J673</f>
        <v>6.6999999999970896</v>
      </c>
      <c r="K673">
        <f>電力量!K674-電力量!K673</f>
        <v>3.8000000000029104</v>
      </c>
      <c r="L673">
        <f>電力量!L674-電力量!L673</f>
        <v>22.30000000000291</v>
      </c>
      <c r="M673">
        <f>電力量!M674-電力量!M673</f>
        <v>38.799999999988358</v>
      </c>
      <c r="N673">
        <f>電力量!N674-電力量!N673</f>
        <v>55.600000000005821</v>
      </c>
      <c r="O673">
        <f>電力量!O674-電力量!O673</f>
        <v>19.399999999994179</v>
      </c>
      <c r="P673">
        <f>電力量!P674-電力量!P673</f>
        <v>0</v>
      </c>
      <c r="Q673">
        <f>電力量!Q674-電力量!Q673</f>
        <v>0</v>
      </c>
      <c r="R673">
        <f>電力量!R674-電力量!R673</f>
        <v>0</v>
      </c>
    </row>
    <row r="674" spans="1:18">
      <c r="A674" s="4">
        <v>45900</v>
      </c>
      <c r="B674">
        <f>電力量!B675-電力量!B674</f>
        <v>719</v>
      </c>
      <c r="C674">
        <f>電力量!C675-電力量!C674</f>
        <v>190</v>
      </c>
      <c r="D674">
        <f>電力量!D675-電力量!D674</f>
        <v>15.099999999998545</v>
      </c>
      <c r="E674">
        <f>電力量!E675-電力量!E674</f>
        <v>0</v>
      </c>
      <c r="F674">
        <f>電力量!F675-電力量!F674</f>
        <v>22</v>
      </c>
      <c r="G674">
        <f>電力量!G675-電力量!G674</f>
        <v>55</v>
      </c>
      <c r="H674">
        <f>電力量!H675-電力量!H674</f>
        <v>12</v>
      </c>
      <c r="I674">
        <f>電力量!I675-電力量!I674</f>
        <v>228</v>
      </c>
      <c r="J674">
        <f>電力量!J675-電力量!J674</f>
        <v>6.8000000000029104</v>
      </c>
      <c r="K674">
        <f>電力量!K675-電力量!K674</f>
        <v>3.6000000000058208</v>
      </c>
      <c r="L674">
        <f>電力量!L675-電力量!L674</f>
        <v>22</v>
      </c>
      <c r="M674">
        <f>電力量!M675-電力量!M674</f>
        <v>38.700000000011642</v>
      </c>
      <c r="N674">
        <f>電力量!N675-電力量!N674</f>
        <v>55.69999999999709</v>
      </c>
      <c r="O674">
        <f>電力量!O675-電力量!O674</f>
        <v>18.30000000000291</v>
      </c>
      <c r="P674">
        <f>電力量!P675-電力量!P674</f>
        <v>0</v>
      </c>
      <c r="Q674">
        <f>電力量!Q675-電力量!Q674</f>
        <v>0</v>
      </c>
      <c r="R674">
        <f>電力量!R675-電力量!R674</f>
        <v>0</v>
      </c>
    </row>
    <row r="675" spans="1:18">
      <c r="A675" s="4">
        <f t="shared" ref="A675:A723" si="230">A674+(1/24)</f>
        <v>45900.041666666664</v>
      </c>
      <c r="B675">
        <f>電力量!B676-電力量!B675</f>
        <v>700</v>
      </c>
      <c r="C675">
        <f>電力量!C676-電力量!C675</f>
        <v>186</v>
      </c>
      <c r="D675">
        <f>電力量!D676-電力量!D675</f>
        <v>14.599999999998545</v>
      </c>
      <c r="E675">
        <f>電力量!E676-電力量!E675</f>
        <v>0</v>
      </c>
      <c r="F675">
        <f>電力量!F676-電力量!F675</f>
        <v>21</v>
      </c>
      <c r="G675">
        <f>電力量!G676-電力量!G675</f>
        <v>53.099999999998545</v>
      </c>
      <c r="H675">
        <f>電力量!H676-電力量!H675</f>
        <v>12</v>
      </c>
      <c r="I675">
        <f>電力量!I676-電力量!I675</f>
        <v>218</v>
      </c>
      <c r="J675">
        <f>電力量!J676-電力量!J675</f>
        <v>6.5</v>
      </c>
      <c r="K675">
        <f>電力量!K676-電力量!K675</f>
        <v>3.5999999999912689</v>
      </c>
      <c r="L675">
        <f>電力量!L676-電力量!L675</f>
        <v>21.80000000000291</v>
      </c>
      <c r="M675">
        <f>電力量!M676-電力量!M675</f>
        <v>38.599999999991269</v>
      </c>
      <c r="N675">
        <f>電力量!N676-電力量!N675</f>
        <v>55.30000000000291</v>
      </c>
      <c r="O675">
        <f>電力量!O676-電力量!O675</f>
        <v>19</v>
      </c>
      <c r="P675">
        <f>電力量!P676-電力量!P675</f>
        <v>0</v>
      </c>
      <c r="Q675">
        <f>電力量!Q676-電力量!Q675</f>
        <v>0</v>
      </c>
      <c r="R675">
        <f>電力量!R676-電力量!R675</f>
        <v>0</v>
      </c>
    </row>
    <row r="676" spans="1:18">
      <c r="A676" s="4">
        <f t="shared" ref="A676:A724" si="231">A674+(2/24)</f>
        <v>45900.083333333336</v>
      </c>
      <c r="B676">
        <f>電力量!B677-電力量!B676</f>
        <v>698</v>
      </c>
      <c r="C676">
        <f>電力量!C677-電力量!C676</f>
        <v>181</v>
      </c>
      <c r="D676">
        <f>電力量!D677-電力量!D676</f>
        <v>16.5</v>
      </c>
      <c r="E676">
        <f>電力量!E677-電力量!E676</f>
        <v>0</v>
      </c>
      <c r="F676">
        <f>電力量!F677-電力量!F676</f>
        <v>21</v>
      </c>
      <c r="G676">
        <f>電力量!G677-電力量!G676</f>
        <v>51.900000000001455</v>
      </c>
      <c r="H676">
        <f>電力量!H677-電力量!H676</f>
        <v>12</v>
      </c>
      <c r="I676">
        <f>電力量!I677-電力量!I676</f>
        <v>215</v>
      </c>
      <c r="J676">
        <f>電力量!J677-電力量!J676</f>
        <v>6.2999999999956344</v>
      </c>
      <c r="K676">
        <f>電力量!K677-電力量!K676</f>
        <v>3.5</v>
      </c>
      <c r="L676">
        <f>電力量!L677-電力量!L676</f>
        <v>24.399999999994179</v>
      </c>
      <c r="M676">
        <f>電力量!M677-電力量!M676</f>
        <v>40</v>
      </c>
      <c r="N676">
        <f>電力量!N677-電力量!N676</f>
        <v>55</v>
      </c>
      <c r="O676">
        <f>電力量!O677-電力量!O676</f>
        <v>19.80000000000291</v>
      </c>
      <c r="P676">
        <f>電力量!P677-電力量!P676</f>
        <v>0</v>
      </c>
      <c r="Q676">
        <f>電力量!Q677-電力量!Q676</f>
        <v>0</v>
      </c>
      <c r="R676">
        <f>電力量!R677-電力量!R676</f>
        <v>0</v>
      </c>
    </row>
    <row r="677" spans="1:18">
      <c r="A677" s="4">
        <f t="shared" ref="A677:A725" si="232">A674+(3/24)</f>
        <v>45900.125</v>
      </c>
      <c r="B677">
        <f>電力量!B678-電力量!B677</f>
        <v>684</v>
      </c>
      <c r="C677">
        <f>電力量!C678-電力量!C677</f>
        <v>174</v>
      </c>
      <c r="D677">
        <f>電力量!D678-電力量!D677</f>
        <v>14.5</v>
      </c>
      <c r="E677">
        <f>電力量!E678-電力量!E677</f>
        <v>0</v>
      </c>
      <c r="F677">
        <f>電力量!F678-電力量!F677</f>
        <v>21</v>
      </c>
      <c r="G677">
        <f>電力量!G678-電力量!G677</f>
        <v>51.400000000001455</v>
      </c>
      <c r="H677">
        <f>電力量!H678-電力量!H677</f>
        <v>13</v>
      </c>
      <c r="I677">
        <f>電力量!I678-電力量!I677</f>
        <v>213</v>
      </c>
      <c r="J677">
        <f>電力量!J678-電力量!J677</f>
        <v>6.5999999999985448</v>
      </c>
      <c r="K677">
        <f>電力量!K678-電力量!K677</f>
        <v>3.5</v>
      </c>
      <c r="L677">
        <f>電力量!L678-電力量!L677</f>
        <v>25.69999999999709</v>
      </c>
      <c r="M677">
        <f>電力量!M678-電力量!M677</f>
        <v>39.80000000000291</v>
      </c>
      <c r="N677">
        <f>電力量!N678-電力量!N677</f>
        <v>55.19999999999709</v>
      </c>
      <c r="O677">
        <f>電力量!O678-電力量!O677</f>
        <v>19</v>
      </c>
      <c r="P677">
        <f>電力量!P678-電力量!P677</f>
        <v>0</v>
      </c>
      <c r="Q677">
        <f>電力量!Q678-電力量!Q677</f>
        <v>0</v>
      </c>
      <c r="R677">
        <f>電力量!R678-電力量!R677</f>
        <v>0</v>
      </c>
    </row>
    <row r="678" spans="1:18">
      <c r="A678" s="4">
        <f t="shared" ref="A678:A726" si="233">A674+(4/24)</f>
        <v>45900.166666666664</v>
      </c>
      <c r="B678">
        <f>電力量!B679-電力量!B678</f>
        <v>672</v>
      </c>
      <c r="C678">
        <f>電力量!C679-電力量!C678</f>
        <v>168</v>
      </c>
      <c r="D678">
        <f>電力量!D679-電力量!D678</f>
        <v>14.200000000004366</v>
      </c>
      <c r="E678">
        <f>電力量!E679-電力量!E678</f>
        <v>0</v>
      </c>
      <c r="F678">
        <f>電力量!F679-電力量!F678</f>
        <v>20</v>
      </c>
      <c r="G678">
        <f>電力量!G679-電力量!G678</f>
        <v>51.099999999998545</v>
      </c>
      <c r="H678">
        <f>電力量!H679-電力量!H678</f>
        <v>11</v>
      </c>
      <c r="I678">
        <f>電力量!I679-電力量!I678</f>
        <v>215</v>
      </c>
      <c r="J678">
        <f>電力量!J679-電力量!J678</f>
        <v>6</v>
      </c>
      <c r="K678">
        <f>電力量!K679-電力量!K678</f>
        <v>3.4000000000087311</v>
      </c>
      <c r="L678">
        <f>電力量!L679-電力量!L678</f>
        <v>21.19999999999709</v>
      </c>
      <c r="M678">
        <f>電力量!M679-電力量!M678</f>
        <v>37.19999999999709</v>
      </c>
      <c r="N678">
        <f>電力量!N679-電力量!N678</f>
        <v>55.100000000005821</v>
      </c>
      <c r="O678">
        <f>電力量!O679-電力量!O678</f>
        <v>19.5</v>
      </c>
      <c r="P678">
        <f>電力量!P679-電力量!P678</f>
        <v>0</v>
      </c>
      <c r="Q678">
        <f>電力量!Q679-電力量!Q678</f>
        <v>0</v>
      </c>
      <c r="R678">
        <f>電力量!R679-電力量!R678</f>
        <v>0</v>
      </c>
    </row>
    <row r="679" spans="1:18">
      <c r="A679" s="4">
        <f t="shared" ref="A679:A727" si="234">A674+(5/24)</f>
        <v>45900.208333333336</v>
      </c>
      <c r="B679">
        <f>電力量!B680-電力量!B679</f>
        <v>665</v>
      </c>
      <c r="C679">
        <f>電力量!C680-電力量!C679</f>
        <v>168</v>
      </c>
      <c r="D679">
        <f>電力量!D680-電力量!D679</f>
        <v>14.19999999999709</v>
      </c>
      <c r="E679">
        <f>電力量!E680-電力量!E679</f>
        <v>0</v>
      </c>
      <c r="F679">
        <f>電力量!F680-電力量!F679</f>
        <v>20</v>
      </c>
      <c r="G679">
        <f>電力量!G680-電力量!G679</f>
        <v>50.19999999999709</v>
      </c>
      <c r="H679">
        <f>電力量!H680-電力量!H679</f>
        <v>13</v>
      </c>
      <c r="I679">
        <f>電力量!I680-電力量!I679</f>
        <v>213</v>
      </c>
      <c r="J679">
        <f>電力量!J680-電力量!J679</f>
        <v>6.2000000000043656</v>
      </c>
      <c r="K679">
        <f>電力量!K680-電力量!K679</f>
        <v>3.2999999999883585</v>
      </c>
      <c r="L679">
        <f>電力量!L680-電力量!L679</f>
        <v>20.900000000008731</v>
      </c>
      <c r="M679">
        <f>電力量!M680-電力量!M679</f>
        <v>36.600000000005821</v>
      </c>
      <c r="N679">
        <f>電力量!N680-電力量!N679</f>
        <v>55</v>
      </c>
      <c r="O679">
        <f>電力量!O680-電力量!O679</f>
        <v>19</v>
      </c>
      <c r="P679">
        <f>電力量!P680-電力量!P679</f>
        <v>0</v>
      </c>
      <c r="Q679">
        <f>電力量!Q680-電力量!Q679</f>
        <v>0</v>
      </c>
      <c r="R679">
        <f>電力量!R680-電力量!R679</f>
        <v>0</v>
      </c>
    </row>
    <row r="680" spans="1:18">
      <c r="A680" s="4">
        <f t="shared" ref="A680:A728" si="235">A674+(6/24)</f>
        <v>45900.25</v>
      </c>
      <c r="B680">
        <f>電力量!B681-電力量!B680</f>
        <v>654</v>
      </c>
      <c r="C680">
        <f>電力量!C681-電力量!C680</f>
        <v>167</v>
      </c>
      <c r="D680">
        <f>電力量!D681-電力量!D680</f>
        <v>14.80000000000291</v>
      </c>
      <c r="E680">
        <f>電力量!E681-電力量!E680</f>
        <v>0</v>
      </c>
      <c r="F680">
        <f>電力量!F681-電力量!F680</f>
        <v>21</v>
      </c>
      <c r="G680">
        <f>電力量!G681-電力量!G680</f>
        <v>49</v>
      </c>
      <c r="H680">
        <f>電力量!H681-電力量!H680</f>
        <v>12</v>
      </c>
      <c r="I680">
        <f>電力量!I681-電力量!I680</f>
        <v>206</v>
      </c>
      <c r="J680">
        <f>電力量!J681-電力量!J680</f>
        <v>6</v>
      </c>
      <c r="K680">
        <f>電力量!K681-電力量!K680</f>
        <v>2.9000000000087311</v>
      </c>
      <c r="L680">
        <f>電力量!L681-電力量!L680</f>
        <v>21.099999999991269</v>
      </c>
      <c r="M680">
        <f>電力量!M681-電力量!M680</f>
        <v>36.099999999991269</v>
      </c>
      <c r="N680">
        <f>電力量!N681-電力量!N680</f>
        <v>54.099999999991269</v>
      </c>
      <c r="O680">
        <f>電力量!O681-電力量!O680</f>
        <v>16.19999999999709</v>
      </c>
      <c r="P680">
        <f>電力量!P681-電力量!P680</f>
        <v>0</v>
      </c>
      <c r="Q680">
        <f>電力量!Q681-電力量!Q680</f>
        <v>1</v>
      </c>
      <c r="R680">
        <f>電力量!R681-電力量!R680</f>
        <v>0</v>
      </c>
    </row>
    <row r="681" spans="1:18">
      <c r="A681" s="4">
        <f t="shared" ref="A681:A729" si="236">A674+(7/24)</f>
        <v>45900.291666666664</v>
      </c>
      <c r="B681">
        <f>電力量!B682-電力量!B681</f>
        <v>677</v>
      </c>
      <c r="C681">
        <f>電力量!C682-電力量!C681</f>
        <v>175</v>
      </c>
      <c r="D681">
        <f>電力量!D682-電力量!D681</f>
        <v>13.599999999998545</v>
      </c>
      <c r="E681">
        <f>電力量!E682-電力量!E681</f>
        <v>0</v>
      </c>
      <c r="F681">
        <f>電力量!F682-電力量!F681</f>
        <v>21</v>
      </c>
      <c r="G681">
        <f>電力量!G682-電力量!G681</f>
        <v>47.200000000004366</v>
      </c>
      <c r="H681">
        <f>電力量!H682-電力量!H681</f>
        <v>12</v>
      </c>
      <c r="I681">
        <f>電力量!I682-電力量!I681</f>
        <v>222</v>
      </c>
      <c r="J681">
        <f>電力量!J682-電力量!J681</f>
        <v>6.5999999999985448</v>
      </c>
      <c r="K681">
        <f>電力量!K682-電力量!K681</f>
        <v>0.69999999999708962</v>
      </c>
      <c r="L681">
        <f>電力量!L682-電力量!L681</f>
        <v>21.100000000005821</v>
      </c>
      <c r="M681">
        <f>電力量!M682-電力量!M681</f>
        <v>36.700000000011642</v>
      </c>
      <c r="N681">
        <f>電力量!N682-電力量!N681</f>
        <v>51.600000000005821</v>
      </c>
      <c r="O681">
        <f>電力量!O682-電力量!O681</f>
        <v>18.900000000008731</v>
      </c>
      <c r="P681">
        <f>電力量!P682-電力量!P681</f>
        <v>1</v>
      </c>
      <c r="Q681">
        <f>電力量!Q682-電力量!Q681</f>
        <v>3</v>
      </c>
      <c r="R681">
        <f>電力量!R682-電力量!R681</f>
        <v>0</v>
      </c>
    </row>
    <row r="682" spans="1:18">
      <c r="A682" s="4">
        <f t="shared" ref="A682:A730" si="237">A674+(8/24)</f>
        <v>45900.333333333336</v>
      </c>
      <c r="B682">
        <f>電力量!B683-電力量!B682</f>
        <v>680</v>
      </c>
      <c r="C682">
        <f>電力量!C683-電力量!C682</f>
        <v>176</v>
      </c>
      <c r="D682">
        <f>電力量!D683-電力量!D682</f>
        <v>13.599999999998545</v>
      </c>
      <c r="E682">
        <f>電力量!E683-電力量!E682</f>
        <v>0</v>
      </c>
      <c r="F682">
        <f>電力量!F683-電力量!F682</f>
        <v>22</v>
      </c>
      <c r="G682">
        <f>電力量!G683-電力量!G682</f>
        <v>39.19999999999709</v>
      </c>
      <c r="H682">
        <f>電力量!H683-電力量!H682</f>
        <v>12</v>
      </c>
      <c r="I682">
        <f>電力量!I683-電力量!I682</f>
        <v>228</v>
      </c>
      <c r="J682">
        <f>電力量!J683-電力量!J682</f>
        <v>6.5999999999985448</v>
      </c>
      <c r="K682">
        <f>電力量!K683-電力量!K682</f>
        <v>0</v>
      </c>
      <c r="L682">
        <f>電力量!L683-電力量!L682</f>
        <v>21</v>
      </c>
      <c r="M682">
        <f>電力量!M683-電力量!M682</f>
        <v>39</v>
      </c>
      <c r="N682">
        <f>電力量!N683-電力量!N682</f>
        <v>49.19999999999709</v>
      </c>
      <c r="O682">
        <f>電力量!O683-電力量!O682</f>
        <v>18.899999999994179</v>
      </c>
      <c r="P682">
        <f>電力量!P683-電力量!P682</f>
        <v>5</v>
      </c>
      <c r="Q682">
        <f>電力量!Q683-電力量!Q682</f>
        <v>8</v>
      </c>
      <c r="R682">
        <f>電力量!R683-電力量!R682</f>
        <v>0</v>
      </c>
    </row>
    <row r="683" spans="1:18">
      <c r="A683" s="4">
        <f t="shared" ref="A683:A731" si="238">A674+(9/24)</f>
        <v>45900.375</v>
      </c>
      <c r="B683">
        <f>電力量!B684-電力量!B683</f>
        <v>681</v>
      </c>
      <c r="C683">
        <f>電力量!C684-電力量!C683</f>
        <v>181</v>
      </c>
      <c r="D683">
        <f>電力量!D684-電力量!D683</f>
        <v>14</v>
      </c>
      <c r="E683">
        <f>電力量!E684-電力量!E683</f>
        <v>0</v>
      </c>
      <c r="F683">
        <f>電力量!F684-電力量!F683</f>
        <v>23</v>
      </c>
      <c r="G683">
        <f>電力量!G684-電力量!G683</f>
        <v>30.200000000004366</v>
      </c>
      <c r="H683">
        <f>電力量!H684-電力量!H683</f>
        <v>12</v>
      </c>
      <c r="I683">
        <f>電力量!I684-電力量!I683</f>
        <v>244</v>
      </c>
      <c r="J683">
        <f>電力量!J684-電力量!J683</f>
        <v>7</v>
      </c>
      <c r="K683">
        <f>電力量!K684-電力量!K683</f>
        <v>0</v>
      </c>
      <c r="L683">
        <f>電力量!L684-電力量!L683</f>
        <v>21.100000000005821</v>
      </c>
      <c r="M683">
        <f>電力量!M684-電力量!M683</f>
        <v>40.799999999988358</v>
      </c>
      <c r="N683">
        <f>電力量!N684-電力量!N683</f>
        <v>45.69999999999709</v>
      </c>
      <c r="O683">
        <f>電力量!O684-電力量!O683</f>
        <v>18</v>
      </c>
      <c r="P683">
        <f>電力量!P684-電力量!P683</f>
        <v>10</v>
      </c>
      <c r="Q683">
        <f>電力量!Q684-電力量!Q683</f>
        <v>15</v>
      </c>
      <c r="R683">
        <f>電力量!R684-電力量!R683</f>
        <v>0</v>
      </c>
    </row>
    <row r="684" spans="1:18">
      <c r="A684" s="4">
        <f t="shared" ref="A684:A732" si="239">A674+(10/24)</f>
        <v>45900.416666666664</v>
      </c>
      <c r="B684">
        <f>電力量!B685-電力量!B684</f>
        <v>690</v>
      </c>
      <c r="C684">
        <f>電力量!C685-電力量!C684</f>
        <v>182</v>
      </c>
      <c r="D684">
        <f>電力量!D685-電力量!D684</f>
        <v>17.30000000000291</v>
      </c>
      <c r="E684">
        <f>電力量!E685-電力量!E684</f>
        <v>0</v>
      </c>
      <c r="F684">
        <f>電力量!F685-電力量!F684</f>
        <v>24</v>
      </c>
      <c r="G684">
        <f>電力量!G685-電力量!G684</f>
        <v>25.099999999998545</v>
      </c>
      <c r="H684">
        <f>電力量!H685-電力量!H684</f>
        <v>12</v>
      </c>
      <c r="I684">
        <f>電力量!I685-電力量!I684</f>
        <v>250</v>
      </c>
      <c r="J684">
        <f>電力量!J685-電力量!J684</f>
        <v>7.0999999999985448</v>
      </c>
      <c r="K684">
        <f>電力量!K685-電力量!K684</f>
        <v>0</v>
      </c>
      <c r="L684">
        <f>電力量!L685-電力量!L684</f>
        <v>26.899999999994179</v>
      </c>
      <c r="M684">
        <f>電力量!M685-電力量!M684</f>
        <v>40.700000000011642</v>
      </c>
      <c r="N684">
        <f>電力量!N685-電力量!N684</f>
        <v>42.700000000011642</v>
      </c>
      <c r="O684">
        <f>電力量!O685-電力量!O684</f>
        <v>19.69999999999709</v>
      </c>
      <c r="P684">
        <f>電力量!P685-電力量!P684</f>
        <v>13</v>
      </c>
      <c r="Q684">
        <f>電力量!Q685-電力量!Q684</f>
        <v>19</v>
      </c>
      <c r="R684">
        <f>電力量!R685-電力量!R684</f>
        <v>0</v>
      </c>
    </row>
    <row r="685" spans="1:18">
      <c r="A685" s="4">
        <f t="shared" ref="A685:A733" si="240">A674+(11/24)</f>
        <v>45900.458333333336</v>
      </c>
      <c r="B685">
        <f>電力量!B686-電力量!B685</f>
        <v>693</v>
      </c>
      <c r="C685">
        <f>電力量!C686-電力量!C685</f>
        <v>185</v>
      </c>
      <c r="D685">
        <f>電力量!D686-電力量!D685</f>
        <v>19.19999999999709</v>
      </c>
      <c r="E685">
        <f>電力量!E686-電力量!E685</f>
        <v>0</v>
      </c>
      <c r="F685">
        <f>電力量!F686-電力量!F685</f>
        <v>27</v>
      </c>
      <c r="G685">
        <f>電力量!G686-電力量!G685</f>
        <v>21.400000000001455</v>
      </c>
      <c r="H685">
        <f>電力量!H686-電力量!H685</f>
        <v>13</v>
      </c>
      <c r="I685">
        <f>電力量!I686-電力量!I685</f>
        <v>255</v>
      </c>
      <c r="J685">
        <f>電力量!J686-電力量!J685</f>
        <v>7.2000000000043656</v>
      </c>
      <c r="K685">
        <f>電力量!K686-電力量!K685</f>
        <v>0</v>
      </c>
      <c r="L685">
        <f>電力量!L686-電力量!L685</f>
        <v>25.100000000005821</v>
      </c>
      <c r="M685">
        <f>電力量!M686-電力量!M685</f>
        <v>41.299999999988358</v>
      </c>
      <c r="N685">
        <f>電力量!N686-電力量!N685</f>
        <v>41.399999999994179</v>
      </c>
      <c r="O685">
        <f>電力量!O686-電力量!O685</f>
        <v>19.5</v>
      </c>
      <c r="P685">
        <f>電力量!P686-電力量!P685</f>
        <v>15</v>
      </c>
      <c r="Q685">
        <f>電力量!Q686-電力量!Q685</f>
        <v>24</v>
      </c>
      <c r="R685">
        <f>電力量!R686-電力量!R685</f>
        <v>0</v>
      </c>
    </row>
    <row r="686" spans="1:18">
      <c r="A686" s="4">
        <f t="shared" ref="A686:A734" si="241">A674+(12/24)</f>
        <v>45900.5</v>
      </c>
      <c r="B686">
        <f>電力量!B687-電力量!B686</f>
        <v>727</v>
      </c>
      <c r="C686">
        <f>電力量!C687-電力量!C686</f>
        <v>194</v>
      </c>
      <c r="D686">
        <f>電力量!D687-電力量!D686</f>
        <v>21.099999999998545</v>
      </c>
      <c r="E686">
        <f>電力量!E687-電力量!E686</f>
        <v>0</v>
      </c>
      <c r="F686">
        <f>電力量!F687-電力量!F686</f>
        <v>27</v>
      </c>
      <c r="G686">
        <f>電力量!G687-電力量!G686</f>
        <v>20.599999999998545</v>
      </c>
      <c r="H686">
        <f>電力量!H687-電力量!H686</f>
        <v>12</v>
      </c>
      <c r="I686">
        <f>電力量!I687-電力量!I686</f>
        <v>275</v>
      </c>
      <c r="J686">
        <f>電力量!J687-電力量!J686</f>
        <v>7.6999999999970896</v>
      </c>
      <c r="K686">
        <f>電力量!K687-電力量!K686</f>
        <v>0</v>
      </c>
      <c r="L686">
        <f>電力量!L687-電力量!L686</f>
        <v>28.899999999994179</v>
      </c>
      <c r="M686">
        <f>電力量!M687-電力量!M686</f>
        <v>42.80000000000291</v>
      </c>
      <c r="N686">
        <f>電力量!N687-電力量!N686</f>
        <v>40</v>
      </c>
      <c r="O686">
        <f>電力量!O687-電力量!O686</f>
        <v>17.69999999999709</v>
      </c>
      <c r="P686">
        <f>電力量!P687-電力量!P686</f>
        <v>16</v>
      </c>
      <c r="Q686">
        <f>電力量!Q687-電力量!Q686</f>
        <v>24</v>
      </c>
      <c r="R686">
        <f>電力量!R687-電力量!R686</f>
        <v>0</v>
      </c>
    </row>
    <row r="687" spans="1:18">
      <c r="A687" s="4">
        <f t="shared" ref="A687:A735" si="242">A674+(13/24)</f>
        <v>45900.541666666664</v>
      </c>
      <c r="B687">
        <f>電力量!B688-電力量!B687</f>
        <v>778</v>
      </c>
      <c r="C687">
        <f>電力量!C688-電力量!C687</f>
        <v>205</v>
      </c>
      <c r="D687">
        <f>電力量!D688-電力量!D687</f>
        <v>23.100000000005821</v>
      </c>
      <c r="E687">
        <f>電力量!E688-電力量!E687</f>
        <v>0</v>
      </c>
      <c r="F687">
        <f>電力量!F688-電力量!F687</f>
        <v>31</v>
      </c>
      <c r="G687">
        <f>電力量!G688-電力量!G687</f>
        <v>26.69999999999709</v>
      </c>
      <c r="H687">
        <f>電力量!H688-電力量!H687</f>
        <v>13</v>
      </c>
      <c r="I687">
        <f>電力量!I688-電力量!I687</f>
        <v>293</v>
      </c>
      <c r="J687">
        <f>電力量!J688-電力量!J687</f>
        <v>8.0999999999985448</v>
      </c>
      <c r="K687">
        <f>電力量!K688-電力量!K687</f>
        <v>0</v>
      </c>
      <c r="L687">
        <f>電力量!L688-電力量!L687</f>
        <v>32.600000000005821</v>
      </c>
      <c r="M687">
        <f>電力量!M688-電力量!M687</f>
        <v>41.900000000008731</v>
      </c>
      <c r="N687">
        <f>電力量!N688-電力量!N687</f>
        <v>40.600000000005821</v>
      </c>
      <c r="O687">
        <f>電力量!O688-電力量!O687</f>
        <v>18.80000000000291</v>
      </c>
      <c r="P687">
        <f>電力量!P688-電力量!P687</f>
        <v>15</v>
      </c>
      <c r="Q687">
        <f>電力量!Q688-電力量!Q687</f>
        <v>23</v>
      </c>
      <c r="R687">
        <f>電力量!R688-電力量!R687</f>
        <v>0</v>
      </c>
    </row>
    <row r="688" spans="1:18">
      <c r="A688" s="4">
        <f t="shared" ref="A688:A736" si="243">A674+(14/24)</f>
        <v>45900.583333333336</v>
      </c>
      <c r="B688">
        <f>電力量!B689-電力量!B688</f>
        <v>823</v>
      </c>
      <c r="C688">
        <f>電力量!C689-電力量!C688</f>
        <v>225</v>
      </c>
      <c r="D688">
        <f>電力量!D689-電力量!D688</f>
        <v>22.19999999999709</v>
      </c>
      <c r="E688">
        <f>電力量!E689-電力量!E688</f>
        <v>0</v>
      </c>
      <c r="F688">
        <f>電力量!F689-電力量!F688</f>
        <v>32</v>
      </c>
      <c r="G688">
        <f>電力量!G689-電力量!G688</f>
        <v>43.5</v>
      </c>
      <c r="H688">
        <f>電力量!H689-電力量!H688</f>
        <v>17</v>
      </c>
      <c r="I688">
        <f>電力量!I689-電力量!I688</f>
        <v>285</v>
      </c>
      <c r="J688">
        <f>電力量!J689-電力量!J688</f>
        <v>8.2000000000043656</v>
      </c>
      <c r="K688">
        <f>電力量!K689-電力量!K688</f>
        <v>0</v>
      </c>
      <c r="L688">
        <f>電力量!L689-電力量!L688</f>
        <v>27.19999999999709</v>
      </c>
      <c r="M688">
        <f>電力量!M689-電力量!M688</f>
        <v>43.19999999999709</v>
      </c>
      <c r="N688">
        <f>電力量!N689-電力量!N688</f>
        <v>46.899999999994179</v>
      </c>
      <c r="O688">
        <f>電力量!O689-電力量!O688</f>
        <v>19.69999999999709</v>
      </c>
      <c r="P688">
        <f>電力量!P689-電力量!P688</f>
        <v>8</v>
      </c>
      <c r="Q688">
        <f>電力量!Q689-電力量!Q688</f>
        <v>12</v>
      </c>
      <c r="R688">
        <f>電力量!R689-電力量!R688</f>
        <v>0</v>
      </c>
    </row>
    <row r="689" spans="1:18">
      <c r="A689" s="4">
        <f t="shared" ref="A689:A713" si="244">A674+(15/24)</f>
        <v>45900.625</v>
      </c>
      <c r="B689">
        <f>電力量!B690-電力量!B689</f>
        <v>851</v>
      </c>
      <c r="C689">
        <f>電力量!C690-電力量!C689</f>
        <v>226</v>
      </c>
      <c r="D689">
        <f>電力量!D690-電力量!D689</f>
        <v>27.099999999998545</v>
      </c>
      <c r="E689">
        <f>電力量!E690-電力量!E689</f>
        <v>0</v>
      </c>
      <c r="F689">
        <f>電力量!F690-電力量!F689</f>
        <v>30</v>
      </c>
      <c r="G689">
        <f>電力量!G690-電力量!G689</f>
        <v>50.099999999998545</v>
      </c>
      <c r="H689">
        <f>電力量!H690-電力量!H689</f>
        <v>17</v>
      </c>
      <c r="I689">
        <f>電力量!I690-電力量!I689</f>
        <v>290</v>
      </c>
      <c r="J689">
        <f>電力量!J690-電力量!J689</f>
        <v>7.7999999999956344</v>
      </c>
      <c r="K689">
        <f>電力量!K690-電力量!K689</f>
        <v>0</v>
      </c>
      <c r="L689">
        <f>電力量!L690-電力量!L689</f>
        <v>28.69999999999709</v>
      </c>
      <c r="M689">
        <f>電力量!M690-電力量!M689</f>
        <v>45.80000000000291</v>
      </c>
      <c r="N689">
        <f>電力量!N690-電力量!N689</f>
        <v>48.399999999994179</v>
      </c>
      <c r="O689">
        <f>電力量!O690-電力量!O689</f>
        <v>20.80000000000291</v>
      </c>
      <c r="P689">
        <f>電力量!P690-電力量!P689</f>
        <v>6</v>
      </c>
      <c r="Q689">
        <f>電力量!Q690-電力量!Q689</f>
        <v>10</v>
      </c>
      <c r="R689">
        <f>電力量!R690-電力量!R689</f>
        <v>0</v>
      </c>
    </row>
    <row r="690" spans="1:18">
      <c r="A690" s="4">
        <f t="shared" ref="A690:A714" si="245">A674+(16/24)</f>
        <v>45900.666666666664</v>
      </c>
      <c r="B690">
        <f>電力量!B691-電力量!B690</f>
        <v>822</v>
      </c>
      <c r="C690">
        <f>電力量!C691-電力量!C690</f>
        <v>216</v>
      </c>
      <c r="D690">
        <f>電力量!D691-電力量!D690</f>
        <v>22</v>
      </c>
      <c r="E690">
        <f>電力量!E691-電力量!E690</f>
        <v>0</v>
      </c>
      <c r="F690">
        <f>電力量!F691-電力量!F690</f>
        <v>28</v>
      </c>
      <c r="G690">
        <f>電力量!G691-電力量!G690</f>
        <v>47.30000000000291</v>
      </c>
      <c r="H690">
        <f>電力量!H691-電力量!H690</f>
        <v>15</v>
      </c>
      <c r="I690">
        <f>電力量!I691-電力量!I690</f>
        <v>283</v>
      </c>
      <c r="J690">
        <f>電力量!J691-電力量!J690</f>
        <v>7.6000000000058208</v>
      </c>
      <c r="K690">
        <f>電力量!K691-電力量!K690</f>
        <v>0.39999999999417923</v>
      </c>
      <c r="L690">
        <f>電力量!L691-電力量!L690</f>
        <v>29.19999999999709</v>
      </c>
      <c r="M690">
        <f>電力量!M691-電力量!M690</f>
        <v>45.599999999991269</v>
      </c>
      <c r="N690">
        <f>電力量!N691-電力量!N690</f>
        <v>49.30000000000291</v>
      </c>
      <c r="O690">
        <f>電力量!O691-電力量!O690</f>
        <v>19.30000000000291</v>
      </c>
      <c r="P690">
        <f>電力量!P691-電力量!P690</f>
        <v>6</v>
      </c>
      <c r="Q690">
        <f>電力量!Q691-電力量!Q690</f>
        <v>10</v>
      </c>
      <c r="R690">
        <f>電力量!R691-電力量!R690</f>
        <v>0</v>
      </c>
    </row>
    <row r="691" spans="1:18">
      <c r="A691" s="4">
        <f t="shared" ref="A691:A715" si="246">A674+(17/24)</f>
        <v>45900.708333333336</v>
      </c>
      <c r="B691">
        <f>電力量!B692-電力量!B691</f>
        <v>785</v>
      </c>
      <c r="C691">
        <f>電力量!C692-電力量!C691</f>
        <v>197</v>
      </c>
      <c r="D691">
        <f>電力量!D692-電力量!D691</f>
        <v>17</v>
      </c>
      <c r="E691">
        <f>電力量!E692-電力量!E691</f>
        <v>0</v>
      </c>
      <c r="F691">
        <f>電力量!F692-電力量!F691</f>
        <v>23</v>
      </c>
      <c r="G691">
        <f>電力量!G692-電力量!G691</f>
        <v>57.80000000000291</v>
      </c>
      <c r="H691">
        <f>電力量!H692-電力量!H691</f>
        <v>17</v>
      </c>
      <c r="I691">
        <f>電力量!I692-電力量!I691</f>
        <v>266</v>
      </c>
      <c r="J691">
        <f>電力量!J692-電力量!J691</f>
        <v>7</v>
      </c>
      <c r="K691">
        <f>電力量!K692-電力量!K691</f>
        <v>3.2000000000116415</v>
      </c>
      <c r="L691">
        <f>電力量!L692-電力量!L691</f>
        <v>24</v>
      </c>
      <c r="M691">
        <f>電力量!M692-電力量!M691</f>
        <v>43</v>
      </c>
      <c r="N691">
        <f>電力量!N692-電力量!N691</f>
        <v>54</v>
      </c>
      <c r="O691">
        <f>電力量!O692-電力量!O691</f>
        <v>18.30000000000291</v>
      </c>
      <c r="P691">
        <f>電力量!P692-電力量!P691</f>
        <v>1</v>
      </c>
      <c r="Q691">
        <f>電力量!Q692-電力量!Q691</f>
        <v>0</v>
      </c>
      <c r="R691">
        <f>電力量!R692-電力量!R691</f>
        <v>0</v>
      </c>
    </row>
    <row r="692" spans="1:18">
      <c r="A692" s="4">
        <f t="shared" ref="A692:A716" si="247">A674+(18/24)</f>
        <v>45900.75</v>
      </c>
      <c r="B692">
        <f>電力量!B693-電力量!B692</f>
        <v>752</v>
      </c>
      <c r="C692">
        <f>電力量!C693-電力量!C692</f>
        <v>190</v>
      </c>
      <c r="D692">
        <f>電力量!D693-電力量!D692</f>
        <v>16.099999999998545</v>
      </c>
      <c r="E692">
        <f>電力量!E693-電力量!E692</f>
        <v>0</v>
      </c>
      <c r="F692">
        <f>電力量!F693-電力量!F692</f>
        <v>23</v>
      </c>
      <c r="G692">
        <f>電力量!G693-電力量!G692</f>
        <v>54.19999999999709</v>
      </c>
      <c r="H692">
        <f>電力量!H693-電力量!H692</f>
        <v>13</v>
      </c>
      <c r="I692">
        <f>電力量!I693-電力量!I692</f>
        <v>256</v>
      </c>
      <c r="J692">
        <f>電力量!J693-電力量!J692</f>
        <v>6.6999999999970896</v>
      </c>
      <c r="K692">
        <f>電力量!K693-電力量!K692</f>
        <v>3.6999999999970896</v>
      </c>
      <c r="L692">
        <f>電力量!L693-電力量!L692</f>
        <v>21.69999999999709</v>
      </c>
      <c r="M692">
        <f>電力量!M693-電力量!M692</f>
        <v>40.80000000000291</v>
      </c>
      <c r="N692">
        <f>電力量!N693-電力量!N692</f>
        <v>54.5</v>
      </c>
      <c r="O692">
        <f>電力量!O693-電力量!O692</f>
        <v>16.30000000000291</v>
      </c>
      <c r="P692">
        <f>電力量!P693-電力量!P692</f>
        <v>0</v>
      </c>
      <c r="Q692">
        <f>電力量!Q693-電力量!Q692</f>
        <v>0</v>
      </c>
      <c r="R692">
        <f>電力量!R693-電力量!R692</f>
        <v>0</v>
      </c>
    </row>
    <row r="693" spans="1:18">
      <c r="A693" s="4">
        <f t="shared" ref="A693:A717" si="248">A674+(19/24)</f>
        <v>45900.791666666664</v>
      </c>
      <c r="B693">
        <f>電力量!B694-電力量!B693</f>
        <v>737</v>
      </c>
      <c r="C693">
        <f>電力量!C694-電力量!C693</f>
        <v>186</v>
      </c>
      <c r="D693">
        <f>電力量!D694-電力量!D693</f>
        <v>15.80000000000291</v>
      </c>
      <c r="E693">
        <f>電力量!E694-電力量!E693</f>
        <v>0</v>
      </c>
      <c r="F693">
        <f>電力量!F694-電力量!F693</f>
        <v>23</v>
      </c>
      <c r="G693">
        <f>電力量!G694-電力量!G693</f>
        <v>55.900000000001455</v>
      </c>
      <c r="H693">
        <f>電力量!H694-電力量!H693</f>
        <v>13</v>
      </c>
      <c r="I693">
        <f>電力量!I694-電力量!I693</f>
        <v>246</v>
      </c>
      <c r="J693">
        <f>電力量!J694-電力量!J693</f>
        <v>6.6999999999970896</v>
      </c>
      <c r="K693">
        <f>電力量!K694-電力量!K693</f>
        <v>3.5</v>
      </c>
      <c r="L693">
        <f>電力量!L694-電力量!L693</f>
        <v>22.100000000005821</v>
      </c>
      <c r="M693">
        <f>電力量!M694-電力量!M693</f>
        <v>38.69999999999709</v>
      </c>
      <c r="N693">
        <f>電力量!N694-電力量!N693</f>
        <v>54.80000000000291</v>
      </c>
      <c r="O693">
        <f>電力量!O694-電力量!O693</f>
        <v>19.69999999999709</v>
      </c>
      <c r="P693">
        <f>電力量!P694-電力量!P693</f>
        <v>0</v>
      </c>
      <c r="Q693">
        <f>電力量!Q694-電力量!Q693</f>
        <v>0</v>
      </c>
      <c r="R693">
        <f>電力量!R694-電力量!R693</f>
        <v>0</v>
      </c>
    </row>
    <row r="694" spans="1:18">
      <c r="A694" s="4">
        <f t="shared" ref="A694:A718" si="249">A674+(20/24)</f>
        <v>45900.833333333336</v>
      </c>
      <c r="B694">
        <f>電力量!B695-電力量!B694</f>
        <v>728</v>
      </c>
      <c r="C694">
        <f>電力量!C695-電力量!C694</f>
        <v>183</v>
      </c>
      <c r="D694">
        <f>電力量!D695-電力量!D694</f>
        <v>17.400000000001455</v>
      </c>
      <c r="E694">
        <f>電力量!E695-電力量!E694</f>
        <v>0</v>
      </c>
      <c r="F694">
        <f>電力量!F695-電力量!F694</f>
        <v>25</v>
      </c>
      <c r="G694">
        <f>電力量!G695-電力量!G694</f>
        <v>55.5</v>
      </c>
      <c r="H694">
        <f>電力量!H695-電力量!H694</f>
        <v>12</v>
      </c>
      <c r="I694">
        <f>電力量!I695-電力量!I694</f>
        <v>239</v>
      </c>
      <c r="J694">
        <f>電力量!J695-電力量!J694</f>
        <v>6.5</v>
      </c>
      <c r="K694">
        <f>電力量!K695-電力量!K694</f>
        <v>3.5</v>
      </c>
      <c r="L694">
        <f>電力量!L695-電力量!L694</f>
        <v>22.30000000000291</v>
      </c>
      <c r="M694">
        <f>電力量!M695-電力量!M694</f>
        <v>36.600000000005821</v>
      </c>
      <c r="N694">
        <f>電力量!N695-電力量!N694</f>
        <v>54.69999999999709</v>
      </c>
      <c r="O694">
        <f>電力量!O695-電力量!O694</f>
        <v>19.099999999991269</v>
      </c>
      <c r="P694">
        <f>電力量!P695-電力量!P694</f>
        <v>0</v>
      </c>
      <c r="Q694">
        <f>電力量!Q695-電力量!Q694</f>
        <v>0</v>
      </c>
      <c r="R694">
        <f>電力量!R695-電力量!R694</f>
        <v>0</v>
      </c>
    </row>
    <row r="695" spans="1:18">
      <c r="A695" s="4">
        <f t="shared" ref="A695:A719" si="250">A674+(21/24)</f>
        <v>45900.875</v>
      </c>
      <c r="B695">
        <f>電力量!B696-電力量!B695</f>
        <v>729</v>
      </c>
      <c r="C695">
        <f>電力量!C696-電力量!C695</f>
        <v>187</v>
      </c>
      <c r="D695">
        <f>電力量!D696-電力量!D695</f>
        <v>19.099999999998545</v>
      </c>
      <c r="E695">
        <f>電力量!E696-電力量!E695</f>
        <v>0</v>
      </c>
      <c r="F695">
        <f>電力量!F696-電力量!F695</f>
        <v>27</v>
      </c>
      <c r="G695">
        <f>電力量!G696-電力量!G695</f>
        <v>55.19999999999709</v>
      </c>
      <c r="H695">
        <f>電力量!H696-電力量!H695</f>
        <v>13</v>
      </c>
      <c r="I695">
        <f>電力量!I696-電力量!I695</f>
        <v>231</v>
      </c>
      <c r="J695">
        <f>電力量!J696-電力量!J695</f>
        <v>6.4000000000014552</v>
      </c>
      <c r="K695">
        <f>電力量!K696-電力量!K695</f>
        <v>3.6999999999970896</v>
      </c>
      <c r="L695">
        <f>電力量!L696-電力量!L695</f>
        <v>22.80000000000291</v>
      </c>
      <c r="M695">
        <f>電力量!M696-電力量!M695</f>
        <v>37.69999999999709</v>
      </c>
      <c r="N695">
        <f>電力量!N696-電力量!N695</f>
        <v>55.30000000000291</v>
      </c>
      <c r="O695">
        <f>電力量!O696-電力量!O695</f>
        <v>18.900000000008731</v>
      </c>
      <c r="P695">
        <f>電力量!P696-電力量!P695</f>
        <v>0</v>
      </c>
      <c r="Q695">
        <f>電力量!Q696-電力量!Q695</f>
        <v>0</v>
      </c>
      <c r="R695">
        <f>電力量!R696-電力量!R695</f>
        <v>0</v>
      </c>
    </row>
    <row r="696" spans="1:18">
      <c r="A696" s="4">
        <f t="shared" ref="A696:A720" si="251">A674+(22/24)</f>
        <v>45900.916666666664</v>
      </c>
      <c r="B696">
        <f>電力量!B697-電力量!B696</f>
        <v>722</v>
      </c>
      <c r="C696">
        <f>電力量!C697-電力量!C696</f>
        <v>181</v>
      </c>
      <c r="D696">
        <f>電力量!D697-電力量!D696</f>
        <v>17</v>
      </c>
      <c r="E696">
        <f>電力量!E697-電力量!E696</f>
        <v>0</v>
      </c>
      <c r="F696">
        <f>電力量!F697-電力量!F696</f>
        <v>24</v>
      </c>
      <c r="G696">
        <f>電力量!G697-電力量!G696</f>
        <v>55.700000000004366</v>
      </c>
      <c r="H696">
        <f>電力量!H697-電力量!H696</f>
        <v>12</v>
      </c>
      <c r="I696">
        <f>電力量!I697-電力量!I696</f>
        <v>230</v>
      </c>
      <c r="J696">
        <f>電力量!J697-電力量!J696</f>
        <v>6.8000000000029104</v>
      </c>
      <c r="K696">
        <f>電力量!K697-電力量!K696</f>
        <v>3.6000000000058208</v>
      </c>
      <c r="L696">
        <f>電力量!L697-電力量!L696</f>
        <v>23.5</v>
      </c>
      <c r="M696">
        <f>電力量!M697-電力量!M696</f>
        <v>38.399999999994179</v>
      </c>
      <c r="N696">
        <f>電力量!N697-電力量!N696</f>
        <v>55</v>
      </c>
      <c r="O696">
        <f>電力量!O697-電力量!O696</f>
        <v>19.80000000000291</v>
      </c>
      <c r="P696">
        <f>電力量!P697-電力量!P696</f>
        <v>0</v>
      </c>
      <c r="Q696">
        <f>電力量!Q697-電力量!Q696</f>
        <v>0</v>
      </c>
      <c r="R696">
        <f>電力量!R697-電力量!R696</f>
        <v>0</v>
      </c>
    </row>
    <row r="697" spans="1:18">
      <c r="A697" s="4">
        <f t="shared" ref="A697:A721" si="252">A674+(23/24)</f>
        <v>45900.958333333336</v>
      </c>
      <c r="B697">
        <f>電力量!B698-電力量!B697</f>
        <v>720</v>
      </c>
      <c r="C697">
        <f>電力量!C698-電力量!C697</f>
        <v>182</v>
      </c>
      <c r="D697">
        <f>電力量!D698-電力量!D697</f>
        <v>16.5</v>
      </c>
      <c r="E697">
        <f>電力量!E698-電力量!E697</f>
        <v>0</v>
      </c>
      <c r="F697">
        <f>電力量!F698-電力量!F697</f>
        <v>24</v>
      </c>
      <c r="G697">
        <f>電力量!G698-電力量!G697</f>
        <v>56.299999999995634</v>
      </c>
      <c r="H697">
        <f>電力量!H698-電力量!H697</f>
        <v>13</v>
      </c>
      <c r="I697">
        <f>電力量!I698-電力量!I697</f>
        <v>228</v>
      </c>
      <c r="J697">
        <f>電力量!J698-電力量!J697</f>
        <v>6.4000000000014552</v>
      </c>
      <c r="K697">
        <f>電力量!K698-電力量!K697</f>
        <v>4.0999999999912689</v>
      </c>
      <c r="L697">
        <f>電力量!L698-電力量!L697</f>
        <v>23.799999999988358</v>
      </c>
      <c r="M697">
        <f>電力量!M698-電力量!M697</f>
        <v>40.600000000005821</v>
      </c>
      <c r="N697">
        <f>電力量!N698-電力量!N697</f>
        <v>54.30000000000291</v>
      </c>
      <c r="O697">
        <f>電力量!O698-電力量!O697</f>
        <v>19.299999999988358</v>
      </c>
      <c r="P697">
        <f>電力量!P698-電力量!P697</f>
        <v>0</v>
      </c>
      <c r="Q697">
        <f>電力量!Q698-電力量!Q697</f>
        <v>0</v>
      </c>
      <c r="R697">
        <f>電力量!R698-電力量!R697</f>
        <v>0</v>
      </c>
    </row>
    <row r="698" spans="1:18">
      <c r="A698" s="4">
        <v>45901</v>
      </c>
      <c r="B698">
        <f>電力量!B699-電力量!B698</f>
        <v>709</v>
      </c>
      <c r="C698">
        <f>電力量!C699-電力量!C698</f>
        <v>177</v>
      </c>
      <c r="D698">
        <f>電力量!D699-電力量!D698</f>
        <v>18.900000000001455</v>
      </c>
      <c r="E698">
        <f>電力量!E699-電力量!E698</f>
        <v>0</v>
      </c>
      <c r="F698">
        <f>電力量!F699-電力量!F698</f>
        <v>24</v>
      </c>
      <c r="G698">
        <f>電力量!G699-電力量!G698</f>
        <v>54.700000000004366</v>
      </c>
      <c r="H698">
        <f>電力量!H699-電力量!H698</f>
        <v>13</v>
      </c>
      <c r="I698">
        <f>電力量!I699-電力量!I698</f>
        <v>225</v>
      </c>
      <c r="J698">
        <f>電力量!J699-電力量!J698</f>
        <v>6.6999999999970896</v>
      </c>
      <c r="K698">
        <f>電力量!K699-電力量!K698</f>
        <v>3.5</v>
      </c>
      <c r="L698">
        <f>電力量!L699-電力量!L698</f>
        <v>23.700000000011642</v>
      </c>
      <c r="M698">
        <f>電力量!M699-電力量!M698</f>
        <v>38.600000000005821</v>
      </c>
      <c r="N698">
        <f>電力量!N699-電力量!N698</f>
        <v>55.099999999991269</v>
      </c>
      <c r="O698">
        <f>電力量!O699-電力量!O698</f>
        <v>17.5</v>
      </c>
      <c r="P698">
        <f>電力量!P699-電力量!P698</f>
        <v>0</v>
      </c>
      <c r="Q698">
        <f>電力量!Q699-電力量!Q698</f>
        <v>0</v>
      </c>
      <c r="R698">
        <f>電力量!R699-電力量!R698</f>
        <v>0</v>
      </c>
    </row>
    <row r="699" spans="1:18">
      <c r="A699" s="4">
        <f t="shared" si="230"/>
        <v>45901.041666666664</v>
      </c>
      <c r="B699">
        <f>電力量!B700-電力量!B699</f>
        <v>676</v>
      </c>
      <c r="C699">
        <f>電力量!C700-電力量!C699</f>
        <v>160</v>
      </c>
      <c r="D699">
        <f>電力量!D700-電力量!D699</f>
        <v>15.5</v>
      </c>
      <c r="E699">
        <f>電力量!E700-電力量!E699</f>
        <v>0</v>
      </c>
      <c r="F699">
        <f>電力量!F700-電力量!F699</f>
        <v>22</v>
      </c>
      <c r="G699">
        <f>電力量!G700-電力量!G699</f>
        <v>54</v>
      </c>
      <c r="H699">
        <f>電力量!H700-電力量!H699</f>
        <v>12</v>
      </c>
      <c r="I699">
        <f>電力量!I700-電力量!I699</f>
        <v>216</v>
      </c>
      <c r="J699">
        <f>電力量!J700-電力量!J699</f>
        <v>6.4000000000014552</v>
      </c>
      <c r="K699">
        <f>電力量!K700-電力量!K699</f>
        <v>3.6000000000058208</v>
      </c>
      <c r="L699">
        <f>電力量!L700-電力量!L699</f>
        <v>23.5</v>
      </c>
      <c r="M699">
        <f>電力量!M700-電力量!M699</f>
        <v>37.19999999999709</v>
      </c>
      <c r="N699">
        <f>電力量!N700-電力量!N699</f>
        <v>54.5</v>
      </c>
      <c r="O699">
        <f>電力量!O700-電力量!O699</f>
        <v>20.400000000008731</v>
      </c>
      <c r="P699">
        <f>電力量!P700-電力量!P699</f>
        <v>0</v>
      </c>
      <c r="Q699">
        <f>電力量!Q700-電力量!Q699</f>
        <v>0</v>
      </c>
      <c r="R699">
        <f>電力量!R700-電力量!R699</f>
        <v>0</v>
      </c>
    </row>
    <row r="700" spans="1:18">
      <c r="A700" s="4">
        <f t="shared" si="231"/>
        <v>45901.083333333336</v>
      </c>
      <c r="B700">
        <f>電力量!B701-電力量!B700</f>
        <v>678</v>
      </c>
      <c r="C700">
        <f>電力量!C701-電力量!C700</f>
        <v>174</v>
      </c>
      <c r="D700">
        <f>電力量!D701-電力量!D700</f>
        <v>13.799999999995634</v>
      </c>
      <c r="E700">
        <f>電力量!E701-電力量!E700</f>
        <v>0</v>
      </c>
      <c r="F700">
        <f>電力量!F701-電力量!F700</f>
        <v>22</v>
      </c>
      <c r="G700">
        <f>電力量!G701-電力量!G700</f>
        <v>50.599999999998545</v>
      </c>
      <c r="H700">
        <f>電力量!H701-電力量!H700</f>
        <v>12</v>
      </c>
      <c r="I700">
        <f>電力量!I701-電力量!I700</f>
        <v>213</v>
      </c>
      <c r="J700">
        <f>電力量!J701-電力量!J700</f>
        <v>6.0999999999985448</v>
      </c>
      <c r="K700">
        <f>電力量!K701-電力量!K700</f>
        <v>3.3999999999941792</v>
      </c>
      <c r="L700">
        <f>電力量!L701-電力量!L700</f>
        <v>22.899999999994179</v>
      </c>
      <c r="M700">
        <f>電力量!M701-電力量!M700</f>
        <v>37.599999999991269</v>
      </c>
      <c r="N700">
        <f>電力量!N701-電力量!N700</f>
        <v>54.600000000005821</v>
      </c>
      <c r="O700">
        <f>電力量!O701-電力量!O700</f>
        <v>18.599999999991269</v>
      </c>
      <c r="P700">
        <f>電力量!P701-電力量!P700</f>
        <v>0</v>
      </c>
      <c r="Q700">
        <f>電力量!Q701-電力量!Q700</f>
        <v>0</v>
      </c>
      <c r="R700">
        <f>電力量!R701-電力量!R700</f>
        <v>0</v>
      </c>
    </row>
    <row r="701" spans="1:18">
      <c r="A701" s="4">
        <f t="shared" si="232"/>
        <v>45901.125</v>
      </c>
      <c r="B701">
        <f>電力量!B702-電力量!B701</f>
        <v>681</v>
      </c>
      <c r="C701">
        <f>電力量!C702-電力量!C701</f>
        <v>177</v>
      </c>
      <c r="D701">
        <f>電力量!D702-電力量!D701</f>
        <v>14.600000000005821</v>
      </c>
      <c r="E701">
        <f>電力量!E702-電力量!E701</f>
        <v>0</v>
      </c>
      <c r="F701">
        <f>電力量!F702-電力量!F701</f>
        <v>21</v>
      </c>
      <c r="G701">
        <f>電力量!G702-電力量!G701</f>
        <v>51.5</v>
      </c>
      <c r="H701">
        <f>電力量!H702-電力量!H701</f>
        <v>13</v>
      </c>
      <c r="I701">
        <f>電力量!I702-電力量!I701</f>
        <v>213</v>
      </c>
      <c r="J701">
        <f>電力量!J702-電力量!J701</f>
        <v>6.4000000000014552</v>
      </c>
      <c r="K701">
        <f>電力量!K702-電力量!K701</f>
        <v>3.5</v>
      </c>
      <c r="L701">
        <f>電力量!L702-電力量!L701</f>
        <v>21.69999999999709</v>
      </c>
      <c r="M701">
        <f>電力量!M702-電力量!M701</f>
        <v>37</v>
      </c>
      <c r="N701">
        <f>電力量!N702-電力量!N701</f>
        <v>54.899999999994179</v>
      </c>
      <c r="O701">
        <f>電力量!O702-電力量!O701</f>
        <v>19.5</v>
      </c>
      <c r="P701">
        <f>電力量!P702-電力量!P701</f>
        <v>0</v>
      </c>
      <c r="Q701">
        <f>電力量!Q702-電力量!Q701</f>
        <v>0</v>
      </c>
      <c r="R701">
        <f>電力量!R702-電力量!R701</f>
        <v>0</v>
      </c>
    </row>
    <row r="702" spans="1:18">
      <c r="A702" s="4">
        <f t="shared" si="233"/>
        <v>45901.166666666664</v>
      </c>
      <c r="B702">
        <f>電力量!B703-電力量!B702</f>
        <v>675</v>
      </c>
      <c r="C702">
        <f>電力量!C703-電力量!C702</f>
        <v>177</v>
      </c>
      <c r="D702">
        <f>電力量!D703-電力量!D702</f>
        <v>14.399999999994179</v>
      </c>
      <c r="E702">
        <f>電力量!E703-電力量!E702</f>
        <v>0</v>
      </c>
      <c r="F702">
        <f>電力量!F703-電力量!F702</f>
        <v>20</v>
      </c>
      <c r="G702">
        <f>電力量!G703-電力量!G702</f>
        <v>50.799999999995634</v>
      </c>
      <c r="H702">
        <f>電力量!H703-電力量!H702</f>
        <v>12</v>
      </c>
      <c r="I702">
        <f>電力量!I703-電力量!I702</f>
        <v>208</v>
      </c>
      <c r="J702">
        <f>電力量!J703-電力量!J702</f>
        <v>5.9000000000014552</v>
      </c>
      <c r="K702">
        <f>電力量!K703-電力量!K702</f>
        <v>3.4000000000087311</v>
      </c>
      <c r="L702">
        <f>電力量!L703-電力量!L702</f>
        <v>19.69999999999709</v>
      </c>
      <c r="M702">
        <f>電力量!M703-電力量!M702</f>
        <v>37.900000000008731</v>
      </c>
      <c r="N702">
        <f>電力量!N703-電力量!N702</f>
        <v>54.80000000000291</v>
      </c>
      <c r="O702">
        <f>電力量!O703-電力量!O702</f>
        <v>19.5</v>
      </c>
      <c r="P702">
        <f>電力量!P703-電力量!P702</f>
        <v>0</v>
      </c>
      <c r="Q702">
        <f>電力量!Q703-電力量!Q702</f>
        <v>0</v>
      </c>
      <c r="R702">
        <f>電力量!R703-電力量!R702</f>
        <v>0</v>
      </c>
    </row>
    <row r="703" spans="1:18">
      <c r="A703" s="4">
        <f t="shared" si="234"/>
        <v>45901.208333333336</v>
      </c>
      <c r="B703">
        <f>電力量!B704-電力量!B703</f>
        <v>678</v>
      </c>
      <c r="C703">
        <f>電力量!C704-電力量!C703</f>
        <v>177</v>
      </c>
      <c r="D703">
        <f>電力量!D704-電力量!D703</f>
        <v>16.5</v>
      </c>
      <c r="E703">
        <f>電力量!E704-電力量!E703</f>
        <v>0</v>
      </c>
      <c r="F703">
        <f>電力量!F704-電力量!F703</f>
        <v>21</v>
      </c>
      <c r="G703">
        <f>電力量!G704-電力量!G703</f>
        <v>50.700000000004366</v>
      </c>
      <c r="H703">
        <f>電力量!H704-電力量!H703</f>
        <v>12</v>
      </c>
      <c r="I703">
        <f>電力量!I704-電力量!I703</f>
        <v>211</v>
      </c>
      <c r="J703">
        <f>電力量!J704-電力量!J703</f>
        <v>6.0999999999985448</v>
      </c>
      <c r="K703">
        <f>電力量!K704-電力量!K703</f>
        <v>3.5</v>
      </c>
      <c r="L703">
        <f>電力量!L704-電力量!L703</f>
        <v>19.100000000005821</v>
      </c>
      <c r="M703">
        <f>電力量!M704-電力量!M703</f>
        <v>38.5</v>
      </c>
      <c r="N703">
        <f>電力量!N704-電力量!N703</f>
        <v>54.5</v>
      </c>
      <c r="O703">
        <f>電力量!O704-電力量!O703</f>
        <v>20.30000000000291</v>
      </c>
      <c r="P703">
        <f>電力量!P704-電力量!P703</f>
        <v>0</v>
      </c>
      <c r="Q703">
        <f>電力量!Q704-電力量!Q703</f>
        <v>0</v>
      </c>
      <c r="R703">
        <f>電力量!R704-電力量!R703</f>
        <v>0</v>
      </c>
    </row>
    <row r="704" spans="1:18">
      <c r="A704" s="4">
        <f t="shared" si="235"/>
        <v>45901.25</v>
      </c>
      <c r="B704">
        <f>電力量!B705-電力量!B704</f>
        <v>690</v>
      </c>
      <c r="C704">
        <f>電力量!C705-電力量!C704</f>
        <v>181</v>
      </c>
      <c r="D704">
        <f>電力量!D705-電力量!D704</f>
        <v>16.30000000000291</v>
      </c>
      <c r="E704">
        <f>電力量!E705-電力量!E704</f>
        <v>0</v>
      </c>
      <c r="F704">
        <f>電力量!F705-電力量!F704</f>
        <v>20</v>
      </c>
      <c r="G704">
        <f>電力量!G705-電力量!G704</f>
        <v>49.799999999995634</v>
      </c>
      <c r="H704">
        <f>電力量!H705-電力量!H704</f>
        <v>13</v>
      </c>
      <c r="I704">
        <f>電力量!I705-電力量!I704</f>
        <v>214</v>
      </c>
      <c r="J704">
        <f>電力量!J705-電力量!J704</f>
        <v>6</v>
      </c>
      <c r="K704">
        <f>電力量!K705-電力量!K704</f>
        <v>3</v>
      </c>
      <c r="L704">
        <f>電力量!L705-電力量!L704</f>
        <v>21.80000000000291</v>
      </c>
      <c r="M704">
        <f>電力量!M705-電力量!M704</f>
        <v>36.399999999994179</v>
      </c>
      <c r="N704">
        <f>電力量!N705-電力量!N704</f>
        <v>54.5</v>
      </c>
      <c r="O704">
        <f>電力量!O705-電力量!O704</f>
        <v>21.900000000008731</v>
      </c>
      <c r="P704">
        <f>電力量!P705-電力量!P704</f>
        <v>0</v>
      </c>
      <c r="Q704">
        <f>電力量!Q705-電力量!Q704</f>
        <v>1</v>
      </c>
      <c r="R704">
        <f>電力量!R705-電力量!R704</f>
        <v>0</v>
      </c>
    </row>
    <row r="705" spans="1:18">
      <c r="A705" s="4">
        <f t="shared" si="236"/>
        <v>45901.291666666664</v>
      </c>
      <c r="B705">
        <f>電力量!B706-電力量!B705</f>
        <v>730</v>
      </c>
      <c r="C705">
        <f>電力量!C706-電力量!C705</f>
        <v>193</v>
      </c>
      <c r="D705">
        <f>電力量!D706-電力量!D705</f>
        <v>17.69999999999709</v>
      </c>
      <c r="E705">
        <f>電力量!E706-電力量!E705</f>
        <v>0</v>
      </c>
      <c r="F705">
        <f>電力量!F706-電力量!F705</f>
        <v>21</v>
      </c>
      <c r="G705">
        <f>電力量!G706-電力量!G705</f>
        <v>49.5</v>
      </c>
      <c r="H705">
        <f>電力量!H706-電力量!H705</f>
        <v>12</v>
      </c>
      <c r="I705">
        <f>電力量!I706-電力量!I705</f>
        <v>230</v>
      </c>
      <c r="J705">
        <f>電力量!J706-電力量!J705</f>
        <v>6.2999999999956344</v>
      </c>
      <c r="K705">
        <f>電力量!K706-電力量!K705</f>
        <v>1.1999999999970896</v>
      </c>
      <c r="L705">
        <f>電力量!L706-電力量!L705</f>
        <v>24.099999999991269</v>
      </c>
      <c r="M705">
        <f>電力量!M706-電力量!M705</f>
        <v>37.100000000005821</v>
      </c>
      <c r="N705">
        <f>電力量!N706-電力量!N705</f>
        <v>51.400000000008731</v>
      </c>
      <c r="O705">
        <f>電力量!O706-電力量!O705</f>
        <v>25</v>
      </c>
      <c r="P705">
        <f>電力量!P706-電力量!P705</f>
        <v>1</v>
      </c>
      <c r="Q705">
        <f>電力量!Q706-電力量!Q705</f>
        <v>3</v>
      </c>
      <c r="R705">
        <f>電力量!R706-電力量!R705</f>
        <v>0</v>
      </c>
    </row>
    <row r="706" spans="1:18">
      <c r="A706" s="4">
        <f t="shared" si="237"/>
        <v>45901.333333333336</v>
      </c>
      <c r="B706">
        <f>電力量!B707-電力量!B706</f>
        <v>875</v>
      </c>
      <c r="C706">
        <f>電力量!C707-電力量!C706</f>
        <v>243</v>
      </c>
      <c r="D706">
        <f>電力量!D707-電力量!D706</f>
        <v>19.700000000004366</v>
      </c>
      <c r="E706">
        <f>電力量!E707-電力量!E706</f>
        <v>0</v>
      </c>
      <c r="F706">
        <f>電力量!F707-電力量!F706</f>
        <v>28</v>
      </c>
      <c r="G706">
        <f>電力量!G707-電力量!G706</f>
        <v>49.5</v>
      </c>
      <c r="H706">
        <f>電力量!H707-電力量!H706</f>
        <v>12</v>
      </c>
      <c r="I706">
        <f>電力量!I707-電力量!I706</f>
        <v>278</v>
      </c>
      <c r="J706">
        <f>電力量!J707-電力量!J706</f>
        <v>6.8000000000029104</v>
      </c>
      <c r="K706">
        <f>電力量!K707-電力量!K706</f>
        <v>0.30000000000291038</v>
      </c>
      <c r="L706">
        <f>電力量!L707-電力量!L706</f>
        <v>31.100000000005821</v>
      </c>
      <c r="M706">
        <f>電力量!M707-電力量!M706</f>
        <v>49.5</v>
      </c>
      <c r="N706">
        <f>電力量!N707-電力量!N706</f>
        <v>50.19999999999709</v>
      </c>
      <c r="O706">
        <f>電力量!O707-電力量!O706</f>
        <v>35.399999999994179</v>
      </c>
      <c r="P706">
        <f>電力量!P707-電力量!P706</f>
        <v>6</v>
      </c>
      <c r="Q706">
        <f>電力量!Q707-電力量!Q706</f>
        <v>10</v>
      </c>
      <c r="R706">
        <f>電力量!R707-電力量!R706</f>
        <v>0</v>
      </c>
    </row>
    <row r="707" spans="1:18">
      <c r="A707" s="4">
        <f t="shared" si="238"/>
        <v>45901.375</v>
      </c>
      <c r="B707">
        <f>電力量!B708-電力量!B707</f>
        <v>1125</v>
      </c>
      <c r="C707">
        <f>電力量!C708-電力量!C707</f>
        <v>339</v>
      </c>
      <c r="D707">
        <f>電力量!D708-電力量!D707</f>
        <v>27.19999999999709</v>
      </c>
      <c r="E707">
        <f>電力量!E708-電力量!E707</f>
        <v>0</v>
      </c>
      <c r="F707">
        <f>電力量!F708-電力量!F707</f>
        <v>34</v>
      </c>
      <c r="G707">
        <f>電力量!G708-電力量!G707</f>
        <v>59.80000000000291</v>
      </c>
      <c r="H707">
        <f>電力量!H708-電力量!H707</f>
        <v>15</v>
      </c>
      <c r="I707">
        <f>電力量!I708-電力量!I707</f>
        <v>354</v>
      </c>
      <c r="J707">
        <f>電力量!J708-電力量!J707</f>
        <v>7.0999999999985448</v>
      </c>
      <c r="K707">
        <f>電力量!K708-電力量!K707</f>
        <v>0.5</v>
      </c>
      <c r="L707">
        <f>電力量!L708-電力量!L707</f>
        <v>41.69999999999709</v>
      </c>
      <c r="M707">
        <f>電力量!M708-電力量!M707</f>
        <v>56.19999999999709</v>
      </c>
      <c r="N707">
        <f>電力量!N708-電力量!N707</f>
        <v>51.599999999991269</v>
      </c>
      <c r="O707">
        <f>電力量!O708-電力量!O707</f>
        <v>52</v>
      </c>
      <c r="P707">
        <f>電力量!P708-電力量!P707</f>
        <v>10</v>
      </c>
      <c r="Q707">
        <f>電力量!Q708-電力量!Q707</f>
        <v>15</v>
      </c>
      <c r="R707">
        <f>電力量!R708-電力量!R707</f>
        <v>0</v>
      </c>
    </row>
    <row r="708" spans="1:18">
      <c r="A708" s="4">
        <f t="shared" si="239"/>
        <v>45901.416666666664</v>
      </c>
      <c r="B708">
        <f>電力量!B709-電力量!B708</f>
        <v>1318</v>
      </c>
      <c r="C708">
        <f>電力量!C709-電力量!C708</f>
        <v>373</v>
      </c>
      <c r="D708">
        <f>電力量!D709-電力量!D708</f>
        <v>31.700000000004366</v>
      </c>
      <c r="E708">
        <f>電力量!E709-電力量!E708</f>
        <v>0</v>
      </c>
      <c r="F708">
        <f>電力量!F709-電力量!F708</f>
        <v>55</v>
      </c>
      <c r="G708">
        <f>電力量!G709-電力量!G708</f>
        <v>76.69999999999709</v>
      </c>
      <c r="H708">
        <f>電力量!H709-電力量!H708</f>
        <v>17</v>
      </c>
      <c r="I708">
        <f>電力量!I709-電力量!I708</f>
        <v>430</v>
      </c>
      <c r="J708">
        <f>電力量!J709-電力量!J708</f>
        <v>12</v>
      </c>
      <c r="K708">
        <f>電力量!K709-電力量!K708</f>
        <v>0</v>
      </c>
      <c r="L708">
        <f>電力量!L709-電力量!L708</f>
        <v>49.5</v>
      </c>
      <c r="M708">
        <f>電力量!M709-電力量!M708</f>
        <v>63.30000000000291</v>
      </c>
      <c r="N708">
        <f>電力量!N709-電力量!N708</f>
        <v>50.200000000011642</v>
      </c>
      <c r="O708">
        <f>電力量!O709-電力量!O708</f>
        <v>69.5</v>
      </c>
      <c r="P708">
        <f>電力量!P709-電力量!P708</f>
        <v>13</v>
      </c>
      <c r="Q708">
        <f>電力量!Q709-電力量!Q708</f>
        <v>20</v>
      </c>
      <c r="R708">
        <f>電力量!R709-電力量!R708</f>
        <v>0</v>
      </c>
    </row>
    <row r="709" spans="1:18">
      <c r="A709" s="4">
        <f t="shared" si="240"/>
        <v>45901.458333333336</v>
      </c>
      <c r="B709">
        <f>電力量!B710-電力量!B709</f>
        <v>1349</v>
      </c>
      <c r="C709">
        <f>電力量!C710-電力量!C709</f>
        <v>377</v>
      </c>
      <c r="D709">
        <f>電力量!D710-電力量!D709</f>
        <v>38.599999999998545</v>
      </c>
      <c r="E709">
        <f>電力量!E710-電力量!E709</f>
        <v>0</v>
      </c>
      <c r="F709">
        <f>電力量!F710-電力量!F709</f>
        <v>53</v>
      </c>
      <c r="G709">
        <f>電力量!G710-電力量!G709</f>
        <v>81.600000000005821</v>
      </c>
      <c r="H709">
        <f>電力量!H710-電力量!H709</f>
        <v>17</v>
      </c>
      <c r="I709">
        <f>電力量!I710-電力量!I709</f>
        <v>460</v>
      </c>
      <c r="J709">
        <f>電力量!J710-電力量!J709</f>
        <v>13.30000000000291</v>
      </c>
      <c r="K709">
        <f>電力量!K710-電力量!K709</f>
        <v>0</v>
      </c>
      <c r="L709">
        <f>電力量!L710-電力量!L709</f>
        <v>44.400000000008731</v>
      </c>
      <c r="M709">
        <f>電力量!M710-電力量!M709</f>
        <v>62.80000000000291</v>
      </c>
      <c r="N709">
        <f>電力量!N710-電力量!N709</f>
        <v>50.599999999991269</v>
      </c>
      <c r="O709">
        <f>電力量!O710-電力量!O709</f>
        <v>67.399999999994179</v>
      </c>
      <c r="P709">
        <f>電力量!P710-電力量!P709</f>
        <v>15</v>
      </c>
      <c r="Q709">
        <f>電力量!Q710-電力量!Q709</f>
        <v>23</v>
      </c>
      <c r="R709">
        <f>電力量!R710-電力量!R709</f>
        <v>0</v>
      </c>
    </row>
    <row r="710" spans="1:18">
      <c r="A710" s="4">
        <f t="shared" si="241"/>
        <v>45901.5</v>
      </c>
      <c r="B710">
        <f>電力量!B711-電力量!B710</f>
        <v>1386</v>
      </c>
      <c r="C710">
        <f>電力量!C711-電力量!C710</f>
        <v>381</v>
      </c>
      <c r="D710">
        <f>電力量!D711-電力量!D710</f>
        <v>44.900000000001455</v>
      </c>
      <c r="E710">
        <f>電力量!E711-電力量!E710</f>
        <v>0</v>
      </c>
      <c r="F710">
        <f>電力量!F711-電力量!F710</f>
        <v>56</v>
      </c>
      <c r="G710">
        <f>電力量!G711-電力量!G710</f>
        <v>80.69999999999709</v>
      </c>
      <c r="H710">
        <f>電力量!H711-電力量!H710</f>
        <v>14</v>
      </c>
      <c r="I710">
        <f>電力量!I711-電力量!I710</f>
        <v>483</v>
      </c>
      <c r="J710">
        <f>電力量!J711-電力量!J710</f>
        <v>11.69999999999709</v>
      </c>
      <c r="K710">
        <f>電力量!K711-電力量!K710</f>
        <v>0.19999999999708962</v>
      </c>
      <c r="L710">
        <f>電力量!L711-電力量!L710</f>
        <v>46.399999999994179</v>
      </c>
      <c r="M710">
        <f>電力量!M711-電力量!M710</f>
        <v>64</v>
      </c>
      <c r="N710">
        <f>電力量!N711-電力量!N710</f>
        <v>49.69999999999709</v>
      </c>
      <c r="O710">
        <f>電力量!O711-電力量!O710</f>
        <v>69.5</v>
      </c>
      <c r="P710">
        <f>電力量!P711-電力量!P710</f>
        <v>16</v>
      </c>
      <c r="Q710">
        <f>電力量!Q711-電力量!Q710</f>
        <v>25</v>
      </c>
      <c r="R710">
        <f>電力量!R711-電力量!R710</f>
        <v>0</v>
      </c>
    </row>
    <row r="711" spans="1:18">
      <c r="A711" s="4">
        <f t="shared" si="242"/>
        <v>45901.541666666664</v>
      </c>
      <c r="B711">
        <f>電力量!B712-電力量!B711</f>
        <v>1458</v>
      </c>
      <c r="C711">
        <f>電力量!C712-電力量!C711</f>
        <v>391</v>
      </c>
      <c r="D711">
        <f>電力量!D712-電力量!D711</f>
        <v>45.099999999998545</v>
      </c>
      <c r="E711">
        <f>電力量!E712-電力量!E711</f>
        <v>0</v>
      </c>
      <c r="F711">
        <f>電力量!F712-電力量!F711</f>
        <v>53</v>
      </c>
      <c r="G711">
        <f>電力量!G712-電力量!G711</f>
        <v>94</v>
      </c>
      <c r="H711">
        <f>電力量!H712-電力量!H711</f>
        <v>46</v>
      </c>
      <c r="I711">
        <f>電力量!I712-電力量!I711</f>
        <v>481</v>
      </c>
      <c r="J711">
        <f>電力量!J712-電力量!J711</f>
        <v>11.200000000004366</v>
      </c>
      <c r="K711">
        <f>電力量!K712-電力量!K711</f>
        <v>0</v>
      </c>
      <c r="L711">
        <f>電力量!L712-電力量!L711</f>
        <v>52.600000000005821</v>
      </c>
      <c r="M711">
        <f>電力量!M712-電力量!M711</f>
        <v>73.299999999988358</v>
      </c>
      <c r="N711">
        <f>電力量!N712-電力量!N711</f>
        <v>44.700000000011642</v>
      </c>
      <c r="O711">
        <f>電力量!O712-電力量!O711</f>
        <v>73.30000000000291</v>
      </c>
      <c r="P711">
        <f>電力量!P712-電力量!P711</f>
        <v>17</v>
      </c>
      <c r="Q711">
        <f>電力量!Q712-電力量!Q711</f>
        <v>24</v>
      </c>
      <c r="R711">
        <f>電力量!R712-電力量!R711</f>
        <v>0</v>
      </c>
    </row>
    <row r="712" spans="1:18">
      <c r="A712" s="4">
        <f t="shared" si="243"/>
        <v>45901.583333333336</v>
      </c>
      <c r="B712">
        <f>電力量!B713-電力量!B712</f>
        <v>1464</v>
      </c>
      <c r="C712">
        <f>電力量!C713-電力量!C712</f>
        <v>417</v>
      </c>
      <c r="D712">
        <f>電力量!D713-電力量!D712</f>
        <v>37.400000000001455</v>
      </c>
      <c r="E712">
        <f>電力量!E713-電力量!E712</f>
        <v>0</v>
      </c>
      <c r="F712">
        <f>電力量!F713-電力量!F712</f>
        <v>53</v>
      </c>
      <c r="G712">
        <f>電力量!G713-電力量!G712</f>
        <v>105.80000000000291</v>
      </c>
      <c r="H712">
        <f>電力量!H713-電力量!H712</f>
        <v>23</v>
      </c>
      <c r="I712">
        <f>電力量!I713-電力量!I712</f>
        <v>482</v>
      </c>
      <c r="J712">
        <f>電力量!J713-電力量!J712</f>
        <v>14.799999999995634</v>
      </c>
      <c r="K712">
        <f>電力量!K713-電力量!K712</f>
        <v>1.0999999999912689</v>
      </c>
      <c r="L712">
        <f>電力量!L713-電力量!L712</f>
        <v>52</v>
      </c>
      <c r="M712">
        <f>電力量!M713-電力量!M712</f>
        <v>79.80000000000291</v>
      </c>
      <c r="N712">
        <f>電力量!N713-電力量!N712</f>
        <v>48.899999999994179</v>
      </c>
      <c r="O712">
        <f>電力量!O713-電力量!O712</f>
        <v>56.900000000008731</v>
      </c>
      <c r="P712">
        <f>電力量!P713-電力量!P712</f>
        <v>13</v>
      </c>
      <c r="Q712">
        <f>電力量!Q713-電力量!Q712</f>
        <v>21</v>
      </c>
      <c r="R712">
        <f>電力量!R713-電力量!R712</f>
        <v>0</v>
      </c>
    </row>
    <row r="713" spans="1:18">
      <c r="A713" s="4">
        <f t="shared" si="244"/>
        <v>45901.625</v>
      </c>
      <c r="B713">
        <f>電力量!B714-電力量!B713</f>
        <v>1416</v>
      </c>
      <c r="C713">
        <f>電力量!C714-電力量!C713</f>
        <v>412</v>
      </c>
      <c r="D713">
        <f>電力量!D714-電力量!D713</f>
        <v>35.5</v>
      </c>
      <c r="E713">
        <f>電力量!E714-電力量!E713</f>
        <v>0</v>
      </c>
      <c r="F713">
        <f>電力量!F714-電力量!F713</f>
        <v>51</v>
      </c>
      <c r="G713">
        <f>電力量!G714-電力量!G713</f>
        <v>100.29999999999563</v>
      </c>
      <c r="H713">
        <f>電力量!H714-電力量!H713</f>
        <v>15</v>
      </c>
      <c r="I713">
        <f>電力量!I714-電力量!I713</f>
        <v>491</v>
      </c>
      <c r="J713">
        <f>電力量!J714-電力量!J713</f>
        <v>16.400000000001455</v>
      </c>
      <c r="K713">
        <f>電力量!K714-電力量!K713</f>
        <v>0</v>
      </c>
      <c r="L713">
        <f>電力量!L714-電力量!L713</f>
        <v>49.799999999988358</v>
      </c>
      <c r="M713">
        <f>電力量!M714-電力量!M713</f>
        <v>69.69999999999709</v>
      </c>
      <c r="N713">
        <f>電力量!N714-電力量!N713</f>
        <v>50.30000000000291</v>
      </c>
      <c r="O713">
        <f>電力量!O714-電力量!O713</f>
        <v>30.299999999988358</v>
      </c>
      <c r="P713">
        <f>電力量!P714-電力量!P713</f>
        <v>12</v>
      </c>
      <c r="Q713">
        <f>電力量!Q714-電力量!Q713</f>
        <v>18</v>
      </c>
      <c r="R713">
        <f>電力量!R714-電力量!R713</f>
        <v>0</v>
      </c>
    </row>
    <row r="714" spans="1:18">
      <c r="A714" s="4">
        <f t="shared" si="245"/>
        <v>45901.666666666664</v>
      </c>
      <c r="B714">
        <f>電力量!B715-電力量!B714</f>
        <v>1338</v>
      </c>
      <c r="C714">
        <f>電力量!C715-電力量!C714</f>
        <v>384</v>
      </c>
      <c r="D714">
        <f>電力量!D715-電力量!D714</f>
        <v>32.5</v>
      </c>
      <c r="E714">
        <f>電力量!E715-電力量!E714</f>
        <v>0</v>
      </c>
      <c r="F714">
        <f>電力量!F715-電力量!F714</f>
        <v>47</v>
      </c>
      <c r="G714">
        <f>電力量!G715-電力量!G714</f>
        <v>102.20000000000437</v>
      </c>
      <c r="H714">
        <f>電力量!H715-電力量!H714</f>
        <v>13</v>
      </c>
      <c r="I714">
        <f>電力量!I715-電力量!I714</f>
        <v>472</v>
      </c>
      <c r="J714">
        <f>電力量!J715-電力量!J714</f>
        <v>11.19999999999709</v>
      </c>
      <c r="K714">
        <f>電力量!K715-電力量!K714</f>
        <v>3.8000000000029104</v>
      </c>
      <c r="L714">
        <f>電力量!L715-電力量!L714</f>
        <v>51</v>
      </c>
      <c r="M714">
        <f>電力量!M715-電力量!M714</f>
        <v>56.30000000000291</v>
      </c>
      <c r="N714">
        <f>電力量!N715-電力量!N714</f>
        <v>52.099999999991269</v>
      </c>
      <c r="O714">
        <f>電力量!O715-電力量!O714</f>
        <v>28.200000000011642</v>
      </c>
      <c r="P714">
        <f>電力量!P715-電力量!P714</f>
        <v>9</v>
      </c>
      <c r="Q714">
        <f>電力量!Q715-電力量!Q714</f>
        <v>13</v>
      </c>
      <c r="R714">
        <f>電力量!R715-電力量!R714</f>
        <v>0</v>
      </c>
    </row>
    <row r="715" spans="1:18">
      <c r="A715" s="4">
        <f t="shared" si="246"/>
        <v>45901.708333333336</v>
      </c>
      <c r="B715">
        <f>電力量!B716-電力量!B715</f>
        <v>1195</v>
      </c>
      <c r="C715">
        <f>電力量!C716-電力量!C715</f>
        <v>342</v>
      </c>
      <c r="D715">
        <f>電力量!D716-電力量!D715</f>
        <v>26.099999999998545</v>
      </c>
      <c r="E715">
        <f>電力量!E716-電力量!E715</f>
        <v>0</v>
      </c>
      <c r="F715">
        <f>電力量!F716-電力量!F715</f>
        <v>42</v>
      </c>
      <c r="G715">
        <f>電力量!G716-電力量!G715</f>
        <v>89.69999999999709</v>
      </c>
      <c r="H715">
        <f>電力量!H716-電力量!H715</f>
        <v>14</v>
      </c>
      <c r="I715">
        <f>電力量!I716-電力量!I715</f>
        <v>413</v>
      </c>
      <c r="J715">
        <f>電力量!J716-電力量!J715</f>
        <v>7.9000000000014552</v>
      </c>
      <c r="K715">
        <f>電力量!K716-電力量!K715</f>
        <v>5.1000000000058208</v>
      </c>
      <c r="L715">
        <f>電力量!L716-電力量!L715</f>
        <v>43.200000000011642</v>
      </c>
      <c r="M715">
        <f>電力量!M716-電力量!M715</f>
        <v>50.100000000005821</v>
      </c>
      <c r="N715">
        <f>電力量!N716-電力量!N715</f>
        <v>55.600000000005821</v>
      </c>
      <c r="O715">
        <f>電力量!O716-電力量!O715</f>
        <v>26.599999999991269</v>
      </c>
      <c r="P715">
        <f>電力量!P716-電力量!P715</f>
        <v>4</v>
      </c>
      <c r="Q715">
        <f>電力量!Q716-電力量!Q715</f>
        <v>7</v>
      </c>
      <c r="R715">
        <f>電力量!R716-電力量!R715</f>
        <v>0</v>
      </c>
    </row>
    <row r="716" spans="1:18">
      <c r="A716" s="4">
        <f t="shared" si="247"/>
        <v>45901.75</v>
      </c>
      <c r="B716">
        <f>電力量!B717-電力量!B716</f>
        <v>1035</v>
      </c>
      <c r="C716">
        <f>電力量!C717-電力量!C716</f>
        <v>293</v>
      </c>
      <c r="D716">
        <f>電力量!D717-電力量!D716</f>
        <v>21.099999999998545</v>
      </c>
      <c r="E716">
        <f>電力量!E717-電力量!E716</f>
        <v>0</v>
      </c>
      <c r="F716">
        <f>電力量!F717-電力量!F716</f>
        <v>34</v>
      </c>
      <c r="G716">
        <f>電力量!G717-電力量!G716</f>
        <v>80.5</v>
      </c>
      <c r="H716">
        <f>電力量!H717-電力量!H716</f>
        <v>19</v>
      </c>
      <c r="I716">
        <f>電力量!I717-電力量!I716</f>
        <v>353</v>
      </c>
      <c r="J716">
        <f>電力量!J717-電力量!J716</f>
        <v>7.7000000000043656</v>
      </c>
      <c r="K716">
        <f>電力量!K717-電力量!K716</f>
        <v>5.1999999999970896</v>
      </c>
      <c r="L716">
        <f>電力量!L717-電力量!L716</f>
        <v>31.399999999994179</v>
      </c>
      <c r="M716">
        <f>電力量!M717-電力量!M716</f>
        <v>46.19999999999709</v>
      </c>
      <c r="N716">
        <f>電力量!N717-電力量!N716</f>
        <v>56.600000000005821</v>
      </c>
      <c r="O716">
        <f>電力量!O717-電力量!O716</f>
        <v>21.80000000000291</v>
      </c>
      <c r="P716">
        <f>電力量!P717-電力量!P716</f>
        <v>0</v>
      </c>
      <c r="Q716">
        <f>電力量!Q717-電力量!Q716</f>
        <v>0</v>
      </c>
      <c r="R716">
        <f>電力量!R717-電力量!R716</f>
        <v>0</v>
      </c>
    </row>
    <row r="717" spans="1:18">
      <c r="A717" s="4">
        <f t="shared" si="248"/>
        <v>45901.791666666664</v>
      </c>
      <c r="B717">
        <f>電力量!B718-電力量!B717</f>
        <v>948</v>
      </c>
      <c r="C717">
        <f>電力量!C718-電力量!C717</f>
        <v>254</v>
      </c>
      <c r="D717">
        <f>電力量!D718-電力量!D717</f>
        <v>21.19999999999709</v>
      </c>
      <c r="E717">
        <f>電力量!E718-電力量!E717</f>
        <v>0</v>
      </c>
      <c r="F717">
        <f>電力量!F718-電力量!F717</f>
        <v>30</v>
      </c>
      <c r="G717">
        <f>電力量!G718-電力量!G717</f>
        <v>81.19999999999709</v>
      </c>
      <c r="H717">
        <f>電力量!H718-電力量!H717</f>
        <v>17</v>
      </c>
      <c r="I717">
        <f>電力量!I718-電力量!I717</f>
        <v>317</v>
      </c>
      <c r="J717">
        <f>電力量!J718-電力量!J717</f>
        <v>6.8999999999941792</v>
      </c>
      <c r="K717">
        <f>電力量!K718-電力量!K717</f>
        <v>5.1999999999970896</v>
      </c>
      <c r="L717">
        <f>電力量!L718-電力量!L717</f>
        <v>29.30000000000291</v>
      </c>
      <c r="M717">
        <f>電力量!M718-電力量!M717</f>
        <v>42.69999999999709</v>
      </c>
      <c r="N717">
        <f>電力量!N718-電力量!N717</f>
        <v>57</v>
      </c>
      <c r="O717">
        <f>電力量!O718-電力量!O717</f>
        <v>23.30000000000291</v>
      </c>
      <c r="P717">
        <f>電力量!P718-電力量!P717</f>
        <v>0</v>
      </c>
      <c r="Q717">
        <f>電力量!Q718-電力量!Q717</f>
        <v>0</v>
      </c>
      <c r="R717">
        <f>電力量!R718-電力量!R717</f>
        <v>0</v>
      </c>
    </row>
    <row r="718" spans="1:18">
      <c r="A718" s="4">
        <f t="shared" si="249"/>
        <v>45901.833333333336</v>
      </c>
      <c r="B718">
        <f>電力量!B719-電力量!B718</f>
        <v>888</v>
      </c>
      <c r="C718">
        <f>電力量!C719-電力量!C718</f>
        <v>230</v>
      </c>
      <c r="D718">
        <f>電力量!D719-電力量!D718</f>
        <v>21.400000000001455</v>
      </c>
      <c r="E718">
        <f>電力量!E719-電力量!E718</f>
        <v>0</v>
      </c>
      <c r="F718">
        <f>電力量!F719-電力量!F718</f>
        <v>26</v>
      </c>
      <c r="G718">
        <f>電力量!G719-電力量!G718</f>
        <v>74.400000000001455</v>
      </c>
      <c r="H718">
        <f>電力量!H719-電力量!H718</f>
        <v>17</v>
      </c>
      <c r="I718">
        <f>電力量!I719-電力量!I718</f>
        <v>289</v>
      </c>
      <c r="J718">
        <f>電力量!J719-電力量!J718</f>
        <v>7.5</v>
      </c>
      <c r="K718">
        <f>電力量!K719-電力量!K718</f>
        <v>5.3000000000029104</v>
      </c>
      <c r="L718">
        <f>電力量!L719-電力量!L718</f>
        <v>33.5</v>
      </c>
      <c r="M718">
        <f>電力量!M719-電力量!M718</f>
        <v>41.5</v>
      </c>
      <c r="N718">
        <f>電力量!N719-電力量!N718</f>
        <v>56.399999999994179</v>
      </c>
      <c r="O718">
        <f>電力量!O719-電力量!O718</f>
        <v>23.80000000000291</v>
      </c>
      <c r="P718">
        <f>電力量!P719-電力量!P718</f>
        <v>0</v>
      </c>
      <c r="Q718">
        <f>電力量!Q719-電力量!Q718</f>
        <v>0</v>
      </c>
      <c r="R718">
        <f>電力量!R719-電力量!R718</f>
        <v>0</v>
      </c>
    </row>
    <row r="719" spans="1:18">
      <c r="A719" s="4">
        <f t="shared" si="250"/>
        <v>45901.875</v>
      </c>
      <c r="B719">
        <f>電力量!B720-電力量!B719</f>
        <v>848</v>
      </c>
      <c r="C719">
        <f>電力量!C720-電力量!C719</f>
        <v>228</v>
      </c>
      <c r="D719">
        <f>電力量!D720-電力量!D719</f>
        <v>21.400000000001455</v>
      </c>
      <c r="E719">
        <f>電力量!E720-電力量!E719</f>
        <v>0</v>
      </c>
      <c r="F719">
        <f>電力量!F720-電力量!F719</f>
        <v>25</v>
      </c>
      <c r="G719">
        <f>電力量!G720-電力量!G719</f>
        <v>69.5</v>
      </c>
      <c r="H719">
        <f>電力量!H720-電力量!H719</f>
        <v>17</v>
      </c>
      <c r="I719">
        <f>電力量!I720-電力量!I719</f>
        <v>268</v>
      </c>
      <c r="J719">
        <f>電力量!J720-電力量!J719</f>
        <v>7.4000000000014552</v>
      </c>
      <c r="K719">
        <f>電力量!K720-電力量!K719</f>
        <v>4.8999999999941792</v>
      </c>
      <c r="L719">
        <f>電力量!L720-電力量!L719</f>
        <v>29.099999999991269</v>
      </c>
      <c r="M719">
        <f>電力量!M720-電力量!M719</f>
        <v>39.5</v>
      </c>
      <c r="N719">
        <f>電力量!N720-電力量!N719</f>
        <v>56.399999999994179</v>
      </c>
      <c r="O719">
        <f>電力量!O720-電力量!O719</f>
        <v>23.19999999999709</v>
      </c>
      <c r="P719">
        <f>電力量!P720-電力量!P719</f>
        <v>0</v>
      </c>
      <c r="Q719">
        <f>電力量!Q720-電力量!Q719</f>
        <v>0</v>
      </c>
      <c r="R719">
        <f>電力量!R720-電力量!R719</f>
        <v>0</v>
      </c>
    </row>
    <row r="720" spans="1:18">
      <c r="A720" s="4">
        <f t="shared" si="251"/>
        <v>45901.916666666664</v>
      </c>
      <c r="B720">
        <f>電力量!B721-電力量!B720</f>
        <v>820</v>
      </c>
      <c r="C720">
        <f>電力量!C721-電力量!C720</f>
        <v>221</v>
      </c>
      <c r="D720">
        <f>電力量!D721-電力量!D720</f>
        <v>19.400000000001455</v>
      </c>
      <c r="E720">
        <f>電力量!E721-電力量!E720</f>
        <v>0</v>
      </c>
      <c r="F720">
        <f>電力量!F721-電力量!F720</f>
        <v>24</v>
      </c>
      <c r="G720">
        <f>電力量!G721-電力量!G720</f>
        <v>65.099999999998545</v>
      </c>
      <c r="H720">
        <f>電力量!H721-電力量!H720</f>
        <v>16</v>
      </c>
      <c r="I720">
        <f>電力量!I721-電力量!I720</f>
        <v>263</v>
      </c>
      <c r="J720">
        <f>電力量!J721-電力量!J720</f>
        <v>6.8000000000029104</v>
      </c>
      <c r="K720">
        <f>電力量!K721-電力量!K720</f>
        <v>4.6000000000058208</v>
      </c>
      <c r="L720">
        <f>電力量!L721-電力量!L720</f>
        <v>27</v>
      </c>
      <c r="M720">
        <f>電力量!M721-電力量!M720</f>
        <v>42.19999999999709</v>
      </c>
      <c r="N720">
        <f>電力量!N721-電力量!N720</f>
        <v>56</v>
      </c>
      <c r="O720">
        <f>電力量!O721-電力量!O720</f>
        <v>19.69999999999709</v>
      </c>
      <c r="P720">
        <f>電力量!P721-電力量!P720</f>
        <v>0</v>
      </c>
      <c r="Q720">
        <f>電力量!Q721-電力量!Q720</f>
        <v>0</v>
      </c>
      <c r="R720">
        <f>電力量!R721-電力量!R720</f>
        <v>0</v>
      </c>
    </row>
    <row r="721" spans="1:18">
      <c r="A721" s="4">
        <f t="shared" si="252"/>
        <v>45901.958333333336</v>
      </c>
      <c r="B721">
        <f>電力量!B722-電力量!B721</f>
        <v>784</v>
      </c>
      <c r="C721">
        <f>電力量!C722-電力量!C721</f>
        <v>206</v>
      </c>
      <c r="D721">
        <f>電力量!D722-電力量!D721</f>
        <v>18.5</v>
      </c>
      <c r="E721">
        <f>電力量!E722-電力量!E721</f>
        <v>0</v>
      </c>
      <c r="F721">
        <f>電力量!F722-電力量!F721</f>
        <v>23</v>
      </c>
      <c r="G721">
        <f>電力量!G722-電力量!G721</f>
        <v>60</v>
      </c>
      <c r="H721">
        <f>電力量!H722-電力量!H721</f>
        <v>13</v>
      </c>
      <c r="I721">
        <f>電力量!I722-電力量!I721</f>
        <v>257</v>
      </c>
      <c r="J721">
        <f>電力量!J722-電力量!J721</f>
        <v>7</v>
      </c>
      <c r="K721">
        <f>電力量!K722-電力量!K721</f>
        <v>4.5</v>
      </c>
      <c r="L721">
        <f>電力量!L722-電力量!L721</f>
        <v>26.80000000000291</v>
      </c>
      <c r="M721">
        <f>電力量!M722-電力量!M721</f>
        <v>39.900000000008731</v>
      </c>
      <c r="N721">
        <f>電力量!N722-電力量!N721</f>
        <v>55.200000000011642</v>
      </c>
      <c r="O721">
        <f>電力量!O722-電力量!O721</f>
        <v>19.100000000005821</v>
      </c>
      <c r="P721">
        <f>電力量!P722-電力量!P721</f>
        <v>0</v>
      </c>
      <c r="Q721">
        <f>電力量!Q722-電力量!Q721</f>
        <v>0</v>
      </c>
      <c r="R721">
        <f>電力量!R722-電力量!R721</f>
        <v>0</v>
      </c>
    </row>
    <row r="722" spans="1:18">
      <c r="A722" s="4">
        <v>45902</v>
      </c>
    </row>
    <row r="723" spans="1:18">
      <c r="A723" s="4">
        <f t="shared" si="230"/>
        <v>45902.041666666664</v>
      </c>
      <c r="B723">
        <f>電力量!B724-電力量!B723</f>
        <v>0</v>
      </c>
      <c r="C723">
        <f>電力量!C724-電力量!C723</f>
        <v>0</v>
      </c>
      <c r="D723">
        <f>電力量!D724-電力量!D723</f>
        <v>0</v>
      </c>
      <c r="E723">
        <f>電力量!E724-電力量!E723</f>
        <v>0</v>
      </c>
      <c r="F723">
        <f>電力量!F724-電力量!F723</f>
        <v>0</v>
      </c>
      <c r="G723">
        <f>電力量!G724-電力量!G723</f>
        <v>0</v>
      </c>
      <c r="H723">
        <f>電力量!H724-電力量!H723</f>
        <v>0</v>
      </c>
      <c r="I723">
        <f>電力量!I724-電力量!I723</f>
        <v>0</v>
      </c>
      <c r="J723">
        <f>電力量!J724-電力量!J723</f>
        <v>0</v>
      </c>
      <c r="K723">
        <f>電力量!K724-電力量!K723</f>
        <v>0</v>
      </c>
      <c r="L723">
        <f>電力量!L724-電力量!L723</f>
        <v>0</v>
      </c>
      <c r="M723">
        <f>電力量!M724-電力量!M723</f>
        <v>0</v>
      </c>
      <c r="N723">
        <f>電力量!N724-電力量!N723</f>
        <v>0</v>
      </c>
      <c r="O723">
        <f>電力量!O724-電力量!O723</f>
        <v>0</v>
      </c>
      <c r="P723">
        <f>電力量!P724-電力量!P723</f>
        <v>0</v>
      </c>
      <c r="Q723">
        <f>電力量!Q724-電力量!Q723</f>
        <v>0</v>
      </c>
      <c r="R723">
        <f>電力量!R724-電力量!R723</f>
        <v>0</v>
      </c>
    </row>
    <row r="724" spans="1:18">
      <c r="A724" s="4">
        <f t="shared" si="231"/>
        <v>45902.083333333336</v>
      </c>
      <c r="B724">
        <f>電力量!B725-電力量!B724</f>
        <v>0</v>
      </c>
      <c r="C724">
        <f>電力量!C725-電力量!C724</f>
        <v>0</v>
      </c>
      <c r="D724">
        <f>電力量!D725-電力量!D724</f>
        <v>0</v>
      </c>
      <c r="E724">
        <f>電力量!E725-電力量!E724</f>
        <v>0</v>
      </c>
      <c r="F724">
        <f>電力量!F725-電力量!F724</f>
        <v>0</v>
      </c>
      <c r="G724">
        <f>電力量!G725-電力量!G724</f>
        <v>0</v>
      </c>
      <c r="H724">
        <f>電力量!H725-電力量!H724</f>
        <v>0</v>
      </c>
      <c r="I724">
        <f>電力量!I725-電力量!I724</f>
        <v>0</v>
      </c>
      <c r="J724">
        <f>電力量!J725-電力量!J724</f>
        <v>0</v>
      </c>
      <c r="K724">
        <f>電力量!K725-電力量!K724</f>
        <v>0</v>
      </c>
      <c r="L724">
        <f>電力量!L725-電力量!L724</f>
        <v>0</v>
      </c>
      <c r="M724">
        <f>電力量!M725-電力量!M724</f>
        <v>0</v>
      </c>
      <c r="N724">
        <f>電力量!N725-電力量!N724</f>
        <v>0</v>
      </c>
      <c r="O724">
        <f>電力量!O725-電力量!O724</f>
        <v>0</v>
      </c>
      <c r="P724">
        <f>電力量!P725-電力量!P724</f>
        <v>0</v>
      </c>
      <c r="Q724">
        <f>電力量!Q725-電力量!Q724</f>
        <v>0</v>
      </c>
      <c r="R724">
        <f>電力量!R725-電力量!R724</f>
        <v>0</v>
      </c>
    </row>
    <row r="725" spans="1:18">
      <c r="A725" s="4">
        <f t="shared" si="232"/>
        <v>45902.125</v>
      </c>
      <c r="B725">
        <f>電力量!B726-電力量!B725</f>
        <v>0</v>
      </c>
      <c r="C725">
        <f>電力量!C726-電力量!C725</f>
        <v>0</v>
      </c>
      <c r="D725">
        <f>電力量!D726-電力量!D725</f>
        <v>0</v>
      </c>
      <c r="E725">
        <f>電力量!E726-電力量!E725</f>
        <v>0</v>
      </c>
      <c r="F725">
        <f>電力量!F726-電力量!F725</f>
        <v>0</v>
      </c>
      <c r="G725">
        <f>電力量!G726-電力量!G725</f>
        <v>0</v>
      </c>
      <c r="H725">
        <f>電力量!H726-電力量!H725</f>
        <v>0</v>
      </c>
      <c r="I725">
        <f>電力量!I726-電力量!I725</f>
        <v>0</v>
      </c>
      <c r="J725">
        <f>電力量!J726-電力量!J725</f>
        <v>0</v>
      </c>
      <c r="K725">
        <f>電力量!K726-電力量!K725</f>
        <v>0</v>
      </c>
      <c r="L725">
        <f>電力量!L726-電力量!L725</f>
        <v>0</v>
      </c>
      <c r="M725">
        <f>電力量!M726-電力量!M725</f>
        <v>0</v>
      </c>
      <c r="N725">
        <f>電力量!N726-電力量!N725</f>
        <v>0</v>
      </c>
      <c r="O725">
        <f>電力量!O726-電力量!O725</f>
        <v>0</v>
      </c>
      <c r="P725">
        <f>電力量!P726-電力量!P725</f>
        <v>0</v>
      </c>
      <c r="Q725">
        <f>電力量!Q726-電力量!Q725</f>
        <v>0</v>
      </c>
      <c r="R725">
        <f>電力量!R726-電力量!R725</f>
        <v>0</v>
      </c>
    </row>
    <row r="726" spans="1:18">
      <c r="A726" s="4">
        <f t="shared" si="233"/>
        <v>45902.166666666664</v>
      </c>
      <c r="B726">
        <f>電力量!B727-電力量!B726</f>
        <v>0</v>
      </c>
      <c r="C726">
        <f>電力量!C727-電力量!C726</f>
        <v>0</v>
      </c>
      <c r="D726">
        <f>電力量!D727-電力量!D726</f>
        <v>0</v>
      </c>
      <c r="E726">
        <f>電力量!E727-電力量!E726</f>
        <v>0</v>
      </c>
      <c r="F726">
        <f>電力量!F727-電力量!F726</f>
        <v>0</v>
      </c>
      <c r="G726">
        <f>電力量!G727-電力量!G726</f>
        <v>0</v>
      </c>
      <c r="H726">
        <f>電力量!H727-電力量!H726</f>
        <v>0</v>
      </c>
      <c r="I726">
        <f>電力量!I727-電力量!I726</f>
        <v>0</v>
      </c>
      <c r="J726">
        <f>電力量!J727-電力量!J726</f>
        <v>0</v>
      </c>
      <c r="K726">
        <f>電力量!K727-電力量!K726</f>
        <v>0</v>
      </c>
      <c r="L726">
        <f>電力量!L727-電力量!L726</f>
        <v>0</v>
      </c>
      <c r="M726">
        <f>電力量!M727-電力量!M726</f>
        <v>0</v>
      </c>
      <c r="N726">
        <f>電力量!N727-電力量!N726</f>
        <v>0</v>
      </c>
      <c r="O726">
        <f>電力量!O727-電力量!O726</f>
        <v>0</v>
      </c>
      <c r="P726">
        <f>電力量!P727-電力量!P726</f>
        <v>0</v>
      </c>
      <c r="Q726">
        <f>電力量!Q727-電力量!Q726</f>
        <v>0</v>
      </c>
      <c r="R726">
        <f>電力量!R727-電力量!R726</f>
        <v>0</v>
      </c>
    </row>
    <row r="727" spans="1:18">
      <c r="A727" s="4">
        <f t="shared" si="234"/>
        <v>45902.208333333336</v>
      </c>
      <c r="B727">
        <f>電力量!B728-電力量!B727</f>
        <v>0</v>
      </c>
      <c r="C727">
        <f>電力量!C728-電力量!C727</f>
        <v>0</v>
      </c>
      <c r="D727">
        <f>電力量!D728-電力量!D727</f>
        <v>0</v>
      </c>
      <c r="E727">
        <f>電力量!E728-電力量!E727</f>
        <v>0</v>
      </c>
      <c r="F727">
        <f>電力量!F728-電力量!F727</f>
        <v>0</v>
      </c>
      <c r="G727">
        <f>電力量!G728-電力量!G727</f>
        <v>0</v>
      </c>
      <c r="H727">
        <f>電力量!H728-電力量!H727</f>
        <v>0</v>
      </c>
      <c r="I727">
        <f>電力量!I728-電力量!I727</f>
        <v>0</v>
      </c>
      <c r="J727">
        <f>電力量!J728-電力量!J727</f>
        <v>0</v>
      </c>
      <c r="K727">
        <f>電力量!K728-電力量!K727</f>
        <v>0</v>
      </c>
      <c r="L727">
        <f>電力量!L728-電力量!L727</f>
        <v>0</v>
      </c>
      <c r="M727">
        <f>電力量!M728-電力量!M727</f>
        <v>0</v>
      </c>
      <c r="N727">
        <f>電力量!N728-電力量!N727</f>
        <v>0</v>
      </c>
      <c r="O727">
        <f>電力量!O728-電力量!O727</f>
        <v>0</v>
      </c>
      <c r="P727">
        <f>電力量!P728-電力量!P727</f>
        <v>0</v>
      </c>
      <c r="Q727">
        <f>電力量!Q728-電力量!Q727</f>
        <v>0</v>
      </c>
      <c r="R727">
        <f>電力量!R728-電力量!R727</f>
        <v>0</v>
      </c>
    </row>
    <row r="728" spans="1:18">
      <c r="A728" s="4">
        <f t="shared" si="235"/>
        <v>45902.25</v>
      </c>
      <c r="B728">
        <f>電力量!B729-電力量!B728</f>
        <v>0</v>
      </c>
      <c r="C728">
        <f>電力量!C729-電力量!C728</f>
        <v>0</v>
      </c>
      <c r="D728">
        <f>電力量!D729-電力量!D728</f>
        <v>0</v>
      </c>
      <c r="E728">
        <f>電力量!E729-電力量!E728</f>
        <v>0</v>
      </c>
      <c r="F728">
        <f>電力量!F729-電力量!F728</f>
        <v>0</v>
      </c>
      <c r="G728">
        <f>電力量!G729-電力量!G728</f>
        <v>0</v>
      </c>
      <c r="H728">
        <f>電力量!H729-電力量!H728</f>
        <v>0</v>
      </c>
      <c r="I728">
        <f>電力量!I729-電力量!I728</f>
        <v>0</v>
      </c>
      <c r="J728">
        <f>電力量!J729-電力量!J728</f>
        <v>0</v>
      </c>
      <c r="K728">
        <f>電力量!K729-電力量!K728</f>
        <v>0</v>
      </c>
      <c r="L728">
        <f>電力量!L729-電力量!L728</f>
        <v>0</v>
      </c>
      <c r="M728">
        <f>電力量!M729-電力量!M728</f>
        <v>0</v>
      </c>
      <c r="N728">
        <f>電力量!N729-電力量!N728</f>
        <v>0</v>
      </c>
      <c r="O728">
        <f>電力量!O729-電力量!O728</f>
        <v>0</v>
      </c>
      <c r="P728">
        <f>電力量!P729-電力量!P728</f>
        <v>0</v>
      </c>
      <c r="Q728">
        <f>電力量!Q729-電力量!Q728</f>
        <v>0</v>
      </c>
      <c r="R728">
        <f>電力量!R729-電力量!R728</f>
        <v>0</v>
      </c>
    </row>
    <row r="729" spans="1:18">
      <c r="A729" s="4">
        <f t="shared" si="236"/>
        <v>45902.291666666664</v>
      </c>
      <c r="B729">
        <f>電力量!B730-電力量!B729</f>
        <v>0</v>
      </c>
      <c r="C729">
        <f>電力量!C730-電力量!C729</f>
        <v>0</v>
      </c>
      <c r="D729">
        <f>電力量!D730-電力量!D729</f>
        <v>0</v>
      </c>
      <c r="E729">
        <f>電力量!E730-電力量!E729</f>
        <v>0</v>
      </c>
      <c r="F729">
        <f>電力量!F730-電力量!F729</f>
        <v>0</v>
      </c>
      <c r="G729">
        <f>電力量!G730-電力量!G729</f>
        <v>0</v>
      </c>
      <c r="H729">
        <f>電力量!H730-電力量!H729</f>
        <v>0</v>
      </c>
      <c r="I729">
        <f>電力量!I730-電力量!I729</f>
        <v>0</v>
      </c>
      <c r="J729">
        <f>電力量!J730-電力量!J729</f>
        <v>0</v>
      </c>
      <c r="K729">
        <f>電力量!K730-電力量!K729</f>
        <v>0</v>
      </c>
      <c r="L729">
        <f>電力量!L730-電力量!L729</f>
        <v>0</v>
      </c>
      <c r="M729">
        <f>電力量!M730-電力量!M729</f>
        <v>0</v>
      </c>
      <c r="N729">
        <f>電力量!N730-電力量!N729</f>
        <v>0</v>
      </c>
      <c r="O729">
        <f>電力量!O730-電力量!O729</f>
        <v>0</v>
      </c>
      <c r="P729">
        <f>電力量!P730-電力量!P729</f>
        <v>0</v>
      </c>
      <c r="Q729">
        <f>電力量!Q730-電力量!Q729</f>
        <v>0</v>
      </c>
      <c r="R729">
        <f>電力量!R730-電力量!R729</f>
        <v>0</v>
      </c>
    </row>
    <row r="730" spans="1:18">
      <c r="A730" s="4">
        <f t="shared" si="237"/>
        <v>45902.333333333336</v>
      </c>
      <c r="B730">
        <f>電力量!B731-電力量!B730</f>
        <v>0</v>
      </c>
      <c r="C730">
        <f>電力量!C731-電力量!C730</f>
        <v>0</v>
      </c>
      <c r="D730">
        <f>電力量!D731-電力量!D730</f>
        <v>0</v>
      </c>
      <c r="E730">
        <f>電力量!E731-電力量!E730</f>
        <v>0</v>
      </c>
      <c r="F730">
        <f>電力量!F731-電力量!F730</f>
        <v>0</v>
      </c>
      <c r="G730">
        <f>電力量!G731-電力量!G730</f>
        <v>0</v>
      </c>
      <c r="H730">
        <f>電力量!H731-電力量!H730</f>
        <v>0</v>
      </c>
      <c r="I730">
        <f>電力量!I731-電力量!I730</f>
        <v>0</v>
      </c>
      <c r="J730">
        <f>電力量!J731-電力量!J730</f>
        <v>0</v>
      </c>
      <c r="K730">
        <f>電力量!K731-電力量!K730</f>
        <v>0</v>
      </c>
      <c r="L730">
        <f>電力量!L731-電力量!L730</f>
        <v>0</v>
      </c>
      <c r="M730">
        <f>電力量!M731-電力量!M730</f>
        <v>0</v>
      </c>
      <c r="N730">
        <f>電力量!N731-電力量!N730</f>
        <v>0</v>
      </c>
      <c r="O730">
        <f>電力量!O731-電力量!O730</f>
        <v>0</v>
      </c>
      <c r="P730">
        <f>電力量!P731-電力量!P730</f>
        <v>0</v>
      </c>
      <c r="Q730">
        <f>電力量!Q731-電力量!Q730</f>
        <v>0</v>
      </c>
      <c r="R730">
        <f>電力量!R731-電力量!R730</f>
        <v>0</v>
      </c>
    </row>
    <row r="731" spans="1:18">
      <c r="A731" s="4">
        <f t="shared" si="238"/>
        <v>45902.375</v>
      </c>
      <c r="B731">
        <f>電力量!B732-電力量!B731</f>
        <v>0</v>
      </c>
      <c r="C731">
        <f>電力量!C732-電力量!C731</f>
        <v>0</v>
      </c>
      <c r="D731">
        <f>電力量!D732-電力量!D731</f>
        <v>0</v>
      </c>
      <c r="E731">
        <f>電力量!E732-電力量!E731</f>
        <v>0</v>
      </c>
      <c r="F731">
        <f>電力量!F732-電力量!F731</f>
        <v>0</v>
      </c>
      <c r="G731">
        <f>電力量!G732-電力量!G731</f>
        <v>0</v>
      </c>
      <c r="H731">
        <f>電力量!H732-電力量!H731</f>
        <v>0</v>
      </c>
      <c r="I731">
        <f>電力量!I732-電力量!I731</f>
        <v>0</v>
      </c>
      <c r="J731">
        <f>電力量!J732-電力量!J731</f>
        <v>0</v>
      </c>
      <c r="K731">
        <f>電力量!K732-電力量!K731</f>
        <v>0</v>
      </c>
      <c r="L731">
        <f>電力量!L732-電力量!L731</f>
        <v>0</v>
      </c>
      <c r="M731">
        <f>電力量!M732-電力量!M731</f>
        <v>0</v>
      </c>
      <c r="N731">
        <f>電力量!N732-電力量!N731</f>
        <v>0</v>
      </c>
      <c r="O731">
        <f>電力量!O732-電力量!O731</f>
        <v>0</v>
      </c>
      <c r="P731">
        <f>電力量!P732-電力量!P731</f>
        <v>0</v>
      </c>
      <c r="Q731">
        <f>電力量!Q732-電力量!Q731</f>
        <v>0</v>
      </c>
      <c r="R731">
        <f>電力量!R732-電力量!R731</f>
        <v>0</v>
      </c>
    </row>
    <row r="732" spans="1:18">
      <c r="A732" s="4">
        <f t="shared" si="239"/>
        <v>45902.416666666664</v>
      </c>
      <c r="B732">
        <f>電力量!B733-電力量!B732</f>
        <v>0</v>
      </c>
      <c r="C732">
        <f>電力量!C733-電力量!C732</f>
        <v>0</v>
      </c>
      <c r="D732">
        <f>電力量!D733-電力量!D732</f>
        <v>0</v>
      </c>
      <c r="E732">
        <f>電力量!E733-電力量!E732</f>
        <v>0</v>
      </c>
      <c r="F732">
        <f>電力量!F733-電力量!F732</f>
        <v>0</v>
      </c>
      <c r="G732">
        <f>電力量!G733-電力量!G732</f>
        <v>0</v>
      </c>
      <c r="H732">
        <f>電力量!H733-電力量!H732</f>
        <v>0</v>
      </c>
      <c r="I732">
        <f>電力量!I733-電力量!I732</f>
        <v>0</v>
      </c>
      <c r="J732">
        <f>電力量!J733-電力量!J732</f>
        <v>0</v>
      </c>
      <c r="K732">
        <f>電力量!K733-電力量!K732</f>
        <v>0</v>
      </c>
      <c r="L732">
        <f>電力量!L733-電力量!L732</f>
        <v>0</v>
      </c>
      <c r="M732">
        <f>電力量!M733-電力量!M732</f>
        <v>0</v>
      </c>
      <c r="N732">
        <f>電力量!N733-電力量!N732</f>
        <v>0</v>
      </c>
      <c r="O732">
        <f>電力量!O733-電力量!O732</f>
        <v>0</v>
      </c>
      <c r="P732">
        <f>電力量!P733-電力量!P732</f>
        <v>0</v>
      </c>
      <c r="Q732">
        <f>電力量!Q733-電力量!Q732</f>
        <v>0</v>
      </c>
      <c r="R732">
        <f>電力量!R733-電力量!R732</f>
        <v>0</v>
      </c>
    </row>
    <row r="733" spans="1:18">
      <c r="A733" s="4">
        <f t="shared" si="240"/>
        <v>45902.458333333336</v>
      </c>
      <c r="B733">
        <f>電力量!B734-電力量!B733</f>
        <v>0</v>
      </c>
      <c r="C733">
        <f>電力量!C734-電力量!C733</f>
        <v>0</v>
      </c>
      <c r="D733">
        <f>電力量!D734-電力量!D733</f>
        <v>0</v>
      </c>
      <c r="E733">
        <f>電力量!E734-電力量!E733</f>
        <v>0</v>
      </c>
      <c r="F733">
        <f>電力量!F734-電力量!F733</f>
        <v>0</v>
      </c>
      <c r="G733">
        <f>電力量!G734-電力量!G733</f>
        <v>0</v>
      </c>
      <c r="H733">
        <f>電力量!H734-電力量!H733</f>
        <v>0</v>
      </c>
      <c r="I733">
        <f>電力量!I734-電力量!I733</f>
        <v>0</v>
      </c>
      <c r="J733">
        <f>電力量!J734-電力量!J733</f>
        <v>0</v>
      </c>
      <c r="K733">
        <f>電力量!K734-電力量!K733</f>
        <v>0</v>
      </c>
      <c r="L733">
        <f>電力量!L734-電力量!L733</f>
        <v>0</v>
      </c>
      <c r="M733">
        <f>電力量!M734-電力量!M733</f>
        <v>0</v>
      </c>
      <c r="N733">
        <f>電力量!N734-電力量!N733</f>
        <v>0</v>
      </c>
      <c r="O733">
        <f>電力量!O734-電力量!O733</f>
        <v>0</v>
      </c>
      <c r="P733">
        <f>電力量!P734-電力量!P733</f>
        <v>0</v>
      </c>
      <c r="Q733">
        <f>電力量!Q734-電力量!Q733</f>
        <v>0</v>
      </c>
      <c r="R733">
        <f>電力量!R734-電力量!R733</f>
        <v>0</v>
      </c>
    </row>
    <row r="734" spans="1:18">
      <c r="A734" s="4">
        <f t="shared" si="241"/>
        <v>45902.5</v>
      </c>
      <c r="B734">
        <f>電力量!B735-電力量!B734</f>
        <v>0</v>
      </c>
      <c r="C734">
        <f>電力量!C735-電力量!C734</f>
        <v>0</v>
      </c>
      <c r="D734">
        <f>電力量!D735-電力量!D734</f>
        <v>0</v>
      </c>
      <c r="E734">
        <f>電力量!E735-電力量!E734</f>
        <v>0</v>
      </c>
      <c r="F734">
        <f>電力量!F735-電力量!F734</f>
        <v>0</v>
      </c>
      <c r="G734">
        <f>電力量!G735-電力量!G734</f>
        <v>0</v>
      </c>
      <c r="H734">
        <f>電力量!H735-電力量!H734</f>
        <v>0</v>
      </c>
      <c r="I734">
        <f>電力量!I735-電力量!I734</f>
        <v>0</v>
      </c>
      <c r="J734">
        <f>電力量!J735-電力量!J734</f>
        <v>0</v>
      </c>
      <c r="K734">
        <f>電力量!K735-電力量!K734</f>
        <v>0</v>
      </c>
      <c r="L734">
        <f>電力量!L735-電力量!L734</f>
        <v>0</v>
      </c>
      <c r="M734">
        <f>電力量!M735-電力量!M734</f>
        <v>0</v>
      </c>
      <c r="N734">
        <f>電力量!N735-電力量!N734</f>
        <v>0</v>
      </c>
      <c r="O734">
        <f>電力量!O735-電力量!O734</f>
        <v>0</v>
      </c>
      <c r="P734">
        <f>電力量!P735-電力量!P734</f>
        <v>0</v>
      </c>
      <c r="Q734">
        <f>電力量!Q735-電力量!Q734</f>
        <v>0</v>
      </c>
      <c r="R734">
        <f>電力量!R735-電力量!R734</f>
        <v>0</v>
      </c>
    </row>
    <row r="735" spans="1:18">
      <c r="A735" s="4">
        <f t="shared" si="242"/>
        <v>45902.541666666664</v>
      </c>
      <c r="B735">
        <f>電力量!B736-電力量!B735</f>
        <v>0</v>
      </c>
      <c r="C735">
        <f>電力量!C736-電力量!C735</f>
        <v>0</v>
      </c>
      <c r="D735">
        <f>電力量!D736-電力量!D735</f>
        <v>0</v>
      </c>
      <c r="E735">
        <f>電力量!E736-電力量!E735</f>
        <v>0</v>
      </c>
      <c r="F735">
        <f>電力量!F736-電力量!F735</f>
        <v>0</v>
      </c>
      <c r="G735">
        <f>電力量!G736-電力量!G735</f>
        <v>0</v>
      </c>
      <c r="H735">
        <f>電力量!H736-電力量!H735</f>
        <v>0</v>
      </c>
      <c r="I735">
        <f>電力量!I736-電力量!I735</f>
        <v>0</v>
      </c>
      <c r="J735">
        <f>電力量!J736-電力量!J735</f>
        <v>0</v>
      </c>
      <c r="K735">
        <f>電力量!K736-電力量!K735</f>
        <v>0</v>
      </c>
      <c r="L735">
        <f>電力量!L736-電力量!L735</f>
        <v>0</v>
      </c>
      <c r="M735">
        <f>電力量!M736-電力量!M735</f>
        <v>0</v>
      </c>
      <c r="N735">
        <f>電力量!N736-電力量!N735</f>
        <v>0</v>
      </c>
      <c r="O735">
        <f>電力量!O736-電力量!O735</f>
        <v>0</v>
      </c>
      <c r="P735">
        <f>電力量!P736-電力量!P735</f>
        <v>0</v>
      </c>
      <c r="Q735">
        <f>電力量!Q736-電力量!Q735</f>
        <v>0</v>
      </c>
      <c r="R735">
        <f>電力量!R736-電力量!R735</f>
        <v>0</v>
      </c>
    </row>
    <row r="736" spans="1:18">
      <c r="A736" s="4">
        <f t="shared" si="243"/>
        <v>45902.583333333336</v>
      </c>
      <c r="B736">
        <f>電力量!B737-電力量!B736</f>
        <v>0</v>
      </c>
      <c r="C736">
        <f>電力量!C737-電力量!C736</f>
        <v>0</v>
      </c>
      <c r="D736">
        <f>電力量!D737-電力量!D736</f>
        <v>0</v>
      </c>
      <c r="E736">
        <f>電力量!E737-電力量!E736</f>
        <v>0</v>
      </c>
      <c r="F736">
        <f>電力量!F737-電力量!F736</f>
        <v>0</v>
      </c>
      <c r="G736">
        <f>電力量!G737-電力量!G736</f>
        <v>0</v>
      </c>
      <c r="H736">
        <f>電力量!H737-電力量!H736</f>
        <v>0</v>
      </c>
      <c r="I736">
        <f>電力量!I737-電力量!I736</f>
        <v>0</v>
      </c>
      <c r="J736">
        <f>電力量!J737-電力量!J736</f>
        <v>0</v>
      </c>
      <c r="K736">
        <f>電力量!K737-電力量!K736</f>
        <v>0</v>
      </c>
      <c r="L736">
        <f>電力量!L737-電力量!L736</f>
        <v>0</v>
      </c>
      <c r="M736">
        <f>電力量!M737-電力量!M736</f>
        <v>0</v>
      </c>
      <c r="N736">
        <f>電力量!N737-電力量!N736</f>
        <v>0</v>
      </c>
      <c r="O736">
        <f>電力量!O737-電力量!O736</f>
        <v>0</v>
      </c>
      <c r="P736">
        <f>電力量!P737-電力量!P736</f>
        <v>0</v>
      </c>
      <c r="Q736">
        <f>電力量!Q737-電力量!Q736</f>
        <v>0</v>
      </c>
      <c r="R736">
        <f>電力量!R737-電力量!R736</f>
        <v>0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元データ</vt:lpstr>
      <vt:lpstr>反転</vt:lpstr>
      <vt:lpstr>電力量</vt:lpstr>
      <vt:lpstr>電力使用量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ETO KIYOKA</dc:creator>
  <cp:lastModifiedBy>ETO KIYOKA</cp:lastModifiedBy>
  <dcterms:created xsi:type="dcterms:W3CDTF">2015-06-05T18:19:34Z</dcterms:created>
  <dcterms:modified xsi:type="dcterms:W3CDTF">2025-09-24T11:42:35Z</dcterms:modified>
</cp:coreProperties>
</file>