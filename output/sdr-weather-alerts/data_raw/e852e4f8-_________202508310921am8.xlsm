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/>
  <workbookPr/>
  <mc:AlternateContent xmlns:mc="http://schemas.openxmlformats.org/markup-compatibility/2006">
    <mc:Choice Requires="x15">
      <x15ac:absPath xmlns:x15ac="http://schemas.microsoft.com/office/spreadsheetml/2010/11/ac" url="G:\.shortcut-targets-by-id\1l1VcZN8YE9eslpRm5rO9-j21e_9bQb4h\建築設備－三浦研究室\学生別\江藤澄香\ゼミ\20251008個別ゼミ\"/>
    </mc:Choice>
  </mc:AlternateContent>
  <xr:revisionPtr revIDLastSave="0" documentId="13_ncr:1_{FEB0886E-9FB3-4669-A0B6-D0F48955322A}" xr6:coauthVersionLast="36" xr6:coauthVersionMax="47" xr10:uidLastSave="{00000000-0000-0000-0000-000000000000}"/>
  <bookViews>
    <workbookView xWindow="0" yWindow="0" windowWidth="28800" windowHeight="12015" activeTab="3" xr2:uid="{00000000-000D-0000-FFFF-FFFF00000000}"/>
  </bookViews>
  <sheets>
    <sheet name="元データ" sheetId="1" r:id="rId1"/>
    <sheet name="反転" sheetId="3" r:id="rId2"/>
    <sheet name="電力量" sheetId="2" r:id="rId3"/>
    <sheet name="電力使用量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76" i="4" l="1"/>
  <c r="G383" i="4"/>
  <c r="G384" i="4"/>
  <c r="G385" i="4"/>
  <c r="G386" i="4"/>
  <c r="N226" i="4"/>
  <c r="L118" i="4"/>
  <c r="A27" i="4" l="1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M582" i="4" l="1"/>
  <c r="M583" i="4"/>
  <c r="M584" i="4"/>
  <c r="M585" i="4"/>
  <c r="B370" i="4"/>
  <c r="B371" i="4"/>
  <c r="B372" i="4"/>
  <c r="B373" i="4"/>
  <c r="N344" i="4"/>
  <c r="N345" i="4"/>
  <c r="N346" i="4"/>
  <c r="A3" i="4" l="1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B216" i="4"/>
  <c r="L134" i="4"/>
  <c r="G100" i="4"/>
  <c r="B4" i="4" l="1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B5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B6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B7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B8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B9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B10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B11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B12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B13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B14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B40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B41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B42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B43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B44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B45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B46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B47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B48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B49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B50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B51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B52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B53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B54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B56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B57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B58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B59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B60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B61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B62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B63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B64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B65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B66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B67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B68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B69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B70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B71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B72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B73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B74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B75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B76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B77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B78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B79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B80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B81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B82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B83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B84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B85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B86" i="4"/>
  <c r="C86" i="4"/>
  <c r="D86" i="4"/>
  <c r="E86" i="4"/>
  <c r="F86" i="4"/>
  <c r="G86" i="4"/>
  <c r="H86" i="4"/>
  <c r="I86" i="4"/>
  <c r="J86" i="4"/>
  <c r="K86" i="4"/>
  <c r="L86" i="4"/>
  <c r="M86" i="4"/>
  <c r="N86" i="4"/>
  <c r="O86" i="4"/>
  <c r="P86" i="4"/>
  <c r="Q86" i="4"/>
  <c r="R86" i="4"/>
  <c r="B87" i="4"/>
  <c r="C87" i="4"/>
  <c r="D87" i="4"/>
  <c r="E87" i="4"/>
  <c r="F87" i="4"/>
  <c r="G87" i="4"/>
  <c r="H87" i="4"/>
  <c r="I87" i="4"/>
  <c r="J87" i="4"/>
  <c r="K87" i="4"/>
  <c r="L87" i="4"/>
  <c r="M87" i="4"/>
  <c r="N87" i="4"/>
  <c r="O87" i="4"/>
  <c r="P87" i="4"/>
  <c r="Q87" i="4"/>
  <c r="R87" i="4"/>
  <c r="B88" i="4"/>
  <c r="C88" i="4"/>
  <c r="D88" i="4"/>
  <c r="E88" i="4"/>
  <c r="F88" i="4"/>
  <c r="G88" i="4"/>
  <c r="H88" i="4"/>
  <c r="I88" i="4"/>
  <c r="J88" i="4"/>
  <c r="K88" i="4"/>
  <c r="L88" i="4"/>
  <c r="M88" i="4"/>
  <c r="N88" i="4"/>
  <c r="O88" i="4"/>
  <c r="P88" i="4"/>
  <c r="Q88" i="4"/>
  <c r="R88" i="4"/>
  <c r="B89" i="4"/>
  <c r="C89" i="4"/>
  <c r="D89" i="4"/>
  <c r="E89" i="4"/>
  <c r="F89" i="4"/>
  <c r="G89" i="4"/>
  <c r="H89" i="4"/>
  <c r="I89" i="4"/>
  <c r="J89" i="4"/>
  <c r="K89" i="4"/>
  <c r="L89" i="4"/>
  <c r="M89" i="4"/>
  <c r="N89" i="4"/>
  <c r="O89" i="4"/>
  <c r="P89" i="4"/>
  <c r="Q89" i="4"/>
  <c r="R89" i="4"/>
  <c r="B90" i="4"/>
  <c r="C90" i="4"/>
  <c r="D90" i="4"/>
  <c r="E90" i="4"/>
  <c r="F90" i="4"/>
  <c r="G90" i="4"/>
  <c r="H90" i="4"/>
  <c r="I90" i="4"/>
  <c r="J90" i="4"/>
  <c r="K90" i="4"/>
  <c r="L90" i="4"/>
  <c r="M90" i="4"/>
  <c r="N90" i="4"/>
  <c r="O90" i="4"/>
  <c r="P90" i="4"/>
  <c r="Q90" i="4"/>
  <c r="R90" i="4"/>
  <c r="B91" i="4"/>
  <c r="C91" i="4"/>
  <c r="D91" i="4"/>
  <c r="E91" i="4"/>
  <c r="F91" i="4"/>
  <c r="G91" i="4"/>
  <c r="H91" i="4"/>
  <c r="I91" i="4"/>
  <c r="J91" i="4"/>
  <c r="K91" i="4"/>
  <c r="L91" i="4"/>
  <c r="M91" i="4"/>
  <c r="N91" i="4"/>
  <c r="O91" i="4"/>
  <c r="P91" i="4"/>
  <c r="Q91" i="4"/>
  <c r="R91" i="4"/>
  <c r="B92" i="4"/>
  <c r="C92" i="4"/>
  <c r="D92" i="4"/>
  <c r="E92" i="4"/>
  <c r="F92" i="4"/>
  <c r="G92" i="4"/>
  <c r="H92" i="4"/>
  <c r="I92" i="4"/>
  <c r="J92" i="4"/>
  <c r="K92" i="4"/>
  <c r="L92" i="4"/>
  <c r="M92" i="4"/>
  <c r="N92" i="4"/>
  <c r="O92" i="4"/>
  <c r="P92" i="4"/>
  <c r="Q92" i="4"/>
  <c r="R92" i="4"/>
  <c r="B93" i="4"/>
  <c r="C93" i="4"/>
  <c r="D93" i="4"/>
  <c r="E93" i="4"/>
  <c r="F93" i="4"/>
  <c r="G93" i="4"/>
  <c r="H93" i="4"/>
  <c r="I93" i="4"/>
  <c r="J93" i="4"/>
  <c r="K93" i="4"/>
  <c r="L93" i="4"/>
  <c r="M93" i="4"/>
  <c r="N93" i="4"/>
  <c r="O93" i="4"/>
  <c r="P93" i="4"/>
  <c r="Q93" i="4"/>
  <c r="R93" i="4"/>
  <c r="B94" i="4"/>
  <c r="C94" i="4"/>
  <c r="D94" i="4"/>
  <c r="E94" i="4"/>
  <c r="F94" i="4"/>
  <c r="G94" i="4"/>
  <c r="H94" i="4"/>
  <c r="I94" i="4"/>
  <c r="J94" i="4"/>
  <c r="K94" i="4"/>
  <c r="L94" i="4"/>
  <c r="M94" i="4"/>
  <c r="N94" i="4"/>
  <c r="O94" i="4"/>
  <c r="P94" i="4"/>
  <c r="Q94" i="4"/>
  <c r="R94" i="4"/>
  <c r="B95" i="4"/>
  <c r="C95" i="4"/>
  <c r="D95" i="4"/>
  <c r="E95" i="4"/>
  <c r="F95" i="4"/>
  <c r="G95" i="4"/>
  <c r="H95" i="4"/>
  <c r="I95" i="4"/>
  <c r="J95" i="4"/>
  <c r="K95" i="4"/>
  <c r="L95" i="4"/>
  <c r="M95" i="4"/>
  <c r="N95" i="4"/>
  <c r="O95" i="4"/>
  <c r="P95" i="4"/>
  <c r="Q95" i="4"/>
  <c r="R95" i="4"/>
  <c r="B96" i="4"/>
  <c r="C96" i="4"/>
  <c r="D96" i="4"/>
  <c r="E96" i="4"/>
  <c r="F96" i="4"/>
  <c r="G96" i="4"/>
  <c r="H96" i="4"/>
  <c r="I96" i="4"/>
  <c r="J96" i="4"/>
  <c r="K96" i="4"/>
  <c r="L96" i="4"/>
  <c r="M96" i="4"/>
  <c r="N96" i="4"/>
  <c r="O96" i="4"/>
  <c r="P96" i="4"/>
  <c r="Q96" i="4"/>
  <c r="R96" i="4"/>
  <c r="B97" i="4"/>
  <c r="C97" i="4"/>
  <c r="D97" i="4"/>
  <c r="E97" i="4"/>
  <c r="F97" i="4"/>
  <c r="G97" i="4"/>
  <c r="H97" i="4"/>
  <c r="I97" i="4"/>
  <c r="J97" i="4"/>
  <c r="K97" i="4"/>
  <c r="L97" i="4"/>
  <c r="M97" i="4"/>
  <c r="N97" i="4"/>
  <c r="O97" i="4"/>
  <c r="P97" i="4"/>
  <c r="Q97" i="4"/>
  <c r="R97" i="4"/>
  <c r="B98" i="4"/>
  <c r="C98" i="4"/>
  <c r="D98" i="4"/>
  <c r="E98" i="4"/>
  <c r="F98" i="4"/>
  <c r="G98" i="4"/>
  <c r="H98" i="4"/>
  <c r="I98" i="4"/>
  <c r="J98" i="4"/>
  <c r="K98" i="4"/>
  <c r="L98" i="4"/>
  <c r="M98" i="4"/>
  <c r="N98" i="4"/>
  <c r="O98" i="4"/>
  <c r="P98" i="4"/>
  <c r="Q98" i="4"/>
  <c r="R98" i="4"/>
  <c r="B99" i="4"/>
  <c r="C99" i="4"/>
  <c r="D99" i="4"/>
  <c r="E99" i="4"/>
  <c r="F99" i="4"/>
  <c r="G99" i="4"/>
  <c r="H99" i="4"/>
  <c r="I99" i="4"/>
  <c r="J99" i="4"/>
  <c r="K99" i="4"/>
  <c r="L99" i="4"/>
  <c r="M99" i="4"/>
  <c r="N99" i="4"/>
  <c r="O99" i="4"/>
  <c r="P99" i="4"/>
  <c r="Q99" i="4"/>
  <c r="R99" i="4"/>
  <c r="B100" i="4"/>
  <c r="C100" i="4"/>
  <c r="D100" i="4"/>
  <c r="E100" i="4"/>
  <c r="F100" i="4"/>
  <c r="H100" i="4"/>
  <c r="I100" i="4"/>
  <c r="J100" i="4"/>
  <c r="K100" i="4"/>
  <c r="L100" i="4"/>
  <c r="M100" i="4"/>
  <c r="N100" i="4"/>
  <c r="O100" i="4"/>
  <c r="P100" i="4"/>
  <c r="Q100" i="4"/>
  <c r="R100" i="4"/>
  <c r="B101" i="4"/>
  <c r="C101" i="4"/>
  <c r="D101" i="4"/>
  <c r="E101" i="4"/>
  <c r="F101" i="4"/>
  <c r="G101" i="4"/>
  <c r="H101" i="4"/>
  <c r="I101" i="4"/>
  <c r="J101" i="4"/>
  <c r="K101" i="4"/>
  <c r="L101" i="4"/>
  <c r="M101" i="4"/>
  <c r="N101" i="4"/>
  <c r="O101" i="4"/>
  <c r="P101" i="4"/>
  <c r="Q101" i="4"/>
  <c r="R101" i="4"/>
  <c r="B102" i="4"/>
  <c r="C102" i="4"/>
  <c r="D102" i="4"/>
  <c r="E102" i="4"/>
  <c r="F102" i="4"/>
  <c r="G102" i="4"/>
  <c r="H102" i="4"/>
  <c r="I102" i="4"/>
  <c r="J102" i="4"/>
  <c r="K102" i="4"/>
  <c r="L102" i="4"/>
  <c r="M102" i="4"/>
  <c r="N102" i="4"/>
  <c r="O102" i="4"/>
  <c r="P102" i="4"/>
  <c r="Q102" i="4"/>
  <c r="R102" i="4"/>
  <c r="B103" i="4"/>
  <c r="C103" i="4"/>
  <c r="D103" i="4"/>
  <c r="E103" i="4"/>
  <c r="F103" i="4"/>
  <c r="G103" i="4"/>
  <c r="H103" i="4"/>
  <c r="I103" i="4"/>
  <c r="J103" i="4"/>
  <c r="K103" i="4"/>
  <c r="L103" i="4"/>
  <c r="M103" i="4"/>
  <c r="N103" i="4"/>
  <c r="O103" i="4"/>
  <c r="P103" i="4"/>
  <c r="Q103" i="4"/>
  <c r="R103" i="4"/>
  <c r="B104" i="4"/>
  <c r="C104" i="4"/>
  <c r="D104" i="4"/>
  <c r="E104" i="4"/>
  <c r="F104" i="4"/>
  <c r="G104" i="4"/>
  <c r="H104" i="4"/>
  <c r="I104" i="4"/>
  <c r="J104" i="4"/>
  <c r="K104" i="4"/>
  <c r="L104" i="4"/>
  <c r="M104" i="4"/>
  <c r="N104" i="4"/>
  <c r="O104" i="4"/>
  <c r="P104" i="4"/>
  <c r="Q104" i="4"/>
  <c r="R104" i="4"/>
  <c r="B105" i="4"/>
  <c r="C105" i="4"/>
  <c r="D105" i="4"/>
  <c r="E105" i="4"/>
  <c r="F105" i="4"/>
  <c r="G105" i="4"/>
  <c r="H105" i="4"/>
  <c r="I105" i="4"/>
  <c r="J105" i="4"/>
  <c r="K105" i="4"/>
  <c r="L105" i="4"/>
  <c r="M105" i="4"/>
  <c r="N105" i="4"/>
  <c r="O105" i="4"/>
  <c r="P105" i="4"/>
  <c r="Q105" i="4"/>
  <c r="R105" i="4"/>
  <c r="B106" i="4"/>
  <c r="C106" i="4"/>
  <c r="D106" i="4"/>
  <c r="E106" i="4"/>
  <c r="F106" i="4"/>
  <c r="G106" i="4"/>
  <c r="H106" i="4"/>
  <c r="I106" i="4"/>
  <c r="J106" i="4"/>
  <c r="K106" i="4"/>
  <c r="L106" i="4"/>
  <c r="M106" i="4"/>
  <c r="N106" i="4"/>
  <c r="O106" i="4"/>
  <c r="P106" i="4"/>
  <c r="Q106" i="4"/>
  <c r="R106" i="4"/>
  <c r="B107" i="4"/>
  <c r="C107" i="4"/>
  <c r="D107" i="4"/>
  <c r="E107" i="4"/>
  <c r="F107" i="4"/>
  <c r="G107" i="4"/>
  <c r="H107" i="4"/>
  <c r="I107" i="4"/>
  <c r="J107" i="4"/>
  <c r="K107" i="4"/>
  <c r="L107" i="4"/>
  <c r="M107" i="4"/>
  <c r="N107" i="4"/>
  <c r="O107" i="4"/>
  <c r="P107" i="4"/>
  <c r="Q107" i="4"/>
  <c r="R107" i="4"/>
  <c r="B108" i="4"/>
  <c r="C108" i="4"/>
  <c r="D108" i="4"/>
  <c r="E108" i="4"/>
  <c r="F108" i="4"/>
  <c r="G108" i="4"/>
  <c r="H108" i="4"/>
  <c r="I108" i="4"/>
  <c r="J108" i="4"/>
  <c r="K108" i="4"/>
  <c r="L108" i="4"/>
  <c r="M108" i="4"/>
  <c r="N108" i="4"/>
  <c r="O108" i="4"/>
  <c r="P108" i="4"/>
  <c r="Q108" i="4"/>
  <c r="R108" i="4"/>
  <c r="B109" i="4"/>
  <c r="C109" i="4"/>
  <c r="D109" i="4"/>
  <c r="E109" i="4"/>
  <c r="F109" i="4"/>
  <c r="G109" i="4"/>
  <c r="H109" i="4"/>
  <c r="I109" i="4"/>
  <c r="J109" i="4"/>
  <c r="K109" i="4"/>
  <c r="L109" i="4"/>
  <c r="M109" i="4"/>
  <c r="N109" i="4"/>
  <c r="O109" i="4"/>
  <c r="P109" i="4"/>
  <c r="Q109" i="4"/>
  <c r="R109" i="4"/>
  <c r="B110" i="4"/>
  <c r="C110" i="4"/>
  <c r="D110" i="4"/>
  <c r="E110" i="4"/>
  <c r="F110" i="4"/>
  <c r="G110" i="4"/>
  <c r="H110" i="4"/>
  <c r="I110" i="4"/>
  <c r="J110" i="4"/>
  <c r="K110" i="4"/>
  <c r="L110" i="4"/>
  <c r="M110" i="4"/>
  <c r="N110" i="4"/>
  <c r="O110" i="4"/>
  <c r="P110" i="4"/>
  <c r="Q110" i="4"/>
  <c r="R110" i="4"/>
  <c r="B111" i="4"/>
  <c r="C111" i="4"/>
  <c r="D111" i="4"/>
  <c r="E111" i="4"/>
  <c r="F111" i="4"/>
  <c r="G111" i="4"/>
  <c r="H111" i="4"/>
  <c r="I111" i="4"/>
  <c r="J111" i="4"/>
  <c r="K111" i="4"/>
  <c r="L111" i="4"/>
  <c r="M111" i="4"/>
  <c r="N111" i="4"/>
  <c r="O111" i="4"/>
  <c r="P111" i="4"/>
  <c r="Q111" i="4"/>
  <c r="R111" i="4"/>
  <c r="B112" i="4"/>
  <c r="C112" i="4"/>
  <c r="D112" i="4"/>
  <c r="E112" i="4"/>
  <c r="F112" i="4"/>
  <c r="G112" i="4"/>
  <c r="H112" i="4"/>
  <c r="I112" i="4"/>
  <c r="J112" i="4"/>
  <c r="K112" i="4"/>
  <c r="L112" i="4"/>
  <c r="M112" i="4"/>
  <c r="N112" i="4"/>
  <c r="O112" i="4"/>
  <c r="P112" i="4"/>
  <c r="Q112" i="4"/>
  <c r="R112" i="4"/>
  <c r="B113" i="4"/>
  <c r="C113" i="4"/>
  <c r="D113" i="4"/>
  <c r="E113" i="4"/>
  <c r="F113" i="4"/>
  <c r="G113" i="4"/>
  <c r="H113" i="4"/>
  <c r="I113" i="4"/>
  <c r="J113" i="4"/>
  <c r="K113" i="4"/>
  <c r="L113" i="4"/>
  <c r="M113" i="4"/>
  <c r="N113" i="4"/>
  <c r="O113" i="4"/>
  <c r="P113" i="4"/>
  <c r="Q113" i="4"/>
  <c r="R113" i="4"/>
  <c r="B114" i="4"/>
  <c r="C114" i="4"/>
  <c r="D114" i="4"/>
  <c r="E114" i="4"/>
  <c r="F114" i="4"/>
  <c r="G114" i="4"/>
  <c r="H114" i="4"/>
  <c r="I114" i="4"/>
  <c r="J114" i="4"/>
  <c r="K114" i="4"/>
  <c r="L114" i="4"/>
  <c r="M114" i="4"/>
  <c r="N114" i="4"/>
  <c r="O114" i="4"/>
  <c r="P114" i="4"/>
  <c r="Q114" i="4"/>
  <c r="R114" i="4"/>
  <c r="B115" i="4"/>
  <c r="C115" i="4"/>
  <c r="D115" i="4"/>
  <c r="E115" i="4"/>
  <c r="F115" i="4"/>
  <c r="G115" i="4"/>
  <c r="H115" i="4"/>
  <c r="I115" i="4"/>
  <c r="J115" i="4"/>
  <c r="K115" i="4"/>
  <c r="L115" i="4"/>
  <c r="M115" i="4"/>
  <c r="N115" i="4"/>
  <c r="O115" i="4"/>
  <c r="P115" i="4"/>
  <c r="Q115" i="4"/>
  <c r="R115" i="4"/>
  <c r="B116" i="4"/>
  <c r="C116" i="4"/>
  <c r="D116" i="4"/>
  <c r="E116" i="4"/>
  <c r="F116" i="4"/>
  <c r="G116" i="4"/>
  <c r="H116" i="4"/>
  <c r="I116" i="4"/>
  <c r="J116" i="4"/>
  <c r="K116" i="4"/>
  <c r="L116" i="4"/>
  <c r="M116" i="4"/>
  <c r="N116" i="4"/>
  <c r="O116" i="4"/>
  <c r="P116" i="4"/>
  <c r="Q116" i="4"/>
  <c r="R116" i="4"/>
  <c r="B117" i="4"/>
  <c r="C117" i="4"/>
  <c r="D117" i="4"/>
  <c r="E117" i="4"/>
  <c r="F117" i="4"/>
  <c r="G117" i="4"/>
  <c r="H117" i="4"/>
  <c r="I117" i="4"/>
  <c r="J117" i="4"/>
  <c r="K117" i="4"/>
  <c r="L117" i="4"/>
  <c r="M117" i="4"/>
  <c r="N117" i="4"/>
  <c r="O117" i="4"/>
  <c r="P117" i="4"/>
  <c r="Q117" i="4"/>
  <c r="R117" i="4"/>
  <c r="B118" i="4"/>
  <c r="C118" i="4"/>
  <c r="D118" i="4"/>
  <c r="E118" i="4"/>
  <c r="F118" i="4"/>
  <c r="G118" i="4"/>
  <c r="H118" i="4"/>
  <c r="I118" i="4"/>
  <c r="J118" i="4"/>
  <c r="K118" i="4"/>
  <c r="M118" i="4"/>
  <c r="N118" i="4"/>
  <c r="O118" i="4"/>
  <c r="P118" i="4"/>
  <c r="Q118" i="4"/>
  <c r="R118" i="4"/>
  <c r="B119" i="4"/>
  <c r="C119" i="4"/>
  <c r="D119" i="4"/>
  <c r="E119" i="4"/>
  <c r="F119" i="4"/>
  <c r="G119" i="4"/>
  <c r="H119" i="4"/>
  <c r="I119" i="4"/>
  <c r="J119" i="4"/>
  <c r="K119" i="4"/>
  <c r="L119" i="4"/>
  <c r="M119" i="4"/>
  <c r="N119" i="4"/>
  <c r="O119" i="4"/>
  <c r="P119" i="4"/>
  <c r="Q119" i="4"/>
  <c r="R119" i="4"/>
  <c r="B120" i="4"/>
  <c r="C120" i="4"/>
  <c r="D120" i="4"/>
  <c r="E120" i="4"/>
  <c r="F120" i="4"/>
  <c r="G120" i="4"/>
  <c r="H120" i="4"/>
  <c r="I120" i="4"/>
  <c r="J120" i="4"/>
  <c r="K120" i="4"/>
  <c r="L120" i="4"/>
  <c r="M120" i="4"/>
  <c r="N120" i="4"/>
  <c r="O120" i="4"/>
  <c r="P120" i="4"/>
  <c r="Q120" i="4"/>
  <c r="R120" i="4"/>
  <c r="B121" i="4"/>
  <c r="C121" i="4"/>
  <c r="D121" i="4"/>
  <c r="E121" i="4"/>
  <c r="F121" i="4"/>
  <c r="G121" i="4"/>
  <c r="H121" i="4"/>
  <c r="I121" i="4"/>
  <c r="J121" i="4"/>
  <c r="K121" i="4"/>
  <c r="L121" i="4"/>
  <c r="M121" i="4"/>
  <c r="N121" i="4"/>
  <c r="O121" i="4"/>
  <c r="P121" i="4"/>
  <c r="Q121" i="4"/>
  <c r="R121" i="4"/>
  <c r="B122" i="4"/>
  <c r="C122" i="4"/>
  <c r="D122" i="4"/>
  <c r="E122" i="4"/>
  <c r="F122" i="4"/>
  <c r="G122" i="4"/>
  <c r="H122" i="4"/>
  <c r="I122" i="4"/>
  <c r="J122" i="4"/>
  <c r="K122" i="4"/>
  <c r="L122" i="4"/>
  <c r="M122" i="4"/>
  <c r="N122" i="4"/>
  <c r="O122" i="4"/>
  <c r="P122" i="4"/>
  <c r="Q122" i="4"/>
  <c r="R122" i="4"/>
  <c r="B123" i="4"/>
  <c r="C123" i="4"/>
  <c r="D123" i="4"/>
  <c r="E123" i="4"/>
  <c r="F123" i="4"/>
  <c r="G123" i="4"/>
  <c r="H123" i="4"/>
  <c r="I123" i="4"/>
  <c r="J123" i="4"/>
  <c r="K123" i="4"/>
  <c r="L123" i="4"/>
  <c r="M123" i="4"/>
  <c r="N123" i="4"/>
  <c r="O123" i="4"/>
  <c r="P123" i="4"/>
  <c r="Q123" i="4"/>
  <c r="R123" i="4"/>
  <c r="B124" i="4"/>
  <c r="C124" i="4"/>
  <c r="D124" i="4"/>
  <c r="E124" i="4"/>
  <c r="F124" i="4"/>
  <c r="G124" i="4"/>
  <c r="H124" i="4"/>
  <c r="I124" i="4"/>
  <c r="J124" i="4"/>
  <c r="K124" i="4"/>
  <c r="L124" i="4"/>
  <c r="M124" i="4"/>
  <c r="N124" i="4"/>
  <c r="O124" i="4"/>
  <c r="P124" i="4"/>
  <c r="Q124" i="4"/>
  <c r="R124" i="4"/>
  <c r="B125" i="4"/>
  <c r="C125" i="4"/>
  <c r="D125" i="4"/>
  <c r="E125" i="4"/>
  <c r="F125" i="4"/>
  <c r="G125" i="4"/>
  <c r="H125" i="4"/>
  <c r="I125" i="4"/>
  <c r="J125" i="4"/>
  <c r="K125" i="4"/>
  <c r="L125" i="4"/>
  <c r="M125" i="4"/>
  <c r="N125" i="4"/>
  <c r="O125" i="4"/>
  <c r="P125" i="4"/>
  <c r="Q125" i="4"/>
  <c r="R125" i="4"/>
  <c r="B126" i="4"/>
  <c r="C126" i="4"/>
  <c r="D126" i="4"/>
  <c r="E126" i="4"/>
  <c r="F126" i="4"/>
  <c r="G126" i="4"/>
  <c r="H126" i="4"/>
  <c r="I126" i="4"/>
  <c r="J126" i="4"/>
  <c r="K126" i="4"/>
  <c r="L126" i="4"/>
  <c r="M126" i="4"/>
  <c r="N126" i="4"/>
  <c r="O126" i="4"/>
  <c r="P126" i="4"/>
  <c r="Q126" i="4"/>
  <c r="R126" i="4"/>
  <c r="B127" i="4"/>
  <c r="C127" i="4"/>
  <c r="D127" i="4"/>
  <c r="E127" i="4"/>
  <c r="F127" i="4"/>
  <c r="G127" i="4"/>
  <c r="H127" i="4"/>
  <c r="I127" i="4"/>
  <c r="J127" i="4"/>
  <c r="K127" i="4"/>
  <c r="L127" i="4"/>
  <c r="M127" i="4"/>
  <c r="N127" i="4"/>
  <c r="O127" i="4"/>
  <c r="P127" i="4"/>
  <c r="Q127" i="4"/>
  <c r="R127" i="4"/>
  <c r="B128" i="4"/>
  <c r="C128" i="4"/>
  <c r="D128" i="4"/>
  <c r="E128" i="4"/>
  <c r="F128" i="4"/>
  <c r="G128" i="4"/>
  <c r="H128" i="4"/>
  <c r="I128" i="4"/>
  <c r="J128" i="4"/>
  <c r="K128" i="4"/>
  <c r="L128" i="4"/>
  <c r="M128" i="4"/>
  <c r="N128" i="4"/>
  <c r="O128" i="4"/>
  <c r="P128" i="4"/>
  <c r="Q128" i="4"/>
  <c r="R128" i="4"/>
  <c r="B129" i="4"/>
  <c r="C129" i="4"/>
  <c r="D129" i="4"/>
  <c r="E129" i="4"/>
  <c r="F129" i="4"/>
  <c r="G129" i="4"/>
  <c r="H129" i="4"/>
  <c r="I129" i="4"/>
  <c r="J129" i="4"/>
  <c r="K129" i="4"/>
  <c r="L129" i="4"/>
  <c r="M129" i="4"/>
  <c r="N129" i="4"/>
  <c r="O129" i="4"/>
  <c r="P129" i="4"/>
  <c r="Q129" i="4"/>
  <c r="R129" i="4"/>
  <c r="B130" i="4"/>
  <c r="C130" i="4"/>
  <c r="D130" i="4"/>
  <c r="E130" i="4"/>
  <c r="F130" i="4"/>
  <c r="G130" i="4"/>
  <c r="H130" i="4"/>
  <c r="I130" i="4"/>
  <c r="J130" i="4"/>
  <c r="K130" i="4"/>
  <c r="L130" i="4"/>
  <c r="M130" i="4"/>
  <c r="N130" i="4"/>
  <c r="O130" i="4"/>
  <c r="P130" i="4"/>
  <c r="Q130" i="4"/>
  <c r="R130" i="4"/>
  <c r="B131" i="4"/>
  <c r="C131" i="4"/>
  <c r="D131" i="4"/>
  <c r="E131" i="4"/>
  <c r="F131" i="4"/>
  <c r="G131" i="4"/>
  <c r="H131" i="4"/>
  <c r="I131" i="4"/>
  <c r="J131" i="4"/>
  <c r="K131" i="4"/>
  <c r="L131" i="4"/>
  <c r="M131" i="4"/>
  <c r="N131" i="4"/>
  <c r="O131" i="4"/>
  <c r="P131" i="4"/>
  <c r="Q131" i="4"/>
  <c r="R131" i="4"/>
  <c r="B132" i="4"/>
  <c r="C132" i="4"/>
  <c r="D132" i="4"/>
  <c r="E132" i="4"/>
  <c r="F132" i="4"/>
  <c r="G132" i="4"/>
  <c r="H132" i="4"/>
  <c r="I132" i="4"/>
  <c r="J132" i="4"/>
  <c r="K132" i="4"/>
  <c r="L132" i="4"/>
  <c r="M132" i="4"/>
  <c r="N132" i="4"/>
  <c r="O132" i="4"/>
  <c r="P132" i="4"/>
  <c r="Q132" i="4"/>
  <c r="R132" i="4"/>
  <c r="B133" i="4"/>
  <c r="C133" i="4"/>
  <c r="D133" i="4"/>
  <c r="E133" i="4"/>
  <c r="F133" i="4"/>
  <c r="G133" i="4"/>
  <c r="H133" i="4"/>
  <c r="I133" i="4"/>
  <c r="J133" i="4"/>
  <c r="K133" i="4"/>
  <c r="L133" i="4"/>
  <c r="M133" i="4"/>
  <c r="N133" i="4"/>
  <c r="O133" i="4"/>
  <c r="P133" i="4"/>
  <c r="Q133" i="4"/>
  <c r="R133" i="4"/>
  <c r="B134" i="4"/>
  <c r="C134" i="4"/>
  <c r="D134" i="4"/>
  <c r="E134" i="4"/>
  <c r="F134" i="4"/>
  <c r="G134" i="4"/>
  <c r="H134" i="4"/>
  <c r="I134" i="4"/>
  <c r="J134" i="4"/>
  <c r="K134" i="4"/>
  <c r="M134" i="4"/>
  <c r="N134" i="4"/>
  <c r="O134" i="4"/>
  <c r="P134" i="4"/>
  <c r="Q134" i="4"/>
  <c r="R134" i="4"/>
  <c r="B135" i="4"/>
  <c r="C135" i="4"/>
  <c r="D135" i="4"/>
  <c r="E135" i="4"/>
  <c r="F135" i="4"/>
  <c r="G135" i="4"/>
  <c r="H135" i="4"/>
  <c r="I135" i="4"/>
  <c r="J135" i="4"/>
  <c r="K135" i="4"/>
  <c r="L135" i="4"/>
  <c r="M135" i="4"/>
  <c r="N135" i="4"/>
  <c r="O135" i="4"/>
  <c r="P135" i="4"/>
  <c r="Q135" i="4"/>
  <c r="R135" i="4"/>
  <c r="B136" i="4"/>
  <c r="C136" i="4"/>
  <c r="D136" i="4"/>
  <c r="E136" i="4"/>
  <c r="F136" i="4"/>
  <c r="G136" i="4"/>
  <c r="H136" i="4"/>
  <c r="I136" i="4"/>
  <c r="J136" i="4"/>
  <c r="K136" i="4"/>
  <c r="L136" i="4"/>
  <c r="M136" i="4"/>
  <c r="N136" i="4"/>
  <c r="O136" i="4"/>
  <c r="P136" i="4"/>
  <c r="Q136" i="4"/>
  <c r="R136" i="4"/>
  <c r="B137" i="4"/>
  <c r="C137" i="4"/>
  <c r="D137" i="4"/>
  <c r="E137" i="4"/>
  <c r="F137" i="4"/>
  <c r="G137" i="4"/>
  <c r="H137" i="4"/>
  <c r="I137" i="4"/>
  <c r="J137" i="4"/>
  <c r="K137" i="4"/>
  <c r="L137" i="4"/>
  <c r="M137" i="4"/>
  <c r="N137" i="4"/>
  <c r="O137" i="4"/>
  <c r="P137" i="4"/>
  <c r="Q137" i="4"/>
  <c r="R137" i="4"/>
  <c r="B138" i="4"/>
  <c r="C138" i="4"/>
  <c r="D138" i="4"/>
  <c r="E138" i="4"/>
  <c r="F138" i="4"/>
  <c r="G138" i="4"/>
  <c r="H138" i="4"/>
  <c r="I138" i="4"/>
  <c r="J138" i="4"/>
  <c r="K138" i="4"/>
  <c r="L138" i="4"/>
  <c r="M138" i="4"/>
  <c r="N138" i="4"/>
  <c r="O138" i="4"/>
  <c r="P138" i="4"/>
  <c r="Q138" i="4"/>
  <c r="R138" i="4"/>
  <c r="B139" i="4"/>
  <c r="C139" i="4"/>
  <c r="D139" i="4"/>
  <c r="E139" i="4"/>
  <c r="F139" i="4"/>
  <c r="G139" i="4"/>
  <c r="H139" i="4"/>
  <c r="I139" i="4"/>
  <c r="J139" i="4"/>
  <c r="K139" i="4"/>
  <c r="L139" i="4"/>
  <c r="M139" i="4"/>
  <c r="N139" i="4"/>
  <c r="O139" i="4"/>
  <c r="P139" i="4"/>
  <c r="Q139" i="4"/>
  <c r="R139" i="4"/>
  <c r="B140" i="4"/>
  <c r="C140" i="4"/>
  <c r="D140" i="4"/>
  <c r="E140" i="4"/>
  <c r="F140" i="4"/>
  <c r="G140" i="4"/>
  <c r="H140" i="4"/>
  <c r="I140" i="4"/>
  <c r="J140" i="4"/>
  <c r="K140" i="4"/>
  <c r="L140" i="4"/>
  <c r="M140" i="4"/>
  <c r="N140" i="4"/>
  <c r="O140" i="4"/>
  <c r="P140" i="4"/>
  <c r="Q140" i="4"/>
  <c r="R140" i="4"/>
  <c r="B141" i="4"/>
  <c r="C141" i="4"/>
  <c r="D141" i="4"/>
  <c r="E141" i="4"/>
  <c r="F141" i="4"/>
  <c r="G141" i="4"/>
  <c r="H141" i="4"/>
  <c r="I141" i="4"/>
  <c r="J141" i="4"/>
  <c r="K141" i="4"/>
  <c r="L141" i="4"/>
  <c r="M141" i="4"/>
  <c r="N141" i="4"/>
  <c r="O141" i="4"/>
  <c r="P141" i="4"/>
  <c r="Q141" i="4"/>
  <c r="R141" i="4"/>
  <c r="B142" i="4"/>
  <c r="C142" i="4"/>
  <c r="D142" i="4"/>
  <c r="E142" i="4"/>
  <c r="F142" i="4"/>
  <c r="G142" i="4"/>
  <c r="H142" i="4"/>
  <c r="I142" i="4"/>
  <c r="J142" i="4"/>
  <c r="K142" i="4"/>
  <c r="L142" i="4"/>
  <c r="M142" i="4"/>
  <c r="N142" i="4"/>
  <c r="O142" i="4"/>
  <c r="P142" i="4"/>
  <c r="Q142" i="4"/>
  <c r="R142" i="4"/>
  <c r="B143" i="4"/>
  <c r="C143" i="4"/>
  <c r="D143" i="4"/>
  <c r="E143" i="4"/>
  <c r="F143" i="4"/>
  <c r="G143" i="4"/>
  <c r="H143" i="4"/>
  <c r="I143" i="4"/>
  <c r="J143" i="4"/>
  <c r="K143" i="4"/>
  <c r="L143" i="4"/>
  <c r="M143" i="4"/>
  <c r="N143" i="4"/>
  <c r="O143" i="4"/>
  <c r="P143" i="4"/>
  <c r="Q143" i="4"/>
  <c r="R143" i="4"/>
  <c r="B144" i="4"/>
  <c r="C144" i="4"/>
  <c r="D144" i="4"/>
  <c r="E144" i="4"/>
  <c r="F144" i="4"/>
  <c r="G144" i="4"/>
  <c r="H144" i="4"/>
  <c r="I144" i="4"/>
  <c r="J144" i="4"/>
  <c r="K144" i="4"/>
  <c r="L144" i="4"/>
  <c r="M144" i="4"/>
  <c r="N144" i="4"/>
  <c r="O144" i="4"/>
  <c r="P144" i="4"/>
  <c r="Q144" i="4"/>
  <c r="R144" i="4"/>
  <c r="B145" i="4"/>
  <c r="C145" i="4"/>
  <c r="D145" i="4"/>
  <c r="E145" i="4"/>
  <c r="F145" i="4"/>
  <c r="G145" i="4"/>
  <c r="H145" i="4"/>
  <c r="I145" i="4"/>
  <c r="J145" i="4"/>
  <c r="K145" i="4"/>
  <c r="L145" i="4"/>
  <c r="M145" i="4"/>
  <c r="N145" i="4"/>
  <c r="O145" i="4"/>
  <c r="P145" i="4"/>
  <c r="Q145" i="4"/>
  <c r="R145" i="4"/>
  <c r="B146" i="4"/>
  <c r="C146" i="4"/>
  <c r="D146" i="4"/>
  <c r="E146" i="4"/>
  <c r="F146" i="4"/>
  <c r="G146" i="4"/>
  <c r="H146" i="4"/>
  <c r="I146" i="4"/>
  <c r="J146" i="4"/>
  <c r="K146" i="4"/>
  <c r="L146" i="4"/>
  <c r="M146" i="4"/>
  <c r="N146" i="4"/>
  <c r="O146" i="4"/>
  <c r="P146" i="4"/>
  <c r="Q146" i="4"/>
  <c r="R146" i="4"/>
  <c r="B147" i="4"/>
  <c r="C147" i="4"/>
  <c r="D147" i="4"/>
  <c r="E147" i="4"/>
  <c r="F147" i="4"/>
  <c r="G147" i="4"/>
  <c r="H147" i="4"/>
  <c r="I147" i="4"/>
  <c r="J147" i="4"/>
  <c r="K147" i="4"/>
  <c r="L147" i="4"/>
  <c r="M147" i="4"/>
  <c r="N147" i="4"/>
  <c r="O147" i="4"/>
  <c r="P147" i="4"/>
  <c r="Q147" i="4"/>
  <c r="R147" i="4"/>
  <c r="B148" i="4"/>
  <c r="C148" i="4"/>
  <c r="D148" i="4"/>
  <c r="E148" i="4"/>
  <c r="F148" i="4"/>
  <c r="G148" i="4"/>
  <c r="H148" i="4"/>
  <c r="I148" i="4"/>
  <c r="J148" i="4"/>
  <c r="K148" i="4"/>
  <c r="L148" i="4"/>
  <c r="M148" i="4"/>
  <c r="N148" i="4"/>
  <c r="O148" i="4"/>
  <c r="P148" i="4"/>
  <c r="Q148" i="4"/>
  <c r="R148" i="4"/>
  <c r="B149" i="4"/>
  <c r="C149" i="4"/>
  <c r="D149" i="4"/>
  <c r="E149" i="4"/>
  <c r="F149" i="4"/>
  <c r="G149" i="4"/>
  <c r="H149" i="4"/>
  <c r="I149" i="4"/>
  <c r="J149" i="4"/>
  <c r="K149" i="4"/>
  <c r="L149" i="4"/>
  <c r="M149" i="4"/>
  <c r="N149" i="4"/>
  <c r="O149" i="4"/>
  <c r="P149" i="4"/>
  <c r="Q149" i="4"/>
  <c r="R149" i="4"/>
  <c r="B150" i="4"/>
  <c r="C150" i="4"/>
  <c r="D150" i="4"/>
  <c r="E150" i="4"/>
  <c r="F150" i="4"/>
  <c r="G150" i="4"/>
  <c r="H150" i="4"/>
  <c r="I150" i="4"/>
  <c r="J150" i="4"/>
  <c r="K150" i="4"/>
  <c r="L150" i="4"/>
  <c r="M150" i="4"/>
  <c r="N150" i="4"/>
  <c r="O150" i="4"/>
  <c r="P150" i="4"/>
  <c r="Q150" i="4"/>
  <c r="R150" i="4"/>
  <c r="B151" i="4"/>
  <c r="C151" i="4"/>
  <c r="D151" i="4"/>
  <c r="E151" i="4"/>
  <c r="F151" i="4"/>
  <c r="G151" i="4"/>
  <c r="H151" i="4"/>
  <c r="I151" i="4"/>
  <c r="J151" i="4"/>
  <c r="K151" i="4"/>
  <c r="L151" i="4"/>
  <c r="M151" i="4"/>
  <c r="N151" i="4"/>
  <c r="O151" i="4"/>
  <c r="P151" i="4"/>
  <c r="Q151" i="4"/>
  <c r="R151" i="4"/>
  <c r="B152" i="4"/>
  <c r="C152" i="4"/>
  <c r="D152" i="4"/>
  <c r="E152" i="4"/>
  <c r="F152" i="4"/>
  <c r="G152" i="4"/>
  <c r="H152" i="4"/>
  <c r="I152" i="4"/>
  <c r="J152" i="4"/>
  <c r="K152" i="4"/>
  <c r="L152" i="4"/>
  <c r="M152" i="4"/>
  <c r="N152" i="4"/>
  <c r="O152" i="4"/>
  <c r="P152" i="4"/>
  <c r="Q152" i="4"/>
  <c r="R152" i="4"/>
  <c r="B153" i="4"/>
  <c r="C153" i="4"/>
  <c r="D153" i="4"/>
  <c r="E153" i="4"/>
  <c r="F153" i="4"/>
  <c r="G153" i="4"/>
  <c r="H153" i="4"/>
  <c r="I153" i="4"/>
  <c r="J153" i="4"/>
  <c r="K153" i="4"/>
  <c r="L153" i="4"/>
  <c r="M153" i="4"/>
  <c r="N153" i="4"/>
  <c r="O153" i="4"/>
  <c r="P153" i="4"/>
  <c r="Q153" i="4"/>
  <c r="R153" i="4"/>
  <c r="B154" i="4"/>
  <c r="C154" i="4"/>
  <c r="D154" i="4"/>
  <c r="E154" i="4"/>
  <c r="F154" i="4"/>
  <c r="G154" i="4"/>
  <c r="H154" i="4"/>
  <c r="I154" i="4"/>
  <c r="J154" i="4"/>
  <c r="K154" i="4"/>
  <c r="L154" i="4"/>
  <c r="M154" i="4"/>
  <c r="N154" i="4"/>
  <c r="O154" i="4"/>
  <c r="P154" i="4"/>
  <c r="Q154" i="4"/>
  <c r="R154" i="4"/>
  <c r="B155" i="4"/>
  <c r="C155" i="4"/>
  <c r="D155" i="4"/>
  <c r="E155" i="4"/>
  <c r="F155" i="4"/>
  <c r="G155" i="4"/>
  <c r="H155" i="4"/>
  <c r="I155" i="4"/>
  <c r="J155" i="4"/>
  <c r="K155" i="4"/>
  <c r="L155" i="4"/>
  <c r="M155" i="4"/>
  <c r="N155" i="4"/>
  <c r="O155" i="4"/>
  <c r="P155" i="4"/>
  <c r="Q155" i="4"/>
  <c r="R155" i="4"/>
  <c r="B156" i="4"/>
  <c r="C156" i="4"/>
  <c r="D156" i="4"/>
  <c r="E156" i="4"/>
  <c r="F156" i="4"/>
  <c r="G156" i="4"/>
  <c r="H156" i="4"/>
  <c r="I156" i="4"/>
  <c r="J156" i="4"/>
  <c r="K156" i="4"/>
  <c r="L156" i="4"/>
  <c r="M156" i="4"/>
  <c r="N156" i="4"/>
  <c r="O156" i="4"/>
  <c r="P156" i="4"/>
  <c r="Q156" i="4"/>
  <c r="R156" i="4"/>
  <c r="B157" i="4"/>
  <c r="C157" i="4"/>
  <c r="D157" i="4"/>
  <c r="E157" i="4"/>
  <c r="F157" i="4"/>
  <c r="G157" i="4"/>
  <c r="H157" i="4"/>
  <c r="I157" i="4"/>
  <c r="J157" i="4"/>
  <c r="K157" i="4"/>
  <c r="L157" i="4"/>
  <c r="M157" i="4"/>
  <c r="N157" i="4"/>
  <c r="O157" i="4"/>
  <c r="P157" i="4"/>
  <c r="Q157" i="4"/>
  <c r="R157" i="4"/>
  <c r="B158" i="4"/>
  <c r="C158" i="4"/>
  <c r="D158" i="4"/>
  <c r="E158" i="4"/>
  <c r="F158" i="4"/>
  <c r="G158" i="4"/>
  <c r="H158" i="4"/>
  <c r="I158" i="4"/>
  <c r="J158" i="4"/>
  <c r="K158" i="4"/>
  <c r="L158" i="4"/>
  <c r="M158" i="4"/>
  <c r="N158" i="4"/>
  <c r="O158" i="4"/>
  <c r="P158" i="4"/>
  <c r="Q158" i="4"/>
  <c r="R158" i="4"/>
  <c r="B159" i="4"/>
  <c r="C159" i="4"/>
  <c r="D159" i="4"/>
  <c r="E159" i="4"/>
  <c r="F159" i="4"/>
  <c r="G159" i="4"/>
  <c r="H159" i="4"/>
  <c r="I159" i="4"/>
  <c r="J159" i="4"/>
  <c r="K159" i="4"/>
  <c r="L159" i="4"/>
  <c r="M159" i="4"/>
  <c r="N159" i="4"/>
  <c r="O159" i="4"/>
  <c r="P159" i="4"/>
  <c r="Q159" i="4"/>
  <c r="R159" i="4"/>
  <c r="B160" i="4"/>
  <c r="C160" i="4"/>
  <c r="D160" i="4"/>
  <c r="E160" i="4"/>
  <c r="F160" i="4"/>
  <c r="G160" i="4"/>
  <c r="H160" i="4"/>
  <c r="I160" i="4"/>
  <c r="J160" i="4"/>
  <c r="K160" i="4"/>
  <c r="L160" i="4"/>
  <c r="M160" i="4"/>
  <c r="N160" i="4"/>
  <c r="O160" i="4"/>
  <c r="P160" i="4"/>
  <c r="Q160" i="4"/>
  <c r="R160" i="4"/>
  <c r="B161" i="4"/>
  <c r="C161" i="4"/>
  <c r="D161" i="4"/>
  <c r="E161" i="4"/>
  <c r="F161" i="4"/>
  <c r="G161" i="4"/>
  <c r="H161" i="4"/>
  <c r="I161" i="4"/>
  <c r="J161" i="4"/>
  <c r="K161" i="4"/>
  <c r="L161" i="4"/>
  <c r="M161" i="4"/>
  <c r="N161" i="4"/>
  <c r="O161" i="4"/>
  <c r="P161" i="4"/>
  <c r="Q161" i="4"/>
  <c r="R161" i="4"/>
  <c r="B162" i="4"/>
  <c r="C162" i="4"/>
  <c r="D162" i="4"/>
  <c r="E162" i="4"/>
  <c r="F162" i="4"/>
  <c r="G162" i="4"/>
  <c r="H162" i="4"/>
  <c r="I162" i="4"/>
  <c r="J162" i="4"/>
  <c r="K162" i="4"/>
  <c r="L162" i="4"/>
  <c r="M162" i="4"/>
  <c r="N162" i="4"/>
  <c r="O162" i="4"/>
  <c r="P162" i="4"/>
  <c r="Q162" i="4"/>
  <c r="R162" i="4"/>
  <c r="B163" i="4"/>
  <c r="C163" i="4"/>
  <c r="D163" i="4"/>
  <c r="E163" i="4"/>
  <c r="F163" i="4"/>
  <c r="G163" i="4"/>
  <c r="H163" i="4"/>
  <c r="I163" i="4"/>
  <c r="J163" i="4"/>
  <c r="K163" i="4"/>
  <c r="L163" i="4"/>
  <c r="M163" i="4"/>
  <c r="N163" i="4"/>
  <c r="O163" i="4"/>
  <c r="P163" i="4"/>
  <c r="Q163" i="4"/>
  <c r="R163" i="4"/>
  <c r="B164" i="4"/>
  <c r="C164" i="4"/>
  <c r="D164" i="4"/>
  <c r="E164" i="4"/>
  <c r="F164" i="4"/>
  <c r="G164" i="4"/>
  <c r="H164" i="4"/>
  <c r="I164" i="4"/>
  <c r="J164" i="4"/>
  <c r="K164" i="4"/>
  <c r="L164" i="4"/>
  <c r="M164" i="4"/>
  <c r="N164" i="4"/>
  <c r="O164" i="4"/>
  <c r="P164" i="4"/>
  <c r="Q164" i="4"/>
  <c r="R164" i="4"/>
  <c r="B165" i="4"/>
  <c r="C165" i="4"/>
  <c r="D165" i="4"/>
  <c r="E165" i="4"/>
  <c r="F165" i="4"/>
  <c r="G165" i="4"/>
  <c r="H165" i="4"/>
  <c r="I165" i="4"/>
  <c r="J165" i="4"/>
  <c r="K165" i="4"/>
  <c r="L165" i="4"/>
  <c r="M165" i="4"/>
  <c r="N165" i="4"/>
  <c r="O165" i="4"/>
  <c r="P165" i="4"/>
  <c r="Q165" i="4"/>
  <c r="R165" i="4"/>
  <c r="B166" i="4"/>
  <c r="C166" i="4"/>
  <c r="D166" i="4"/>
  <c r="E166" i="4"/>
  <c r="F166" i="4"/>
  <c r="G166" i="4"/>
  <c r="H166" i="4"/>
  <c r="I166" i="4"/>
  <c r="J166" i="4"/>
  <c r="K166" i="4"/>
  <c r="L166" i="4"/>
  <c r="M166" i="4"/>
  <c r="N166" i="4"/>
  <c r="O166" i="4"/>
  <c r="P166" i="4"/>
  <c r="Q166" i="4"/>
  <c r="R166" i="4"/>
  <c r="B167" i="4"/>
  <c r="C167" i="4"/>
  <c r="D167" i="4"/>
  <c r="E167" i="4"/>
  <c r="F167" i="4"/>
  <c r="G167" i="4"/>
  <c r="H167" i="4"/>
  <c r="I167" i="4"/>
  <c r="J167" i="4"/>
  <c r="K167" i="4"/>
  <c r="L167" i="4"/>
  <c r="M167" i="4"/>
  <c r="N167" i="4"/>
  <c r="O167" i="4"/>
  <c r="P167" i="4"/>
  <c r="Q167" i="4"/>
  <c r="R167" i="4"/>
  <c r="B168" i="4"/>
  <c r="C168" i="4"/>
  <c r="D168" i="4"/>
  <c r="E168" i="4"/>
  <c r="F168" i="4"/>
  <c r="G168" i="4"/>
  <c r="H168" i="4"/>
  <c r="I168" i="4"/>
  <c r="J168" i="4"/>
  <c r="K168" i="4"/>
  <c r="L168" i="4"/>
  <c r="M168" i="4"/>
  <c r="N168" i="4"/>
  <c r="O168" i="4"/>
  <c r="P168" i="4"/>
  <c r="Q168" i="4"/>
  <c r="R168" i="4"/>
  <c r="B169" i="4"/>
  <c r="C169" i="4"/>
  <c r="D169" i="4"/>
  <c r="E169" i="4"/>
  <c r="F169" i="4"/>
  <c r="G169" i="4"/>
  <c r="H169" i="4"/>
  <c r="I169" i="4"/>
  <c r="J169" i="4"/>
  <c r="K169" i="4"/>
  <c r="L169" i="4"/>
  <c r="M169" i="4"/>
  <c r="N169" i="4"/>
  <c r="O169" i="4"/>
  <c r="P169" i="4"/>
  <c r="Q169" i="4"/>
  <c r="R169" i="4"/>
  <c r="B170" i="4"/>
  <c r="C170" i="4"/>
  <c r="D170" i="4"/>
  <c r="E170" i="4"/>
  <c r="F170" i="4"/>
  <c r="G170" i="4"/>
  <c r="H170" i="4"/>
  <c r="I170" i="4"/>
  <c r="J170" i="4"/>
  <c r="K170" i="4"/>
  <c r="L170" i="4"/>
  <c r="M170" i="4"/>
  <c r="N170" i="4"/>
  <c r="O170" i="4"/>
  <c r="P170" i="4"/>
  <c r="Q170" i="4"/>
  <c r="R170" i="4"/>
  <c r="B171" i="4"/>
  <c r="C171" i="4"/>
  <c r="D171" i="4"/>
  <c r="E171" i="4"/>
  <c r="F171" i="4"/>
  <c r="G171" i="4"/>
  <c r="H171" i="4"/>
  <c r="I171" i="4"/>
  <c r="J171" i="4"/>
  <c r="K171" i="4"/>
  <c r="L171" i="4"/>
  <c r="M171" i="4"/>
  <c r="N171" i="4"/>
  <c r="O171" i="4"/>
  <c r="P171" i="4"/>
  <c r="Q171" i="4"/>
  <c r="R171" i="4"/>
  <c r="B172" i="4"/>
  <c r="C172" i="4"/>
  <c r="D172" i="4"/>
  <c r="E172" i="4"/>
  <c r="F172" i="4"/>
  <c r="G172" i="4"/>
  <c r="H172" i="4"/>
  <c r="I172" i="4"/>
  <c r="J172" i="4"/>
  <c r="K172" i="4"/>
  <c r="L172" i="4"/>
  <c r="M172" i="4"/>
  <c r="N172" i="4"/>
  <c r="O172" i="4"/>
  <c r="P172" i="4"/>
  <c r="Q172" i="4"/>
  <c r="R172" i="4"/>
  <c r="B173" i="4"/>
  <c r="C173" i="4"/>
  <c r="D173" i="4"/>
  <c r="E173" i="4"/>
  <c r="F173" i="4"/>
  <c r="G173" i="4"/>
  <c r="H173" i="4"/>
  <c r="I173" i="4"/>
  <c r="J173" i="4"/>
  <c r="K173" i="4"/>
  <c r="L173" i="4"/>
  <c r="M173" i="4"/>
  <c r="N173" i="4"/>
  <c r="O173" i="4"/>
  <c r="P173" i="4"/>
  <c r="Q173" i="4"/>
  <c r="R173" i="4"/>
  <c r="B174" i="4"/>
  <c r="C174" i="4"/>
  <c r="D174" i="4"/>
  <c r="E174" i="4"/>
  <c r="F174" i="4"/>
  <c r="G174" i="4"/>
  <c r="H174" i="4"/>
  <c r="I174" i="4"/>
  <c r="J174" i="4"/>
  <c r="K174" i="4"/>
  <c r="L174" i="4"/>
  <c r="M174" i="4"/>
  <c r="N174" i="4"/>
  <c r="O174" i="4"/>
  <c r="P174" i="4"/>
  <c r="Q174" i="4"/>
  <c r="R174" i="4"/>
  <c r="B175" i="4"/>
  <c r="C175" i="4"/>
  <c r="D175" i="4"/>
  <c r="E175" i="4"/>
  <c r="F175" i="4"/>
  <c r="G175" i="4"/>
  <c r="H175" i="4"/>
  <c r="I175" i="4"/>
  <c r="J175" i="4"/>
  <c r="K175" i="4"/>
  <c r="L175" i="4"/>
  <c r="M175" i="4"/>
  <c r="N175" i="4"/>
  <c r="O175" i="4"/>
  <c r="P175" i="4"/>
  <c r="Q175" i="4"/>
  <c r="R175" i="4"/>
  <c r="B176" i="4"/>
  <c r="C176" i="4"/>
  <c r="D176" i="4"/>
  <c r="E176" i="4"/>
  <c r="F176" i="4"/>
  <c r="G176" i="4"/>
  <c r="H176" i="4"/>
  <c r="I176" i="4"/>
  <c r="J176" i="4"/>
  <c r="K176" i="4"/>
  <c r="L176" i="4"/>
  <c r="M176" i="4"/>
  <c r="N176" i="4"/>
  <c r="O176" i="4"/>
  <c r="P176" i="4"/>
  <c r="Q176" i="4"/>
  <c r="R176" i="4"/>
  <c r="B177" i="4"/>
  <c r="C177" i="4"/>
  <c r="D177" i="4"/>
  <c r="E177" i="4"/>
  <c r="F177" i="4"/>
  <c r="G177" i="4"/>
  <c r="H177" i="4"/>
  <c r="I177" i="4"/>
  <c r="J177" i="4"/>
  <c r="K177" i="4"/>
  <c r="L177" i="4"/>
  <c r="M177" i="4"/>
  <c r="N177" i="4"/>
  <c r="O177" i="4"/>
  <c r="P177" i="4"/>
  <c r="Q177" i="4"/>
  <c r="R177" i="4"/>
  <c r="B178" i="4"/>
  <c r="C178" i="4"/>
  <c r="D178" i="4"/>
  <c r="E178" i="4"/>
  <c r="F178" i="4"/>
  <c r="G178" i="4"/>
  <c r="H178" i="4"/>
  <c r="I178" i="4"/>
  <c r="J178" i="4"/>
  <c r="K178" i="4"/>
  <c r="L178" i="4"/>
  <c r="M178" i="4"/>
  <c r="N178" i="4"/>
  <c r="O178" i="4"/>
  <c r="P178" i="4"/>
  <c r="Q178" i="4"/>
  <c r="R178" i="4"/>
  <c r="B179" i="4"/>
  <c r="C179" i="4"/>
  <c r="D179" i="4"/>
  <c r="E179" i="4"/>
  <c r="F179" i="4"/>
  <c r="G179" i="4"/>
  <c r="H179" i="4"/>
  <c r="I179" i="4"/>
  <c r="J179" i="4"/>
  <c r="K179" i="4"/>
  <c r="L179" i="4"/>
  <c r="M179" i="4"/>
  <c r="N179" i="4"/>
  <c r="O179" i="4"/>
  <c r="P179" i="4"/>
  <c r="Q179" i="4"/>
  <c r="R179" i="4"/>
  <c r="B180" i="4"/>
  <c r="C180" i="4"/>
  <c r="D180" i="4"/>
  <c r="E180" i="4"/>
  <c r="F180" i="4"/>
  <c r="G180" i="4"/>
  <c r="H180" i="4"/>
  <c r="I180" i="4"/>
  <c r="J180" i="4"/>
  <c r="K180" i="4"/>
  <c r="L180" i="4"/>
  <c r="M180" i="4"/>
  <c r="N180" i="4"/>
  <c r="O180" i="4"/>
  <c r="P180" i="4"/>
  <c r="Q180" i="4"/>
  <c r="R180" i="4"/>
  <c r="B181" i="4"/>
  <c r="C181" i="4"/>
  <c r="D181" i="4"/>
  <c r="E181" i="4"/>
  <c r="F181" i="4"/>
  <c r="G181" i="4"/>
  <c r="H181" i="4"/>
  <c r="I181" i="4"/>
  <c r="J181" i="4"/>
  <c r="K181" i="4"/>
  <c r="L181" i="4"/>
  <c r="M181" i="4"/>
  <c r="N181" i="4"/>
  <c r="O181" i="4"/>
  <c r="P181" i="4"/>
  <c r="Q181" i="4"/>
  <c r="R181" i="4"/>
  <c r="B182" i="4"/>
  <c r="C182" i="4"/>
  <c r="D182" i="4"/>
  <c r="E182" i="4"/>
  <c r="F182" i="4"/>
  <c r="G182" i="4"/>
  <c r="H182" i="4"/>
  <c r="I182" i="4"/>
  <c r="J182" i="4"/>
  <c r="K182" i="4"/>
  <c r="L182" i="4"/>
  <c r="M182" i="4"/>
  <c r="N182" i="4"/>
  <c r="O182" i="4"/>
  <c r="P182" i="4"/>
  <c r="Q182" i="4"/>
  <c r="R182" i="4"/>
  <c r="B183" i="4"/>
  <c r="C183" i="4"/>
  <c r="D183" i="4"/>
  <c r="E183" i="4"/>
  <c r="F183" i="4"/>
  <c r="G183" i="4"/>
  <c r="H183" i="4"/>
  <c r="I183" i="4"/>
  <c r="J183" i="4"/>
  <c r="K183" i="4"/>
  <c r="L183" i="4"/>
  <c r="M183" i="4"/>
  <c r="N183" i="4"/>
  <c r="O183" i="4"/>
  <c r="P183" i="4"/>
  <c r="Q183" i="4"/>
  <c r="R183" i="4"/>
  <c r="B184" i="4"/>
  <c r="C184" i="4"/>
  <c r="D184" i="4"/>
  <c r="E184" i="4"/>
  <c r="F184" i="4"/>
  <c r="G184" i="4"/>
  <c r="H184" i="4"/>
  <c r="I184" i="4"/>
  <c r="J184" i="4"/>
  <c r="K184" i="4"/>
  <c r="L184" i="4"/>
  <c r="M184" i="4"/>
  <c r="N184" i="4"/>
  <c r="O184" i="4"/>
  <c r="P184" i="4"/>
  <c r="Q184" i="4"/>
  <c r="R184" i="4"/>
  <c r="B185" i="4"/>
  <c r="C185" i="4"/>
  <c r="D185" i="4"/>
  <c r="E185" i="4"/>
  <c r="F185" i="4"/>
  <c r="G185" i="4"/>
  <c r="H185" i="4"/>
  <c r="I185" i="4"/>
  <c r="J185" i="4"/>
  <c r="K185" i="4"/>
  <c r="L185" i="4"/>
  <c r="M185" i="4"/>
  <c r="N185" i="4"/>
  <c r="O185" i="4"/>
  <c r="P185" i="4"/>
  <c r="Q185" i="4"/>
  <c r="R185" i="4"/>
  <c r="B186" i="4"/>
  <c r="C186" i="4"/>
  <c r="D186" i="4"/>
  <c r="E186" i="4"/>
  <c r="F186" i="4"/>
  <c r="G186" i="4"/>
  <c r="H186" i="4"/>
  <c r="I186" i="4"/>
  <c r="J186" i="4"/>
  <c r="K186" i="4"/>
  <c r="L186" i="4"/>
  <c r="M186" i="4"/>
  <c r="N186" i="4"/>
  <c r="O186" i="4"/>
  <c r="P186" i="4"/>
  <c r="Q186" i="4"/>
  <c r="R186" i="4"/>
  <c r="B187" i="4"/>
  <c r="C187" i="4"/>
  <c r="D187" i="4"/>
  <c r="E187" i="4"/>
  <c r="F187" i="4"/>
  <c r="G187" i="4"/>
  <c r="H187" i="4"/>
  <c r="I187" i="4"/>
  <c r="J187" i="4"/>
  <c r="K187" i="4"/>
  <c r="L187" i="4"/>
  <c r="M187" i="4"/>
  <c r="N187" i="4"/>
  <c r="O187" i="4"/>
  <c r="P187" i="4"/>
  <c r="Q187" i="4"/>
  <c r="R187" i="4"/>
  <c r="B188" i="4"/>
  <c r="C188" i="4"/>
  <c r="D188" i="4"/>
  <c r="E188" i="4"/>
  <c r="F188" i="4"/>
  <c r="G188" i="4"/>
  <c r="H188" i="4"/>
  <c r="I188" i="4"/>
  <c r="J188" i="4"/>
  <c r="K188" i="4"/>
  <c r="L188" i="4"/>
  <c r="M188" i="4"/>
  <c r="N188" i="4"/>
  <c r="O188" i="4"/>
  <c r="P188" i="4"/>
  <c r="Q188" i="4"/>
  <c r="R188" i="4"/>
  <c r="B189" i="4"/>
  <c r="C189" i="4"/>
  <c r="D189" i="4"/>
  <c r="E189" i="4"/>
  <c r="F189" i="4"/>
  <c r="G189" i="4"/>
  <c r="H189" i="4"/>
  <c r="I189" i="4"/>
  <c r="J189" i="4"/>
  <c r="K189" i="4"/>
  <c r="L189" i="4"/>
  <c r="M189" i="4"/>
  <c r="N189" i="4"/>
  <c r="O189" i="4"/>
  <c r="P189" i="4"/>
  <c r="Q189" i="4"/>
  <c r="R189" i="4"/>
  <c r="B190" i="4"/>
  <c r="C190" i="4"/>
  <c r="D190" i="4"/>
  <c r="E190" i="4"/>
  <c r="F190" i="4"/>
  <c r="G190" i="4"/>
  <c r="H190" i="4"/>
  <c r="I190" i="4"/>
  <c r="J190" i="4"/>
  <c r="K190" i="4"/>
  <c r="L190" i="4"/>
  <c r="M190" i="4"/>
  <c r="N190" i="4"/>
  <c r="O190" i="4"/>
  <c r="P190" i="4"/>
  <c r="Q190" i="4"/>
  <c r="R190" i="4"/>
  <c r="B191" i="4"/>
  <c r="C191" i="4"/>
  <c r="D191" i="4"/>
  <c r="E191" i="4"/>
  <c r="F191" i="4"/>
  <c r="G191" i="4"/>
  <c r="H191" i="4"/>
  <c r="I191" i="4"/>
  <c r="J191" i="4"/>
  <c r="K191" i="4"/>
  <c r="L191" i="4"/>
  <c r="M191" i="4"/>
  <c r="N191" i="4"/>
  <c r="O191" i="4"/>
  <c r="P191" i="4"/>
  <c r="Q191" i="4"/>
  <c r="R191" i="4"/>
  <c r="B192" i="4"/>
  <c r="C192" i="4"/>
  <c r="D192" i="4"/>
  <c r="E192" i="4"/>
  <c r="F192" i="4"/>
  <c r="G192" i="4"/>
  <c r="H192" i="4"/>
  <c r="I192" i="4"/>
  <c r="J192" i="4"/>
  <c r="K192" i="4"/>
  <c r="L192" i="4"/>
  <c r="M192" i="4"/>
  <c r="N192" i="4"/>
  <c r="O192" i="4"/>
  <c r="P192" i="4"/>
  <c r="Q192" i="4"/>
  <c r="R192" i="4"/>
  <c r="B193" i="4"/>
  <c r="C193" i="4"/>
  <c r="D193" i="4"/>
  <c r="E193" i="4"/>
  <c r="F193" i="4"/>
  <c r="G193" i="4"/>
  <c r="H193" i="4"/>
  <c r="I193" i="4"/>
  <c r="J193" i="4"/>
  <c r="K193" i="4"/>
  <c r="L193" i="4"/>
  <c r="M193" i="4"/>
  <c r="N193" i="4"/>
  <c r="O193" i="4"/>
  <c r="P193" i="4"/>
  <c r="Q193" i="4"/>
  <c r="R193" i="4"/>
  <c r="B194" i="4"/>
  <c r="C194" i="4"/>
  <c r="D194" i="4"/>
  <c r="E194" i="4"/>
  <c r="F194" i="4"/>
  <c r="G194" i="4"/>
  <c r="H194" i="4"/>
  <c r="I194" i="4"/>
  <c r="J194" i="4"/>
  <c r="K194" i="4"/>
  <c r="L194" i="4"/>
  <c r="M194" i="4"/>
  <c r="N194" i="4"/>
  <c r="O194" i="4"/>
  <c r="P194" i="4"/>
  <c r="Q194" i="4"/>
  <c r="R194" i="4"/>
  <c r="B195" i="4"/>
  <c r="C195" i="4"/>
  <c r="D195" i="4"/>
  <c r="E195" i="4"/>
  <c r="F195" i="4"/>
  <c r="G195" i="4"/>
  <c r="H195" i="4"/>
  <c r="I195" i="4"/>
  <c r="J195" i="4"/>
  <c r="K195" i="4"/>
  <c r="L195" i="4"/>
  <c r="M195" i="4"/>
  <c r="N195" i="4"/>
  <c r="O195" i="4"/>
  <c r="P195" i="4"/>
  <c r="Q195" i="4"/>
  <c r="R195" i="4"/>
  <c r="B196" i="4"/>
  <c r="C196" i="4"/>
  <c r="D196" i="4"/>
  <c r="E196" i="4"/>
  <c r="F196" i="4"/>
  <c r="G196" i="4"/>
  <c r="H196" i="4"/>
  <c r="I196" i="4"/>
  <c r="J196" i="4"/>
  <c r="K196" i="4"/>
  <c r="L196" i="4"/>
  <c r="M196" i="4"/>
  <c r="N196" i="4"/>
  <c r="O196" i="4"/>
  <c r="P196" i="4"/>
  <c r="Q196" i="4"/>
  <c r="R196" i="4"/>
  <c r="B197" i="4"/>
  <c r="C197" i="4"/>
  <c r="D197" i="4"/>
  <c r="E197" i="4"/>
  <c r="F197" i="4"/>
  <c r="G197" i="4"/>
  <c r="H197" i="4"/>
  <c r="I197" i="4"/>
  <c r="J197" i="4"/>
  <c r="K197" i="4"/>
  <c r="L197" i="4"/>
  <c r="M197" i="4"/>
  <c r="N197" i="4"/>
  <c r="O197" i="4"/>
  <c r="P197" i="4"/>
  <c r="Q197" i="4"/>
  <c r="R197" i="4"/>
  <c r="B198" i="4"/>
  <c r="C198" i="4"/>
  <c r="D198" i="4"/>
  <c r="E198" i="4"/>
  <c r="F198" i="4"/>
  <c r="G198" i="4"/>
  <c r="H198" i="4"/>
  <c r="I198" i="4"/>
  <c r="J198" i="4"/>
  <c r="K198" i="4"/>
  <c r="L198" i="4"/>
  <c r="M198" i="4"/>
  <c r="N198" i="4"/>
  <c r="O198" i="4"/>
  <c r="P198" i="4"/>
  <c r="Q198" i="4"/>
  <c r="R198" i="4"/>
  <c r="B199" i="4"/>
  <c r="C199" i="4"/>
  <c r="D199" i="4"/>
  <c r="E199" i="4"/>
  <c r="F199" i="4"/>
  <c r="G199" i="4"/>
  <c r="H199" i="4"/>
  <c r="I199" i="4"/>
  <c r="J199" i="4"/>
  <c r="K199" i="4"/>
  <c r="L199" i="4"/>
  <c r="M199" i="4"/>
  <c r="N199" i="4"/>
  <c r="O199" i="4"/>
  <c r="P199" i="4"/>
  <c r="Q199" i="4"/>
  <c r="R199" i="4"/>
  <c r="B200" i="4"/>
  <c r="C200" i="4"/>
  <c r="D200" i="4"/>
  <c r="E200" i="4"/>
  <c r="F200" i="4"/>
  <c r="G200" i="4"/>
  <c r="H200" i="4"/>
  <c r="I200" i="4"/>
  <c r="J200" i="4"/>
  <c r="K200" i="4"/>
  <c r="L200" i="4"/>
  <c r="M200" i="4"/>
  <c r="N200" i="4"/>
  <c r="O200" i="4"/>
  <c r="P200" i="4"/>
  <c r="Q200" i="4"/>
  <c r="R200" i="4"/>
  <c r="B201" i="4"/>
  <c r="C201" i="4"/>
  <c r="D201" i="4"/>
  <c r="E201" i="4"/>
  <c r="F201" i="4"/>
  <c r="G201" i="4"/>
  <c r="H201" i="4"/>
  <c r="I201" i="4"/>
  <c r="J201" i="4"/>
  <c r="K201" i="4"/>
  <c r="L201" i="4"/>
  <c r="M201" i="4"/>
  <c r="N201" i="4"/>
  <c r="O201" i="4"/>
  <c r="P201" i="4"/>
  <c r="Q201" i="4"/>
  <c r="R201" i="4"/>
  <c r="B202" i="4"/>
  <c r="C202" i="4"/>
  <c r="D202" i="4"/>
  <c r="E202" i="4"/>
  <c r="F202" i="4"/>
  <c r="G202" i="4"/>
  <c r="H202" i="4"/>
  <c r="I202" i="4"/>
  <c r="J202" i="4"/>
  <c r="K202" i="4"/>
  <c r="L202" i="4"/>
  <c r="M202" i="4"/>
  <c r="N202" i="4"/>
  <c r="O202" i="4"/>
  <c r="P202" i="4"/>
  <c r="Q202" i="4"/>
  <c r="R202" i="4"/>
  <c r="B203" i="4"/>
  <c r="C203" i="4"/>
  <c r="D203" i="4"/>
  <c r="E203" i="4"/>
  <c r="F203" i="4"/>
  <c r="G203" i="4"/>
  <c r="H203" i="4"/>
  <c r="I203" i="4"/>
  <c r="J203" i="4"/>
  <c r="K203" i="4"/>
  <c r="L203" i="4"/>
  <c r="M203" i="4"/>
  <c r="N203" i="4"/>
  <c r="O203" i="4"/>
  <c r="P203" i="4"/>
  <c r="Q203" i="4"/>
  <c r="R203" i="4"/>
  <c r="B204" i="4"/>
  <c r="C204" i="4"/>
  <c r="D204" i="4"/>
  <c r="E204" i="4"/>
  <c r="F204" i="4"/>
  <c r="G204" i="4"/>
  <c r="H204" i="4"/>
  <c r="I204" i="4"/>
  <c r="J204" i="4"/>
  <c r="K204" i="4"/>
  <c r="L204" i="4"/>
  <c r="M204" i="4"/>
  <c r="N204" i="4"/>
  <c r="O204" i="4"/>
  <c r="P204" i="4"/>
  <c r="Q204" i="4"/>
  <c r="R204" i="4"/>
  <c r="B205" i="4"/>
  <c r="C205" i="4"/>
  <c r="D205" i="4"/>
  <c r="E205" i="4"/>
  <c r="F205" i="4"/>
  <c r="G205" i="4"/>
  <c r="H205" i="4"/>
  <c r="I205" i="4"/>
  <c r="J205" i="4"/>
  <c r="K205" i="4"/>
  <c r="L205" i="4"/>
  <c r="M205" i="4"/>
  <c r="N205" i="4"/>
  <c r="O205" i="4"/>
  <c r="P205" i="4"/>
  <c r="Q205" i="4"/>
  <c r="R205" i="4"/>
  <c r="B206" i="4"/>
  <c r="C206" i="4"/>
  <c r="D206" i="4"/>
  <c r="E206" i="4"/>
  <c r="F206" i="4"/>
  <c r="G206" i="4"/>
  <c r="H206" i="4"/>
  <c r="I206" i="4"/>
  <c r="J206" i="4"/>
  <c r="K206" i="4"/>
  <c r="L206" i="4"/>
  <c r="M206" i="4"/>
  <c r="N206" i="4"/>
  <c r="O206" i="4"/>
  <c r="P206" i="4"/>
  <c r="Q206" i="4"/>
  <c r="R206" i="4"/>
  <c r="B207" i="4"/>
  <c r="C207" i="4"/>
  <c r="D207" i="4"/>
  <c r="E207" i="4"/>
  <c r="F207" i="4"/>
  <c r="G207" i="4"/>
  <c r="H207" i="4"/>
  <c r="I207" i="4"/>
  <c r="J207" i="4"/>
  <c r="K207" i="4"/>
  <c r="L207" i="4"/>
  <c r="M207" i="4"/>
  <c r="N207" i="4"/>
  <c r="O207" i="4"/>
  <c r="P207" i="4"/>
  <c r="Q207" i="4"/>
  <c r="R207" i="4"/>
  <c r="B208" i="4"/>
  <c r="C208" i="4"/>
  <c r="D208" i="4"/>
  <c r="E208" i="4"/>
  <c r="F208" i="4"/>
  <c r="G208" i="4"/>
  <c r="H208" i="4"/>
  <c r="I208" i="4"/>
  <c r="J208" i="4"/>
  <c r="K208" i="4"/>
  <c r="L208" i="4"/>
  <c r="M208" i="4"/>
  <c r="N208" i="4"/>
  <c r="O208" i="4"/>
  <c r="P208" i="4"/>
  <c r="Q208" i="4"/>
  <c r="R208" i="4"/>
  <c r="B209" i="4"/>
  <c r="C209" i="4"/>
  <c r="D209" i="4"/>
  <c r="E209" i="4"/>
  <c r="F209" i="4"/>
  <c r="G209" i="4"/>
  <c r="H209" i="4"/>
  <c r="I209" i="4"/>
  <c r="J209" i="4"/>
  <c r="K209" i="4"/>
  <c r="L209" i="4"/>
  <c r="M209" i="4"/>
  <c r="N209" i="4"/>
  <c r="O209" i="4"/>
  <c r="P209" i="4"/>
  <c r="Q209" i="4"/>
  <c r="R209" i="4"/>
  <c r="B210" i="4"/>
  <c r="C210" i="4"/>
  <c r="D210" i="4"/>
  <c r="E210" i="4"/>
  <c r="F210" i="4"/>
  <c r="G210" i="4"/>
  <c r="H210" i="4"/>
  <c r="I210" i="4"/>
  <c r="J210" i="4"/>
  <c r="K210" i="4"/>
  <c r="L210" i="4"/>
  <c r="M210" i="4"/>
  <c r="N210" i="4"/>
  <c r="O210" i="4"/>
  <c r="P210" i="4"/>
  <c r="Q210" i="4"/>
  <c r="R210" i="4"/>
  <c r="B211" i="4"/>
  <c r="C211" i="4"/>
  <c r="D211" i="4"/>
  <c r="E211" i="4"/>
  <c r="F211" i="4"/>
  <c r="G211" i="4"/>
  <c r="H211" i="4"/>
  <c r="I211" i="4"/>
  <c r="J211" i="4"/>
  <c r="K211" i="4"/>
  <c r="L211" i="4"/>
  <c r="M211" i="4"/>
  <c r="N211" i="4"/>
  <c r="O211" i="4"/>
  <c r="P211" i="4"/>
  <c r="Q211" i="4"/>
  <c r="R211" i="4"/>
  <c r="B212" i="4"/>
  <c r="C212" i="4"/>
  <c r="D212" i="4"/>
  <c r="E212" i="4"/>
  <c r="F212" i="4"/>
  <c r="G212" i="4"/>
  <c r="H212" i="4"/>
  <c r="I212" i="4"/>
  <c r="J212" i="4"/>
  <c r="K212" i="4"/>
  <c r="L212" i="4"/>
  <c r="M212" i="4"/>
  <c r="N212" i="4"/>
  <c r="O212" i="4"/>
  <c r="P212" i="4"/>
  <c r="Q212" i="4"/>
  <c r="R212" i="4"/>
  <c r="B213" i="4"/>
  <c r="C213" i="4"/>
  <c r="D213" i="4"/>
  <c r="E213" i="4"/>
  <c r="F213" i="4"/>
  <c r="G213" i="4"/>
  <c r="H213" i="4"/>
  <c r="I213" i="4"/>
  <c r="J213" i="4"/>
  <c r="K213" i="4"/>
  <c r="L213" i="4"/>
  <c r="M213" i="4"/>
  <c r="N213" i="4"/>
  <c r="O213" i="4"/>
  <c r="P213" i="4"/>
  <c r="Q213" i="4"/>
  <c r="R213" i="4"/>
  <c r="B214" i="4"/>
  <c r="C214" i="4"/>
  <c r="D214" i="4"/>
  <c r="E214" i="4"/>
  <c r="F214" i="4"/>
  <c r="G214" i="4"/>
  <c r="H214" i="4"/>
  <c r="I214" i="4"/>
  <c r="J214" i="4"/>
  <c r="K214" i="4"/>
  <c r="L214" i="4"/>
  <c r="M214" i="4"/>
  <c r="N214" i="4"/>
  <c r="O214" i="4"/>
  <c r="P214" i="4"/>
  <c r="Q214" i="4"/>
  <c r="R214" i="4"/>
  <c r="B215" i="4"/>
  <c r="C215" i="4"/>
  <c r="D215" i="4"/>
  <c r="E215" i="4"/>
  <c r="F215" i="4"/>
  <c r="G215" i="4"/>
  <c r="H215" i="4"/>
  <c r="I215" i="4"/>
  <c r="J215" i="4"/>
  <c r="K215" i="4"/>
  <c r="L215" i="4"/>
  <c r="M215" i="4"/>
  <c r="N215" i="4"/>
  <c r="O215" i="4"/>
  <c r="P215" i="4"/>
  <c r="Q215" i="4"/>
  <c r="R215" i="4"/>
  <c r="C216" i="4"/>
  <c r="D216" i="4"/>
  <c r="E216" i="4"/>
  <c r="F216" i="4"/>
  <c r="G216" i="4"/>
  <c r="H216" i="4"/>
  <c r="I216" i="4"/>
  <c r="J216" i="4"/>
  <c r="K216" i="4"/>
  <c r="L216" i="4"/>
  <c r="M216" i="4"/>
  <c r="N216" i="4"/>
  <c r="O216" i="4"/>
  <c r="P216" i="4"/>
  <c r="Q216" i="4"/>
  <c r="R216" i="4"/>
  <c r="B217" i="4"/>
  <c r="C217" i="4"/>
  <c r="D217" i="4"/>
  <c r="E217" i="4"/>
  <c r="F217" i="4"/>
  <c r="G217" i="4"/>
  <c r="H217" i="4"/>
  <c r="I217" i="4"/>
  <c r="J217" i="4"/>
  <c r="K217" i="4"/>
  <c r="L217" i="4"/>
  <c r="M217" i="4"/>
  <c r="N217" i="4"/>
  <c r="O217" i="4"/>
  <c r="P217" i="4"/>
  <c r="Q217" i="4"/>
  <c r="R217" i="4"/>
  <c r="B218" i="4"/>
  <c r="C218" i="4"/>
  <c r="D218" i="4"/>
  <c r="E218" i="4"/>
  <c r="F218" i="4"/>
  <c r="G218" i="4"/>
  <c r="H218" i="4"/>
  <c r="I218" i="4"/>
  <c r="J218" i="4"/>
  <c r="K218" i="4"/>
  <c r="L218" i="4"/>
  <c r="M218" i="4"/>
  <c r="N218" i="4"/>
  <c r="O218" i="4"/>
  <c r="P218" i="4"/>
  <c r="Q218" i="4"/>
  <c r="R218" i="4"/>
  <c r="B219" i="4"/>
  <c r="C219" i="4"/>
  <c r="D219" i="4"/>
  <c r="E219" i="4"/>
  <c r="F219" i="4"/>
  <c r="G219" i="4"/>
  <c r="H219" i="4"/>
  <c r="I219" i="4"/>
  <c r="J219" i="4"/>
  <c r="K219" i="4"/>
  <c r="L219" i="4"/>
  <c r="M219" i="4"/>
  <c r="N219" i="4"/>
  <c r="O219" i="4"/>
  <c r="P219" i="4"/>
  <c r="Q219" i="4"/>
  <c r="R219" i="4"/>
  <c r="B220" i="4"/>
  <c r="C220" i="4"/>
  <c r="D220" i="4"/>
  <c r="E220" i="4"/>
  <c r="F220" i="4"/>
  <c r="G220" i="4"/>
  <c r="H220" i="4"/>
  <c r="I220" i="4"/>
  <c r="J220" i="4"/>
  <c r="K220" i="4"/>
  <c r="L220" i="4"/>
  <c r="M220" i="4"/>
  <c r="N220" i="4"/>
  <c r="O220" i="4"/>
  <c r="P220" i="4"/>
  <c r="Q220" i="4"/>
  <c r="R220" i="4"/>
  <c r="B221" i="4"/>
  <c r="C221" i="4"/>
  <c r="D221" i="4"/>
  <c r="E221" i="4"/>
  <c r="F221" i="4"/>
  <c r="G221" i="4"/>
  <c r="H221" i="4"/>
  <c r="I221" i="4"/>
  <c r="J221" i="4"/>
  <c r="K221" i="4"/>
  <c r="L221" i="4"/>
  <c r="M221" i="4"/>
  <c r="N221" i="4"/>
  <c r="O221" i="4"/>
  <c r="P221" i="4"/>
  <c r="Q221" i="4"/>
  <c r="R221" i="4"/>
  <c r="B222" i="4"/>
  <c r="C222" i="4"/>
  <c r="D222" i="4"/>
  <c r="E222" i="4"/>
  <c r="F222" i="4"/>
  <c r="G222" i="4"/>
  <c r="H222" i="4"/>
  <c r="I222" i="4"/>
  <c r="J222" i="4"/>
  <c r="K222" i="4"/>
  <c r="L222" i="4"/>
  <c r="M222" i="4"/>
  <c r="N222" i="4"/>
  <c r="O222" i="4"/>
  <c r="P222" i="4"/>
  <c r="Q222" i="4"/>
  <c r="R222" i="4"/>
  <c r="B223" i="4"/>
  <c r="C223" i="4"/>
  <c r="D223" i="4"/>
  <c r="E223" i="4"/>
  <c r="F223" i="4"/>
  <c r="G223" i="4"/>
  <c r="H223" i="4"/>
  <c r="I223" i="4"/>
  <c r="J223" i="4"/>
  <c r="K223" i="4"/>
  <c r="L223" i="4"/>
  <c r="M223" i="4"/>
  <c r="N223" i="4"/>
  <c r="O223" i="4"/>
  <c r="P223" i="4"/>
  <c r="Q223" i="4"/>
  <c r="R223" i="4"/>
  <c r="B224" i="4"/>
  <c r="C224" i="4"/>
  <c r="D224" i="4"/>
  <c r="E224" i="4"/>
  <c r="F224" i="4"/>
  <c r="G224" i="4"/>
  <c r="H224" i="4"/>
  <c r="I224" i="4"/>
  <c r="J224" i="4"/>
  <c r="K224" i="4"/>
  <c r="L224" i="4"/>
  <c r="M224" i="4"/>
  <c r="N224" i="4"/>
  <c r="O224" i="4"/>
  <c r="P224" i="4"/>
  <c r="Q224" i="4"/>
  <c r="R224" i="4"/>
  <c r="B225" i="4"/>
  <c r="C225" i="4"/>
  <c r="D225" i="4"/>
  <c r="E225" i="4"/>
  <c r="F225" i="4"/>
  <c r="G225" i="4"/>
  <c r="H225" i="4"/>
  <c r="I225" i="4"/>
  <c r="J225" i="4"/>
  <c r="K225" i="4"/>
  <c r="L225" i="4"/>
  <c r="M225" i="4"/>
  <c r="N225" i="4"/>
  <c r="O225" i="4"/>
  <c r="P225" i="4"/>
  <c r="Q225" i="4"/>
  <c r="R225" i="4"/>
  <c r="B226" i="4"/>
  <c r="C226" i="4"/>
  <c r="D226" i="4"/>
  <c r="E226" i="4"/>
  <c r="F226" i="4"/>
  <c r="G226" i="4"/>
  <c r="H226" i="4"/>
  <c r="I226" i="4"/>
  <c r="J226" i="4"/>
  <c r="K226" i="4"/>
  <c r="L226" i="4"/>
  <c r="M226" i="4"/>
  <c r="O226" i="4"/>
  <c r="P226" i="4"/>
  <c r="Q226" i="4"/>
  <c r="R226" i="4"/>
  <c r="B227" i="4"/>
  <c r="C227" i="4"/>
  <c r="D227" i="4"/>
  <c r="E227" i="4"/>
  <c r="F227" i="4"/>
  <c r="G227" i="4"/>
  <c r="H227" i="4"/>
  <c r="I227" i="4"/>
  <c r="J227" i="4"/>
  <c r="K227" i="4"/>
  <c r="L227" i="4"/>
  <c r="M227" i="4"/>
  <c r="N227" i="4"/>
  <c r="O227" i="4"/>
  <c r="P227" i="4"/>
  <c r="Q227" i="4"/>
  <c r="R227" i="4"/>
  <c r="B228" i="4"/>
  <c r="C228" i="4"/>
  <c r="D228" i="4"/>
  <c r="E228" i="4"/>
  <c r="F228" i="4"/>
  <c r="G228" i="4"/>
  <c r="H228" i="4"/>
  <c r="I228" i="4"/>
  <c r="J228" i="4"/>
  <c r="K228" i="4"/>
  <c r="L228" i="4"/>
  <c r="M228" i="4"/>
  <c r="N228" i="4"/>
  <c r="O228" i="4"/>
  <c r="P228" i="4"/>
  <c r="Q228" i="4"/>
  <c r="R228" i="4"/>
  <c r="B229" i="4"/>
  <c r="C229" i="4"/>
  <c r="D229" i="4"/>
  <c r="E229" i="4"/>
  <c r="F229" i="4"/>
  <c r="G229" i="4"/>
  <c r="H229" i="4"/>
  <c r="I229" i="4"/>
  <c r="J229" i="4"/>
  <c r="K229" i="4"/>
  <c r="L229" i="4"/>
  <c r="M229" i="4"/>
  <c r="N229" i="4"/>
  <c r="O229" i="4"/>
  <c r="P229" i="4"/>
  <c r="Q229" i="4"/>
  <c r="R229" i="4"/>
  <c r="B230" i="4"/>
  <c r="C230" i="4"/>
  <c r="D230" i="4"/>
  <c r="E230" i="4"/>
  <c r="F230" i="4"/>
  <c r="G230" i="4"/>
  <c r="H230" i="4"/>
  <c r="I230" i="4"/>
  <c r="J230" i="4"/>
  <c r="K230" i="4"/>
  <c r="L230" i="4"/>
  <c r="M230" i="4"/>
  <c r="N230" i="4"/>
  <c r="O230" i="4"/>
  <c r="P230" i="4"/>
  <c r="Q230" i="4"/>
  <c r="R230" i="4"/>
  <c r="B231" i="4"/>
  <c r="C231" i="4"/>
  <c r="D231" i="4"/>
  <c r="E231" i="4"/>
  <c r="F231" i="4"/>
  <c r="G231" i="4"/>
  <c r="H231" i="4"/>
  <c r="I231" i="4"/>
  <c r="J231" i="4"/>
  <c r="K231" i="4"/>
  <c r="L231" i="4"/>
  <c r="M231" i="4"/>
  <c r="N231" i="4"/>
  <c r="O231" i="4"/>
  <c r="P231" i="4"/>
  <c r="Q231" i="4"/>
  <c r="R231" i="4"/>
  <c r="B232" i="4"/>
  <c r="C232" i="4"/>
  <c r="D232" i="4"/>
  <c r="E232" i="4"/>
  <c r="F232" i="4"/>
  <c r="G232" i="4"/>
  <c r="H232" i="4"/>
  <c r="I232" i="4"/>
  <c r="J232" i="4"/>
  <c r="K232" i="4"/>
  <c r="L232" i="4"/>
  <c r="M232" i="4"/>
  <c r="N232" i="4"/>
  <c r="O232" i="4"/>
  <c r="P232" i="4"/>
  <c r="Q232" i="4"/>
  <c r="R232" i="4"/>
  <c r="B233" i="4"/>
  <c r="C233" i="4"/>
  <c r="D233" i="4"/>
  <c r="E233" i="4"/>
  <c r="F233" i="4"/>
  <c r="G233" i="4"/>
  <c r="H233" i="4"/>
  <c r="I233" i="4"/>
  <c r="J233" i="4"/>
  <c r="K233" i="4"/>
  <c r="L233" i="4"/>
  <c r="M233" i="4"/>
  <c r="N233" i="4"/>
  <c r="O233" i="4"/>
  <c r="P233" i="4"/>
  <c r="Q233" i="4"/>
  <c r="R233" i="4"/>
  <c r="B234" i="4"/>
  <c r="C234" i="4"/>
  <c r="D234" i="4"/>
  <c r="E234" i="4"/>
  <c r="F234" i="4"/>
  <c r="G234" i="4"/>
  <c r="H234" i="4"/>
  <c r="I234" i="4"/>
  <c r="J234" i="4"/>
  <c r="K234" i="4"/>
  <c r="L234" i="4"/>
  <c r="M234" i="4"/>
  <c r="N234" i="4"/>
  <c r="O234" i="4"/>
  <c r="P234" i="4"/>
  <c r="Q234" i="4"/>
  <c r="R234" i="4"/>
  <c r="B235" i="4"/>
  <c r="C235" i="4"/>
  <c r="D235" i="4"/>
  <c r="E235" i="4"/>
  <c r="F235" i="4"/>
  <c r="G235" i="4"/>
  <c r="H235" i="4"/>
  <c r="I235" i="4"/>
  <c r="J235" i="4"/>
  <c r="K235" i="4"/>
  <c r="L235" i="4"/>
  <c r="M235" i="4"/>
  <c r="N235" i="4"/>
  <c r="O235" i="4"/>
  <c r="P235" i="4"/>
  <c r="Q235" i="4"/>
  <c r="R235" i="4"/>
  <c r="B236" i="4"/>
  <c r="C236" i="4"/>
  <c r="D236" i="4"/>
  <c r="E236" i="4"/>
  <c r="F236" i="4"/>
  <c r="G236" i="4"/>
  <c r="H236" i="4"/>
  <c r="I236" i="4"/>
  <c r="J236" i="4"/>
  <c r="K236" i="4"/>
  <c r="L236" i="4"/>
  <c r="M236" i="4"/>
  <c r="N236" i="4"/>
  <c r="O236" i="4"/>
  <c r="P236" i="4"/>
  <c r="Q236" i="4"/>
  <c r="R236" i="4"/>
  <c r="B237" i="4"/>
  <c r="C237" i="4"/>
  <c r="D237" i="4"/>
  <c r="E237" i="4"/>
  <c r="F237" i="4"/>
  <c r="G237" i="4"/>
  <c r="H237" i="4"/>
  <c r="I237" i="4"/>
  <c r="J237" i="4"/>
  <c r="K237" i="4"/>
  <c r="L237" i="4"/>
  <c r="M237" i="4"/>
  <c r="N237" i="4"/>
  <c r="O237" i="4"/>
  <c r="P237" i="4"/>
  <c r="Q237" i="4"/>
  <c r="R237" i="4"/>
  <c r="B238" i="4"/>
  <c r="C238" i="4"/>
  <c r="D238" i="4"/>
  <c r="E238" i="4"/>
  <c r="F238" i="4"/>
  <c r="G238" i="4"/>
  <c r="H238" i="4"/>
  <c r="I238" i="4"/>
  <c r="J238" i="4"/>
  <c r="K238" i="4"/>
  <c r="L238" i="4"/>
  <c r="M238" i="4"/>
  <c r="N238" i="4"/>
  <c r="O238" i="4"/>
  <c r="P238" i="4"/>
  <c r="Q238" i="4"/>
  <c r="R238" i="4"/>
  <c r="B239" i="4"/>
  <c r="C239" i="4"/>
  <c r="D239" i="4"/>
  <c r="E239" i="4"/>
  <c r="F239" i="4"/>
  <c r="G239" i="4"/>
  <c r="H239" i="4"/>
  <c r="I239" i="4"/>
  <c r="J239" i="4"/>
  <c r="K239" i="4"/>
  <c r="L239" i="4"/>
  <c r="M239" i="4"/>
  <c r="N239" i="4"/>
  <c r="O239" i="4"/>
  <c r="P239" i="4"/>
  <c r="Q239" i="4"/>
  <c r="R239" i="4"/>
  <c r="B240" i="4"/>
  <c r="C240" i="4"/>
  <c r="D240" i="4"/>
  <c r="E240" i="4"/>
  <c r="F240" i="4"/>
  <c r="G240" i="4"/>
  <c r="H240" i="4"/>
  <c r="I240" i="4"/>
  <c r="J240" i="4"/>
  <c r="K240" i="4"/>
  <c r="L240" i="4"/>
  <c r="M240" i="4"/>
  <c r="N240" i="4"/>
  <c r="O240" i="4"/>
  <c r="P240" i="4"/>
  <c r="Q240" i="4"/>
  <c r="R240" i="4"/>
  <c r="B241" i="4"/>
  <c r="C241" i="4"/>
  <c r="D241" i="4"/>
  <c r="E241" i="4"/>
  <c r="F241" i="4"/>
  <c r="G241" i="4"/>
  <c r="H241" i="4"/>
  <c r="I241" i="4"/>
  <c r="J241" i="4"/>
  <c r="K241" i="4"/>
  <c r="L241" i="4"/>
  <c r="M241" i="4"/>
  <c r="N241" i="4"/>
  <c r="O241" i="4"/>
  <c r="P241" i="4"/>
  <c r="Q241" i="4"/>
  <c r="R241" i="4"/>
  <c r="B242" i="4"/>
  <c r="C242" i="4"/>
  <c r="D242" i="4"/>
  <c r="E242" i="4"/>
  <c r="F242" i="4"/>
  <c r="G242" i="4"/>
  <c r="H242" i="4"/>
  <c r="I242" i="4"/>
  <c r="J242" i="4"/>
  <c r="K242" i="4"/>
  <c r="L242" i="4"/>
  <c r="M242" i="4"/>
  <c r="N242" i="4"/>
  <c r="O242" i="4"/>
  <c r="P242" i="4"/>
  <c r="Q242" i="4"/>
  <c r="R242" i="4"/>
  <c r="B243" i="4"/>
  <c r="C243" i="4"/>
  <c r="D243" i="4"/>
  <c r="E243" i="4"/>
  <c r="F243" i="4"/>
  <c r="G243" i="4"/>
  <c r="H243" i="4"/>
  <c r="I243" i="4"/>
  <c r="J243" i="4"/>
  <c r="K243" i="4"/>
  <c r="L243" i="4"/>
  <c r="M243" i="4"/>
  <c r="N243" i="4"/>
  <c r="O243" i="4"/>
  <c r="P243" i="4"/>
  <c r="Q243" i="4"/>
  <c r="R243" i="4"/>
  <c r="B244" i="4"/>
  <c r="C244" i="4"/>
  <c r="D244" i="4"/>
  <c r="E244" i="4"/>
  <c r="F244" i="4"/>
  <c r="G244" i="4"/>
  <c r="H244" i="4"/>
  <c r="I244" i="4"/>
  <c r="J244" i="4"/>
  <c r="K244" i="4"/>
  <c r="L244" i="4"/>
  <c r="M244" i="4"/>
  <c r="N244" i="4"/>
  <c r="O244" i="4"/>
  <c r="P244" i="4"/>
  <c r="Q244" i="4"/>
  <c r="R244" i="4"/>
  <c r="B245" i="4"/>
  <c r="C245" i="4"/>
  <c r="D245" i="4"/>
  <c r="E245" i="4"/>
  <c r="F245" i="4"/>
  <c r="G245" i="4"/>
  <c r="H245" i="4"/>
  <c r="I245" i="4"/>
  <c r="J245" i="4"/>
  <c r="K245" i="4"/>
  <c r="L245" i="4"/>
  <c r="M245" i="4"/>
  <c r="N245" i="4"/>
  <c r="O245" i="4"/>
  <c r="P245" i="4"/>
  <c r="Q245" i="4"/>
  <c r="R245" i="4"/>
  <c r="B246" i="4"/>
  <c r="C246" i="4"/>
  <c r="D246" i="4"/>
  <c r="E246" i="4"/>
  <c r="F246" i="4"/>
  <c r="G246" i="4"/>
  <c r="H246" i="4"/>
  <c r="I246" i="4"/>
  <c r="J246" i="4"/>
  <c r="K246" i="4"/>
  <c r="L246" i="4"/>
  <c r="M246" i="4"/>
  <c r="N246" i="4"/>
  <c r="O246" i="4"/>
  <c r="P246" i="4"/>
  <c r="Q246" i="4"/>
  <c r="R246" i="4"/>
  <c r="B247" i="4"/>
  <c r="C247" i="4"/>
  <c r="D247" i="4"/>
  <c r="E247" i="4"/>
  <c r="F247" i="4"/>
  <c r="G247" i="4"/>
  <c r="H247" i="4"/>
  <c r="I247" i="4"/>
  <c r="J247" i="4"/>
  <c r="K247" i="4"/>
  <c r="L247" i="4"/>
  <c r="M247" i="4"/>
  <c r="N247" i="4"/>
  <c r="O247" i="4"/>
  <c r="P247" i="4"/>
  <c r="Q247" i="4"/>
  <c r="R247" i="4"/>
  <c r="B248" i="4"/>
  <c r="C248" i="4"/>
  <c r="D248" i="4"/>
  <c r="E248" i="4"/>
  <c r="F248" i="4"/>
  <c r="G248" i="4"/>
  <c r="H248" i="4"/>
  <c r="I248" i="4"/>
  <c r="J248" i="4"/>
  <c r="K248" i="4"/>
  <c r="L248" i="4"/>
  <c r="M248" i="4"/>
  <c r="N248" i="4"/>
  <c r="O248" i="4"/>
  <c r="P248" i="4"/>
  <c r="Q248" i="4"/>
  <c r="R248" i="4"/>
  <c r="B249" i="4"/>
  <c r="C249" i="4"/>
  <c r="D249" i="4"/>
  <c r="E249" i="4"/>
  <c r="F249" i="4"/>
  <c r="G249" i="4"/>
  <c r="H249" i="4"/>
  <c r="I249" i="4"/>
  <c r="J249" i="4"/>
  <c r="K249" i="4"/>
  <c r="L249" i="4"/>
  <c r="M249" i="4"/>
  <c r="N249" i="4"/>
  <c r="O249" i="4"/>
  <c r="P249" i="4"/>
  <c r="Q249" i="4"/>
  <c r="R249" i="4"/>
  <c r="B250" i="4"/>
  <c r="C250" i="4"/>
  <c r="D250" i="4"/>
  <c r="E250" i="4"/>
  <c r="F250" i="4"/>
  <c r="G250" i="4"/>
  <c r="H250" i="4"/>
  <c r="I250" i="4"/>
  <c r="J250" i="4"/>
  <c r="K250" i="4"/>
  <c r="L250" i="4"/>
  <c r="M250" i="4"/>
  <c r="N250" i="4"/>
  <c r="O250" i="4"/>
  <c r="P250" i="4"/>
  <c r="Q250" i="4"/>
  <c r="R250" i="4"/>
  <c r="B251" i="4"/>
  <c r="C251" i="4"/>
  <c r="D251" i="4"/>
  <c r="E251" i="4"/>
  <c r="F251" i="4"/>
  <c r="G251" i="4"/>
  <c r="H251" i="4"/>
  <c r="I251" i="4"/>
  <c r="J251" i="4"/>
  <c r="K251" i="4"/>
  <c r="L251" i="4"/>
  <c r="M251" i="4"/>
  <c r="N251" i="4"/>
  <c r="O251" i="4"/>
  <c r="P251" i="4"/>
  <c r="Q251" i="4"/>
  <c r="R251" i="4"/>
  <c r="B252" i="4"/>
  <c r="C252" i="4"/>
  <c r="D252" i="4"/>
  <c r="E252" i="4"/>
  <c r="F252" i="4"/>
  <c r="G252" i="4"/>
  <c r="H252" i="4"/>
  <c r="I252" i="4"/>
  <c r="J252" i="4"/>
  <c r="K252" i="4"/>
  <c r="L252" i="4"/>
  <c r="M252" i="4"/>
  <c r="N252" i="4"/>
  <c r="O252" i="4"/>
  <c r="P252" i="4"/>
  <c r="Q252" i="4"/>
  <c r="R252" i="4"/>
  <c r="B253" i="4"/>
  <c r="C253" i="4"/>
  <c r="D253" i="4"/>
  <c r="E253" i="4"/>
  <c r="F253" i="4"/>
  <c r="G253" i="4"/>
  <c r="H253" i="4"/>
  <c r="I253" i="4"/>
  <c r="J253" i="4"/>
  <c r="K253" i="4"/>
  <c r="L253" i="4"/>
  <c r="M253" i="4"/>
  <c r="N253" i="4"/>
  <c r="O253" i="4"/>
  <c r="P253" i="4"/>
  <c r="Q253" i="4"/>
  <c r="R253" i="4"/>
  <c r="B254" i="4"/>
  <c r="C254" i="4"/>
  <c r="D254" i="4"/>
  <c r="E254" i="4"/>
  <c r="F254" i="4"/>
  <c r="G254" i="4"/>
  <c r="H254" i="4"/>
  <c r="I254" i="4"/>
  <c r="J254" i="4"/>
  <c r="K254" i="4"/>
  <c r="L254" i="4"/>
  <c r="M254" i="4"/>
  <c r="N254" i="4"/>
  <c r="O254" i="4"/>
  <c r="P254" i="4"/>
  <c r="Q254" i="4"/>
  <c r="R254" i="4"/>
  <c r="B255" i="4"/>
  <c r="C255" i="4"/>
  <c r="D255" i="4"/>
  <c r="E255" i="4"/>
  <c r="F255" i="4"/>
  <c r="G255" i="4"/>
  <c r="H255" i="4"/>
  <c r="I255" i="4"/>
  <c r="J255" i="4"/>
  <c r="K255" i="4"/>
  <c r="L255" i="4"/>
  <c r="M255" i="4"/>
  <c r="N255" i="4"/>
  <c r="O255" i="4"/>
  <c r="P255" i="4"/>
  <c r="Q255" i="4"/>
  <c r="R255" i="4"/>
  <c r="B256" i="4"/>
  <c r="C256" i="4"/>
  <c r="D256" i="4"/>
  <c r="E256" i="4"/>
  <c r="F256" i="4"/>
  <c r="G256" i="4"/>
  <c r="H256" i="4"/>
  <c r="I256" i="4"/>
  <c r="J256" i="4"/>
  <c r="K256" i="4"/>
  <c r="L256" i="4"/>
  <c r="M256" i="4"/>
  <c r="N256" i="4"/>
  <c r="O256" i="4"/>
  <c r="P256" i="4"/>
  <c r="Q256" i="4"/>
  <c r="R256" i="4"/>
  <c r="B257" i="4"/>
  <c r="C257" i="4"/>
  <c r="D257" i="4"/>
  <c r="E257" i="4"/>
  <c r="F257" i="4"/>
  <c r="G257" i="4"/>
  <c r="H257" i="4"/>
  <c r="I257" i="4"/>
  <c r="J257" i="4"/>
  <c r="K257" i="4"/>
  <c r="L257" i="4"/>
  <c r="M257" i="4"/>
  <c r="N257" i="4"/>
  <c r="O257" i="4"/>
  <c r="P257" i="4"/>
  <c r="Q257" i="4"/>
  <c r="R257" i="4"/>
  <c r="B258" i="4"/>
  <c r="C258" i="4"/>
  <c r="D258" i="4"/>
  <c r="E258" i="4"/>
  <c r="F258" i="4"/>
  <c r="G258" i="4"/>
  <c r="H258" i="4"/>
  <c r="I258" i="4"/>
  <c r="J258" i="4"/>
  <c r="K258" i="4"/>
  <c r="L258" i="4"/>
  <c r="M258" i="4"/>
  <c r="N258" i="4"/>
  <c r="O258" i="4"/>
  <c r="P258" i="4"/>
  <c r="Q258" i="4"/>
  <c r="R258" i="4"/>
  <c r="B259" i="4"/>
  <c r="C259" i="4"/>
  <c r="D259" i="4"/>
  <c r="E259" i="4"/>
  <c r="F259" i="4"/>
  <c r="G259" i="4"/>
  <c r="H259" i="4"/>
  <c r="I259" i="4"/>
  <c r="J259" i="4"/>
  <c r="K259" i="4"/>
  <c r="L259" i="4"/>
  <c r="M259" i="4"/>
  <c r="N259" i="4"/>
  <c r="O259" i="4"/>
  <c r="P259" i="4"/>
  <c r="Q259" i="4"/>
  <c r="R259" i="4"/>
  <c r="B260" i="4"/>
  <c r="C260" i="4"/>
  <c r="D260" i="4"/>
  <c r="E260" i="4"/>
  <c r="F260" i="4"/>
  <c r="G260" i="4"/>
  <c r="H260" i="4"/>
  <c r="I260" i="4"/>
  <c r="J260" i="4"/>
  <c r="K260" i="4"/>
  <c r="L260" i="4"/>
  <c r="M260" i="4"/>
  <c r="N260" i="4"/>
  <c r="O260" i="4"/>
  <c r="P260" i="4"/>
  <c r="Q260" i="4"/>
  <c r="R260" i="4"/>
  <c r="B261" i="4"/>
  <c r="C261" i="4"/>
  <c r="D261" i="4"/>
  <c r="E261" i="4"/>
  <c r="F261" i="4"/>
  <c r="G261" i="4"/>
  <c r="H261" i="4"/>
  <c r="I261" i="4"/>
  <c r="J261" i="4"/>
  <c r="K261" i="4"/>
  <c r="L261" i="4"/>
  <c r="M261" i="4"/>
  <c r="N261" i="4"/>
  <c r="O261" i="4"/>
  <c r="P261" i="4"/>
  <c r="Q261" i="4"/>
  <c r="R261" i="4"/>
  <c r="B262" i="4"/>
  <c r="C262" i="4"/>
  <c r="D262" i="4"/>
  <c r="E262" i="4"/>
  <c r="F262" i="4"/>
  <c r="G262" i="4"/>
  <c r="H262" i="4"/>
  <c r="I262" i="4"/>
  <c r="J262" i="4"/>
  <c r="K262" i="4"/>
  <c r="L262" i="4"/>
  <c r="M262" i="4"/>
  <c r="N262" i="4"/>
  <c r="O262" i="4"/>
  <c r="P262" i="4"/>
  <c r="Q262" i="4"/>
  <c r="R262" i="4"/>
  <c r="B263" i="4"/>
  <c r="C263" i="4"/>
  <c r="D263" i="4"/>
  <c r="E263" i="4"/>
  <c r="F263" i="4"/>
  <c r="G263" i="4"/>
  <c r="H263" i="4"/>
  <c r="I263" i="4"/>
  <c r="J263" i="4"/>
  <c r="K263" i="4"/>
  <c r="L263" i="4"/>
  <c r="M263" i="4"/>
  <c r="N263" i="4"/>
  <c r="O263" i="4"/>
  <c r="P263" i="4"/>
  <c r="Q263" i="4"/>
  <c r="R263" i="4"/>
  <c r="B264" i="4"/>
  <c r="C264" i="4"/>
  <c r="D264" i="4"/>
  <c r="E264" i="4"/>
  <c r="F264" i="4"/>
  <c r="G264" i="4"/>
  <c r="H264" i="4"/>
  <c r="I264" i="4"/>
  <c r="J264" i="4"/>
  <c r="K264" i="4"/>
  <c r="L264" i="4"/>
  <c r="M264" i="4"/>
  <c r="N264" i="4"/>
  <c r="O264" i="4"/>
  <c r="P264" i="4"/>
  <c r="Q264" i="4"/>
  <c r="R264" i="4"/>
  <c r="B265" i="4"/>
  <c r="C265" i="4"/>
  <c r="D265" i="4"/>
  <c r="E265" i="4"/>
  <c r="F265" i="4"/>
  <c r="G265" i="4"/>
  <c r="H265" i="4"/>
  <c r="I265" i="4"/>
  <c r="J265" i="4"/>
  <c r="K265" i="4"/>
  <c r="L265" i="4"/>
  <c r="M265" i="4"/>
  <c r="N265" i="4"/>
  <c r="O265" i="4"/>
  <c r="P265" i="4"/>
  <c r="Q265" i="4"/>
  <c r="R265" i="4"/>
  <c r="B266" i="4"/>
  <c r="C266" i="4"/>
  <c r="D266" i="4"/>
  <c r="E266" i="4"/>
  <c r="F266" i="4"/>
  <c r="G266" i="4"/>
  <c r="H266" i="4"/>
  <c r="I266" i="4"/>
  <c r="J266" i="4"/>
  <c r="K266" i="4"/>
  <c r="L266" i="4"/>
  <c r="M266" i="4"/>
  <c r="N266" i="4"/>
  <c r="O266" i="4"/>
  <c r="P266" i="4"/>
  <c r="Q266" i="4"/>
  <c r="R266" i="4"/>
  <c r="B267" i="4"/>
  <c r="C267" i="4"/>
  <c r="D267" i="4"/>
  <c r="E267" i="4"/>
  <c r="F267" i="4"/>
  <c r="G267" i="4"/>
  <c r="H267" i="4"/>
  <c r="I267" i="4"/>
  <c r="J267" i="4"/>
  <c r="K267" i="4"/>
  <c r="L267" i="4"/>
  <c r="M267" i="4"/>
  <c r="N267" i="4"/>
  <c r="O267" i="4"/>
  <c r="P267" i="4"/>
  <c r="Q267" i="4"/>
  <c r="R267" i="4"/>
  <c r="B268" i="4"/>
  <c r="C268" i="4"/>
  <c r="D268" i="4"/>
  <c r="E268" i="4"/>
  <c r="F268" i="4"/>
  <c r="G268" i="4"/>
  <c r="H268" i="4"/>
  <c r="I268" i="4"/>
  <c r="J268" i="4"/>
  <c r="K268" i="4"/>
  <c r="L268" i="4"/>
  <c r="M268" i="4"/>
  <c r="N268" i="4"/>
  <c r="O268" i="4"/>
  <c r="P268" i="4"/>
  <c r="Q268" i="4"/>
  <c r="R268" i="4"/>
  <c r="B269" i="4"/>
  <c r="C269" i="4"/>
  <c r="D269" i="4"/>
  <c r="E269" i="4"/>
  <c r="F269" i="4"/>
  <c r="G269" i="4"/>
  <c r="H269" i="4"/>
  <c r="I269" i="4"/>
  <c r="J269" i="4"/>
  <c r="K269" i="4"/>
  <c r="L269" i="4"/>
  <c r="M269" i="4"/>
  <c r="N269" i="4"/>
  <c r="O269" i="4"/>
  <c r="P269" i="4"/>
  <c r="Q269" i="4"/>
  <c r="R269" i="4"/>
  <c r="B270" i="4"/>
  <c r="C270" i="4"/>
  <c r="D270" i="4"/>
  <c r="E270" i="4"/>
  <c r="F270" i="4"/>
  <c r="G270" i="4"/>
  <c r="H270" i="4"/>
  <c r="I270" i="4"/>
  <c r="J270" i="4"/>
  <c r="K270" i="4"/>
  <c r="L270" i="4"/>
  <c r="M270" i="4"/>
  <c r="N270" i="4"/>
  <c r="O270" i="4"/>
  <c r="P270" i="4"/>
  <c r="Q270" i="4"/>
  <c r="R270" i="4"/>
  <c r="B271" i="4"/>
  <c r="C271" i="4"/>
  <c r="D271" i="4"/>
  <c r="E271" i="4"/>
  <c r="F271" i="4"/>
  <c r="G271" i="4"/>
  <c r="H271" i="4"/>
  <c r="I271" i="4"/>
  <c r="J271" i="4"/>
  <c r="K271" i="4"/>
  <c r="L271" i="4"/>
  <c r="M271" i="4"/>
  <c r="N271" i="4"/>
  <c r="O271" i="4"/>
  <c r="P271" i="4"/>
  <c r="Q271" i="4"/>
  <c r="R271" i="4"/>
  <c r="B272" i="4"/>
  <c r="C272" i="4"/>
  <c r="D272" i="4"/>
  <c r="E272" i="4"/>
  <c r="F272" i="4"/>
  <c r="G272" i="4"/>
  <c r="H272" i="4"/>
  <c r="I272" i="4"/>
  <c r="J272" i="4"/>
  <c r="K272" i="4"/>
  <c r="L272" i="4"/>
  <c r="M272" i="4"/>
  <c r="N272" i="4"/>
  <c r="O272" i="4"/>
  <c r="P272" i="4"/>
  <c r="Q272" i="4"/>
  <c r="R272" i="4"/>
  <c r="B273" i="4"/>
  <c r="C273" i="4"/>
  <c r="D273" i="4"/>
  <c r="E273" i="4"/>
  <c r="F273" i="4"/>
  <c r="G273" i="4"/>
  <c r="H273" i="4"/>
  <c r="I273" i="4"/>
  <c r="J273" i="4"/>
  <c r="K273" i="4"/>
  <c r="L273" i="4"/>
  <c r="M273" i="4"/>
  <c r="N273" i="4"/>
  <c r="O273" i="4"/>
  <c r="P273" i="4"/>
  <c r="Q273" i="4"/>
  <c r="R273" i="4"/>
  <c r="B274" i="4"/>
  <c r="C274" i="4"/>
  <c r="D274" i="4"/>
  <c r="E274" i="4"/>
  <c r="F274" i="4"/>
  <c r="G274" i="4"/>
  <c r="H274" i="4"/>
  <c r="I274" i="4"/>
  <c r="J274" i="4"/>
  <c r="K274" i="4"/>
  <c r="L274" i="4"/>
  <c r="M274" i="4"/>
  <c r="N274" i="4"/>
  <c r="O274" i="4"/>
  <c r="P274" i="4"/>
  <c r="Q274" i="4"/>
  <c r="R274" i="4"/>
  <c r="B275" i="4"/>
  <c r="C275" i="4"/>
  <c r="D275" i="4"/>
  <c r="E275" i="4"/>
  <c r="F275" i="4"/>
  <c r="G275" i="4"/>
  <c r="H275" i="4"/>
  <c r="I275" i="4"/>
  <c r="J275" i="4"/>
  <c r="K275" i="4"/>
  <c r="L275" i="4"/>
  <c r="M275" i="4"/>
  <c r="N275" i="4"/>
  <c r="O275" i="4"/>
  <c r="P275" i="4"/>
  <c r="Q275" i="4"/>
  <c r="R275" i="4"/>
  <c r="B276" i="4"/>
  <c r="C276" i="4"/>
  <c r="D276" i="4"/>
  <c r="E276" i="4"/>
  <c r="F276" i="4"/>
  <c r="G276" i="4"/>
  <c r="H276" i="4"/>
  <c r="I276" i="4"/>
  <c r="J276" i="4"/>
  <c r="K276" i="4"/>
  <c r="L276" i="4"/>
  <c r="M276" i="4"/>
  <c r="N276" i="4"/>
  <c r="O276" i="4"/>
  <c r="P276" i="4"/>
  <c r="Q276" i="4"/>
  <c r="R276" i="4"/>
  <c r="B277" i="4"/>
  <c r="C277" i="4"/>
  <c r="D277" i="4"/>
  <c r="E277" i="4"/>
  <c r="F277" i="4"/>
  <c r="G277" i="4"/>
  <c r="H277" i="4"/>
  <c r="I277" i="4"/>
  <c r="J277" i="4"/>
  <c r="K277" i="4"/>
  <c r="L277" i="4"/>
  <c r="M277" i="4"/>
  <c r="N277" i="4"/>
  <c r="O277" i="4"/>
  <c r="P277" i="4"/>
  <c r="Q277" i="4"/>
  <c r="R277" i="4"/>
  <c r="B278" i="4"/>
  <c r="C278" i="4"/>
  <c r="D278" i="4"/>
  <c r="E278" i="4"/>
  <c r="F278" i="4"/>
  <c r="G278" i="4"/>
  <c r="H278" i="4"/>
  <c r="I278" i="4"/>
  <c r="J278" i="4"/>
  <c r="K278" i="4"/>
  <c r="L278" i="4"/>
  <c r="M278" i="4"/>
  <c r="N278" i="4"/>
  <c r="O278" i="4"/>
  <c r="P278" i="4"/>
  <c r="Q278" i="4"/>
  <c r="R278" i="4"/>
  <c r="B279" i="4"/>
  <c r="C279" i="4"/>
  <c r="D279" i="4"/>
  <c r="E279" i="4"/>
  <c r="F279" i="4"/>
  <c r="G279" i="4"/>
  <c r="H279" i="4"/>
  <c r="I279" i="4"/>
  <c r="J279" i="4"/>
  <c r="K279" i="4"/>
  <c r="L279" i="4"/>
  <c r="M279" i="4"/>
  <c r="N279" i="4"/>
  <c r="O279" i="4"/>
  <c r="P279" i="4"/>
  <c r="Q279" i="4"/>
  <c r="R279" i="4"/>
  <c r="B280" i="4"/>
  <c r="C280" i="4"/>
  <c r="D280" i="4"/>
  <c r="E280" i="4"/>
  <c r="F280" i="4"/>
  <c r="G280" i="4"/>
  <c r="H280" i="4"/>
  <c r="I280" i="4"/>
  <c r="J280" i="4"/>
  <c r="K280" i="4"/>
  <c r="L280" i="4"/>
  <c r="M280" i="4"/>
  <c r="N280" i="4"/>
  <c r="O280" i="4"/>
  <c r="P280" i="4"/>
  <c r="Q280" i="4"/>
  <c r="R280" i="4"/>
  <c r="B281" i="4"/>
  <c r="C281" i="4"/>
  <c r="D281" i="4"/>
  <c r="E281" i="4"/>
  <c r="F281" i="4"/>
  <c r="G281" i="4"/>
  <c r="H281" i="4"/>
  <c r="I281" i="4"/>
  <c r="J281" i="4"/>
  <c r="K281" i="4"/>
  <c r="L281" i="4"/>
  <c r="M281" i="4"/>
  <c r="N281" i="4"/>
  <c r="O281" i="4"/>
  <c r="P281" i="4"/>
  <c r="Q281" i="4"/>
  <c r="R281" i="4"/>
  <c r="B282" i="4"/>
  <c r="C282" i="4"/>
  <c r="D282" i="4"/>
  <c r="E282" i="4"/>
  <c r="F282" i="4"/>
  <c r="G282" i="4"/>
  <c r="H282" i="4"/>
  <c r="I282" i="4"/>
  <c r="J282" i="4"/>
  <c r="K282" i="4"/>
  <c r="L282" i="4"/>
  <c r="M282" i="4"/>
  <c r="N282" i="4"/>
  <c r="O282" i="4"/>
  <c r="P282" i="4"/>
  <c r="Q282" i="4"/>
  <c r="R282" i="4"/>
  <c r="B283" i="4"/>
  <c r="C283" i="4"/>
  <c r="D283" i="4"/>
  <c r="E283" i="4"/>
  <c r="F283" i="4"/>
  <c r="G283" i="4"/>
  <c r="H283" i="4"/>
  <c r="I283" i="4"/>
  <c r="J283" i="4"/>
  <c r="K283" i="4"/>
  <c r="L283" i="4"/>
  <c r="M283" i="4"/>
  <c r="N283" i="4"/>
  <c r="O283" i="4"/>
  <c r="P283" i="4"/>
  <c r="Q283" i="4"/>
  <c r="R283" i="4"/>
  <c r="B284" i="4"/>
  <c r="C284" i="4"/>
  <c r="D284" i="4"/>
  <c r="E284" i="4"/>
  <c r="F284" i="4"/>
  <c r="G284" i="4"/>
  <c r="H284" i="4"/>
  <c r="I284" i="4"/>
  <c r="J284" i="4"/>
  <c r="K284" i="4"/>
  <c r="L284" i="4"/>
  <c r="M284" i="4"/>
  <c r="N284" i="4"/>
  <c r="O284" i="4"/>
  <c r="P284" i="4"/>
  <c r="Q284" i="4"/>
  <c r="R284" i="4"/>
  <c r="B285" i="4"/>
  <c r="C285" i="4"/>
  <c r="D285" i="4"/>
  <c r="E285" i="4"/>
  <c r="F285" i="4"/>
  <c r="G285" i="4"/>
  <c r="H285" i="4"/>
  <c r="I285" i="4"/>
  <c r="J285" i="4"/>
  <c r="K285" i="4"/>
  <c r="L285" i="4"/>
  <c r="M285" i="4"/>
  <c r="N285" i="4"/>
  <c r="O285" i="4"/>
  <c r="P285" i="4"/>
  <c r="Q285" i="4"/>
  <c r="R285" i="4"/>
  <c r="B286" i="4"/>
  <c r="C286" i="4"/>
  <c r="D286" i="4"/>
  <c r="E286" i="4"/>
  <c r="F286" i="4"/>
  <c r="G286" i="4"/>
  <c r="H286" i="4"/>
  <c r="I286" i="4"/>
  <c r="J286" i="4"/>
  <c r="K286" i="4"/>
  <c r="L286" i="4"/>
  <c r="M286" i="4"/>
  <c r="N286" i="4"/>
  <c r="O286" i="4"/>
  <c r="P286" i="4"/>
  <c r="Q286" i="4"/>
  <c r="R286" i="4"/>
  <c r="B287" i="4"/>
  <c r="C287" i="4"/>
  <c r="D287" i="4"/>
  <c r="E287" i="4"/>
  <c r="F287" i="4"/>
  <c r="G287" i="4"/>
  <c r="H287" i="4"/>
  <c r="I287" i="4"/>
  <c r="J287" i="4"/>
  <c r="K287" i="4"/>
  <c r="L287" i="4"/>
  <c r="M287" i="4"/>
  <c r="N287" i="4"/>
  <c r="O287" i="4"/>
  <c r="P287" i="4"/>
  <c r="Q287" i="4"/>
  <c r="R287" i="4"/>
  <c r="B288" i="4"/>
  <c r="C288" i="4"/>
  <c r="D288" i="4"/>
  <c r="E288" i="4"/>
  <c r="F288" i="4"/>
  <c r="G288" i="4"/>
  <c r="H288" i="4"/>
  <c r="I288" i="4"/>
  <c r="J288" i="4"/>
  <c r="K288" i="4"/>
  <c r="L288" i="4"/>
  <c r="M288" i="4"/>
  <c r="N288" i="4"/>
  <c r="O288" i="4"/>
  <c r="P288" i="4"/>
  <c r="Q288" i="4"/>
  <c r="R288" i="4"/>
  <c r="B289" i="4"/>
  <c r="C289" i="4"/>
  <c r="D289" i="4"/>
  <c r="E289" i="4"/>
  <c r="F289" i="4"/>
  <c r="G289" i="4"/>
  <c r="H289" i="4"/>
  <c r="I289" i="4"/>
  <c r="J289" i="4"/>
  <c r="K289" i="4"/>
  <c r="L289" i="4"/>
  <c r="M289" i="4"/>
  <c r="N289" i="4"/>
  <c r="O289" i="4"/>
  <c r="P289" i="4"/>
  <c r="Q289" i="4"/>
  <c r="R289" i="4"/>
  <c r="B290" i="4"/>
  <c r="C290" i="4"/>
  <c r="D290" i="4"/>
  <c r="E290" i="4"/>
  <c r="F290" i="4"/>
  <c r="G290" i="4"/>
  <c r="H290" i="4"/>
  <c r="I290" i="4"/>
  <c r="J290" i="4"/>
  <c r="K290" i="4"/>
  <c r="L290" i="4"/>
  <c r="M290" i="4"/>
  <c r="N290" i="4"/>
  <c r="O290" i="4"/>
  <c r="P290" i="4"/>
  <c r="Q290" i="4"/>
  <c r="R290" i="4"/>
  <c r="B291" i="4"/>
  <c r="C291" i="4"/>
  <c r="D291" i="4"/>
  <c r="E291" i="4"/>
  <c r="F291" i="4"/>
  <c r="G291" i="4"/>
  <c r="H291" i="4"/>
  <c r="I291" i="4"/>
  <c r="J291" i="4"/>
  <c r="K291" i="4"/>
  <c r="L291" i="4"/>
  <c r="M291" i="4"/>
  <c r="N291" i="4"/>
  <c r="O291" i="4"/>
  <c r="P291" i="4"/>
  <c r="Q291" i="4"/>
  <c r="R291" i="4"/>
  <c r="B292" i="4"/>
  <c r="C292" i="4"/>
  <c r="D292" i="4"/>
  <c r="E292" i="4"/>
  <c r="F292" i="4"/>
  <c r="G292" i="4"/>
  <c r="H292" i="4"/>
  <c r="I292" i="4"/>
  <c r="J292" i="4"/>
  <c r="K292" i="4"/>
  <c r="L292" i="4"/>
  <c r="M292" i="4"/>
  <c r="N292" i="4"/>
  <c r="O292" i="4"/>
  <c r="P292" i="4"/>
  <c r="Q292" i="4"/>
  <c r="R292" i="4"/>
  <c r="B293" i="4"/>
  <c r="C293" i="4"/>
  <c r="D293" i="4"/>
  <c r="E293" i="4"/>
  <c r="F293" i="4"/>
  <c r="G293" i="4"/>
  <c r="H293" i="4"/>
  <c r="I293" i="4"/>
  <c r="J293" i="4"/>
  <c r="K293" i="4"/>
  <c r="L293" i="4"/>
  <c r="M293" i="4"/>
  <c r="N293" i="4"/>
  <c r="O293" i="4"/>
  <c r="P293" i="4"/>
  <c r="Q293" i="4"/>
  <c r="R293" i="4"/>
  <c r="B294" i="4"/>
  <c r="C294" i="4"/>
  <c r="D294" i="4"/>
  <c r="E294" i="4"/>
  <c r="F294" i="4"/>
  <c r="G294" i="4"/>
  <c r="H294" i="4"/>
  <c r="I294" i="4"/>
  <c r="J294" i="4"/>
  <c r="K294" i="4"/>
  <c r="L294" i="4"/>
  <c r="M294" i="4"/>
  <c r="N294" i="4"/>
  <c r="O294" i="4"/>
  <c r="P294" i="4"/>
  <c r="Q294" i="4"/>
  <c r="R294" i="4"/>
  <c r="B295" i="4"/>
  <c r="C295" i="4"/>
  <c r="D295" i="4"/>
  <c r="E295" i="4"/>
  <c r="F295" i="4"/>
  <c r="G295" i="4"/>
  <c r="H295" i="4"/>
  <c r="I295" i="4"/>
  <c r="J295" i="4"/>
  <c r="K295" i="4"/>
  <c r="L295" i="4"/>
  <c r="M295" i="4"/>
  <c r="N295" i="4"/>
  <c r="O295" i="4"/>
  <c r="P295" i="4"/>
  <c r="Q295" i="4"/>
  <c r="R295" i="4"/>
  <c r="B296" i="4"/>
  <c r="C296" i="4"/>
  <c r="D296" i="4"/>
  <c r="E296" i="4"/>
  <c r="F296" i="4"/>
  <c r="G296" i="4"/>
  <c r="H296" i="4"/>
  <c r="I296" i="4"/>
  <c r="J296" i="4"/>
  <c r="K296" i="4"/>
  <c r="L296" i="4"/>
  <c r="M296" i="4"/>
  <c r="N296" i="4"/>
  <c r="O296" i="4"/>
  <c r="P296" i="4"/>
  <c r="Q296" i="4"/>
  <c r="R296" i="4"/>
  <c r="B297" i="4"/>
  <c r="C297" i="4"/>
  <c r="D297" i="4"/>
  <c r="E297" i="4"/>
  <c r="F297" i="4"/>
  <c r="G297" i="4"/>
  <c r="H297" i="4"/>
  <c r="I297" i="4"/>
  <c r="J297" i="4"/>
  <c r="K297" i="4"/>
  <c r="L297" i="4"/>
  <c r="M297" i="4"/>
  <c r="N297" i="4"/>
  <c r="O297" i="4"/>
  <c r="P297" i="4"/>
  <c r="Q297" i="4"/>
  <c r="R297" i="4"/>
  <c r="B298" i="4"/>
  <c r="C298" i="4"/>
  <c r="D298" i="4"/>
  <c r="E298" i="4"/>
  <c r="F298" i="4"/>
  <c r="G298" i="4"/>
  <c r="H298" i="4"/>
  <c r="I298" i="4"/>
  <c r="J298" i="4"/>
  <c r="K298" i="4"/>
  <c r="L298" i="4"/>
  <c r="M298" i="4"/>
  <c r="N298" i="4"/>
  <c r="O298" i="4"/>
  <c r="P298" i="4"/>
  <c r="Q298" i="4"/>
  <c r="R298" i="4"/>
  <c r="B299" i="4"/>
  <c r="C299" i="4"/>
  <c r="D299" i="4"/>
  <c r="E299" i="4"/>
  <c r="F299" i="4"/>
  <c r="G299" i="4"/>
  <c r="H299" i="4"/>
  <c r="I299" i="4"/>
  <c r="J299" i="4"/>
  <c r="K299" i="4"/>
  <c r="L299" i="4"/>
  <c r="M299" i="4"/>
  <c r="N299" i="4"/>
  <c r="O299" i="4"/>
  <c r="P299" i="4"/>
  <c r="Q299" i="4"/>
  <c r="R299" i="4"/>
  <c r="B300" i="4"/>
  <c r="C300" i="4"/>
  <c r="D300" i="4"/>
  <c r="E300" i="4"/>
  <c r="F300" i="4"/>
  <c r="G300" i="4"/>
  <c r="H300" i="4"/>
  <c r="I300" i="4"/>
  <c r="J300" i="4"/>
  <c r="K300" i="4"/>
  <c r="L300" i="4"/>
  <c r="M300" i="4"/>
  <c r="N300" i="4"/>
  <c r="O300" i="4"/>
  <c r="P300" i="4"/>
  <c r="Q300" i="4"/>
  <c r="R300" i="4"/>
  <c r="B301" i="4"/>
  <c r="C301" i="4"/>
  <c r="D301" i="4"/>
  <c r="E301" i="4"/>
  <c r="F301" i="4"/>
  <c r="G301" i="4"/>
  <c r="H301" i="4"/>
  <c r="I301" i="4"/>
  <c r="J301" i="4"/>
  <c r="K301" i="4"/>
  <c r="L301" i="4"/>
  <c r="M301" i="4"/>
  <c r="N301" i="4"/>
  <c r="O301" i="4"/>
  <c r="P301" i="4"/>
  <c r="Q301" i="4"/>
  <c r="R301" i="4"/>
  <c r="B302" i="4"/>
  <c r="C302" i="4"/>
  <c r="D302" i="4"/>
  <c r="E302" i="4"/>
  <c r="F302" i="4"/>
  <c r="G302" i="4"/>
  <c r="H302" i="4"/>
  <c r="I302" i="4"/>
  <c r="J302" i="4"/>
  <c r="K302" i="4"/>
  <c r="L302" i="4"/>
  <c r="M302" i="4"/>
  <c r="N302" i="4"/>
  <c r="O302" i="4"/>
  <c r="P302" i="4"/>
  <c r="Q302" i="4"/>
  <c r="R302" i="4"/>
  <c r="B303" i="4"/>
  <c r="C303" i="4"/>
  <c r="D303" i="4"/>
  <c r="E303" i="4"/>
  <c r="F303" i="4"/>
  <c r="G303" i="4"/>
  <c r="H303" i="4"/>
  <c r="I303" i="4"/>
  <c r="J303" i="4"/>
  <c r="K303" i="4"/>
  <c r="L303" i="4"/>
  <c r="M303" i="4"/>
  <c r="N303" i="4"/>
  <c r="O303" i="4"/>
  <c r="P303" i="4"/>
  <c r="Q303" i="4"/>
  <c r="R303" i="4"/>
  <c r="B304" i="4"/>
  <c r="C304" i="4"/>
  <c r="D304" i="4"/>
  <c r="E304" i="4"/>
  <c r="F304" i="4"/>
  <c r="G304" i="4"/>
  <c r="H304" i="4"/>
  <c r="I304" i="4"/>
  <c r="J304" i="4"/>
  <c r="K304" i="4"/>
  <c r="L304" i="4"/>
  <c r="M304" i="4"/>
  <c r="N304" i="4"/>
  <c r="O304" i="4"/>
  <c r="P304" i="4"/>
  <c r="Q304" i="4"/>
  <c r="R304" i="4"/>
  <c r="B305" i="4"/>
  <c r="C305" i="4"/>
  <c r="D305" i="4"/>
  <c r="E305" i="4"/>
  <c r="F305" i="4"/>
  <c r="G305" i="4"/>
  <c r="H305" i="4"/>
  <c r="I305" i="4"/>
  <c r="J305" i="4"/>
  <c r="K305" i="4"/>
  <c r="L305" i="4"/>
  <c r="M305" i="4"/>
  <c r="N305" i="4"/>
  <c r="O305" i="4"/>
  <c r="P305" i="4"/>
  <c r="Q305" i="4"/>
  <c r="R305" i="4"/>
  <c r="B306" i="4"/>
  <c r="C306" i="4"/>
  <c r="D306" i="4"/>
  <c r="E306" i="4"/>
  <c r="F306" i="4"/>
  <c r="G306" i="4"/>
  <c r="H306" i="4"/>
  <c r="I306" i="4"/>
  <c r="J306" i="4"/>
  <c r="K306" i="4"/>
  <c r="L306" i="4"/>
  <c r="M306" i="4"/>
  <c r="N306" i="4"/>
  <c r="O306" i="4"/>
  <c r="P306" i="4"/>
  <c r="Q306" i="4"/>
  <c r="R306" i="4"/>
  <c r="B307" i="4"/>
  <c r="C307" i="4"/>
  <c r="D307" i="4"/>
  <c r="E307" i="4"/>
  <c r="F307" i="4"/>
  <c r="G307" i="4"/>
  <c r="H307" i="4"/>
  <c r="I307" i="4"/>
  <c r="J307" i="4"/>
  <c r="K307" i="4"/>
  <c r="L307" i="4"/>
  <c r="M307" i="4"/>
  <c r="N307" i="4"/>
  <c r="O307" i="4"/>
  <c r="P307" i="4"/>
  <c r="Q307" i="4"/>
  <c r="R307" i="4"/>
  <c r="B308" i="4"/>
  <c r="C308" i="4"/>
  <c r="D308" i="4"/>
  <c r="E308" i="4"/>
  <c r="F308" i="4"/>
  <c r="G308" i="4"/>
  <c r="H308" i="4"/>
  <c r="I308" i="4"/>
  <c r="J308" i="4"/>
  <c r="K308" i="4"/>
  <c r="L308" i="4"/>
  <c r="M308" i="4"/>
  <c r="N308" i="4"/>
  <c r="O308" i="4"/>
  <c r="P308" i="4"/>
  <c r="Q308" i="4"/>
  <c r="R308" i="4"/>
  <c r="B309" i="4"/>
  <c r="C309" i="4"/>
  <c r="D309" i="4"/>
  <c r="E309" i="4"/>
  <c r="F309" i="4"/>
  <c r="G309" i="4"/>
  <c r="H309" i="4"/>
  <c r="I309" i="4"/>
  <c r="J309" i="4"/>
  <c r="K309" i="4"/>
  <c r="L309" i="4"/>
  <c r="M309" i="4"/>
  <c r="N309" i="4"/>
  <c r="O309" i="4"/>
  <c r="P309" i="4"/>
  <c r="Q309" i="4"/>
  <c r="R309" i="4"/>
  <c r="B310" i="4"/>
  <c r="C310" i="4"/>
  <c r="D310" i="4"/>
  <c r="E310" i="4"/>
  <c r="F310" i="4"/>
  <c r="G310" i="4"/>
  <c r="H310" i="4"/>
  <c r="I310" i="4"/>
  <c r="J310" i="4"/>
  <c r="K310" i="4"/>
  <c r="L310" i="4"/>
  <c r="M310" i="4"/>
  <c r="N310" i="4"/>
  <c r="O310" i="4"/>
  <c r="P310" i="4"/>
  <c r="Q310" i="4"/>
  <c r="R310" i="4"/>
  <c r="B311" i="4"/>
  <c r="C311" i="4"/>
  <c r="D311" i="4"/>
  <c r="E311" i="4"/>
  <c r="F311" i="4"/>
  <c r="G311" i="4"/>
  <c r="H311" i="4"/>
  <c r="I311" i="4"/>
  <c r="J311" i="4"/>
  <c r="K311" i="4"/>
  <c r="L311" i="4"/>
  <c r="M311" i="4"/>
  <c r="N311" i="4"/>
  <c r="O311" i="4"/>
  <c r="P311" i="4"/>
  <c r="Q311" i="4"/>
  <c r="R311" i="4"/>
  <c r="B312" i="4"/>
  <c r="C312" i="4"/>
  <c r="D312" i="4"/>
  <c r="E312" i="4"/>
  <c r="F312" i="4"/>
  <c r="G312" i="4"/>
  <c r="H312" i="4"/>
  <c r="I312" i="4"/>
  <c r="J312" i="4"/>
  <c r="K312" i="4"/>
  <c r="L312" i="4"/>
  <c r="M312" i="4"/>
  <c r="N312" i="4"/>
  <c r="O312" i="4"/>
  <c r="P312" i="4"/>
  <c r="Q312" i="4"/>
  <c r="R312" i="4"/>
  <c r="B313" i="4"/>
  <c r="C313" i="4"/>
  <c r="D313" i="4"/>
  <c r="E313" i="4"/>
  <c r="F313" i="4"/>
  <c r="G313" i="4"/>
  <c r="H313" i="4"/>
  <c r="I313" i="4"/>
  <c r="J313" i="4"/>
  <c r="K313" i="4"/>
  <c r="L313" i="4"/>
  <c r="M313" i="4"/>
  <c r="N313" i="4"/>
  <c r="O313" i="4"/>
  <c r="P313" i="4"/>
  <c r="Q313" i="4"/>
  <c r="R313" i="4"/>
  <c r="B314" i="4"/>
  <c r="C314" i="4"/>
  <c r="D314" i="4"/>
  <c r="E314" i="4"/>
  <c r="F314" i="4"/>
  <c r="G314" i="4"/>
  <c r="H314" i="4"/>
  <c r="I314" i="4"/>
  <c r="J314" i="4"/>
  <c r="K314" i="4"/>
  <c r="L314" i="4"/>
  <c r="M314" i="4"/>
  <c r="N314" i="4"/>
  <c r="O314" i="4"/>
  <c r="P314" i="4"/>
  <c r="Q314" i="4"/>
  <c r="R314" i="4"/>
  <c r="B315" i="4"/>
  <c r="C315" i="4"/>
  <c r="D315" i="4"/>
  <c r="E315" i="4"/>
  <c r="F315" i="4"/>
  <c r="G315" i="4"/>
  <c r="H315" i="4"/>
  <c r="I315" i="4"/>
  <c r="J315" i="4"/>
  <c r="K315" i="4"/>
  <c r="L315" i="4"/>
  <c r="M315" i="4"/>
  <c r="N315" i="4"/>
  <c r="O315" i="4"/>
  <c r="P315" i="4"/>
  <c r="Q315" i="4"/>
  <c r="R315" i="4"/>
  <c r="B316" i="4"/>
  <c r="C316" i="4"/>
  <c r="D316" i="4"/>
  <c r="E316" i="4"/>
  <c r="F316" i="4"/>
  <c r="G316" i="4"/>
  <c r="H316" i="4"/>
  <c r="I316" i="4"/>
  <c r="J316" i="4"/>
  <c r="K316" i="4"/>
  <c r="L316" i="4"/>
  <c r="M316" i="4"/>
  <c r="N316" i="4"/>
  <c r="O316" i="4"/>
  <c r="P316" i="4"/>
  <c r="Q316" i="4"/>
  <c r="R316" i="4"/>
  <c r="B317" i="4"/>
  <c r="C317" i="4"/>
  <c r="D317" i="4"/>
  <c r="E317" i="4"/>
  <c r="F317" i="4"/>
  <c r="G317" i="4"/>
  <c r="H317" i="4"/>
  <c r="I317" i="4"/>
  <c r="J317" i="4"/>
  <c r="K317" i="4"/>
  <c r="L317" i="4"/>
  <c r="M317" i="4"/>
  <c r="N317" i="4"/>
  <c r="O317" i="4"/>
  <c r="P317" i="4"/>
  <c r="Q317" i="4"/>
  <c r="R317" i="4"/>
  <c r="B318" i="4"/>
  <c r="C318" i="4"/>
  <c r="D318" i="4"/>
  <c r="E318" i="4"/>
  <c r="F318" i="4"/>
  <c r="G318" i="4"/>
  <c r="H318" i="4"/>
  <c r="I318" i="4"/>
  <c r="J318" i="4"/>
  <c r="K318" i="4"/>
  <c r="L318" i="4"/>
  <c r="M318" i="4"/>
  <c r="N318" i="4"/>
  <c r="O318" i="4"/>
  <c r="P318" i="4"/>
  <c r="Q318" i="4"/>
  <c r="R318" i="4"/>
  <c r="B319" i="4"/>
  <c r="C319" i="4"/>
  <c r="D319" i="4"/>
  <c r="E319" i="4"/>
  <c r="F319" i="4"/>
  <c r="G319" i="4"/>
  <c r="H319" i="4"/>
  <c r="I319" i="4"/>
  <c r="J319" i="4"/>
  <c r="K319" i="4"/>
  <c r="L319" i="4"/>
  <c r="M319" i="4"/>
  <c r="N319" i="4"/>
  <c r="O319" i="4"/>
  <c r="P319" i="4"/>
  <c r="Q319" i="4"/>
  <c r="R319" i="4"/>
  <c r="B320" i="4"/>
  <c r="C320" i="4"/>
  <c r="D320" i="4"/>
  <c r="E320" i="4"/>
  <c r="F320" i="4"/>
  <c r="G320" i="4"/>
  <c r="H320" i="4"/>
  <c r="I320" i="4"/>
  <c r="J320" i="4"/>
  <c r="K320" i="4"/>
  <c r="L320" i="4"/>
  <c r="M320" i="4"/>
  <c r="N320" i="4"/>
  <c r="O320" i="4"/>
  <c r="P320" i="4"/>
  <c r="Q320" i="4"/>
  <c r="R320" i="4"/>
  <c r="B321" i="4"/>
  <c r="C321" i="4"/>
  <c r="D321" i="4"/>
  <c r="E321" i="4"/>
  <c r="F321" i="4"/>
  <c r="G321" i="4"/>
  <c r="H321" i="4"/>
  <c r="I321" i="4"/>
  <c r="J321" i="4"/>
  <c r="K321" i="4"/>
  <c r="L321" i="4"/>
  <c r="M321" i="4"/>
  <c r="N321" i="4"/>
  <c r="O321" i="4"/>
  <c r="P321" i="4"/>
  <c r="Q321" i="4"/>
  <c r="R321" i="4"/>
  <c r="B322" i="4"/>
  <c r="C322" i="4"/>
  <c r="D322" i="4"/>
  <c r="E322" i="4"/>
  <c r="F322" i="4"/>
  <c r="G322" i="4"/>
  <c r="H322" i="4"/>
  <c r="I322" i="4"/>
  <c r="J322" i="4"/>
  <c r="K322" i="4"/>
  <c r="L322" i="4"/>
  <c r="M322" i="4"/>
  <c r="N322" i="4"/>
  <c r="O322" i="4"/>
  <c r="P322" i="4"/>
  <c r="Q322" i="4"/>
  <c r="R322" i="4"/>
  <c r="B323" i="4"/>
  <c r="C323" i="4"/>
  <c r="D323" i="4"/>
  <c r="E323" i="4"/>
  <c r="F323" i="4"/>
  <c r="G323" i="4"/>
  <c r="H323" i="4"/>
  <c r="I323" i="4"/>
  <c r="J323" i="4"/>
  <c r="K323" i="4"/>
  <c r="L323" i="4"/>
  <c r="M323" i="4"/>
  <c r="N323" i="4"/>
  <c r="O323" i="4"/>
  <c r="P323" i="4"/>
  <c r="Q323" i="4"/>
  <c r="R323" i="4"/>
  <c r="B324" i="4"/>
  <c r="C324" i="4"/>
  <c r="D324" i="4"/>
  <c r="E324" i="4"/>
  <c r="F324" i="4"/>
  <c r="G324" i="4"/>
  <c r="H324" i="4"/>
  <c r="I324" i="4"/>
  <c r="J324" i="4"/>
  <c r="K324" i="4"/>
  <c r="L324" i="4"/>
  <c r="M324" i="4"/>
  <c r="N324" i="4"/>
  <c r="O324" i="4"/>
  <c r="P324" i="4"/>
  <c r="Q324" i="4"/>
  <c r="R324" i="4"/>
  <c r="B325" i="4"/>
  <c r="C325" i="4"/>
  <c r="D325" i="4"/>
  <c r="E325" i="4"/>
  <c r="F325" i="4"/>
  <c r="G325" i="4"/>
  <c r="H325" i="4"/>
  <c r="I325" i="4"/>
  <c r="J325" i="4"/>
  <c r="K325" i="4"/>
  <c r="L325" i="4"/>
  <c r="M325" i="4"/>
  <c r="N325" i="4"/>
  <c r="O325" i="4"/>
  <c r="P325" i="4"/>
  <c r="Q325" i="4"/>
  <c r="R325" i="4"/>
  <c r="B326" i="4"/>
  <c r="C326" i="4"/>
  <c r="D326" i="4"/>
  <c r="E326" i="4"/>
  <c r="F326" i="4"/>
  <c r="G326" i="4"/>
  <c r="H326" i="4"/>
  <c r="I326" i="4"/>
  <c r="J326" i="4"/>
  <c r="K326" i="4"/>
  <c r="L326" i="4"/>
  <c r="M326" i="4"/>
  <c r="N326" i="4"/>
  <c r="O326" i="4"/>
  <c r="P326" i="4"/>
  <c r="Q326" i="4"/>
  <c r="R326" i="4"/>
  <c r="B327" i="4"/>
  <c r="C327" i="4"/>
  <c r="D327" i="4"/>
  <c r="E327" i="4"/>
  <c r="F327" i="4"/>
  <c r="G327" i="4"/>
  <c r="H327" i="4"/>
  <c r="I327" i="4"/>
  <c r="J327" i="4"/>
  <c r="K327" i="4"/>
  <c r="L327" i="4"/>
  <c r="M327" i="4"/>
  <c r="N327" i="4"/>
  <c r="O327" i="4"/>
  <c r="P327" i="4"/>
  <c r="Q327" i="4"/>
  <c r="R327" i="4"/>
  <c r="B328" i="4"/>
  <c r="C328" i="4"/>
  <c r="D328" i="4"/>
  <c r="E328" i="4"/>
  <c r="F328" i="4"/>
  <c r="G328" i="4"/>
  <c r="H328" i="4"/>
  <c r="I328" i="4"/>
  <c r="J328" i="4"/>
  <c r="K328" i="4"/>
  <c r="L328" i="4"/>
  <c r="M328" i="4"/>
  <c r="N328" i="4"/>
  <c r="O328" i="4"/>
  <c r="P328" i="4"/>
  <c r="Q328" i="4"/>
  <c r="R328" i="4"/>
  <c r="B329" i="4"/>
  <c r="C329" i="4"/>
  <c r="D329" i="4"/>
  <c r="E329" i="4"/>
  <c r="F329" i="4"/>
  <c r="G329" i="4"/>
  <c r="H329" i="4"/>
  <c r="I329" i="4"/>
  <c r="J329" i="4"/>
  <c r="K329" i="4"/>
  <c r="L329" i="4"/>
  <c r="M329" i="4"/>
  <c r="N329" i="4"/>
  <c r="O329" i="4"/>
  <c r="P329" i="4"/>
  <c r="Q329" i="4"/>
  <c r="R329" i="4"/>
  <c r="B330" i="4"/>
  <c r="C330" i="4"/>
  <c r="D330" i="4"/>
  <c r="E330" i="4"/>
  <c r="F330" i="4"/>
  <c r="G330" i="4"/>
  <c r="H330" i="4"/>
  <c r="I330" i="4"/>
  <c r="J330" i="4"/>
  <c r="K330" i="4"/>
  <c r="L330" i="4"/>
  <c r="M330" i="4"/>
  <c r="N330" i="4"/>
  <c r="O330" i="4"/>
  <c r="P330" i="4"/>
  <c r="Q330" i="4"/>
  <c r="R330" i="4"/>
  <c r="B331" i="4"/>
  <c r="C331" i="4"/>
  <c r="D331" i="4"/>
  <c r="E331" i="4"/>
  <c r="F331" i="4"/>
  <c r="G331" i="4"/>
  <c r="H331" i="4"/>
  <c r="I331" i="4"/>
  <c r="J331" i="4"/>
  <c r="K331" i="4"/>
  <c r="L331" i="4"/>
  <c r="M331" i="4"/>
  <c r="N331" i="4"/>
  <c r="O331" i="4"/>
  <c r="P331" i="4"/>
  <c r="Q331" i="4"/>
  <c r="R331" i="4"/>
  <c r="B332" i="4"/>
  <c r="C332" i="4"/>
  <c r="D332" i="4"/>
  <c r="E332" i="4"/>
  <c r="F332" i="4"/>
  <c r="G332" i="4"/>
  <c r="H332" i="4"/>
  <c r="I332" i="4"/>
  <c r="J332" i="4"/>
  <c r="K332" i="4"/>
  <c r="L332" i="4"/>
  <c r="M332" i="4"/>
  <c r="N332" i="4"/>
  <c r="O332" i="4"/>
  <c r="P332" i="4"/>
  <c r="Q332" i="4"/>
  <c r="R332" i="4"/>
  <c r="B333" i="4"/>
  <c r="C333" i="4"/>
  <c r="D333" i="4"/>
  <c r="E333" i="4"/>
  <c r="F333" i="4"/>
  <c r="G333" i="4"/>
  <c r="H333" i="4"/>
  <c r="I333" i="4"/>
  <c r="J333" i="4"/>
  <c r="K333" i="4"/>
  <c r="L333" i="4"/>
  <c r="M333" i="4"/>
  <c r="N333" i="4"/>
  <c r="O333" i="4"/>
  <c r="P333" i="4"/>
  <c r="Q333" i="4"/>
  <c r="R333" i="4"/>
  <c r="B334" i="4"/>
  <c r="C334" i="4"/>
  <c r="D334" i="4"/>
  <c r="E334" i="4"/>
  <c r="F334" i="4"/>
  <c r="G334" i="4"/>
  <c r="H334" i="4"/>
  <c r="I334" i="4"/>
  <c r="J334" i="4"/>
  <c r="K334" i="4"/>
  <c r="L334" i="4"/>
  <c r="M334" i="4"/>
  <c r="N334" i="4"/>
  <c r="O334" i="4"/>
  <c r="P334" i="4"/>
  <c r="Q334" i="4"/>
  <c r="R334" i="4"/>
  <c r="B335" i="4"/>
  <c r="C335" i="4"/>
  <c r="D335" i="4"/>
  <c r="E335" i="4"/>
  <c r="F335" i="4"/>
  <c r="G335" i="4"/>
  <c r="H335" i="4"/>
  <c r="I335" i="4"/>
  <c r="J335" i="4"/>
  <c r="K335" i="4"/>
  <c r="L335" i="4"/>
  <c r="M335" i="4"/>
  <c r="N335" i="4"/>
  <c r="O335" i="4"/>
  <c r="P335" i="4"/>
  <c r="Q335" i="4"/>
  <c r="R335" i="4"/>
  <c r="B336" i="4"/>
  <c r="C336" i="4"/>
  <c r="D336" i="4"/>
  <c r="E336" i="4"/>
  <c r="F336" i="4"/>
  <c r="G336" i="4"/>
  <c r="H336" i="4"/>
  <c r="I336" i="4"/>
  <c r="J336" i="4"/>
  <c r="K336" i="4"/>
  <c r="L336" i="4"/>
  <c r="M336" i="4"/>
  <c r="N336" i="4"/>
  <c r="O336" i="4"/>
  <c r="P336" i="4"/>
  <c r="Q336" i="4"/>
  <c r="R336" i="4"/>
  <c r="B337" i="4"/>
  <c r="C337" i="4"/>
  <c r="D337" i="4"/>
  <c r="E337" i="4"/>
  <c r="F337" i="4"/>
  <c r="G337" i="4"/>
  <c r="H337" i="4"/>
  <c r="I337" i="4"/>
  <c r="J337" i="4"/>
  <c r="K337" i="4"/>
  <c r="L337" i="4"/>
  <c r="M337" i="4"/>
  <c r="N337" i="4"/>
  <c r="O337" i="4"/>
  <c r="P337" i="4"/>
  <c r="Q337" i="4"/>
  <c r="R337" i="4"/>
  <c r="B338" i="4"/>
  <c r="C338" i="4"/>
  <c r="D338" i="4"/>
  <c r="E338" i="4"/>
  <c r="F338" i="4"/>
  <c r="G338" i="4"/>
  <c r="H338" i="4"/>
  <c r="I338" i="4"/>
  <c r="J338" i="4"/>
  <c r="K338" i="4"/>
  <c r="L338" i="4"/>
  <c r="M338" i="4"/>
  <c r="N338" i="4"/>
  <c r="O338" i="4"/>
  <c r="P338" i="4"/>
  <c r="Q338" i="4"/>
  <c r="R338" i="4"/>
  <c r="B339" i="4"/>
  <c r="C339" i="4"/>
  <c r="D339" i="4"/>
  <c r="E339" i="4"/>
  <c r="F339" i="4"/>
  <c r="G339" i="4"/>
  <c r="H339" i="4"/>
  <c r="I339" i="4"/>
  <c r="J339" i="4"/>
  <c r="K339" i="4"/>
  <c r="L339" i="4"/>
  <c r="M339" i="4"/>
  <c r="N339" i="4"/>
  <c r="O339" i="4"/>
  <c r="P339" i="4"/>
  <c r="Q339" i="4"/>
  <c r="R339" i="4"/>
  <c r="B340" i="4"/>
  <c r="C340" i="4"/>
  <c r="D340" i="4"/>
  <c r="E340" i="4"/>
  <c r="F340" i="4"/>
  <c r="G340" i="4"/>
  <c r="H340" i="4"/>
  <c r="I340" i="4"/>
  <c r="J340" i="4"/>
  <c r="K340" i="4"/>
  <c r="L340" i="4"/>
  <c r="M340" i="4"/>
  <c r="N340" i="4"/>
  <c r="O340" i="4"/>
  <c r="P340" i="4"/>
  <c r="Q340" i="4"/>
  <c r="R340" i="4"/>
  <c r="B341" i="4"/>
  <c r="C341" i="4"/>
  <c r="D341" i="4"/>
  <c r="E341" i="4"/>
  <c r="F341" i="4"/>
  <c r="G341" i="4"/>
  <c r="H341" i="4"/>
  <c r="I341" i="4"/>
  <c r="J341" i="4"/>
  <c r="K341" i="4"/>
  <c r="L341" i="4"/>
  <c r="M341" i="4"/>
  <c r="N341" i="4"/>
  <c r="O341" i="4"/>
  <c r="P341" i="4"/>
  <c r="Q341" i="4"/>
  <c r="R341" i="4"/>
  <c r="B342" i="4"/>
  <c r="C342" i="4"/>
  <c r="D342" i="4"/>
  <c r="E342" i="4"/>
  <c r="F342" i="4"/>
  <c r="G342" i="4"/>
  <c r="H342" i="4"/>
  <c r="I342" i="4"/>
  <c r="J342" i="4"/>
  <c r="K342" i="4"/>
  <c r="L342" i="4"/>
  <c r="M342" i="4"/>
  <c r="N342" i="4"/>
  <c r="O342" i="4"/>
  <c r="P342" i="4"/>
  <c r="Q342" i="4"/>
  <c r="R342" i="4"/>
  <c r="B343" i="4"/>
  <c r="C343" i="4"/>
  <c r="D343" i="4"/>
  <c r="E343" i="4"/>
  <c r="F343" i="4"/>
  <c r="G343" i="4"/>
  <c r="H343" i="4"/>
  <c r="I343" i="4"/>
  <c r="J343" i="4"/>
  <c r="K343" i="4"/>
  <c r="L343" i="4"/>
  <c r="M343" i="4"/>
  <c r="N343" i="4"/>
  <c r="O343" i="4"/>
  <c r="P343" i="4"/>
  <c r="Q343" i="4"/>
  <c r="R343" i="4"/>
  <c r="B344" i="4"/>
  <c r="C344" i="4"/>
  <c r="D344" i="4"/>
  <c r="E344" i="4"/>
  <c r="F344" i="4"/>
  <c r="G344" i="4"/>
  <c r="H344" i="4"/>
  <c r="I344" i="4"/>
  <c r="J344" i="4"/>
  <c r="K344" i="4"/>
  <c r="L344" i="4"/>
  <c r="M344" i="4"/>
  <c r="O344" i="4"/>
  <c r="P344" i="4"/>
  <c r="Q344" i="4"/>
  <c r="R344" i="4"/>
  <c r="B345" i="4"/>
  <c r="C345" i="4"/>
  <c r="D345" i="4"/>
  <c r="E345" i="4"/>
  <c r="F345" i="4"/>
  <c r="G345" i="4"/>
  <c r="H345" i="4"/>
  <c r="I345" i="4"/>
  <c r="J345" i="4"/>
  <c r="K345" i="4"/>
  <c r="L345" i="4"/>
  <c r="M345" i="4"/>
  <c r="O345" i="4"/>
  <c r="P345" i="4"/>
  <c r="Q345" i="4"/>
  <c r="R345" i="4"/>
  <c r="B346" i="4"/>
  <c r="C346" i="4"/>
  <c r="D346" i="4"/>
  <c r="E346" i="4"/>
  <c r="F346" i="4"/>
  <c r="G346" i="4"/>
  <c r="H346" i="4"/>
  <c r="I346" i="4"/>
  <c r="J346" i="4"/>
  <c r="K346" i="4"/>
  <c r="L346" i="4"/>
  <c r="M346" i="4"/>
  <c r="O346" i="4"/>
  <c r="P346" i="4"/>
  <c r="Q346" i="4"/>
  <c r="R346" i="4"/>
  <c r="B347" i="4"/>
  <c r="C347" i="4"/>
  <c r="D347" i="4"/>
  <c r="E347" i="4"/>
  <c r="F347" i="4"/>
  <c r="G347" i="4"/>
  <c r="H347" i="4"/>
  <c r="I347" i="4"/>
  <c r="J347" i="4"/>
  <c r="K347" i="4"/>
  <c r="L347" i="4"/>
  <c r="M347" i="4"/>
  <c r="N347" i="4"/>
  <c r="O347" i="4"/>
  <c r="P347" i="4"/>
  <c r="Q347" i="4"/>
  <c r="R347" i="4"/>
  <c r="B348" i="4"/>
  <c r="C348" i="4"/>
  <c r="D348" i="4"/>
  <c r="E348" i="4"/>
  <c r="F348" i="4"/>
  <c r="G348" i="4"/>
  <c r="H348" i="4"/>
  <c r="I348" i="4"/>
  <c r="J348" i="4"/>
  <c r="K348" i="4"/>
  <c r="L348" i="4"/>
  <c r="M348" i="4"/>
  <c r="N348" i="4"/>
  <c r="O348" i="4"/>
  <c r="P348" i="4"/>
  <c r="Q348" i="4"/>
  <c r="R348" i="4"/>
  <c r="B349" i="4"/>
  <c r="C349" i="4"/>
  <c r="D349" i="4"/>
  <c r="E349" i="4"/>
  <c r="F349" i="4"/>
  <c r="G349" i="4"/>
  <c r="H349" i="4"/>
  <c r="I349" i="4"/>
  <c r="J349" i="4"/>
  <c r="K349" i="4"/>
  <c r="L349" i="4"/>
  <c r="M349" i="4"/>
  <c r="N349" i="4"/>
  <c r="O349" i="4"/>
  <c r="P349" i="4"/>
  <c r="Q349" i="4"/>
  <c r="R349" i="4"/>
  <c r="B350" i="4"/>
  <c r="C350" i="4"/>
  <c r="D350" i="4"/>
  <c r="E350" i="4"/>
  <c r="F350" i="4"/>
  <c r="G350" i="4"/>
  <c r="H350" i="4"/>
  <c r="I350" i="4"/>
  <c r="J350" i="4"/>
  <c r="K350" i="4"/>
  <c r="L350" i="4"/>
  <c r="M350" i="4"/>
  <c r="N350" i="4"/>
  <c r="O350" i="4"/>
  <c r="P350" i="4"/>
  <c r="Q350" i="4"/>
  <c r="R350" i="4"/>
  <c r="B351" i="4"/>
  <c r="C351" i="4"/>
  <c r="D351" i="4"/>
  <c r="E351" i="4"/>
  <c r="F351" i="4"/>
  <c r="G351" i="4"/>
  <c r="H351" i="4"/>
  <c r="I351" i="4"/>
  <c r="J351" i="4"/>
  <c r="K351" i="4"/>
  <c r="L351" i="4"/>
  <c r="M351" i="4"/>
  <c r="N351" i="4"/>
  <c r="O351" i="4"/>
  <c r="P351" i="4"/>
  <c r="Q351" i="4"/>
  <c r="R351" i="4"/>
  <c r="B352" i="4"/>
  <c r="C352" i="4"/>
  <c r="D352" i="4"/>
  <c r="E352" i="4"/>
  <c r="F352" i="4"/>
  <c r="G352" i="4"/>
  <c r="H352" i="4"/>
  <c r="I352" i="4"/>
  <c r="J352" i="4"/>
  <c r="K352" i="4"/>
  <c r="L352" i="4"/>
  <c r="M352" i="4"/>
  <c r="N352" i="4"/>
  <c r="O352" i="4"/>
  <c r="P352" i="4"/>
  <c r="Q352" i="4"/>
  <c r="R352" i="4"/>
  <c r="B353" i="4"/>
  <c r="C353" i="4"/>
  <c r="D353" i="4"/>
  <c r="E353" i="4"/>
  <c r="F353" i="4"/>
  <c r="G353" i="4"/>
  <c r="H353" i="4"/>
  <c r="I353" i="4"/>
  <c r="J353" i="4"/>
  <c r="K353" i="4"/>
  <c r="L353" i="4"/>
  <c r="M353" i="4"/>
  <c r="N353" i="4"/>
  <c r="O353" i="4"/>
  <c r="P353" i="4"/>
  <c r="Q353" i="4"/>
  <c r="R353" i="4"/>
  <c r="B354" i="4"/>
  <c r="C354" i="4"/>
  <c r="D354" i="4"/>
  <c r="E354" i="4"/>
  <c r="F354" i="4"/>
  <c r="G354" i="4"/>
  <c r="H354" i="4"/>
  <c r="I354" i="4"/>
  <c r="J354" i="4"/>
  <c r="K354" i="4"/>
  <c r="L354" i="4"/>
  <c r="M354" i="4"/>
  <c r="N354" i="4"/>
  <c r="O354" i="4"/>
  <c r="P354" i="4"/>
  <c r="Q354" i="4"/>
  <c r="R354" i="4"/>
  <c r="B355" i="4"/>
  <c r="C355" i="4"/>
  <c r="D355" i="4"/>
  <c r="E355" i="4"/>
  <c r="F355" i="4"/>
  <c r="G355" i="4"/>
  <c r="H355" i="4"/>
  <c r="I355" i="4"/>
  <c r="J355" i="4"/>
  <c r="K355" i="4"/>
  <c r="L355" i="4"/>
  <c r="M355" i="4"/>
  <c r="N355" i="4"/>
  <c r="O355" i="4"/>
  <c r="P355" i="4"/>
  <c r="Q355" i="4"/>
  <c r="R355" i="4"/>
  <c r="B356" i="4"/>
  <c r="C356" i="4"/>
  <c r="D356" i="4"/>
  <c r="E356" i="4"/>
  <c r="F356" i="4"/>
  <c r="G356" i="4"/>
  <c r="H356" i="4"/>
  <c r="I356" i="4"/>
  <c r="J356" i="4"/>
  <c r="K356" i="4"/>
  <c r="L356" i="4"/>
  <c r="M356" i="4"/>
  <c r="N356" i="4"/>
  <c r="O356" i="4"/>
  <c r="P356" i="4"/>
  <c r="Q356" i="4"/>
  <c r="R356" i="4"/>
  <c r="B357" i="4"/>
  <c r="C357" i="4"/>
  <c r="D357" i="4"/>
  <c r="E357" i="4"/>
  <c r="F357" i="4"/>
  <c r="G357" i="4"/>
  <c r="H357" i="4"/>
  <c r="I357" i="4"/>
  <c r="J357" i="4"/>
  <c r="K357" i="4"/>
  <c r="L357" i="4"/>
  <c r="M357" i="4"/>
  <c r="N357" i="4"/>
  <c r="O357" i="4"/>
  <c r="P357" i="4"/>
  <c r="Q357" i="4"/>
  <c r="R357" i="4"/>
  <c r="B358" i="4"/>
  <c r="C358" i="4"/>
  <c r="D358" i="4"/>
  <c r="E358" i="4"/>
  <c r="F358" i="4"/>
  <c r="G358" i="4"/>
  <c r="H358" i="4"/>
  <c r="I358" i="4"/>
  <c r="J358" i="4"/>
  <c r="K358" i="4"/>
  <c r="L358" i="4"/>
  <c r="M358" i="4"/>
  <c r="N358" i="4"/>
  <c r="O358" i="4"/>
  <c r="P358" i="4"/>
  <c r="Q358" i="4"/>
  <c r="R358" i="4"/>
  <c r="B359" i="4"/>
  <c r="C359" i="4"/>
  <c r="D359" i="4"/>
  <c r="E359" i="4"/>
  <c r="F359" i="4"/>
  <c r="G359" i="4"/>
  <c r="H359" i="4"/>
  <c r="I359" i="4"/>
  <c r="J359" i="4"/>
  <c r="K359" i="4"/>
  <c r="L359" i="4"/>
  <c r="M359" i="4"/>
  <c r="N359" i="4"/>
  <c r="O359" i="4"/>
  <c r="P359" i="4"/>
  <c r="Q359" i="4"/>
  <c r="R359" i="4"/>
  <c r="B360" i="4"/>
  <c r="C360" i="4"/>
  <c r="D360" i="4"/>
  <c r="E360" i="4"/>
  <c r="F360" i="4"/>
  <c r="G360" i="4"/>
  <c r="H360" i="4"/>
  <c r="I360" i="4"/>
  <c r="J360" i="4"/>
  <c r="K360" i="4"/>
  <c r="L360" i="4"/>
  <c r="M360" i="4"/>
  <c r="N360" i="4"/>
  <c r="O360" i="4"/>
  <c r="P360" i="4"/>
  <c r="Q360" i="4"/>
  <c r="R360" i="4"/>
  <c r="B361" i="4"/>
  <c r="C361" i="4"/>
  <c r="D361" i="4"/>
  <c r="E361" i="4"/>
  <c r="F361" i="4"/>
  <c r="G361" i="4"/>
  <c r="H361" i="4"/>
  <c r="I361" i="4"/>
  <c r="J361" i="4"/>
  <c r="K361" i="4"/>
  <c r="L361" i="4"/>
  <c r="M361" i="4"/>
  <c r="N361" i="4"/>
  <c r="O361" i="4"/>
  <c r="P361" i="4"/>
  <c r="Q361" i="4"/>
  <c r="R361" i="4"/>
  <c r="B362" i="4"/>
  <c r="C362" i="4"/>
  <c r="D362" i="4"/>
  <c r="E362" i="4"/>
  <c r="F362" i="4"/>
  <c r="G362" i="4"/>
  <c r="H362" i="4"/>
  <c r="I362" i="4"/>
  <c r="J362" i="4"/>
  <c r="K362" i="4"/>
  <c r="L362" i="4"/>
  <c r="M362" i="4"/>
  <c r="N362" i="4"/>
  <c r="O362" i="4"/>
  <c r="P362" i="4"/>
  <c r="Q362" i="4"/>
  <c r="R362" i="4"/>
  <c r="B363" i="4"/>
  <c r="C363" i="4"/>
  <c r="D363" i="4"/>
  <c r="E363" i="4"/>
  <c r="F363" i="4"/>
  <c r="G363" i="4"/>
  <c r="H363" i="4"/>
  <c r="I363" i="4"/>
  <c r="J363" i="4"/>
  <c r="K363" i="4"/>
  <c r="L363" i="4"/>
  <c r="M363" i="4"/>
  <c r="N363" i="4"/>
  <c r="O363" i="4"/>
  <c r="P363" i="4"/>
  <c r="Q363" i="4"/>
  <c r="R363" i="4"/>
  <c r="B364" i="4"/>
  <c r="C364" i="4"/>
  <c r="D364" i="4"/>
  <c r="E364" i="4"/>
  <c r="F364" i="4"/>
  <c r="G364" i="4"/>
  <c r="H364" i="4"/>
  <c r="I364" i="4"/>
  <c r="J364" i="4"/>
  <c r="K364" i="4"/>
  <c r="L364" i="4"/>
  <c r="M364" i="4"/>
  <c r="N364" i="4"/>
  <c r="O364" i="4"/>
  <c r="P364" i="4"/>
  <c r="Q364" i="4"/>
  <c r="R364" i="4"/>
  <c r="B365" i="4"/>
  <c r="C365" i="4"/>
  <c r="D365" i="4"/>
  <c r="E365" i="4"/>
  <c r="F365" i="4"/>
  <c r="G365" i="4"/>
  <c r="H365" i="4"/>
  <c r="I365" i="4"/>
  <c r="J365" i="4"/>
  <c r="K365" i="4"/>
  <c r="L365" i="4"/>
  <c r="M365" i="4"/>
  <c r="N365" i="4"/>
  <c r="O365" i="4"/>
  <c r="P365" i="4"/>
  <c r="Q365" i="4"/>
  <c r="R365" i="4"/>
  <c r="B366" i="4"/>
  <c r="C366" i="4"/>
  <c r="D366" i="4"/>
  <c r="E366" i="4"/>
  <c r="F366" i="4"/>
  <c r="G366" i="4"/>
  <c r="H366" i="4"/>
  <c r="I366" i="4"/>
  <c r="J366" i="4"/>
  <c r="K366" i="4"/>
  <c r="L366" i="4"/>
  <c r="M366" i="4"/>
  <c r="N366" i="4"/>
  <c r="O366" i="4"/>
  <c r="P366" i="4"/>
  <c r="Q366" i="4"/>
  <c r="R366" i="4"/>
  <c r="B367" i="4"/>
  <c r="C367" i="4"/>
  <c r="D367" i="4"/>
  <c r="E367" i="4"/>
  <c r="F367" i="4"/>
  <c r="G367" i="4"/>
  <c r="H367" i="4"/>
  <c r="I367" i="4"/>
  <c r="J367" i="4"/>
  <c r="K367" i="4"/>
  <c r="L367" i="4"/>
  <c r="M367" i="4"/>
  <c r="N367" i="4"/>
  <c r="O367" i="4"/>
  <c r="P367" i="4"/>
  <c r="Q367" i="4"/>
  <c r="R367" i="4"/>
  <c r="B368" i="4"/>
  <c r="C368" i="4"/>
  <c r="D368" i="4"/>
  <c r="E368" i="4"/>
  <c r="F368" i="4"/>
  <c r="G368" i="4"/>
  <c r="H368" i="4"/>
  <c r="I368" i="4"/>
  <c r="J368" i="4"/>
  <c r="K368" i="4"/>
  <c r="L368" i="4"/>
  <c r="M368" i="4"/>
  <c r="N368" i="4"/>
  <c r="O368" i="4"/>
  <c r="P368" i="4"/>
  <c r="Q368" i="4"/>
  <c r="R368" i="4"/>
  <c r="B369" i="4"/>
  <c r="C369" i="4"/>
  <c r="D369" i="4"/>
  <c r="E369" i="4"/>
  <c r="F369" i="4"/>
  <c r="G369" i="4"/>
  <c r="H369" i="4"/>
  <c r="I369" i="4"/>
  <c r="J369" i="4"/>
  <c r="K369" i="4"/>
  <c r="L369" i="4"/>
  <c r="M369" i="4"/>
  <c r="N369" i="4"/>
  <c r="O369" i="4"/>
  <c r="P369" i="4"/>
  <c r="Q369" i="4"/>
  <c r="R369" i="4"/>
  <c r="C370" i="4"/>
  <c r="D370" i="4"/>
  <c r="E370" i="4"/>
  <c r="F370" i="4"/>
  <c r="G370" i="4"/>
  <c r="H370" i="4"/>
  <c r="I370" i="4"/>
  <c r="J370" i="4"/>
  <c r="K370" i="4"/>
  <c r="L370" i="4"/>
  <c r="M370" i="4"/>
  <c r="N370" i="4"/>
  <c r="O370" i="4"/>
  <c r="P370" i="4"/>
  <c r="Q370" i="4"/>
  <c r="R370" i="4"/>
  <c r="C371" i="4"/>
  <c r="D371" i="4"/>
  <c r="E371" i="4"/>
  <c r="F371" i="4"/>
  <c r="G371" i="4"/>
  <c r="H371" i="4"/>
  <c r="I371" i="4"/>
  <c r="J371" i="4"/>
  <c r="K371" i="4"/>
  <c r="L371" i="4"/>
  <c r="M371" i="4"/>
  <c r="N371" i="4"/>
  <c r="O371" i="4"/>
  <c r="P371" i="4"/>
  <c r="Q371" i="4"/>
  <c r="R371" i="4"/>
  <c r="C372" i="4"/>
  <c r="D372" i="4"/>
  <c r="E372" i="4"/>
  <c r="F372" i="4"/>
  <c r="G372" i="4"/>
  <c r="H372" i="4"/>
  <c r="I372" i="4"/>
  <c r="J372" i="4"/>
  <c r="K372" i="4"/>
  <c r="L372" i="4"/>
  <c r="M372" i="4"/>
  <c r="N372" i="4"/>
  <c r="O372" i="4"/>
  <c r="P372" i="4"/>
  <c r="Q372" i="4"/>
  <c r="R372" i="4"/>
  <c r="C373" i="4"/>
  <c r="D373" i="4"/>
  <c r="E373" i="4"/>
  <c r="F373" i="4"/>
  <c r="G373" i="4"/>
  <c r="H373" i="4"/>
  <c r="I373" i="4"/>
  <c r="J373" i="4"/>
  <c r="K373" i="4"/>
  <c r="L373" i="4"/>
  <c r="M373" i="4"/>
  <c r="N373" i="4"/>
  <c r="O373" i="4"/>
  <c r="P373" i="4"/>
  <c r="Q373" i="4"/>
  <c r="R373" i="4"/>
  <c r="B374" i="4"/>
  <c r="C374" i="4"/>
  <c r="D374" i="4"/>
  <c r="E374" i="4"/>
  <c r="F374" i="4"/>
  <c r="G374" i="4"/>
  <c r="H374" i="4"/>
  <c r="I374" i="4"/>
  <c r="J374" i="4"/>
  <c r="K374" i="4"/>
  <c r="L374" i="4"/>
  <c r="M374" i="4"/>
  <c r="N374" i="4"/>
  <c r="O374" i="4"/>
  <c r="P374" i="4"/>
  <c r="Q374" i="4"/>
  <c r="R374" i="4"/>
  <c r="B375" i="4"/>
  <c r="C375" i="4"/>
  <c r="D375" i="4"/>
  <c r="E375" i="4"/>
  <c r="F375" i="4"/>
  <c r="G375" i="4"/>
  <c r="H375" i="4"/>
  <c r="I375" i="4"/>
  <c r="J375" i="4"/>
  <c r="K375" i="4"/>
  <c r="L375" i="4"/>
  <c r="M375" i="4"/>
  <c r="N375" i="4"/>
  <c r="O375" i="4"/>
  <c r="P375" i="4"/>
  <c r="Q375" i="4"/>
  <c r="R375" i="4"/>
  <c r="B376" i="4"/>
  <c r="C376" i="4"/>
  <c r="D376" i="4"/>
  <c r="E376" i="4"/>
  <c r="F376" i="4"/>
  <c r="G376" i="4"/>
  <c r="H376" i="4"/>
  <c r="I376" i="4"/>
  <c r="J376" i="4"/>
  <c r="K376" i="4"/>
  <c r="L376" i="4"/>
  <c r="M376" i="4"/>
  <c r="N376" i="4"/>
  <c r="P376" i="4"/>
  <c r="Q376" i="4"/>
  <c r="R376" i="4"/>
  <c r="B377" i="4"/>
  <c r="C377" i="4"/>
  <c r="D377" i="4"/>
  <c r="E377" i="4"/>
  <c r="F377" i="4"/>
  <c r="G377" i="4"/>
  <c r="H377" i="4"/>
  <c r="I377" i="4"/>
  <c r="J377" i="4"/>
  <c r="K377" i="4"/>
  <c r="L377" i="4"/>
  <c r="M377" i="4"/>
  <c r="N377" i="4"/>
  <c r="O377" i="4"/>
  <c r="P377" i="4"/>
  <c r="Q377" i="4"/>
  <c r="R377" i="4"/>
  <c r="B378" i="4"/>
  <c r="C378" i="4"/>
  <c r="D378" i="4"/>
  <c r="E378" i="4"/>
  <c r="F378" i="4"/>
  <c r="G378" i="4"/>
  <c r="H378" i="4"/>
  <c r="I378" i="4"/>
  <c r="J378" i="4"/>
  <c r="K378" i="4"/>
  <c r="L378" i="4"/>
  <c r="M378" i="4"/>
  <c r="N378" i="4"/>
  <c r="O378" i="4"/>
  <c r="P378" i="4"/>
  <c r="Q378" i="4"/>
  <c r="R378" i="4"/>
  <c r="B379" i="4"/>
  <c r="C379" i="4"/>
  <c r="D379" i="4"/>
  <c r="E379" i="4"/>
  <c r="F379" i="4"/>
  <c r="G379" i="4"/>
  <c r="H379" i="4"/>
  <c r="I379" i="4"/>
  <c r="J379" i="4"/>
  <c r="K379" i="4"/>
  <c r="L379" i="4"/>
  <c r="M379" i="4"/>
  <c r="N379" i="4"/>
  <c r="O379" i="4"/>
  <c r="P379" i="4"/>
  <c r="Q379" i="4"/>
  <c r="R379" i="4"/>
  <c r="B380" i="4"/>
  <c r="C380" i="4"/>
  <c r="D380" i="4"/>
  <c r="E380" i="4"/>
  <c r="F380" i="4"/>
  <c r="G380" i="4"/>
  <c r="H380" i="4"/>
  <c r="I380" i="4"/>
  <c r="J380" i="4"/>
  <c r="K380" i="4"/>
  <c r="L380" i="4"/>
  <c r="M380" i="4"/>
  <c r="N380" i="4"/>
  <c r="O380" i="4"/>
  <c r="P380" i="4"/>
  <c r="Q380" i="4"/>
  <c r="R380" i="4"/>
  <c r="B381" i="4"/>
  <c r="C381" i="4"/>
  <c r="D381" i="4"/>
  <c r="E381" i="4"/>
  <c r="F381" i="4"/>
  <c r="G381" i="4"/>
  <c r="H381" i="4"/>
  <c r="I381" i="4"/>
  <c r="J381" i="4"/>
  <c r="K381" i="4"/>
  <c r="L381" i="4"/>
  <c r="M381" i="4"/>
  <c r="N381" i="4"/>
  <c r="O381" i="4"/>
  <c r="P381" i="4"/>
  <c r="Q381" i="4"/>
  <c r="R381" i="4"/>
  <c r="B382" i="4"/>
  <c r="C382" i="4"/>
  <c r="D382" i="4"/>
  <c r="E382" i="4"/>
  <c r="F382" i="4"/>
  <c r="G382" i="4"/>
  <c r="H382" i="4"/>
  <c r="I382" i="4"/>
  <c r="J382" i="4"/>
  <c r="K382" i="4"/>
  <c r="L382" i="4"/>
  <c r="M382" i="4"/>
  <c r="N382" i="4"/>
  <c r="O382" i="4"/>
  <c r="P382" i="4"/>
  <c r="Q382" i="4"/>
  <c r="R382" i="4"/>
  <c r="B383" i="4"/>
  <c r="C383" i="4"/>
  <c r="D383" i="4"/>
  <c r="E383" i="4"/>
  <c r="F383" i="4"/>
  <c r="H383" i="4"/>
  <c r="I383" i="4"/>
  <c r="J383" i="4"/>
  <c r="K383" i="4"/>
  <c r="L383" i="4"/>
  <c r="M383" i="4"/>
  <c r="N383" i="4"/>
  <c r="O383" i="4"/>
  <c r="P383" i="4"/>
  <c r="Q383" i="4"/>
  <c r="R383" i="4"/>
  <c r="B384" i="4"/>
  <c r="C384" i="4"/>
  <c r="D384" i="4"/>
  <c r="E384" i="4"/>
  <c r="F384" i="4"/>
  <c r="H384" i="4"/>
  <c r="I384" i="4"/>
  <c r="J384" i="4"/>
  <c r="K384" i="4"/>
  <c r="L384" i="4"/>
  <c r="M384" i="4"/>
  <c r="N384" i="4"/>
  <c r="O384" i="4"/>
  <c r="P384" i="4"/>
  <c r="Q384" i="4"/>
  <c r="R384" i="4"/>
  <c r="B385" i="4"/>
  <c r="C385" i="4"/>
  <c r="D385" i="4"/>
  <c r="E385" i="4"/>
  <c r="F385" i="4"/>
  <c r="H385" i="4"/>
  <c r="I385" i="4"/>
  <c r="J385" i="4"/>
  <c r="K385" i="4"/>
  <c r="L385" i="4"/>
  <c r="M385" i="4"/>
  <c r="N385" i="4"/>
  <c r="O385" i="4"/>
  <c r="P385" i="4"/>
  <c r="Q385" i="4"/>
  <c r="R385" i="4"/>
  <c r="B386" i="4"/>
  <c r="C386" i="4"/>
  <c r="D386" i="4"/>
  <c r="E386" i="4"/>
  <c r="F386" i="4"/>
  <c r="H386" i="4"/>
  <c r="I386" i="4"/>
  <c r="J386" i="4"/>
  <c r="K386" i="4"/>
  <c r="L386" i="4"/>
  <c r="M386" i="4"/>
  <c r="N386" i="4"/>
  <c r="O386" i="4"/>
  <c r="P386" i="4"/>
  <c r="Q386" i="4"/>
  <c r="R386" i="4"/>
  <c r="B387" i="4"/>
  <c r="C387" i="4"/>
  <c r="D387" i="4"/>
  <c r="E387" i="4"/>
  <c r="F387" i="4"/>
  <c r="G387" i="4"/>
  <c r="H387" i="4"/>
  <c r="I387" i="4"/>
  <c r="J387" i="4"/>
  <c r="K387" i="4"/>
  <c r="L387" i="4"/>
  <c r="M387" i="4"/>
  <c r="N387" i="4"/>
  <c r="O387" i="4"/>
  <c r="P387" i="4"/>
  <c r="Q387" i="4"/>
  <c r="R387" i="4"/>
  <c r="B388" i="4"/>
  <c r="C388" i="4"/>
  <c r="D388" i="4"/>
  <c r="E388" i="4"/>
  <c r="F388" i="4"/>
  <c r="G388" i="4"/>
  <c r="H388" i="4"/>
  <c r="I388" i="4"/>
  <c r="J388" i="4"/>
  <c r="K388" i="4"/>
  <c r="L388" i="4"/>
  <c r="M388" i="4"/>
  <c r="N388" i="4"/>
  <c r="O388" i="4"/>
  <c r="P388" i="4"/>
  <c r="Q388" i="4"/>
  <c r="R388" i="4"/>
  <c r="B389" i="4"/>
  <c r="C389" i="4"/>
  <c r="D389" i="4"/>
  <c r="E389" i="4"/>
  <c r="F389" i="4"/>
  <c r="G389" i="4"/>
  <c r="H389" i="4"/>
  <c r="I389" i="4"/>
  <c r="J389" i="4"/>
  <c r="K389" i="4"/>
  <c r="L389" i="4"/>
  <c r="M389" i="4"/>
  <c r="N389" i="4"/>
  <c r="O389" i="4"/>
  <c r="P389" i="4"/>
  <c r="Q389" i="4"/>
  <c r="R389" i="4"/>
  <c r="B390" i="4"/>
  <c r="C390" i="4"/>
  <c r="D390" i="4"/>
  <c r="E390" i="4"/>
  <c r="F390" i="4"/>
  <c r="G390" i="4"/>
  <c r="H390" i="4"/>
  <c r="I390" i="4"/>
  <c r="J390" i="4"/>
  <c r="K390" i="4"/>
  <c r="L390" i="4"/>
  <c r="M390" i="4"/>
  <c r="N390" i="4"/>
  <c r="O390" i="4"/>
  <c r="P390" i="4"/>
  <c r="Q390" i="4"/>
  <c r="R390" i="4"/>
  <c r="B391" i="4"/>
  <c r="C391" i="4"/>
  <c r="D391" i="4"/>
  <c r="E391" i="4"/>
  <c r="F391" i="4"/>
  <c r="G391" i="4"/>
  <c r="H391" i="4"/>
  <c r="I391" i="4"/>
  <c r="J391" i="4"/>
  <c r="K391" i="4"/>
  <c r="L391" i="4"/>
  <c r="M391" i="4"/>
  <c r="N391" i="4"/>
  <c r="O391" i="4"/>
  <c r="P391" i="4"/>
  <c r="Q391" i="4"/>
  <c r="R391" i="4"/>
  <c r="B392" i="4"/>
  <c r="C392" i="4"/>
  <c r="D392" i="4"/>
  <c r="E392" i="4"/>
  <c r="F392" i="4"/>
  <c r="G392" i="4"/>
  <c r="H392" i="4"/>
  <c r="I392" i="4"/>
  <c r="J392" i="4"/>
  <c r="K392" i="4"/>
  <c r="L392" i="4"/>
  <c r="M392" i="4"/>
  <c r="N392" i="4"/>
  <c r="O392" i="4"/>
  <c r="P392" i="4"/>
  <c r="Q392" i="4"/>
  <c r="R392" i="4"/>
  <c r="B393" i="4"/>
  <c r="C393" i="4"/>
  <c r="D393" i="4"/>
  <c r="E393" i="4"/>
  <c r="F393" i="4"/>
  <c r="G393" i="4"/>
  <c r="H393" i="4"/>
  <c r="I393" i="4"/>
  <c r="J393" i="4"/>
  <c r="K393" i="4"/>
  <c r="L393" i="4"/>
  <c r="M393" i="4"/>
  <c r="N393" i="4"/>
  <c r="O393" i="4"/>
  <c r="P393" i="4"/>
  <c r="Q393" i="4"/>
  <c r="R393" i="4"/>
  <c r="B394" i="4"/>
  <c r="C394" i="4"/>
  <c r="D394" i="4"/>
  <c r="E394" i="4"/>
  <c r="F394" i="4"/>
  <c r="G394" i="4"/>
  <c r="H394" i="4"/>
  <c r="I394" i="4"/>
  <c r="J394" i="4"/>
  <c r="K394" i="4"/>
  <c r="L394" i="4"/>
  <c r="M394" i="4"/>
  <c r="N394" i="4"/>
  <c r="O394" i="4"/>
  <c r="P394" i="4"/>
  <c r="Q394" i="4"/>
  <c r="R394" i="4"/>
  <c r="B395" i="4"/>
  <c r="C395" i="4"/>
  <c r="D395" i="4"/>
  <c r="E395" i="4"/>
  <c r="F395" i="4"/>
  <c r="G395" i="4"/>
  <c r="H395" i="4"/>
  <c r="I395" i="4"/>
  <c r="J395" i="4"/>
  <c r="K395" i="4"/>
  <c r="L395" i="4"/>
  <c r="M395" i="4"/>
  <c r="N395" i="4"/>
  <c r="O395" i="4"/>
  <c r="P395" i="4"/>
  <c r="Q395" i="4"/>
  <c r="R395" i="4"/>
  <c r="B396" i="4"/>
  <c r="C396" i="4"/>
  <c r="D396" i="4"/>
  <c r="E396" i="4"/>
  <c r="F396" i="4"/>
  <c r="G396" i="4"/>
  <c r="H396" i="4"/>
  <c r="I396" i="4"/>
  <c r="J396" i="4"/>
  <c r="K396" i="4"/>
  <c r="L396" i="4"/>
  <c r="M396" i="4"/>
  <c r="N396" i="4"/>
  <c r="O396" i="4"/>
  <c r="P396" i="4"/>
  <c r="Q396" i="4"/>
  <c r="R396" i="4"/>
  <c r="B397" i="4"/>
  <c r="C397" i="4"/>
  <c r="D397" i="4"/>
  <c r="E397" i="4"/>
  <c r="F397" i="4"/>
  <c r="G397" i="4"/>
  <c r="H397" i="4"/>
  <c r="I397" i="4"/>
  <c r="J397" i="4"/>
  <c r="K397" i="4"/>
  <c r="L397" i="4"/>
  <c r="M397" i="4"/>
  <c r="N397" i="4"/>
  <c r="O397" i="4"/>
  <c r="P397" i="4"/>
  <c r="Q397" i="4"/>
  <c r="R397" i="4"/>
  <c r="B398" i="4"/>
  <c r="C398" i="4"/>
  <c r="D398" i="4"/>
  <c r="E398" i="4"/>
  <c r="F398" i="4"/>
  <c r="G398" i="4"/>
  <c r="H398" i="4"/>
  <c r="I398" i="4"/>
  <c r="J398" i="4"/>
  <c r="K398" i="4"/>
  <c r="L398" i="4"/>
  <c r="M398" i="4"/>
  <c r="N398" i="4"/>
  <c r="O398" i="4"/>
  <c r="P398" i="4"/>
  <c r="Q398" i="4"/>
  <c r="R398" i="4"/>
  <c r="B399" i="4"/>
  <c r="C399" i="4"/>
  <c r="D399" i="4"/>
  <c r="E399" i="4"/>
  <c r="F399" i="4"/>
  <c r="G399" i="4"/>
  <c r="H399" i="4"/>
  <c r="I399" i="4"/>
  <c r="J399" i="4"/>
  <c r="K399" i="4"/>
  <c r="L399" i="4"/>
  <c r="M399" i="4"/>
  <c r="N399" i="4"/>
  <c r="O399" i="4"/>
  <c r="P399" i="4"/>
  <c r="Q399" i="4"/>
  <c r="R399" i="4"/>
  <c r="B400" i="4"/>
  <c r="C400" i="4"/>
  <c r="D400" i="4"/>
  <c r="E400" i="4"/>
  <c r="F400" i="4"/>
  <c r="G400" i="4"/>
  <c r="H400" i="4"/>
  <c r="I400" i="4"/>
  <c r="J400" i="4"/>
  <c r="K400" i="4"/>
  <c r="L400" i="4"/>
  <c r="M400" i="4"/>
  <c r="N400" i="4"/>
  <c r="O400" i="4"/>
  <c r="P400" i="4"/>
  <c r="Q400" i="4"/>
  <c r="R400" i="4"/>
  <c r="B401" i="4"/>
  <c r="C401" i="4"/>
  <c r="D401" i="4"/>
  <c r="E401" i="4"/>
  <c r="F401" i="4"/>
  <c r="G401" i="4"/>
  <c r="H401" i="4"/>
  <c r="I401" i="4"/>
  <c r="J401" i="4"/>
  <c r="K401" i="4"/>
  <c r="L401" i="4"/>
  <c r="M401" i="4"/>
  <c r="N401" i="4"/>
  <c r="O401" i="4"/>
  <c r="P401" i="4"/>
  <c r="Q401" i="4"/>
  <c r="R401" i="4"/>
  <c r="B402" i="4"/>
  <c r="C402" i="4"/>
  <c r="D402" i="4"/>
  <c r="E402" i="4"/>
  <c r="F402" i="4"/>
  <c r="G402" i="4"/>
  <c r="H402" i="4"/>
  <c r="I402" i="4"/>
  <c r="J402" i="4"/>
  <c r="K402" i="4"/>
  <c r="L402" i="4"/>
  <c r="M402" i="4"/>
  <c r="N402" i="4"/>
  <c r="O402" i="4"/>
  <c r="P402" i="4"/>
  <c r="Q402" i="4"/>
  <c r="R402" i="4"/>
  <c r="B403" i="4"/>
  <c r="C403" i="4"/>
  <c r="D403" i="4"/>
  <c r="E403" i="4"/>
  <c r="F403" i="4"/>
  <c r="G403" i="4"/>
  <c r="H403" i="4"/>
  <c r="I403" i="4"/>
  <c r="J403" i="4"/>
  <c r="K403" i="4"/>
  <c r="L403" i="4"/>
  <c r="M403" i="4"/>
  <c r="N403" i="4"/>
  <c r="O403" i="4"/>
  <c r="P403" i="4"/>
  <c r="Q403" i="4"/>
  <c r="R403" i="4"/>
  <c r="B404" i="4"/>
  <c r="C404" i="4"/>
  <c r="D404" i="4"/>
  <c r="E404" i="4"/>
  <c r="F404" i="4"/>
  <c r="G404" i="4"/>
  <c r="H404" i="4"/>
  <c r="I404" i="4"/>
  <c r="J404" i="4"/>
  <c r="K404" i="4"/>
  <c r="L404" i="4"/>
  <c r="M404" i="4"/>
  <c r="N404" i="4"/>
  <c r="O404" i="4"/>
  <c r="P404" i="4"/>
  <c r="Q404" i="4"/>
  <c r="R404" i="4"/>
  <c r="B405" i="4"/>
  <c r="C405" i="4"/>
  <c r="D405" i="4"/>
  <c r="E405" i="4"/>
  <c r="F405" i="4"/>
  <c r="G405" i="4"/>
  <c r="H405" i="4"/>
  <c r="I405" i="4"/>
  <c r="J405" i="4"/>
  <c r="K405" i="4"/>
  <c r="L405" i="4"/>
  <c r="M405" i="4"/>
  <c r="N405" i="4"/>
  <c r="O405" i="4"/>
  <c r="P405" i="4"/>
  <c r="Q405" i="4"/>
  <c r="R405" i="4"/>
  <c r="B406" i="4"/>
  <c r="C406" i="4"/>
  <c r="D406" i="4"/>
  <c r="E406" i="4"/>
  <c r="F406" i="4"/>
  <c r="G406" i="4"/>
  <c r="H406" i="4"/>
  <c r="I406" i="4"/>
  <c r="J406" i="4"/>
  <c r="K406" i="4"/>
  <c r="L406" i="4"/>
  <c r="M406" i="4"/>
  <c r="N406" i="4"/>
  <c r="O406" i="4"/>
  <c r="P406" i="4"/>
  <c r="Q406" i="4"/>
  <c r="R406" i="4"/>
  <c r="B407" i="4"/>
  <c r="C407" i="4"/>
  <c r="D407" i="4"/>
  <c r="E407" i="4"/>
  <c r="F407" i="4"/>
  <c r="G407" i="4"/>
  <c r="H407" i="4"/>
  <c r="I407" i="4"/>
  <c r="J407" i="4"/>
  <c r="K407" i="4"/>
  <c r="L407" i="4"/>
  <c r="M407" i="4"/>
  <c r="N407" i="4"/>
  <c r="O407" i="4"/>
  <c r="P407" i="4"/>
  <c r="Q407" i="4"/>
  <c r="R407" i="4"/>
  <c r="B408" i="4"/>
  <c r="C408" i="4"/>
  <c r="D408" i="4"/>
  <c r="E408" i="4"/>
  <c r="F408" i="4"/>
  <c r="G408" i="4"/>
  <c r="H408" i="4"/>
  <c r="I408" i="4"/>
  <c r="J408" i="4"/>
  <c r="K408" i="4"/>
  <c r="L408" i="4"/>
  <c r="M408" i="4"/>
  <c r="N408" i="4"/>
  <c r="O408" i="4"/>
  <c r="P408" i="4"/>
  <c r="Q408" i="4"/>
  <c r="R408" i="4"/>
  <c r="B409" i="4"/>
  <c r="C409" i="4"/>
  <c r="D409" i="4"/>
  <c r="E409" i="4"/>
  <c r="F409" i="4"/>
  <c r="G409" i="4"/>
  <c r="H409" i="4"/>
  <c r="I409" i="4"/>
  <c r="J409" i="4"/>
  <c r="K409" i="4"/>
  <c r="L409" i="4"/>
  <c r="M409" i="4"/>
  <c r="N409" i="4"/>
  <c r="O409" i="4"/>
  <c r="P409" i="4"/>
  <c r="Q409" i="4"/>
  <c r="R409" i="4"/>
  <c r="B410" i="4"/>
  <c r="C410" i="4"/>
  <c r="D410" i="4"/>
  <c r="E410" i="4"/>
  <c r="F410" i="4"/>
  <c r="G410" i="4"/>
  <c r="H410" i="4"/>
  <c r="I410" i="4"/>
  <c r="J410" i="4"/>
  <c r="K410" i="4"/>
  <c r="L410" i="4"/>
  <c r="M410" i="4"/>
  <c r="N410" i="4"/>
  <c r="O410" i="4"/>
  <c r="P410" i="4"/>
  <c r="Q410" i="4"/>
  <c r="R410" i="4"/>
  <c r="B411" i="4"/>
  <c r="C411" i="4"/>
  <c r="D411" i="4"/>
  <c r="E411" i="4"/>
  <c r="F411" i="4"/>
  <c r="G411" i="4"/>
  <c r="H411" i="4"/>
  <c r="I411" i="4"/>
  <c r="J411" i="4"/>
  <c r="K411" i="4"/>
  <c r="L411" i="4"/>
  <c r="M411" i="4"/>
  <c r="N411" i="4"/>
  <c r="O411" i="4"/>
  <c r="P411" i="4"/>
  <c r="Q411" i="4"/>
  <c r="R411" i="4"/>
  <c r="B412" i="4"/>
  <c r="C412" i="4"/>
  <c r="D412" i="4"/>
  <c r="E412" i="4"/>
  <c r="F412" i="4"/>
  <c r="G412" i="4"/>
  <c r="H412" i="4"/>
  <c r="I412" i="4"/>
  <c r="J412" i="4"/>
  <c r="K412" i="4"/>
  <c r="L412" i="4"/>
  <c r="M412" i="4"/>
  <c r="N412" i="4"/>
  <c r="O412" i="4"/>
  <c r="P412" i="4"/>
  <c r="Q412" i="4"/>
  <c r="R412" i="4"/>
  <c r="B413" i="4"/>
  <c r="C413" i="4"/>
  <c r="D413" i="4"/>
  <c r="E413" i="4"/>
  <c r="F413" i="4"/>
  <c r="G413" i="4"/>
  <c r="H413" i="4"/>
  <c r="I413" i="4"/>
  <c r="J413" i="4"/>
  <c r="K413" i="4"/>
  <c r="L413" i="4"/>
  <c r="M413" i="4"/>
  <c r="N413" i="4"/>
  <c r="O413" i="4"/>
  <c r="P413" i="4"/>
  <c r="Q413" i="4"/>
  <c r="R413" i="4"/>
  <c r="B414" i="4"/>
  <c r="C414" i="4"/>
  <c r="D414" i="4"/>
  <c r="E414" i="4"/>
  <c r="F414" i="4"/>
  <c r="G414" i="4"/>
  <c r="H414" i="4"/>
  <c r="I414" i="4"/>
  <c r="J414" i="4"/>
  <c r="K414" i="4"/>
  <c r="L414" i="4"/>
  <c r="M414" i="4"/>
  <c r="N414" i="4"/>
  <c r="O414" i="4"/>
  <c r="P414" i="4"/>
  <c r="Q414" i="4"/>
  <c r="R414" i="4"/>
  <c r="B415" i="4"/>
  <c r="C415" i="4"/>
  <c r="D415" i="4"/>
  <c r="E415" i="4"/>
  <c r="F415" i="4"/>
  <c r="G415" i="4"/>
  <c r="H415" i="4"/>
  <c r="I415" i="4"/>
  <c r="J415" i="4"/>
  <c r="K415" i="4"/>
  <c r="L415" i="4"/>
  <c r="M415" i="4"/>
  <c r="N415" i="4"/>
  <c r="O415" i="4"/>
  <c r="P415" i="4"/>
  <c r="Q415" i="4"/>
  <c r="R415" i="4"/>
  <c r="B416" i="4"/>
  <c r="C416" i="4"/>
  <c r="D416" i="4"/>
  <c r="E416" i="4"/>
  <c r="F416" i="4"/>
  <c r="G416" i="4"/>
  <c r="H416" i="4"/>
  <c r="I416" i="4"/>
  <c r="J416" i="4"/>
  <c r="K416" i="4"/>
  <c r="L416" i="4"/>
  <c r="M416" i="4"/>
  <c r="N416" i="4"/>
  <c r="O416" i="4"/>
  <c r="P416" i="4"/>
  <c r="Q416" i="4"/>
  <c r="R416" i="4"/>
  <c r="B417" i="4"/>
  <c r="C417" i="4"/>
  <c r="D417" i="4"/>
  <c r="E417" i="4"/>
  <c r="F417" i="4"/>
  <c r="G417" i="4"/>
  <c r="H417" i="4"/>
  <c r="I417" i="4"/>
  <c r="J417" i="4"/>
  <c r="K417" i="4"/>
  <c r="L417" i="4"/>
  <c r="M417" i="4"/>
  <c r="N417" i="4"/>
  <c r="O417" i="4"/>
  <c r="P417" i="4"/>
  <c r="Q417" i="4"/>
  <c r="R417" i="4"/>
  <c r="B418" i="4"/>
  <c r="C418" i="4"/>
  <c r="D418" i="4"/>
  <c r="E418" i="4"/>
  <c r="F418" i="4"/>
  <c r="G418" i="4"/>
  <c r="H418" i="4"/>
  <c r="I418" i="4"/>
  <c r="J418" i="4"/>
  <c r="K418" i="4"/>
  <c r="L418" i="4"/>
  <c r="M418" i="4"/>
  <c r="N418" i="4"/>
  <c r="O418" i="4"/>
  <c r="P418" i="4"/>
  <c r="Q418" i="4"/>
  <c r="R418" i="4"/>
  <c r="B419" i="4"/>
  <c r="C419" i="4"/>
  <c r="D419" i="4"/>
  <c r="E419" i="4"/>
  <c r="F419" i="4"/>
  <c r="G419" i="4"/>
  <c r="H419" i="4"/>
  <c r="I419" i="4"/>
  <c r="J419" i="4"/>
  <c r="K419" i="4"/>
  <c r="L419" i="4"/>
  <c r="M419" i="4"/>
  <c r="N419" i="4"/>
  <c r="O419" i="4"/>
  <c r="P419" i="4"/>
  <c r="Q419" i="4"/>
  <c r="R419" i="4"/>
  <c r="B420" i="4"/>
  <c r="C420" i="4"/>
  <c r="D420" i="4"/>
  <c r="E420" i="4"/>
  <c r="F420" i="4"/>
  <c r="G420" i="4"/>
  <c r="H420" i="4"/>
  <c r="I420" i="4"/>
  <c r="J420" i="4"/>
  <c r="K420" i="4"/>
  <c r="L420" i="4"/>
  <c r="M420" i="4"/>
  <c r="N420" i="4"/>
  <c r="O420" i="4"/>
  <c r="P420" i="4"/>
  <c r="Q420" i="4"/>
  <c r="R420" i="4"/>
  <c r="B421" i="4"/>
  <c r="C421" i="4"/>
  <c r="D421" i="4"/>
  <c r="E421" i="4"/>
  <c r="F421" i="4"/>
  <c r="G421" i="4"/>
  <c r="H421" i="4"/>
  <c r="I421" i="4"/>
  <c r="J421" i="4"/>
  <c r="K421" i="4"/>
  <c r="L421" i="4"/>
  <c r="M421" i="4"/>
  <c r="N421" i="4"/>
  <c r="O421" i="4"/>
  <c r="P421" i="4"/>
  <c r="Q421" i="4"/>
  <c r="R421" i="4"/>
  <c r="B422" i="4"/>
  <c r="C422" i="4"/>
  <c r="D422" i="4"/>
  <c r="E422" i="4"/>
  <c r="F422" i="4"/>
  <c r="G422" i="4"/>
  <c r="H422" i="4"/>
  <c r="I422" i="4"/>
  <c r="J422" i="4"/>
  <c r="K422" i="4"/>
  <c r="L422" i="4"/>
  <c r="M422" i="4"/>
  <c r="N422" i="4"/>
  <c r="O422" i="4"/>
  <c r="P422" i="4"/>
  <c r="Q422" i="4"/>
  <c r="R422" i="4"/>
  <c r="B423" i="4"/>
  <c r="C423" i="4"/>
  <c r="D423" i="4"/>
  <c r="E423" i="4"/>
  <c r="F423" i="4"/>
  <c r="G423" i="4"/>
  <c r="H423" i="4"/>
  <c r="I423" i="4"/>
  <c r="J423" i="4"/>
  <c r="K423" i="4"/>
  <c r="L423" i="4"/>
  <c r="M423" i="4"/>
  <c r="N423" i="4"/>
  <c r="O423" i="4"/>
  <c r="P423" i="4"/>
  <c r="Q423" i="4"/>
  <c r="R423" i="4"/>
  <c r="B424" i="4"/>
  <c r="C424" i="4"/>
  <c r="D424" i="4"/>
  <c r="E424" i="4"/>
  <c r="F424" i="4"/>
  <c r="G424" i="4"/>
  <c r="H424" i="4"/>
  <c r="I424" i="4"/>
  <c r="J424" i="4"/>
  <c r="K424" i="4"/>
  <c r="L424" i="4"/>
  <c r="M424" i="4"/>
  <c r="N424" i="4"/>
  <c r="O424" i="4"/>
  <c r="P424" i="4"/>
  <c r="Q424" i="4"/>
  <c r="R424" i="4"/>
  <c r="B425" i="4"/>
  <c r="C425" i="4"/>
  <c r="D425" i="4"/>
  <c r="E425" i="4"/>
  <c r="F425" i="4"/>
  <c r="G425" i="4"/>
  <c r="H425" i="4"/>
  <c r="I425" i="4"/>
  <c r="J425" i="4"/>
  <c r="K425" i="4"/>
  <c r="L425" i="4"/>
  <c r="M425" i="4"/>
  <c r="N425" i="4"/>
  <c r="O425" i="4"/>
  <c r="P425" i="4"/>
  <c r="Q425" i="4"/>
  <c r="R425" i="4"/>
  <c r="B426" i="4"/>
  <c r="C426" i="4"/>
  <c r="D426" i="4"/>
  <c r="E426" i="4"/>
  <c r="F426" i="4"/>
  <c r="G426" i="4"/>
  <c r="H426" i="4"/>
  <c r="I426" i="4"/>
  <c r="J426" i="4"/>
  <c r="K426" i="4"/>
  <c r="L426" i="4"/>
  <c r="M426" i="4"/>
  <c r="N426" i="4"/>
  <c r="O426" i="4"/>
  <c r="P426" i="4"/>
  <c r="Q426" i="4"/>
  <c r="R426" i="4"/>
  <c r="B427" i="4"/>
  <c r="C427" i="4"/>
  <c r="D427" i="4"/>
  <c r="E427" i="4"/>
  <c r="F427" i="4"/>
  <c r="G427" i="4"/>
  <c r="H427" i="4"/>
  <c r="I427" i="4"/>
  <c r="J427" i="4"/>
  <c r="K427" i="4"/>
  <c r="L427" i="4"/>
  <c r="M427" i="4"/>
  <c r="N427" i="4"/>
  <c r="O427" i="4"/>
  <c r="P427" i="4"/>
  <c r="Q427" i="4"/>
  <c r="R427" i="4"/>
  <c r="B428" i="4"/>
  <c r="C428" i="4"/>
  <c r="D428" i="4"/>
  <c r="E428" i="4"/>
  <c r="F428" i="4"/>
  <c r="G428" i="4"/>
  <c r="H428" i="4"/>
  <c r="I428" i="4"/>
  <c r="J428" i="4"/>
  <c r="K428" i="4"/>
  <c r="L428" i="4"/>
  <c r="M428" i="4"/>
  <c r="N428" i="4"/>
  <c r="O428" i="4"/>
  <c r="P428" i="4"/>
  <c r="Q428" i="4"/>
  <c r="R428" i="4"/>
  <c r="B429" i="4"/>
  <c r="C429" i="4"/>
  <c r="D429" i="4"/>
  <c r="E429" i="4"/>
  <c r="F429" i="4"/>
  <c r="G429" i="4"/>
  <c r="H429" i="4"/>
  <c r="I429" i="4"/>
  <c r="J429" i="4"/>
  <c r="K429" i="4"/>
  <c r="L429" i="4"/>
  <c r="M429" i="4"/>
  <c r="N429" i="4"/>
  <c r="O429" i="4"/>
  <c r="P429" i="4"/>
  <c r="Q429" i="4"/>
  <c r="R429" i="4"/>
  <c r="B430" i="4"/>
  <c r="C430" i="4"/>
  <c r="D430" i="4"/>
  <c r="E430" i="4"/>
  <c r="F430" i="4"/>
  <c r="G430" i="4"/>
  <c r="H430" i="4"/>
  <c r="I430" i="4"/>
  <c r="J430" i="4"/>
  <c r="K430" i="4"/>
  <c r="L430" i="4"/>
  <c r="M430" i="4"/>
  <c r="N430" i="4"/>
  <c r="O430" i="4"/>
  <c r="P430" i="4"/>
  <c r="Q430" i="4"/>
  <c r="R430" i="4"/>
  <c r="B431" i="4"/>
  <c r="C431" i="4"/>
  <c r="D431" i="4"/>
  <c r="E431" i="4"/>
  <c r="F431" i="4"/>
  <c r="G431" i="4"/>
  <c r="H431" i="4"/>
  <c r="I431" i="4"/>
  <c r="J431" i="4"/>
  <c r="K431" i="4"/>
  <c r="L431" i="4"/>
  <c r="M431" i="4"/>
  <c r="N431" i="4"/>
  <c r="O431" i="4"/>
  <c r="P431" i="4"/>
  <c r="Q431" i="4"/>
  <c r="R431" i="4"/>
  <c r="B432" i="4"/>
  <c r="C432" i="4"/>
  <c r="D432" i="4"/>
  <c r="E432" i="4"/>
  <c r="F432" i="4"/>
  <c r="G432" i="4"/>
  <c r="H432" i="4"/>
  <c r="I432" i="4"/>
  <c r="J432" i="4"/>
  <c r="K432" i="4"/>
  <c r="L432" i="4"/>
  <c r="M432" i="4"/>
  <c r="N432" i="4"/>
  <c r="O432" i="4"/>
  <c r="P432" i="4"/>
  <c r="Q432" i="4"/>
  <c r="R432" i="4"/>
  <c r="B433" i="4"/>
  <c r="C433" i="4"/>
  <c r="D433" i="4"/>
  <c r="E433" i="4"/>
  <c r="F433" i="4"/>
  <c r="G433" i="4"/>
  <c r="H433" i="4"/>
  <c r="I433" i="4"/>
  <c r="J433" i="4"/>
  <c r="K433" i="4"/>
  <c r="L433" i="4"/>
  <c r="M433" i="4"/>
  <c r="N433" i="4"/>
  <c r="O433" i="4"/>
  <c r="P433" i="4"/>
  <c r="Q433" i="4"/>
  <c r="R433" i="4"/>
  <c r="B434" i="4"/>
  <c r="C434" i="4"/>
  <c r="D434" i="4"/>
  <c r="E434" i="4"/>
  <c r="F434" i="4"/>
  <c r="G434" i="4"/>
  <c r="H434" i="4"/>
  <c r="I434" i="4"/>
  <c r="J434" i="4"/>
  <c r="K434" i="4"/>
  <c r="L434" i="4"/>
  <c r="M434" i="4"/>
  <c r="N434" i="4"/>
  <c r="O434" i="4"/>
  <c r="P434" i="4"/>
  <c r="Q434" i="4"/>
  <c r="R434" i="4"/>
  <c r="B435" i="4"/>
  <c r="C435" i="4"/>
  <c r="D435" i="4"/>
  <c r="E435" i="4"/>
  <c r="F435" i="4"/>
  <c r="G435" i="4"/>
  <c r="H435" i="4"/>
  <c r="I435" i="4"/>
  <c r="J435" i="4"/>
  <c r="K435" i="4"/>
  <c r="L435" i="4"/>
  <c r="M435" i="4"/>
  <c r="N435" i="4"/>
  <c r="O435" i="4"/>
  <c r="P435" i="4"/>
  <c r="Q435" i="4"/>
  <c r="R435" i="4"/>
  <c r="B436" i="4"/>
  <c r="C436" i="4"/>
  <c r="D436" i="4"/>
  <c r="E436" i="4"/>
  <c r="F436" i="4"/>
  <c r="G436" i="4"/>
  <c r="H436" i="4"/>
  <c r="I436" i="4"/>
  <c r="J436" i="4"/>
  <c r="K436" i="4"/>
  <c r="L436" i="4"/>
  <c r="M436" i="4"/>
  <c r="N436" i="4"/>
  <c r="O436" i="4"/>
  <c r="P436" i="4"/>
  <c r="Q436" i="4"/>
  <c r="R436" i="4"/>
  <c r="B437" i="4"/>
  <c r="C437" i="4"/>
  <c r="D437" i="4"/>
  <c r="E437" i="4"/>
  <c r="F437" i="4"/>
  <c r="G437" i="4"/>
  <c r="H437" i="4"/>
  <c r="I437" i="4"/>
  <c r="J437" i="4"/>
  <c r="K437" i="4"/>
  <c r="L437" i="4"/>
  <c r="M437" i="4"/>
  <c r="N437" i="4"/>
  <c r="O437" i="4"/>
  <c r="P437" i="4"/>
  <c r="Q437" i="4"/>
  <c r="R437" i="4"/>
  <c r="B438" i="4"/>
  <c r="C438" i="4"/>
  <c r="D438" i="4"/>
  <c r="E438" i="4"/>
  <c r="F438" i="4"/>
  <c r="G438" i="4"/>
  <c r="H438" i="4"/>
  <c r="I438" i="4"/>
  <c r="J438" i="4"/>
  <c r="K438" i="4"/>
  <c r="L438" i="4"/>
  <c r="M438" i="4"/>
  <c r="N438" i="4"/>
  <c r="O438" i="4"/>
  <c r="P438" i="4"/>
  <c r="Q438" i="4"/>
  <c r="R438" i="4"/>
  <c r="B439" i="4"/>
  <c r="C439" i="4"/>
  <c r="D439" i="4"/>
  <c r="E439" i="4"/>
  <c r="F439" i="4"/>
  <c r="G439" i="4"/>
  <c r="H439" i="4"/>
  <c r="I439" i="4"/>
  <c r="J439" i="4"/>
  <c r="K439" i="4"/>
  <c r="L439" i="4"/>
  <c r="M439" i="4"/>
  <c r="N439" i="4"/>
  <c r="O439" i="4"/>
  <c r="P439" i="4"/>
  <c r="Q439" i="4"/>
  <c r="R439" i="4"/>
  <c r="B440" i="4"/>
  <c r="C440" i="4"/>
  <c r="D440" i="4"/>
  <c r="E440" i="4"/>
  <c r="F440" i="4"/>
  <c r="G440" i="4"/>
  <c r="H440" i="4"/>
  <c r="I440" i="4"/>
  <c r="J440" i="4"/>
  <c r="K440" i="4"/>
  <c r="L440" i="4"/>
  <c r="M440" i="4"/>
  <c r="N440" i="4"/>
  <c r="O440" i="4"/>
  <c r="P440" i="4"/>
  <c r="Q440" i="4"/>
  <c r="R440" i="4"/>
  <c r="B441" i="4"/>
  <c r="C441" i="4"/>
  <c r="D441" i="4"/>
  <c r="E441" i="4"/>
  <c r="F441" i="4"/>
  <c r="G441" i="4"/>
  <c r="H441" i="4"/>
  <c r="I441" i="4"/>
  <c r="J441" i="4"/>
  <c r="K441" i="4"/>
  <c r="L441" i="4"/>
  <c r="M441" i="4"/>
  <c r="N441" i="4"/>
  <c r="O441" i="4"/>
  <c r="P441" i="4"/>
  <c r="Q441" i="4"/>
  <c r="R441" i="4"/>
  <c r="B442" i="4"/>
  <c r="C442" i="4"/>
  <c r="D442" i="4"/>
  <c r="E442" i="4"/>
  <c r="F442" i="4"/>
  <c r="G442" i="4"/>
  <c r="H442" i="4"/>
  <c r="I442" i="4"/>
  <c r="J442" i="4"/>
  <c r="K442" i="4"/>
  <c r="L442" i="4"/>
  <c r="M442" i="4"/>
  <c r="N442" i="4"/>
  <c r="O442" i="4"/>
  <c r="P442" i="4"/>
  <c r="Q442" i="4"/>
  <c r="R442" i="4"/>
  <c r="B443" i="4"/>
  <c r="C443" i="4"/>
  <c r="D443" i="4"/>
  <c r="E443" i="4"/>
  <c r="F443" i="4"/>
  <c r="G443" i="4"/>
  <c r="H443" i="4"/>
  <c r="I443" i="4"/>
  <c r="J443" i="4"/>
  <c r="K443" i="4"/>
  <c r="L443" i="4"/>
  <c r="M443" i="4"/>
  <c r="N443" i="4"/>
  <c r="O443" i="4"/>
  <c r="P443" i="4"/>
  <c r="Q443" i="4"/>
  <c r="R443" i="4"/>
  <c r="B444" i="4"/>
  <c r="C444" i="4"/>
  <c r="D444" i="4"/>
  <c r="E444" i="4"/>
  <c r="F444" i="4"/>
  <c r="G444" i="4"/>
  <c r="H444" i="4"/>
  <c r="I444" i="4"/>
  <c r="J444" i="4"/>
  <c r="K444" i="4"/>
  <c r="L444" i="4"/>
  <c r="M444" i="4"/>
  <c r="N444" i="4"/>
  <c r="O444" i="4"/>
  <c r="P444" i="4"/>
  <c r="Q444" i="4"/>
  <c r="R444" i="4"/>
  <c r="B445" i="4"/>
  <c r="C445" i="4"/>
  <c r="D445" i="4"/>
  <c r="E445" i="4"/>
  <c r="F445" i="4"/>
  <c r="G445" i="4"/>
  <c r="H445" i="4"/>
  <c r="I445" i="4"/>
  <c r="J445" i="4"/>
  <c r="K445" i="4"/>
  <c r="L445" i="4"/>
  <c r="M445" i="4"/>
  <c r="N445" i="4"/>
  <c r="O445" i="4"/>
  <c r="P445" i="4"/>
  <c r="Q445" i="4"/>
  <c r="R445" i="4"/>
  <c r="B446" i="4"/>
  <c r="C446" i="4"/>
  <c r="D446" i="4"/>
  <c r="E446" i="4"/>
  <c r="F446" i="4"/>
  <c r="G446" i="4"/>
  <c r="H446" i="4"/>
  <c r="I446" i="4"/>
  <c r="J446" i="4"/>
  <c r="K446" i="4"/>
  <c r="L446" i="4"/>
  <c r="M446" i="4"/>
  <c r="N446" i="4"/>
  <c r="O446" i="4"/>
  <c r="P446" i="4"/>
  <c r="Q446" i="4"/>
  <c r="R446" i="4"/>
  <c r="B447" i="4"/>
  <c r="C447" i="4"/>
  <c r="D447" i="4"/>
  <c r="E447" i="4"/>
  <c r="F447" i="4"/>
  <c r="G447" i="4"/>
  <c r="H447" i="4"/>
  <c r="I447" i="4"/>
  <c r="J447" i="4"/>
  <c r="K447" i="4"/>
  <c r="L447" i="4"/>
  <c r="M447" i="4"/>
  <c r="N447" i="4"/>
  <c r="O447" i="4"/>
  <c r="P447" i="4"/>
  <c r="Q447" i="4"/>
  <c r="R447" i="4"/>
  <c r="B448" i="4"/>
  <c r="C448" i="4"/>
  <c r="D448" i="4"/>
  <c r="E448" i="4"/>
  <c r="F448" i="4"/>
  <c r="G448" i="4"/>
  <c r="H448" i="4"/>
  <c r="I448" i="4"/>
  <c r="J448" i="4"/>
  <c r="K448" i="4"/>
  <c r="L448" i="4"/>
  <c r="M448" i="4"/>
  <c r="N448" i="4"/>
  <c r="O448" i="4"/>
  <c r="P448" i="4"/>
  <c r="Q448" i="4"/>
  <c r="R448" i="4"/>
  <c r="B449" i="4"/>
  <c r="C449" i="4"/>
  <c r="D449" i="4"/>
  <c r="E449" i="4"/>
  <c r="F449" i="4"/>
  <c r="G449" i="4"/>
  <c r="H449" i="4"/>
  <c r="I449" i="4"/>
  <c r="J449" i="4"/>
  <c r="K449" i="4"/>
  <c r="L449" i="4"/>
  <c r="M449" i="4"/>
  <c r="N449" i="4"/>
  <c r="O449" i="4"/>
  <c r="P449" i="4"/>
  <c r="Q449" i="4"/>
  <c r="R449" i="4"/>
  <c r="B450" i="4"/>
  <c r="C450" i="4"/>
  <c r="D450" i="4"/>
  <c r="E450" i="4"/>
  <c r="F450" i="4"/>
  <c r="G450" i="4"/>
  <c r="H450" i="4"/>
  <c r="I450" i="4"/>
  <c r="J450" i="4"/>
  <c r="K450" i="4"/>
  <c r="L450" i="4"/>
  <c r="M450" i="4"/>
  <c r="N450" i="4"/>
  <c r="O450" i="4"/>
  <c r="P450" i="4"/>
  <c r="Q450" i="4"/>
  <c r="R450" i="4"/>
  <c r="B451" i="4"/>
  <c r="C451" i="4"/>
  <c r="D451" i="4"/>
  <c r="E451" i="4"/>
  <c r="F451" i="4"/>
  <c r="G451" i="4"/>
  <c r="H451" i="4"/>
  <c r="I451" i="4"/>
  <c r="J451" i="4"/>
  <c r="K451" i="4"/>
  <c r="L451" i="4"/>
  <c r="M451" i="4"/>
  <c r="N451" i="4"/>
  <c r="O451" i="4"/>
  <c r="P451" i="4"/>
  <c r="Q451" i="4"/>
  <c r="R451" i="4"/>
  <c r="B452" i="4"/>
  <c r="C452" i="4"/>
  <c r="D452" i="4"/>
  <c r="E452" i="4"/>
  <c r="F452" i="4"/>
  <c r="G452" i="4"/>
  <c r="H452" i="4"/>
  <c r="I452" i="4"/>
  <c r="J452" i="4"/>
  <c r="K452" i="4"/>
  <c r="L452" i="4"/>
  <c r="M452" i="4"/>
  <c r="N452" i="4"/>
  <c r="O452" i="4"/>
  <c r="P452" i="4"/>
  <c r="Q452" i="4"/>
  <c r="R452" i="4"/>
  <c r="B453" i="4"/>
  <c r="C453" i="4"/>
  <c r="D453" i="4"/>
  <c r="E453" i="4"/>
  <c r="F453" i="4"/>
  <c r="G453" i="4"/>
  <c r="H453" i="4"/>
  <c r="I453" i="4"/>
  <c r="J453" i="4"/>
  <c r="K453" i="4"/>
  <c r="L453" i="4"/>
  <c r="M453" i="4"/>
  <c r="N453" i="4"/>
  <c r="O453" i="4"/>
  <c r="P453" i="4"/>
  <c r="Q453" i="4"/>
  <c r="R453" i="4"/>
  <c r="B454" i="4"/>
  <c r="C454" i="4"/>
  <c r="D454" i="4"/>
  <c r="E454" i="4"/>
  <c r="F454" i="4"/>
  <c r="G454" i="4"/>
  <c r="H454" i="4"/>
  <c r="I454" i="4"/>
  <c r="J454" i="4"/>
  <c r="K454" i="4"/>
  <c r="L454" i="4"/>
  <c r="M454" i="4"/>
  <c r="N454" i="4"/>
  <c r="O454" i="4"/>
  <c r="P454" i="4"/>
  <c r="Q454" i="4"/>
  <c r="R454" i="4"/>
  <c r="B455" i="4"/>
  <c r="C455" i="4"/>
  <c r="D455" i="4"/>
  <c r="E455" i="4"/>
  <c r="F455" i="4"/>
  <c r="G455" i="4"/>
  <c r="H455" i="4"/>
  <c r="I455" i="4"/>
  <c r="J455" i="4"/>
  <c r="K455" i="4"/>
  <c r="L455" i="4"/>
  <c r="M455" i="4"/>
  <c r="N455" i="4"/>
  <c r="O455" i="4"/>
  <c r="P455" i="4"/>
  <c r="Q455" i="4"/>
  <c r="R455" i="4"/>
  <c r="B456" i="4"/>
  <c r="C456" i="4"/>
  <c r="D456" i="4"/>
  <c r="E456" i="4"/>
  <c r="F456" i="4"/>
  <c r="G456" i="4"/>
  <c r="H456" i="4"/>
  <c r="I456" i="4"/>
  <c r="J456" i="4"/>
  <c r="K456" i="4"/>
  <c r="L456" i="4"/>
  <c r="M456" i="4"/>
  <c r="N456" i="4"/>
  <c r="O456" i="4"/>
  <c r="P456" i="4"/>
  <c r="Q456" i="4"/>
  <c r="R456" i="4"/>
  <c r="B457" i="4"/>
  <c r="C457" i="4"/>
  <c r="D457" i="4"/>
  <c r="E457" i="4"/>
  <c r="F457" i="4"/>
  <c r="G457" i="4"/>
  <c r="H457" i="4"/>
  <c r="I457" i="4"/>
  <c r="J457" i="4"/>
  <c r="K457" i="4"/>
  <c r="L457" i="4"/>
  <c r="M457" i="4"/>
  <c r="N457" i="4"/>
  <c r="O457" i="4"/>
  <c r="P457" i="4"/>
  <c r="Q457" i="4"/>
  <c r="R457" i="4"/>
  <c r="B458" i="4"/>
  <c r="C458" i="4"/>
  <c r="D458" i="4"/>
  <c r="E458" i="4"/>
  <c r="F458" i="4"/>
  <c r="G458" i="4"/>
  <c r="H458" i="4"/>
  <c r="I458" i="4"/>
  <c r="J458" i="4"/>
  <c r="K458" i="4"/>
  <c r="L458" i="4"/>
  <c r="M458" i="4"/>
  <c r="N458" i="4"/>
  <c r="O458" i="4"/>
  <c r="P458" i="4"/>
  <c r="Q458" i="4"/>
  <c r="R458" i="4"/>
  <c r="B459" i="4"/>
  <c r="C459" i="4"/>
  <c r="D459" i="4"/>
  <c r="E459" i="4"/>
  <c r="F459" i="4"/>
  <c r="G459" i="4"/>
  <c r="H459" i="4"/>
  <c r="I459" i="4"/>
  <c r="J459" i="4"/>
  <c r="K459" i="4"/>
  <c r="L459" i="4"/>
  <c r="M459" i="4"/>
  <c r="N459" i="4"/>
  <c r="O459" i="4"/>
  <c r="P459" i="4"/>
  <c r="Q459" i="4"/>
  <c r="R459" i="4"/>
  <c r="B460" i="4"/>
  <c r="C460" i="4"/>
  <c r="D460" i="4"/>
  <c r="E460" i="4"/>
  <c r="F460" i="4"/>
  <c r="G460" i="4"/>
  <c r="H460" i="4"/>
  <c r="I460" i="4"/>
  <c r="J460" i="4"/>
  <c r="K460" i="4"/>
  <c r="L460" i="4"/>
  <c r="M460" i="4"/>
  <c r="N460" i="4"/>
  <c r="O460" i="4"/>
  <c r="P460" i="4"/>
  <c r="Q460" i="4"/>
  <c r="R460" i="4"/>
  <c r="B461" i="4"/>
  <c r="C461" i="4"/>
  <c r="D461" i="4"/>
  <c r="E461" i="4"/>
  <c r="F461" i="4"/>
  <c r="G461" i="4"/>
  <c r="H461" i="4"/>
  <c r="I461" i="4"/>
  <c r="J461" i="4"/>
  <c r="K461" i="4"/>
  <c r="L461" i="4"/>
  <c r="M461" i="4"/>
  <c r="N461" i="4"/>
  <c r="O461" i="4"/>
  <c r="P461" i="4"/>
  <c r="Q461" i="4"/>
  <c r="R461" i="4"/>
  <c r="B462" i="4"/>
  <c r="C462" i="4"/>
  <c r="D462" i="4"/>
  <c r="E462" i="4"/>
  <c r="F462" i="4"/>
  <c r="G462" i="4"/>
  <c r="H462" i="4"/>
  <c r="I462" i="4"/>
  <c r="J462" i="4"/>
  <c r="K462" i="4"/>
  <c r="L462" i="4"/>
  <c r="M462" i="4"/>
  <c r="N462" i="4"/>
  <c r="O462" i="4"/>
  <c r="P462" i="4"/>
  <c r="Q462" i="4"/>
  <c r="R462" i="4"/>
  <c r="B463" i="4"/>
  <c r="C463" i="4"/>
  <c r="D463" i="4"/>
  <c r="E463" i="4"/>
  <c r="F463" i="4"/>
  <c r="G463" i="4"/>
  <c r="H463" i="4"/>
  <c r="I463" i="4"/>
  <c r="J463" i="4"/>
  <c r="K463" i="4"/>
  <c r="L463" i="4"/>
  <c r="M463" i="4"/>
  <c r="N463" i="4"/>
  <c r="O463" i="4"/>
  <c r="P463" i="4"/>
  <c r="Q463" i="4"/>
  <c r="R463" i="4"/>
  <c r="B464" i="4"/>
  <c r="C464" i="4"/>
  <c r="D464" i="4"/>
  <c r="E464" i="4"/>
  <c r="F464" i="4"/>
  <c r="G464" i="4"/>
  <c r="H464" i="4"/>
  <c r="I464" i="4"/>
  <c r="J464" i="4"/>
  <c r="K464" i="4"/>
  <c r="L464" i="4"/>
  <c r="M464" i="4"/>
  <c r="N464" i="4"/>
  <c r="O464" i="4"/>
  <c r="P464" i="4"/>
  <c r="Q464" i="4"/>
  <c r="R464" i="4"/>
  <c r="B465" i="4"/>
  <c r="C465" i="4"/>
  <c r="D465" i="4"/>
  <c r="E465" i="4"/>
  <c r="F465" i="4"/>
  <c r="G465" i="4"/>
  <c r="H465" i="4"/>
  <c r="I465" i="4"/>
  <c r="J465" i="4"/>
  <c r="K465" i="4"/>
  <c r="L465" i="4"/>
  <c r="M465" i="4"/>
  <c r="N465" i="4"/>
  <c r="O465" i="4"/>
  <c r="P465" i="4"/>
  <c r="Q465" i="4"/>
  <c r="R465" i="4"/>
  <c r="B466" i="4"/>
  <c r="C466" i="4"/>
  <c r="D466" i="4"/>
  <c r="E466" i="4"/>
  <c r="F466" i="4"/>
  <c r="G466" i="4"/>
  <c r="H466" i="4"/>
  <c r="I466" i="4"/>
  <c r="J466" i="4"/>
  <c r="K466" i="4"/>
  <c r="L466" i="4"/>
  <c r="M466" i="4"/>
  <c r="N466" i="4"/>
  <c r="O466" i="4"/>
  <c r="P466" i="4"/>
  <c r="Q466" i="4"/>
  <c r="R466" i="4"/>
  <c r="B467" i="4"/>
  <c r="C467" i="4"/>
  <c r="D467" i="4"/>
  <c r="E467" i="4"/>
  <c r="F467" i="4"/>
  <c r="G467" i="4"/>
  <c r="H467" i="4"/>
  <c r="I467" i="4"/>
  <c r="J467" i="4"/>
  <c r="K467" i="4"/>
  <c r="L467" i="4"/>
  <c r="M467" i="4"/>
  <c r="N467" i="4"/>
  <c r="O467" i="4"/>
  <c r="P467" i="4"/>
  <c r="Q467" i="4"/>
  <c r="R467" i="4"/>
  <c r="B468" i="4"/>
  <c r="C468" i="4"/>
  <c r="D468" i="4"/>
  <c r="E468" i="4"/>
  <c r="F468" i="4"/>
  <c r="G468" i="4"/>
  <c r="H468" i="4"/>
  <c r="I468" i="4"/>
  <c r="J468" i="4"/>
  <c r="K468" i="4"/>
  <c r="L468" i="4"/>
  <c r="M468" i="4"/>
  <c r="N468" i="4"/>
  <c r="O468" i="4"/>
  <c r="P468" i="4"/>
  <c r="Q468" i="4"/>
  <c r="R468" i="4"/>
  <c r="B469" i="4"/>
  <c r="C469" i="4"/>
  <c r="D469" i="4"/>
  <c r="E469" i="4"/>
  <c r="F469" i="4"/>
  <c r="G469" i="4"/>
  <c r="H469" i="4"/>
  <c r="I469" i="4"/>
  <c r="J469" i="4"/>
  <c r="K469" i="4"/>
  <c r="L469" i="4"/>
  <c r="M469" i="4"/>
  <c r="N469" i="4"/>
  <c r="O469" i="4"/>
  <c r="P469" i="4"/>
  <c r="Q469" i="4"/>
  <c r="R469" i="4"/>
  <c r="B470" i="4"/>
  <c r="C470" i="4"/>
  <c r="D470" i="4"/>
  <c r="E470" i="4"/>
  <c r="F470" i="4"/>
  <c r="G470" i="4"/>
  <c r="H470" i="4"/>
  <c r="I470" i="4"/>
  <c r="J470" i="4"/>
  <c r="K470" i="4"/>
  <c r="L470" i="4"/>
  <c r="M470" i="4"/>
  <c r="N470" i="4"/>
  <c r="O470" i="4"/>
  <c r="P470" i="4"/>
  <c r="Q470" i="4"/>
  <c r="R470" i="4"/>
  <c r="B471" i="4"/>
  <c r="C471" i="4"/>
  <c r="D471" i="4"/>
  <c r="E471" i="4"/>
  <c r="F471" i="4"/>
  <c r="G471" i="4"/>
  <c r="H471" i="4"/>
  <c r="I471" i="4"/>
  <c r="J471" i="4"/>
  <c r="K471" i="4"/>
  <c r="L471" i="4"/>
  <c r="M471" i="4"/>
  <c r="N471" i="4"/>
  <c r="O471" i="4"/>
  <c r="P471" i="4"/>
  <c r="Q471" i="4"/>
  <c r="R471" i="4"/>
  <c r="B472" i="4"/>
  <c r="C472" i="4"/>
  <c r="D472" i="4"/>
  <c r="E472" i="4"/>
  <c r="F472" i="4"/>
  <c r="G472" i="4"/>
  <c r="H472" i="4"/>
  <c r="I472" i="4"/>
  <c r="J472" i="4"/>
  <c r="K472" i="4"/>
  <c r="L472" i="4"/>
  <c r="M472" i="4"/>
  <c r="N472" i="4"/>
  <c r="O472" i="4"/>
  <c r="P472" i="4"/>
  <c r="Q472" i="4"/>
  <c r="R472" i="4"/>
  <c r="B473" i="4"/>
  <c r="C473" i="4"/>
  <c r="D473" i="4"/>
  <c r="E473" i="4"/>
  <c r="F473" i="4"/>
  <c r="G473" i="4"/>
  <c r="H473" i="4"/>
  <c r="I473" i="4"/>
  <c r="J473" i="4"/>
  <c r="K473" i="4"/>
  <c r="L473" i="4"/>
  <c r="M473" i="4"/>
  <c r="N473" i="4"/>
  <c r="O473" i="4"/>
  <c r="P473" i="4"/>
  <c r="Q473" i="4"/>
  <c r="R473" i="4"/>
  <c r="B474" i="4"/>
  <c r="C474" i="4"/>
  <c r="D474" i="4"/>
  <c r="E474" i="4"/>
  <c r="F474" i="4"/>
  <c r="G474" i="4"/>
  <c r="H474" i="4"/>
  <c r="I474" i="4"/>
  <c r="J474" i="4"/>
  <c r="K474" i="4"/>
  <c r="L474" i="4"/>
  <c r="M474" i="4"/>
  <c r="N474" i="4"/>
  <c r="O474" i="4"/>
  <c r="P474" i="4"/>
  <c r="Q474" i="4"/>
  <c r="R474" i="4"/>
  <c r="B475" i="4"/>
  <c r="C475" i="4"/>
  <c r="D475" i="4"/>
  <c r="E475" i="4"/>
  <c r="F475" i="4"/>
  <c r="G475" i="4"/>
  <c r="H475" i="4"/>
  <c r="I475" i="4"/>
  <c r="J475" i="4"/>
  <c r="K475" i="4"/>
  <c r="L475" i="4"/>
  <c r="M475" i="4"/>
  <c r="N475" i="4"/>
  <c r="O475" i="4"/>
  <c r="P475" i="4"/>
  <c r="Q475" i="4"/>
  <c r="R475" i="4"/>
  <c r="B476" i="4"/>
  <c r="C476" i="4"/>
  <c r="D476" i="4"/>
  <c r="E476" i="4"/>
  <c r="F476" i="4"/>
  <c r="G476" i="4"/>
  <c r="H476" i="4"/>
  <c r="I476" i="4"/>
  <c r="J476" i="4"/>
  <c r="K476" i="4"/>
  <c r="L476" i="4"/>
  <c r="M476" i="4"/>
  <c r="N476" i="4"/>
  <c r="O476" i="4"/>
  <c r="P476" i="4"/>
  <c r="Q476" i="4"/>
  <c r="R476" i="4"/>
  <c r="B477" i="4"/>
  <c r="C477" i="4"/>
  <c r="D477" i="4"/>
  <c r="E477" i="4"/>
  <c r="F477" i="4"/>
  <c r="G477" i="4"/>
  <c r="H477" i="4"/>
  <c r="I477" i="4"/>
  <c r="J477" i="4"/>
  <c r="K477" i="4"/>
  <c r="L477" i="4"/>
  <c r="M477" i="4"/>
  <c r="N477" i="4"/>
  <c r="O477" i="4"/>
  <c r="P477" i="4"/>
  <c r="Q477" i="4"/>
  <c r="R477" i="4"/>
  <c r="B478" i="4"/>
  <c r="C478" i="4"/>
  <c r="D478" i="4"/>
  <c r="E478" i="4"/>
  <c r="F478" i="4"/>
  <c r="G478" i="4"/>
  <c r="H478" i="4"/>
  <c r="I478" i="4"/>
  <c r="J478" i="4"/>
  <c r="K478" i="4"/>
  <c r="L478" i="4"/>
  <c r="M478" i="4"/>
  <c r="N478" i="4"/>
  <c r="O478" i="4"/>
  <c r="P478" i="4"/>
  <c r="Q478" i="4"/>
  <c r="R478" i="4"/>
  <c r="B479" i="4"/>
  <c r="C479" i="4"/>
  <c r="D479" i="4"/>
  <c r="E479" i="4"/>
  <c r="F479" i="4"/>
  <c r="G479" i="4"/>
  <c r="H479" i="4"/>
  <c r="I479" i="4"/>
  <c r="J479" i="4"/>
  <c r="K479" i="4"/>
  <c r="L479" i="4"/>
  <c r="M479" i="4"/>
  <c r="N479" i="4"/>
  <c r="O479" i="4"/>
  <c r="P479" i="4"/>
  <c r="Q479" i="4"/>
  <c r="R479" i="4"/>
  <c r="B480" i="4"/>
  <c r="C480" i="4"/>
  <c r="D480" i="4"/>
  <c r="E480" i="4"/>
  <c r="F480" i="4"/>
  <c r="G480" i="4"/>
  <c r="H480" i="4"/>
  <c r="I480" i="4"/>
  <c r="J480" i="4"/>
  <c r="K480" i="4"/>
  <c r="L480" i="4"/>
  <c r="M480" i="4"/>
  <c r="N480" i="4"/>
  <c r="O480" i="4"/>
  <c r="P480" i="4"/>
  <c r="Q480" i="4"/>
  <c r="R480" i="4"/>
  <c r="B481" i="4"/>
  <c r="C481" i="4"/>
  <c r="D481" i="4"/>
  <c r="E481" i="4"/>
  <c r="F481" i="4"/>
  <c r="G481" i="4"/>
  <c r="H481" i="4"/>
  <c r="I481" i="4"/>
  <c r="J481" i="4"/>
  <c r="K481" i="4"/>
  <c r="L481" i="4"/>
  <c r="M481" i="4"/>
  <c r="N481" i="4"/>
  <c r="O481" i="4"/>
  <c r="P481" i="4"/>
  <c r="Q481" i="4"/>
  <c r="R481" i="4"/>
  <c r="B482" i="4"/>
  <c r="C482" i="4"/>
  <c r="D482" i="4"/>
  <c r="E482" i="4"/>
  <c r="F482" i="4"/>
  <c r="G482" i="4"/>
  <c r="H482" i="4"/>
  <c r="I482" i="4"/>
  <c r="J482" i="4"/>
  <c r="K482" i="4"/>
  <c r="L482" i="4"/>
  <c r="M482" i="4"/>
  <c r="N482" i="4"/>
  <c r="O482" i="4"/>
  <c r="P482" i="4"/>
  <c r="Q482" i="4"/>
  <c r="R482" i="4"/>
  <c r="B483" i="4"/>
  <c r="C483" i="4"/>
  <c r="D483" i="4"/>
  <c r="E483" i="4"/>
  <c r="F483" i="4"/>
  <c r="G483" i="4"/>
  <c r="H483" i="4"/>
  <c r="I483" i="4"/>
  <c r="J483" i="4"/>
  <c r="K483" i="4"/>
  <c r="L483" i="4"/>
  <c r="M483" i="4"/>
  <c r="N483" i="4"/>
  <c r="O483" i="4"/>
  <c r="P483" i="4"/>
  <c r="Q483" i="4"/>
  <c r="R483" i="4"/>
  <c r="B484" i="4"/>
  <c r="C484" i="4"/>
  <c r="D484" i="4"/>
  <c r="E484" i="4"/>
  <c r="F484" i="4"/>
  <c r="G484" i="4"/>
  <c r="H484" i="4"/>
  <c r="I484" i="4"/>
  <c r="J484" i="4"/>
  <c r="K484" i="4"/>
  <c r="L484" i="4"/>
  <c r="M484" i="4"/>
  <c r="N484" i="4"/>
  <c r="O484" i="4"/>
  <c r="P484" i="4"/>
  <c r="Q484" i="4"/>
  <c r="R484" i="4"/>
  <c r="B485" i="4"/>
  <c r="C485" i="4"/>
  <c r="D485" i="4"/>
  <c r="E485" i="4"/>
  <c r="F485" i="4"/>
  <c r="G485" i="4"/>
  <c r="H485" i="4"/>
  <c r="I485" i="4"/>
  <c r="J485" i="4"/>
  <c r="K485" i="4"/>
  <c r="L485" i="4"/>
  <c r="M485" i="4"/>
  <c r="N485" i="4"/>
  <c r="O485" i="4"/>
  <c r="P485" i="4"/>
  <c r="Q485" i="4"/>
  <c r="R485" i="4"/>
  <c r="B486" i="4"/>
  <c r="C486" i="4"/>
  <c r="D486" i="4"/>
  <c r="E486" i="4"/>
  <c r="F486" i="4"/>
  <c r="G486" i="4"/>
  <c r="H486" i="4"/>
  <c r="I486" i="4"/>
  <c r="J486" i="4"/>
  <c r="K486" i="4"/>
  <c r="L486" i="4"/>
  <c r="M486" i="4"/>
  <c r="N486" i="4"/>
  <c r="O486" i="4"/>
  <c r="P486" i="4"/>
  <c r="Q486" i="4"/>
  <c r="R486" i="4"/>
  <c r="B487" i="4"/>
  <c r="C487" i="4"/>
  <c r="D487" i="4"/>
  <c r="E487" i="4"/>
  <c r="F487" i="4"/>
  <c r="G487" i="4"/>
  <c r="H487" i="4"/>
  <c r="I487" i="4"/>
  <c r="J487" i="4"/>
  <c r="K487" i="4"/>
  <c r="L487" i="4"/>
  <c r="M487" i="4"/>
  <c r="N487" i="4"/>
  <c r="O487" i="4"/>
  <c r="P487" i="4"/>
  <c r="Q487" i="4"/>
  <c r="R487" i="4"/>
  <c r="B488" i="4"/>
  <c r="C488" i="4"/>
  <c r="D488" i="4"/>
  <c r="E488" i="4"/>
  <c r="F488" i="4"/>
  <c r="G488" i="4"/>
  <c r="H488" i="4"/>
  <c r="I488" i="4"/>
  <c r="J488" i="4"/>
  <c r="K488" i="4"/>
  <c r="L488" i="4"/>
  <c r="M488" i="4"/>
  <c r="N488" i="4"/>
  <c r="O488" i="4"/>
  <c r="P488" i="4"/>
  <c r="Q488" i="4"/>
  <c r="R488" i="4"/>
  <c r="B489" i="4"/>
  <c r="C489" i="4"/>
  <c r="D489" i="4"/>
  <c r="E489" i="4"/>
  <c r="F489" i="4"/>
  <c r="G489" i="4"/>
  <c r="H489" i="4"/>
  <c r="I489" i="4"/>
  <c r="J489" i="4"/>
  <c r="K489" i="4"/>
  <c r="L489" i="4"/>
  <c r="M489" i="4"/>
  <c r="N489" i="4"/>
  <c r="O489" i="4"/>
  <c r="P489" i="4"/>
  <c r="Q489" i="4"/>
  <c r="R489" i="4"/>
  <c r="B490" i="4"/>
  <c r="C490" i="4"/>
  <c r="D490" i="4"/>
  <c r="E490" i="4"/>
  <c r="F490" i="4"/>
  <c r="G490" i="4"/>
  <c r="H490" i="4"/>
  <c r="I490" i="4"/>
  <c r="J490" i="4"/>
  <c r="K490" i="4"/>
  <c r="L490" i="4"/>
  <c r="M490" i="4"/>
  <c r="N490" i="4"/>
  <c r="O490" i="4"/>
  <c r="P490" i="4"/>
  <c r="Q490" i="4"/>
  <c r="R490" i="4"/>
  <c r="B491" i="4"/>
  <c r="C491" i="4"/>
  <c r="D491" i="4"/>
  <c r="E491" i="4"/>
  <c r="F491" i="4"/>
  <c r="G491" i="4"/>
  <c r="H491" i="4"/>
  <c r="I491" i="4"/>
  <c r="J491" i="4"/>
  <c r="K491" i="4"/>
  <c r="L491" i="4"/>
  <c r="M491" i="4"/>
  <c r="N491" i="4"/>
  <c r="O491" i="4"/>
  <c r="P491" i="4"/>
  <c r="Q491" i="4"/>
  <c r="R491" i="4"/>
  <c r="B492" i="4"/>
  <c r="C492" i="4"/>
  <c r="D492" i="4"/>
  <c r="E492" i="4"/>
  <c r="F492" i="4"/>
  <c r="G492" i="4"/>
  <c r="H492" i="4"/>
  <c r="I492" i="4"/>
  <c r="J492" i="4"/>
  <c r="K492" i="4"/>
  <c r="L492" i="4"/>
  <c r="M492" i="4"/>
  <c r="N492" i="4"/>
  <c r="O492" i="4"/>
  <c r="P492" i="4"/>
  <c r="Q492" i="4"/>
  <c r="R492" i="4"/>
  <c r="B493" i="4"/>
  <c r="C493" i="4"/>
  <c r="D493" i="4"/>
  <c r="E493" i="4"/>
  <c r="F493" i="4"/>
  <c r="G493" i="4"/>
  <c r="H493" i="4"/>
  <c r="I493" i="4"/>
  <c r="J493" i="4"/>
  <c r="K493" i="4"/>
  <c r="L493" i="4"/>
  <c r="M493" i="4"/>
  <c r="N493" i="4"/>
  <c r="O493" i="4"/>
  <c r="P493" i="4"/>
  <c r="Q493" i="4"/>
  <c r="R493" i="4"/>
  <c r="B494" i="4"/>
  <c r="C494" i="4"/>
  <c r="D494" i="4"/>
  <c r="E494" i="4"/>
  <c r="F494" i="4"/>
  <c r="G494" i="4"/>
  <c r="H494" i="4"/>
  <c r="I494" i="4"/>
  <c r="J494" i="4"/>
  <c r="K494" i="4"/>
  <c r="L494" i="4"/>
  <c r="M494" i="4"/>
  <c r="N494" i="4"/>
  <c r="O494" i="4"/>
  <c r="P494" i="4"/>
  <c r="Q494" i="4"/>
  <c r="R494" i="4"/>
  <c r="B495" i="4"/>
  <c r="C495" i="4"/>
  <c r="D495" i="4"/>
  <c r="E495" i="4"/>
  <c r="F495" i="4"/>
  <c r="G495" i="4"/>
  <c r="H495" i="4"/>
  <c r="I495" i="4"/>
  <c r="J495" i="4"/>
  <c r="K495" i="4"/>
  <c r="L495" i="4"/>
  <c r="M495" i="4"/>
  <c r="N495" i="4"/>
  <c r="O495" i="4"/>
  <c r="P495" i="4"/>
  <c r="Q495" i="4"/>
  <c r="R495" i="4"/>
  <c r="B496" i="4"/>
  <c r="C496" i="4"/>
  <c r="D496" i="4"/>
  <c r="E496" i="4"/>
  <c r="F496" i="4"/>
  <c r="G496" i="4"/>
  <c r="H496" i="4"/>
  <c r="I496" i="4"/>
  <c r="J496" i="4"/>
  <c r="K496" i="4"/>
  <c r="L496" i="4"/>
  <c r="M496" i="4"/>
  <c r="N496" i="4"/>
  <c r="O496" i="4"/>
  <c r="P496" i="4"/>
  <c r="Q496" i="4"/>
  <c r="R496" i="4"/>
  <c r="B497" i="4"/>
  <c r="C497" i="4"/>
  <c r="D497" i="4"/>
  <c r="E497" i="4"/>
  <c r="F497" i="4"/>
  <c r="G497" i="4"/>
  <c r="H497" i="4"/>
  <c r="I497" i="4"/>
  <c r="J497" i="4"/>
  <c r="K497" i="4"/>
  <c r="L497" i="4"/>
  <c r="M497" i="4"/>
  <c r="N497" i="4"/>
  <c r="O497" i="4"/>
  <c r="P497" i="4"/>
  <c r="Q497" i="4"/>
  <c r="R497" i="4"/>
  <c r="B498" i="4"/>
  <c r="C498" i="4"/>
  <c r="D498" i="4"/>
  <c r="E498" i="4"/>
  <c r="F498" i="4"/>
  <c r="G498" i="4"/>
  <c r="H498" i="4"/>
  <c r="I498" i="4"/>
  <c r="J498" i="4"/>
  <c r="K498" i="4"/>
  <c r="L498" i="4"/>
  <c r="M498" i="4"/>
  <c r="N498" i="4"/>
  <c r="O498" i="4"/>
  <c r="P498" i="4"/>
  <c r="Q498" i="4"/>
  <c r="R498" i="4"/>
  <c r="B499" i="4"/>
  <c r="C499" i="4"/>
  <c r="D499" i="4"/>
  <c r="E499" i="4"/>
  <c r="F499" i="4"/>
  <c r="G499" i="4"/>
  <c r="H499" i="4"/>
  <c r="I499" i="4"/>
  <c r="J499" i="4"/>
  <c r="K499" i="4"/>
  <c r="L499" i="4"/>
  <c r="M499" i="4"/>
  <c r="N499" i="4"/>
  <c r="O499" i="4"/>
  <c r="P499" i="4"/>
  <c r="Q499" i="4"/>
  <c r="R499" i="4"/>
  <c r="B500" i="4"/>
  <c r="C500" i="4"/>
  <c r="D500" i="4"/>
  <c r="E500" i="4"/>
  <c r="F500" i="4"/>
  <c r="G500" i="4"/>
  <c r="H500" i="4"/>
  <c r="I500" i="4"/>
  <c r="J500" i="4"/>
  <c r="K500" i="4"/>
  <c r="L500" i="4"/>
  <c r="M500" i="4"/>
  <c r="N500" i="4"/>
  <c r="O500" i="4"/>
  <c r="P500" i="4"/>
  <c r="Q500" i="4"/>
  <c r="R500" i="4"/>
  <c r="B501" i="4"/>
  <c r="C501" i="4"/>
  <c r="D501" i="4"/>
  <c r="E501" i="4"/>
  <c r="F501" i="4"/>
  <c r="G501" i="4"/>
  <c r="H501" i="4"/>
  <c r="I501" i="4"/>
  <c r="J501" i="4"/>
  <c r="K501" i="4"/>
  <c r="L501" i="4"/>
  <c r="M501" i="4"/>
  <c r="N501" i="4"/>
  <c r="O501" i="4"/>
  <c r="P501" i="4"/>
  <c r="Q501" i="4"/>
  <c r="R501" i="4"/>
  <c r="B502" i="4"/>
  <c r="C502" i="4"/>
  <c r="D502" i="4"/>
  <c r="E502" i="4"/>
  <c r="F502" i="4"/>
  <c r="G502" i="4"/>
  <c r="H502" i="4"/>
  <c r="I502" i="4"/>
  <c r="J502" i="4"/>
  <c r="K502" i="4"/>
  <c r="L502" i="4"/>
  <c r="M502" i="4"/>
  <c r="N502" i="4"/>
  <c r="O502" i="4"/>
  <c r="P502" i="4"/>
  <c r="Q502" i="4"/>
  <c r="R502" i="4"/>
  <c r="B503" i="4"/>
  <c r="C503" i="4"/>
  <c r="D503" i="4"/>
  <c r="E503" i="4"/>
  <c r="F503" i="4"/>
  <c r="G503" i="4"/>
  <c r="H503" i="4"/>
  <c r="I503" i="4"/>
  <c r="J503" i="4"/>
  <c r="K503" i="4"/>
  <c r="L503" i="4"/>
  <c r="M503" i="4"/>
  <c r="N503" i="4"/>
  <c r="O503" i="4"/>
  <c r="P503" i="4"/>
  <c r="Q503" i="4"/>
  <c r="R503" i="4"/>
  <c r="B504" i="4"/>
  <c r="C504" i="4"/>
  <c r="D504" i="4"/>
  <c r="E504" i="4"/>
  <c r="F504" i="4"/>
  <c r="G504" i="4"/>
  <c r="H504" i="4"/>
  <c r="I504" i="4"/>
  <c r="J504" i="4"/>
  <c r="K504" i="4"/>
  <c r="L504" i="4"/>
  <c r="M504" i="4"/>
  <c r="N504" i="4"/>
  <c r="O504" i="4"/>
  <c r="P504" i="4"/>
  <c r="Q504" i="4"/>
  <c r="R504" i="4"/>
  <c r="B505" i="4"/>
  <c r="C505" i="4"/>
  <c r="D505" i="4"/>
  <c r="E505" i="4"/>
  <c r="F505" i="4"/>
  <c r="G505" i="4"/>
  <c r="H505" i="4"/>
  <c r="I505" i="4"/>
  <c r="J505" i="4"/>
  <c r="K505" i="4"/>
  <c r="L505" i="4"/>
  <c r="M505" i="4"/>
  <c r="N505" i="4"/>
  <c r="O505" i="4"/>
  <c r="P505" i="4"/>
  <c r="Q505" i="4"/>
  <c r="R505" i="4"/>
  <c r="B506" i="4"/>
  <c r="C506" i="4"/>
  <c r="D506" i="4"/>
  <c r="E506" i="4"/>
  <c r="F506" i="4"/>
  <c r="G506" i="4"/>
  <c r="H506" i="4"/>
  <c r="I506" i="4"/>
  <c r="J506" i="4"/>
  <c r="K506" i="4"/>
  <c r="L506" i="4"/>
  <c r="M506" i="4"/>
  <c r="N506" i="4"/>
  <c r="O506" i="4"/>
  <c r="P506" i="4"/>
  <c r="Q506" i="4"/>
  <c r="R506" i="4"/>
  <c r="B507" i="4"/>
  <c r="C507" i="4"/>
  <c r="D507" i="4"/>
  <c r="E507" i="4"/>
  <c r="F507" i="4"/>
  <c r="G507" i="4"/>
  <c r="H507" i="4"/>
  <c r="I507" i="4"/>
  <c r="J507" i="4"/>
  <c r="K507" i="4"/>
  <c r="L507" i="4"/>
  <c r="M507" i="4"/>
  <c r="N507" i="4"/>
  <c r="O507" i="4"/>
  <c r="P507" i="4"/>
  <c r="Q507" i="4"/>
  <c r="R507" i="4"/>
  <c r="B508" i="4"/>
  <c r="C508" i="4"/>
  <c r="D508" i="4"/>
  <c r="E508" i="4"/>
  <c r="F508" i="4"/>
  <c r="G508" i="4"/>
  <c r="H508" i="4"/>
  <c r="I508" i="4"/>
  <c r="J508" i="4"/>
  <c r="K508" i="4"/>
  <c r="L508" i="4"/>
  <c r="M508" i="4"/>
  <c r="N508" i="4"/>
  <c r="O508" i="4"/>
  <c r="P508" i="4"/>
  <c r="Q508" i="4"/>
  <c r="R508" i="4"/>
  <c r="B509" i="4"/>
  <c r="C509" i="4"/>
  <c r="D509" i="4"/>
  <c r="E509" i="4"/>
  <c r="F509" i="4"/>
  <c r="G509" i="4"/>
  <c r="H509" i="4"/>
  <c r="I509" i="4"/>
  <c r="J509" i="4"/>
  <c r="K509" i="4"/>
  <c r="L509" i="4"/>
  <c r="M509" i="4"/>
  <c r="N509" i="4"/>
  <c r="O509" i="4"/>
  <c r="P509" i="4"/>
  <c r="Q509" i="4"/>
  <c r="R509" i="4"/>
  <c r="B510" i="4"/>
  <c r="C510" i="4"/>
  <c r="D510" i="4"/>
  <c r="E510" i="4"/>
  <c r="F510" i="4"/>
  <c r="G510" i="4"/>
  <c r="H510" i="4"/>
  <c r="I510" i="4"/>
  <c r="J510" i="4"/>
  <c r="K510" i="4"/>
  <c r="L510" i="4"/>
  <c r="M510" i="4"/>
  <c r="N510" i="4"/>
  <c r="O510" i="4"/>
  <c r="P510" i="4"/>
  <c r="Q510" i="4"/>
  <c r="R510" i="4"/>
  <c r="B511" i="4"/>
  <c r="C511" i="4"/>
  <c r="D511" i="4"/>
  <c r="E511" i="4"/>
  <c r="F511" i="4"/>
  <c r="G511" i="4"/>
  <c r="H511" i="4"/>
  <c r="I511" i="4"/>
  <c r="J511" i="4"/>
  <c r="K511" i="4"/>
  <c r="L511" i="4"/>
  <c r="M511" i="4"/>
  <c r="N511" i="4"/>
  <c r="O511" i="4"/>
  <c r="P511" i="4"/>
  <c r="Q511" i="4"/>
  <c r="R511" i="4"/>
  <c r="B512" i="4"/>
  <c r="C512" i="4"/>
  <c r="D512" i="4"/>
  <c r="E512" i="4"/>
  <c r="F512" i="4"/>
  <c r="G512" i="4"/>
  <c r="H512" i="4"/>
  <c r="I512" i="4"/>
  <c r="J512" i="4"/>
  <c r="K512" i="4"/>
  <c r="L512" i="4"/>
  <c r="M512" i="4"/>
  <c r="N512" i="4"/>
  <c r="O512" i="4"/>
  <c r="P512" i="4"/>
  <c r="Q512" i="4"/>
  <c r="R512" i="4"/>
  <c r="B513" i="4"/>
  <c r="C513" i="4"/>
  <c r="D513" i="4"/>
  <c r="E513" i="4"/>
  <c r="F513" i="4"/>
  <c r="G513" i="4"/>
  <c r="H513" i="4"/>
  <c r="I513" i="4"/>
  <c r="J513" i="4"/>
  <c r="K513" i="4"/>
  <c r="L513" i="4"/>
  <c r="M513" i="4"/>
  <c r="N513" i="4"/>
  <c r="O513" i="4"/>
  <c r="P513" i="4"/>
  <c r="Q513" i="4"/>
  <c r="R513" i="4"/>
  <c r="B514" i="4"/>
  <c r="C514" i="4"/>
  <c r="D514" i="4"/>
  <c r="E514" i="4"/>
  <c r="F514" i="4"/>
  <c r="G514" i="4"/>
  <c r="H514" i="4"/>
  <c r="I514" i="4"/>
  <c r="J514" i="4"/>
  <c r="K514" i="4"/>
  <c r="L514" i="4"/>
  <c r="M514" i="4"/>
  <c r="N514" i="4"/>
  <c r="O514" i="4"/>
  <c r="P514" i="4"/>
  <c r="Q514" i="4"/>
  <c r="R514" i="4"/>
  <c r="B515" i="4"/>
  <c r="C515" i="4"/>
  <c r="D515" i="4"/>
  <c r="E515" i="4"/>
  <c r="F515" i="4"/>
  <c r="G515" i="4"/>
  <c r="H515" i="4"/>
  <c r="I515" i="4"/>
  <c r="J515" i="4"/>
  <c r="K515" i="4"/>
  <c r="L515" i="4"/>
  <c r="M515" i="4"/>
  <c r="N515" i="4"/>
  <c r="O515" i="4"/>
  <c r="P515" i="4"/>
  <c r="Q515" i="4"/>
  <c r="R515" i="4"/>
  <c r="B516" i="4"/>
  <c r="C516" i="4"/>
  <c r="D516" i="4"/>
  <c r="E516" i="4"/>
  <c r="F516" i="4"/>
  <c r="G516" i="4"/>
  <c r="H516" i="4"/>
  <c r="I516" i="4"/>
  <c r="J516" i="4"/>
  <c r="K516" i="4"/>
  <c r="L516" i="4"/>
  <c r="M516" i="4"/>
  <c r="N516" i="4"/>
  <c r="O516" i="4"/>
  <c r="P516" i="4"/>
  <c r="Q516" i="4"/>
  <c r="R516" i="4"/>
  <c r="B517" i="4"/>
  <c r="C517" i="4"/>
  <c r="D517" i="4"/>
  <c r="E517" i="4"/>
  <c r="F517" i="4"/>
  <c r="G517" i="4"/>
  <c r="H517" i="4"/>
  <c r="I517" i="4"/>
  <c r="J517" i="4"/>
  <c r="K517" i="4"/>
  <c r="L517" i="4"/>
  <c r="M517" i="4"/>
  <c r="N517" i="4"/>
  <c r="O517" i="4"/>
  <c r="P517" i="4"/>
  <c r="Q517" i="4"/>
  <c r="R517" i="4"/>
  <c r="B518" i="4"/>
  <c r="C518" i="4"/>
  <c r="D518" i="4"/>
  <c r="E518" i="4"/>
  <c r="F518" i="4"/>
  <c r="G518" i="4"/>
  <c r="H518" i="4"/>
  <c r="I518" i="4"/>
  <c r="J518" i="4"/>
  <c r="K518" i="4"/>
  <c r="L518" i="4"/>
  <c r="M518" i="4"/>
  <c r="N518" i="4"/>
  <c r="O518" i="4"/>
  <c r="P518" i="4"/>
  <c r="Q518" i="4"/>
  <c r="R518" i="4"/>
  <c r="B519" i="4"/>
  <c r="C519" i="4"/>
  <c r="D519" i="4"/>
  <c r="E519" i="4"/>
  <c r="F519" i="4"/>
  <c r="G519" i="4"/>
  <c r="H519" i="4"/>
  <c r="I519" i="4"/>
  <c r="J519" i="4"/>
  <c r="K519" i="4"/>
  <c r="L519" i="4"/>
  <c r="M519" i="4"/>
  <c r="N519" i="4"/>
  <c r="O519" i="4"/>
  <c r="P519" i="4"/>
  <c r="Q519" i="4"/>
  <c r="R519" i="4"/>
  <c r="B520" i="4"/>
  <c r="C520" i="4"/>
  <c r="D520" i="4"/>
  <c r="E520" i="4"/>
  <c r="F520" i="4"/>
  <c r="G520" i="4"/>
  <c r="H520" i="4"/>
  <c r="I520" i="4"/>
  <c r="J520" i="4"/>
  <c r="K520" i="4"/>
  <c r="L520" i="4"/>
  <c r="M520" i="4"/>
  <c r="N520" i="4"/>
  <c r="O520" i="4"/>
  <c r="P520" i="4"/>
  <c r="Q520" i="4"/>
  <c r="R520" i="4"/>
  <c r="B521" i="4"/>
  <c r="C521" i="4"/>
  <c r="D521" i="4"/>
  <c r="E521" i="4"/>
  <c r="F521" i="4"/>
  <c r="G521" i="4"/>
  <c r="H521" i="4"/>
  <c r="I521" i="4"/>
  <c r="J521" i="4"/>
  <c r="K521" i="4"/>
  <c r="L521" i="4"/>
  <c r="M521" i="4"/>
  <c r="N521" i="4"/>
  <c r="O521" i="4"/>
  <c r="P521" i="4"/>
  <c r="Q521" i="4"/>
  <c r="R521" i="4"/>
  <c r="B522" i="4"/>
  <c r="C522" i="4"/>
  <c r="D522" i="4"/>
  <c r="E522" i="4"/>
  <c r="F522" i="4"/>
  <c r="G522" i="4"/>
  <c r="H522" i="4"/>
  <c r="I522" i="4"/>
  <c r="J522" i="4"/>
  <c r="K522" i="4"/>
  <c r="L522" i="4"/>
  <c r="M522" i="4"/>
  <c r="N522" i="4"/>
  <c r="O522" i="4"/>
  <c r="P522" i="4"/>
  <c r="Q522" i="4"/>
  <c r="R522" i="4"/>
  <c r="B523" i="4"/>
  <c r="C523" i="4"/>
  <c r="D523" i="4"/>
  <c r="E523" i="4"/>
  <c r="F523" i="4"/>
  <c r="G523" i="4"/>
  <c r="H523" i="4"/>
  <c r="I523" i="4"/>
  <c r="J523" i="4"/>
  <c r="K523" i="4"/>
  <c r="L523" i="4"/>
  <c r="M523" i="4"/>
  <c r="N523" i="4"/>
  <c r="O523" i="4"/>
  <c r="P523" i="4"/>
  <c r="Q523" i="4"/>
  <c r="R523" i="4"/>
  <c r="B524" i="4"/>
  <c r="C524" i="4"/>
  <c r="D524" i="4"/>
  <c r="E524" i="4"/>
  <c r="F524" i="4"/>
  <c r="G524" i="4"/>
  <c r="H524" i="4"/>
  <c r="I524" i="4"/>
  <c r="J524" i="4"/>
  <c r="K524" i="4"/>
  <c r="L524" i="4"/>
  <c r="M524" i="4"/>
  <c r="N524" i="4"/>
  <c r="O524" i="4"/>
  <c r="P524" i="4"/>
  <c r="Q524" i="4"/>
  <c r="R524" i="4"/>
  <c r="B525" i="4"/>
  <c r="C525" i="4"/>
  <c r="D525" i="4"/>
  <c r="E525" i="4"/>
  <c r="F525" i="4"/>
  <c r="G525" i="4"/>
  <c r="H525" i="4"/>
  <c r="I525" i="4"/>
  <c r="J525" i="4"/>
  <c r="K525" i="4"/>
  <c r="L525" i="4"/>
  <c r="M525" i="4"/>
  <c r="N525" i="4"/>
  <c r="O525" i="4"/>
  <c r="P525" i="4"/>
  <c r="Q525" i="4"/>
  <c r="R525" i="4"/>
  <c r="B526" i="4"/>
  <c r="C526" i="4"/>
  <c r="D526" i="4"/>
  <c r="E526" i="4"/>
  <c r="F526" i="4"/>
  <c r="G526" i="4"/>
  <c r="H526" i="4"/>
  <c r="I526" i="4"/>
  <c r="J526" i="4"/>
  <c r="K526" i="4"/>
  <c r="L526" i="4"/>
  <c r="M526" i="4"/>
  <c r="N526" i="4"/>
  <c r="O526" i="4"/>
  <c r="P526" i="4"/>
  <c r="Q526" i="4"/>
  <c r="R526" i="4"/>
  <c r="B527" i="4"/>
  <c r="C527" i="4"/>
  <c r="D527" i="4"/>
  <c r="E527" i="4"/>
  <c r="F527" i="4"/>
  <c r="G527" i="4"/>
  <c r="H527" i="4"/>
  <c r="I527" i="4"/>
  <c r="J527" i="4"/>
  <c r="K527" i="4"/>
  <c r="L527" i="4"/>
  <c r="M527" i="4"/>
  <c r="N527" i="4"/>
  <c r="O527" i="4"/>
  <c r="P527" i="4"/>
  <c r="Q527" i="4"/>
  <c r="R527" i="4"/>
  <c r="B528" i="4"/>
  <c r="C528" i="4"/>
  <c r="D528" i="4"/>
  <c r="E528" i="4"/>
  <c r="F528" i="4"/>
  <c r="G528" i="4"/>
  <c r="H528" i="4"/>
  <c r="I528" i="4"/>
  <c r="J528" i="4"/>
  <c r="K528" i="4"/>
  <c r="L528" i="4"/>
  <c r="M528" i="4"/>
  <c r="N528" i="4"/>
  <c r="O528" i="4"/>
  <c r="P528" i="4"/>
  <c r="Q528" i="4"/>
  <c r="R528" i="4"/>
  <c r="B529" i="4"/>
  <c r="C529" i="4"/>
  <c r="D529" i="4"/>
  <c r="E529" i="4"/>
  <c r="F529" i="4"/>
  <c r="G529" i="4"/>
  <c r="H529" i="4"/>
  <c r="I529" i="4"/>
  <c r="J529" i="4"/>
  <c r="K529" i="4"/>
  <c r="L529" i="4"/>
  <c r="M529" i="4"/>
  <c r="N529" i="4"/>
  <c r="O529" i="4"/>
  <c r="P529" i="4"/>
  <c r="Q529" i="4"/>
  <c r="R529" i="4"/>
  <c r="B530" i="4"/>
  <c r="C530" i="4"/>
  <c r="D530" i="4"/>
  <c r="E530" i="4"/>
  <c r="F530" i="4"/>
  <c r="G530" i="4"/>
  <c r="H530" i="4"/>
  <c r="I530" i="4"/>
  <c r="J530" i="4"/>
  <c r="K530" i="4"/>
  <c r="L530" i="4"/>
  <c r="M530" i="4"/>
  <c r="N530" i="4"/>
  <c r="O530" i="4"/>
  <c r="P530" i="4"/>
  <c r="Q530" i="4"/>
  <c r="R530" i="4"/>
  <c r="B531" i="4"/>
  <c r="C531" i="4"/>
  <c r="D531" i="4"/>
  <c r="E531" i="4"/>
  <c r="F531" i="4"/>
  <c r="G531" i="4"/>
  <c r="H531" i="4"/>
  <c r="I531" i="4"/>
  <c r="J531" i="4"/>
  <c r="K531" i="4"/>
  <c r="L531" i="4"/>
  <c r="M531" i="4"/>
  <c r="N531" i="4"/>
  <c r="O531" i="4"/>
  <c r="P531" i="4"/>
  <c r="Q531" i="4"/>
  <c r="R531" i="4"/>
  <c r="B532" i="4"/>
  <c r="C532" i="4"/>
  <c r="D532" i="4"/>
  <c r="E532" i="4"/>
  <c r="F532" i="4"/>
  <c r="G532" i="4"/>
  <c r="H532" i="4"/>
  <c r="I532" i="4"/>
  <c r="J532" i="4"/>
  <c r="K532" i="4"/>
  <c r="L532" i="4"/>
  <c r="M532" i="4"/>
  <c r="N532" i="4"/>
  <c r="O532" i="4"/>
  <c r="P532" i="4"/>
  <c r="Q532" i="4"/>
  <c r="R532" i="4"/>
  <c r="B533" i="4"/>
  <c r="C533" i="4"/>
  <c r="D533" i="4"/>
  <c r="E533" i="4"/>
  <c r="F533" i="4"/>
  <c r="G533" i="4"/>
  <c r="H533" i="4"/>
  <c r="I533" i="4"/>
  <c r="J533" i="4"/>
  <c r="K533" i="4"/>
  <c r="L533" i="4"/>
  <c r="M533" i="4"/>
  <c r="N533" i="4"/>
  <c r="O533" i="4"/>
  <c r="P533" i="4"/>
  <c r="Q533" i="4"/>
  <c r="R533" i="4"/>
  <c r="B534" i="4"/>
  <c r="C534" i="4"/>
  <c r="D534" i="4"/>
  <c r="E534" i="4"/>
  <c r="F534" i="4"/>
  <c r="G534" i="4"/>
  <c r="H534" i="4"/>
  <c r="I534" i="4"/>
  <c r="J534" i="4"/>
  <c r="K534" i="4"/>
  <c r="L534" i="4"/>
  <c r="M534" i="4"/>
  <c r="N534" i="4"/>
  <c r="O534" i="4"/>
  <c r="P534" i="4"/>
  <c r="Q534" i="4"/>
  <c r="R534" i="4"/>
  <c r="B535" i="4"/>
  <c r="C535" i="4"/>
  <c r="D535" i="4"/>
  <c r="E535" i="4"/>
  <c r="F535" i="4"/>
  <c r="G535" i="4"/>
  <c r="H535" i="4"/>
  <c r="I535" i="4"/>
  <c r="J535" i="4"/>
  <c r="K535" i="4"/>
  <c r="L535" i="4"/>
  <c r="M535" i="4"/>
  <c r="N535" i="4"/>
  <c r="O535" i="4"/>
  <c r="P535" i="4"/>
  <c r="Q535" i="4"/>
  <c r="R535" i="4"/>
  <c r="B536" i="4"/>
  <c r="C536" i="4"/>
  <c r="D536" i="4"/>
  <c r="E536" i="4"/>
  <c r="F536" i="4"/>
  <c r="G536" i="4"/>
  <c r="H536" i="4"/>
  <c r="I536" i="4"/>
  <c r="J536" i="4"/>
  <c r="K536" i="4"/>
  <c r="L536" i="4"/>
  <c r="M536" i="4"/>
  <c r="N536" i="4"/>
  <c r="O536" i="4"/>
  <c r="P536" i="4"/>
  <c r="Q536" i="4"/>
  <c r="R536" i="4"/>
  <c r="B537" i="4"/>
  <c r="C537" i="4"/>
  <c r="D537" i="4"/>
  <c r="E537" i="4"/>
  <c r="F537" i="4"/>
  <c r="G537" i="4"/>
  <c r="H537" i="4"/>
  <c r="I537" i="4"/>
  <c r="J537" i="4"/>
  <c r="K537" i="4"/>
  <c r="L537" i="4"/>
  <c r="M537" i="4"/>
  <c r="N537" i="4"/>
  <c r="O537" i="4"/>
  <c r="P537" i="4"/>
  <c r="Q537" i="4"/>
  <c r="R537" i="4"/>
  <c r="B538" i="4"/>
  <c r="C538" i="4"/>
  <c r="D538" i="4"/>
  <c r="E538" i="4"/>
  <c r="F538" i="4"/>
  <c r="G538" i="4"/>
  <c r="H538" i="4"/>
  <c r="I538" i="4"/>
  <c r="J538" i="4"/>
  <c r="K538" i="4"/>
  <c r="L538" i="4"/>
  <c r="M538" i="4"/>
  <c r="N538" i="4"/>
  <c r="O538" i="4"/>
  <c r="P538" i="4"/>
  <c r="Q538" i="4"/>
  <c r="R538" i="4"/>
  <c r="B539" i="4"/>
  <c r="C539" i="4"/>
  <c r="D539" i="4"/>
  <c r="E539" i="4"/>
  <c r="F539" i="4"/>
  <c r="G539" i="4"/>
  <c r="H539" i="4"/>
  <c r="I539" i="4"/>
  <c r="J539" i="4"/>
  <c r="K539" i="4"/>
  <c r="L539" i="4"/>
  <c r="M539" i="4"/>
  <c r="N539" i="4"/>
  <c r="O539" i="4"/>
  <c r="P539" i="4"/>
  <c r="Q539" i="4"/>
  <c r="R539" i="4"/>
  <c r="B540" i="4"/>
  <c r="C540" i="4"/>
  <c r="D540" i="4"/>
  <c r="E540" i="4"/>
  <c r="F540" i="4"/>
  <c r="G540" i="4"/>
  <c r="H540" i="4"/>
  <c r="I540" i="4"/>
  <c r="J540" i="4"/>
  <c r="K540" i="4"/>
  <c r="L540" i="4"/>
  <c r="M540" i="4"/>
  <c r="N540" i="4"/>
  <c r="O540" i="4"/>
  <c r="P540" i="4"/>
  <c r="Q540" i="4"/>
  <c r="R540" i="4"/>
  <c r="B541" i="4"/>
  <c r="C541" i="4"/>
  <c r="D541" i="4"/>
  <c r="E541" i="4"/>
  <c r="F541" i="4"/>
  <c r="G541" i="4"/>
  <c r="H541" i="4"/>
  <c r="I541" i="4"/>
  <c r="J541" i="4"/>
  <c r="K541" i="4"/>
  <c r="L541" i="4"/>
  <c r="M541" i="4"/>
  <c r="N541" i="4"/>
  <c r="O541" i="4"/>
  <c r="P541" i="4"/>
  <c r="Q541" i="4"/>
  <c r="R541" i="4"/>
  <c r="B542" i="4"/>
  <c r="C542" i="4"/>
  <c r="D542" i="4"/>
  <c r="E542" i="4"/>
  <c r="F542" i="4"/>
  <c r="G542" i="4"/>
  <c r="H542" i="4"/>
  <c r="I542" i="4"/>
  <c r="J542" i="4"/>
  <c r="K542" i="4"/>
  <c r="L542" i="4"/>
  <c r="M542" i="4"/>
  <c r="N542" i="4"/>
  <c r="O542" i="4"/>
  <c r="P542" i="4"/>
  <c r="Q542" i="4"/>
  <c r="R542" i="4"/>
  <c r="B543" i="4"/>
  <c r="C543" i="4"/>
  <c r="D543" i="4"/>
  <c r="E543" i="4"/>
  <c r="F543" i="4"/>
  <c r="G543" i="4"/>
  <c r="H543" i="4"/>
  <c r="I543" i="4"/>
  <c r="J543" i="4"/>
  <c r="K543" i="4"/>
  <c r="L543" i="4"/>
  <c r="M543" i="4"/>
  <c r="N543" i="4"/>
  <c r="O543" i="4"/>
  <c r="P543" i="4"/>
  <c r="Q543" i="4"/>
  <c r="R543" i="4"/>
  <c r="B544" i="4"/>
  <c r="C544" i="4"/>
  <c r="D544" i="4"/>
  <c r="E544" i="4"/>
  <c r="F544" i="4"/>
  <c r="G544" i="4"/>
  <c r="H544" i="4"/>
  <c r="I544" i="4"/>
  <c r="J544" i="4"/>
  <c r="K544" i="4"/>
  <c r="L544" i="4"/>
  <c r="M544" i="4"/>
  <c r="N544" i="4"/>
  <c r="O544" i="4"/>
  <c r="P544" i="4"/>
  <c r="Q544" i="4"/>
  <c r="R544" i="4"/>
  <c r="B545" i="4"/>
  <c r="C545" i="4"/>
  <c r="D545" i="4"/>
  <c r="E545" i="4"/>
  <c r="F545" i="4"/>
  <c r="G545" i="4"/>
  <c r="H545" i="4"/>
  <c r="I545" i="4"/>
  <c r="J545" i="4"/>
  <c r="K545" i="4"/>
  <c r="L545" i="4"/>
  <c r="M545" i="4"/>
  <c r="N545" i="4"/>
  <c r="O545" i="4"/>
  <c r="P545" i="4"/>
  <c r="Q545" i="4"/>
  <c r="R545" i="4"/>
  <c r="B546" i="4"/>
  <c r="C546" i="4"/>
  <c r="D546" i="4"/>
  <c r="E546" i="4"/>
  <c r="F546" i="4"/>
  <c r="G546" i="4"/>
  <c r="H546" i="4"/>
  <c r="I546" i="4"/>
  <c r="J546" i="4"/>
  <c r="K546" i="4"/>
  <c r="L546" i="4"/>
  <c r="M546" i="4"/>
  <c r="N546" i="4"/>
  <c r="O546" i="4"/>
  <c r="P546" i="4"/>
  <c r="Q546" i="4"/>
  <c r="R546" i="4"/>
  <c r="B547" i="4"/>
  <c r="C547" i="4"/>
  <c r="D547" i="4"/>
  <c r="E547" i="4"/>
  <c r="F547" i="4"/>
  <c r="G547" i="4"/>
  <c r="H547" i="4"/>
  <c r="I547" i="4"/>
  <c r="J547" i="4"/>
  <c r="K547" i="4"/>
  <c r="L547" i="4"/>
  <c r="M547" i="4"/>
  <c r="N547" i="4"/>
  <c r="O547" i="4"/>
  <c r="P547" i="4"/>
  <c r="Q547" i="4"/>
  <c r="R547" i="4"/>
  <c r="B548" i="4"/>
  <c r="C548" i="4"/>
  <c r="D548" i="4"/>
  <c r="E548" i="4"/>
  <c r="F548" i="4"/>
  <c r="G548" i="4"/>
  <c r="H548" i="4"/>
  <c r="I548" i="4"/>
  <c r="J548" i="4"/>
  <c r="K548" i="4"/>
  <c r="L548" i="4"/>
  <c r="M548" i="4"/>
  <c r="N548" i="4"/>
  <c r="O548" i="4"/>
  <c r="P548" i="4"/>
  <c r="Q548" i="4"/>
  <c r="R548" i="4"/>
  <c r="B549" i="4"/>
  <c r="C549" i="4"/>
  <c r="D549" i="4"/>
  <c r="E549" i="4"/>
  <c r="F549" i="4"/>
  <c r="G549" i="4"/>
  <c r="H549" i="4"/>
  <c r="I549" i="4"/>
  <c r="J549" i="4"/>
  <c r="K549" i="4"/>
  <c r="L549" i="4"/>
  <c r="M549" i="4"/>
  <c r="N549" i="4"/>
  <c r="O549" i="4"/>
  <c r="P549" i="4"/>
  <c r="Q549" i="4"/>
  <c r="R549" i="4"/>
  <c r="B550" i="4"/>
  <c r="C550" i="4"/>
  <c r="D550" i="4"/>
  <c r="E550" i="4"/>
  <c r="F550" i="4"/>
  <c r="G550" i="4"/>
  <c r="H550" i="4"/>
  <c r="I550" i="4"/>
  <c r="J550" i="4"/>
  <c r="K550" i="4"/>
  <c r="L550" i="4"/>
  <c r="M550" i="4"/>
  <c r="N550" i="4"/>
  <c r="O550" i="4"/>
  <c r="P550" i="4"/>
  <c r="Q550" i="4"/>
  <c r="R550" i="4"/>
  <c r="B551" i="4"/>
  <c r="C551" i="4"/>
  <c r="D551" i="4"/>
  <c r="E551" i="4"/>
  <c r="F551" i="4"/>
  <c r="G551" i="4"/>
  <c r="H551" i="4"/>
  <c r="I551" i="4"/>
  <c r="J551" i="4"/>
  <c r="K551" i="4"/>
  <c r="L551" i="4"/>
  <c r="M551" i="4"/>
  <c r="N551" i="4"/>
  <c r="O551" i="4"/>
  <c r="P551" i="4"/>
  <c r="Q551" i="4"/>
  <c r="R551" i="4"/>
  <c r="B552" i="4"/>
  <c r="C552" i="4"/>
  <c r="D552" i="4"/>
  <c r="E552" i="4"/>
  <c r="F552" i="4"/>
  <c r="G552" i="4"/>
  <c r="H552" i="4"/>
  <c r="I552" i="4"/>
  <c r="J552" i="4"/>
  <c r="K552" i="4"/>
  <c r="L552" i="4"/>
  <c r="M552" i="4"/>
  <c r="N552" i="4"/>
  <c r="O552" i="4"/>
  <c r="P552" i="4"/>
  <c r="Q552" i="4"/>
  <c r="R552" i="4"/>
  <c r="B553" i="4"/>
  <c r="C553" i="4"/>
  <c r="D553" i="4"/>
  <c r="E553" i="4"/>
  <c r="F553" i="4"/>
  <c r="G553" i="4"/>
  <c r="H553" i="4"/>
  <c r="I553" i="4"/>
  <c r="J553" i="4"/>
  <c r="K553" i="4"/>
  <c r="L553" i="4"/>
  <c r="M553" i="4"/>
  <c r="N553" i="4"/>
  <c r="O553" i="4"/>
  <c r="P553" i="4"/>
  <c r="Q553" i="4"/>
  <c r="R553" i="4"/>
  <c r="B554" i="4"/>
  <c r="C554" i="4"/>
  <c r="D554" i="4"/>
  <c r="E554" i="4"/>
  <c r="F554" i="4"/>
  <c r="G554" i="4"/>
  <c r="H554" i="4"/>
  <c r="I554" i="4"/>
  <c r="J554" i="4"/>
  <c r="K554" i="4"/>
  <c r="L554" i="4"/>
  <c r="M554" i="4"/>
  <c r="N554" i="4"/>
  <c r="O554" i="4"/>
  <c r="P554" i="4"/>
  <c r="Q554" i="4"/>
  <c r="R554" i="4"/>
  <c r="B555" i="4"/>
  <c r="C555" i="4"/>
  <c r="D555" i="4"/>
  <c r="E555" i="4"/>
  <c r="F555" i="4"/>
  <c r="G555" i="4"/>
  <c r="H555" i="4"/>
  <c r="I555" i="4"/>
  <c r="J555" i="4"/>
  <c r="K555" i="4"/>
  <c r="L555" i="4"/>
  <c r="M555" i="4"/>
  <c r="N555" i="4"/>
  <c r="O555" i="4"/>
  <c r="P555" i="4"/>
  <c r="Q555" i="4"/>
  <c r="R555" i="4"/>
  <c r="B556" i="4"/>
  <c r="C556" i="4"/>
  <c r="D556" i="4"/>
  <c r="E556" i="4"/>
  <c r="F556" i="4"/>
  <c r="G556" i="4"/>
  <c r="H556" i="4"/>
  <c r="I556" i="4"/>
  <c r="J556" i="4"/>
  <c r="K556" i="4"/>
  <c r="L556" i="4"/>
  <c r="M556" i="4"/>
  <c r="N556" i="4"/>
  <c r="O556" i="4"/>
  <c r="P556" i="4"/>
  <c r="Q556" i="4"/>
  <c r="R556" i="4"/>
  <c r="B557" i="4"/>
  <c r="C557" i="4"/>
  <c r="D557" i="4"/>
  <c r="E557" i="4"/>
  <c r="F557" i="4"/>
  <c r="G557" i="4"/>
  <c r="H557" i="4"/>
  <c r="I557" i="4"/>
  <c r="J557" i="4"/>
  <c r="K557" i="4"/>
  <c r="L557" i="4"/>
  <c r="M557" i="4"/>
  <c r="N557" i="4"/>
  <c r="O557" i="4"/>
  <c r="P557" i="4"/>
  <c r="Q557" i="4"/>
  <c r="R557" i="4"/>
  <c r="B558" i="4"/>
  <c r="C558" i="4"/>
  <c r="D558" i="4"/>
  <c r="E558" i="4"/>
  <c r="F558" i="4"/>
  <c r="G558" i="4"/>
  <c r="H558" i="4"/>
  <c r="I558" i="4"/>
  <c r="J558" i="4"/>
  <c r="K558" i="4"/>
  <c r="L558" i="4"/>
  <c r="M558" i="4"/>
  <c r="N558" i="4"/>
  <c r="O558" i="4"/>
  <c r="P558" i="4"/>
  <c r="Q558" i="4"/>
  <c r="R558" i="4"/>
  <c r="B559" i="4"/>
  <c r="C559" i="4"/>
  <c r="D559" i="4"/>
  <c r="E559" i="4"/>
  <c r="F559" i="4"/>
  <c r="G559" i="4"/>
  <c r="H559" i="4"/>
  <c r="I559" i="4"/>
  <c r="J559" i="4"/>
  <c r="K559" i="4"/>
  <c r="L559" i="4"/>
  <c r="M559" i="4"/>
  <c r="N559" i="4"/>
  <c r="O559" i="4"/>
  <c r="P559" i="4"/>
  <c r="Q559" i="4"/>
  <c r="R559" i="4"/>
  <c r="B560" i="4"/>
  <c r="C560" i="4"/>
  <c r="D560" i="4"/>
  <c r="E560" i="4"/>
  <c r="F560" i="4"/>
  <c r="G560" i="4"/>
  <c r="H560" i="4"/>
  <c r="I560" i="4"/>
  <c r="J560" i="4"/>
  <c r="K560" i="4"/>
  <c r="L560" i="4"/>
  <c r="M560" i="4"/>
  <c r="N560" i="4"/>
  <c r="O560" i="4"/>
  <c r="P560" i="4"/>
  <c r="Q560" i="4"/>
  <c r="R560" i="4"/>
  <c r="B561" i="4"/>
  <c r="C561" i="4"/>
  <c r="D561" i="4"/>
  <c r="E561" i="4"/>
  <c r="F561" i="4"/>
  <c r="G561" i="4"/>
  <c r="H561" i="4"/>
  <c r="I561" i="4"/>
  <c r="J561" i="4"/>
  <c r="K561" i="4"/>
  <c r="L561" i="4"/>
  <c r="M561" i="4"/>
  <c r="N561" i="4"/>
  <c r="O561" i="4"/>
  <c r="P561" i="4"/>
  <c r="Q561" i="4"/>
  <c r="R561" i="4"/>
  <c r="B562" i="4"/>
  <c r="C562" i="4"/>
  <c r="D562" i="4"/>
  <c r="E562" i="4"/>
  <c r="F562" i="4"/>
  <c r="G562" i="4"/>
  <c r="H562" i="4"/>
  <c r="I562" i="4"/>
  <c r="J562" i="4"/>
  <c r="K562" i="4"/>
  <c r="L562" i="4"/>
  <c r="M562" i="4"/>
  <c r="N562" i="4"/>
  <c r="O562" i="4"/>
  <c r="P562" i="4"/>
  <c r="Q562" i="4"/>
  <c r="R562" i="4"/>
  <c r="B563" i="4"/>
  <c r="C563" i="4"/>
  <c r="D563" i="4"/>
  <c r="E563" i="4"/>
  <c r="F563" i="4"/>
  <c r="G563" i="4"/>
  <c r="H563" i="4"/>
  <c r="I563" i="4"/>
  <c r="J563" i="4"/>
  <c r="K563" i="4"/>
  <c r="L563" i="4"/>
  <c r="M563" i="4"/>
  <c r="N563" i="4"/>
  <c r="O563" i="4"/>
  <c r="P563" i="4"/>
  <c r="Q563" i="4"/>
  <c r="R563" i="4"/>
  <c r="B564" i="4"/>
  <c r="C564" i="4"/>
  <c r="D564" i="4"/>
  <c r="E564" i="4"/>
  <c r="F564" i="4"/>
  <c r="G564" i="4"/>
  <c r="H564" i="4"/>
  <c r="I564" i="4"/>
  <c r="J564" i="4"/>
  <c r="K564" i="4"/>
  <c r="L564" i="4"/>
  <c r="M564" i="4"/>
  <c r="N564" i="4"/>
  <c r="O564" i="4"/>
  <c r="P564" i="4"/>
  <c r="Q564" i="4"/>
  <c r="R564" i="4"/>
  <c r="B565" i="4"/>
  <c r="C565" i="4"/>
  <c r="D565" i="4"/>
  <c r="E565" i="4"/>
  <c r="F565" i="4"/>
  <c r="G565" i="4"/>
  <c r="H565" i="4"/>
  <c r="I565" i="4"/>
  <c r="J565" i="4"/>
  <c r="K565" i="4"/>
  <c r="L565" i="4"/>
  <c r="M565" i="4"/>
  <c r="N565" i="4"/>
  <c r="O565" i="4"/>
  <c r="P565" i="4"/>
  <c r="Q565" i="4"/>
  <c r="R565" i="4"/>
  <c r="B566" i="4"/>
  <c r="C566" i="4"/>
  <c r="D566" i="4"/>
  <c r="E566" i="4"/>
  <c r="F566" i="4"/>
  <c r="G566" i="4"/>
  <c r="H566" i="4"/>
  <c r="I566" i="4"/>
  <c r="J566" i="4"/>
  <c r="K566" i="4"/>
  <c r="L566" i="4"/>
  <c r="M566" i="4"/>
  <c r="N566" i="4"/>
  <c r="O566" i="4"/>
  <c r="P566" i="4"/>
  <c r="Q566" i="4"/>
  <c r="R566" i="4"/>
  <c r="B567" i="4"/>
  <c r="C567" i="4"/>
  <c r="D567" i="4"/>
  <c r="E567" i="4"/>
  <c r="F567" i="4"/>
  <c r="G567" i="4"/>
  <c r="H567" i="4"/>
  <c r="I567" i="4"/>
  <c r="J567" i="4"/>
  <c r="K567" i="4"/>
  <c r="L567" i="4"/>
  <c r="M567" i="4"/>
  <c r="N567" i="4"/>
  <c r="O567" i="4"/>
  <c r="P567" i="4"/>
  <c r="Q567" i="4"/>
  <c r="R567" i="4"/>
  <c r="B568" i="4"/>
  <c r="C568" i="4"/>
  <c r="D568" i="4"/>
  <c r="E568" i="4"/>
  <c r="F568" i="4"/>
  <c r="G568" i="4"/>
  <c r="H568" i="4"/>
  <c r="I568" i="4"/>
  <c r="J568" i="4"/>
  <c r="K568" i="4"/>
  <c r="L568" i="4"/>
  <c r="M568" i="4"/>
  <c r="N568" i="4"/>
  <c r="O568" i="4"/>
  <c r="P568" i="4"/>
  <c r="Q568" i="4"/>
  <c r="R568" i="4"/>
  <c r="B569" i="4"/>
  <c r="C569" i="4"/>
  <c r="D569" i="4"/>
  <c r="E569" i="4"/>
  <c r="F569" i="4"/>
  <c r="G569" i="4"/>
  <c r="H569" i="4"/>
  <c r="I569" i="4"/>
  <c r="J569" i="4"/>
  <c r="K569" i="4"/>
  <c r="L569" i="4"/>
  <c r="M569" i="4"/>
  <c r="N569" i="4"/>
  <c r="O569" i="4"/>
  <c r="P569" i="4"/>
  <c r="Q569" i="4"/>
  <c r="R569" i="4"/>
  <c r="B570" i="4"/>
  <c r="C570" i="4"/>
  <c r="D570" i="4"/>
  <c r="E570" i="4"/>
  <c r="F570" i="4"/>
  <c r="G570" i="4"/>
  <c r="H570" i="4"/>
  <c r="I570" i="4"/>
  <c r="J570" i="4"/>
  <c r="K570" i="4"/>
  <c r="L570" i="4"/>
  <c r="M570" i="4"/>
  <c r="N570" i="4"/>
  <c r="O570" i="4"/>
  <c r="P570" i="4"/>
  <c r="Q570" i="4"/>
  <c r="R570" i="4"/>
  <c r="B571" i="4"/>
  <c r="C571" i="4"/>
  <c r="D571" i="4"/>
  <c r="E571" i="4"/>
  <c r="F571" i="4"/>
  <c r="G571" i="4"/>
  <c r="H571" i="4"/>
  <c r="I571" i="4"/>
  <c r="J571" i="4"/>
  <c r="K571" i="4"/>
  <c r="L571" i="4"/>
  <c r="M571" i="4"/>
  <c r="N571" i="4"/>
  <c r="O571" i="4"/>
  <c r="P571" i="4"/>
  <c r="Q571" i="4"/>
  <c r="R571" i="4"/>
  <c r="B572" i="4"/>
  <c r="C572" i="4"/>
  <c r="D572" i="4"/>
  <c r="E572" i="4"/>
  <c r="F572" i="4"/>
  <c r="G572" i="4"/>
  <c r="H572" i="4"/>
  <c r="I572" i="4"/>
  <c r="J572" i="4"/>
  <c r="K572" i="4"/>
  <c r="L572" i="4"/>
  <c r="M572" i="4"/>
  <c r="N572" i="4"/>
  <c r="O572" i="4"/>
  <c r="P572" i="4"/>
  <c r="Q572" i="4"/>
  <c r="R572" i="4"/>
  <c r="B573" i="4"/>
  <c r="C573" i="4"/>
  <c r="D573" i="4"/>
  <c r="E573" i="4"/>
  <c r="F573" i="4"/>
  <c r="G573" i="4"/>
  <c r="H573" i="4"/>
  <c r="I573" i="4"/>
  <c r="J573" i="4"/>
  <c r="K573" i="4"/>
  <c r="L573" i="4"/>
  <c r="M573" i="4"/>
  <c r="N573" i="4"/>
  <c r="O573" i="4"/>
  <c r="P573" i="4"/>
  <c r="Q573" i="4"/>
  <c r="R573" i="4"/>
  <c r="B574" i="4"/>
  <c r="C574" i="4"/>
  <c r="D574" i="4"/>
  <c r="E574" i="4"/>
  <c r="F574" i="4"/>
  <c r="G574" i="4"/>
  <c r="H574" i="4"/>
  <c r="I574" i="4"/>
  <c r="J574" i="4"/>
  <c r="K574" i="4"/>
  <c r="L574" i="4"/>
  <c r="M574" i="4"/>
  <c r="N574" i="4"/>
  <c r="O574" i="4"/>
  <c r="P574" i="4"/>
  <c r="Q574" i="4"/>
  <c r="R574" i="4"/>
  <c r="B575" i="4"/>
  <c r="C575" i="4"/>
  <c r="D575" i="4"/>
  <c r="E575" i="4"/>
  <c r="F575" i="4"/>
  <c r="G575" i="4"/>
  <c r="H575" i="4"/>
  <c r="I575" i="4"/>
  <c r="J575" i="4"/>
  <c r="K575" i="4"/>
  <c r="L575" i="4"/>
  <c r="M575" i="4"/>
  <c r="N575" i="4"/>
  <c r="O575" i="4"/>
  <c r="P575" i="4"/>
  <c r="Q575" i="4"/>
  <c r="R575" i="4"/>
  <c r="B576" i="4"/>
  <c r="C576" i="4"/>
  <c r="D576" i="4"/>
  <c r="E576" i="4"/>
  <c r="F576" i="4"/>
  <c r="G576" i="4"/>
  <c r="H576" i="4"/>
  <c r="I576" i="4"/>
  <c r="J576" i="4"/>
  <c r="K576" i="4"/>
  <c r="L576" i="4"/>
  <c r="M576" i="4"/>
  <c r="N576" i="4"/>
  <c r="O576" i="4"/>
  <c r="P576" i="4"/>
  <c r="Q576" i="4"/>
  <c r="R576" i="4"/>
  <c r="B577" i="4"/>
  <c r="C577" i="4"/>
  <c r="D577" i="4"/>
  <c r="E577" i="4"/>
  <c r="F577" i="4"/>
  <c r="G577" i="4"/>
  <c r="H577" i="4"/>
  <c r="I577" i="4"/>
  <c r="J577" i="4"/>
  <c r="K577" i="4"/>
  <c r="L577" i="4"/>
  <c r="M577" i="4"/>
  <c r="N577" i="4"/>
  <c r="O577" i="4"/>
  <c r="P577" i="4"/>
  <c r="Q577" i="4"/>
  <c r="R577" i="4"/>
  <c r="B578" i="4"/>
  <c r="C578" i="4"/>
  <c r="D578" i="4"/>
  <c r="E578" i="4"/>
  <c r="F578" i="4"/>
  <c r="G578" i="4"/>
  <c r="H578" i="4"/>
  <c r="I578" i="4"/>
  <c r="J578" i="4"/>
  <c r="K578" i="4"/>
  <c r="L578" i="4"/>
  <c r="M578" i="4"/>
  <c r="N578" i="4"/>
  <c r="O578" i="4"/>
  <c r="P578" i="4"/>
  <c r="Q578" i="4"/>
  <c r="R578" i="4"/>
  <c r="B579" i="4"/>
  <c r="C579" i="4"/>
  <c r="D579" i="4"/>
  <c r="E579" i="4"/>
  <c r="F579" i="4"/>
  <c r="G579" i="4"/>
  <c r="H579" i="4"/>
  <c r="I579" i="4"/>
  <c r="J579" i="4"/>
  <c r="K579" i="4"/>
  <c r="L579" i="4"/>
  <c r="M579" i="4"/>
  <c r="N579" i="4"/>
  <c r="O579" i="4"/>
  <c r="P579" i="4"/>
  <c r="Q579" i="4"/>
  <c r="R579" i="4"/>
  <c r="B580" i="4"/>
  <c r="C580" i="4"/>
  <c r="D580" i="4"/>
  <c r="E580" i="4"/>
  <c r="F580" i="4"/>
  <c r="G580" i="4"/>
  <c r="H580" i="4"/>
  <c r="I580" i="4"/>
  <c r="J580" i="4"/>
  <c r="K580" i="4"/>
  <c r="L580" i="4"/>
  <c r="M580" i="4"/>
  <c r="N580" i="4"/>
  <c r="O580" i="4"/>
  <c r="P580" i="4"/>
  <c r="Q580" i="4"/>
  <c r="R580" i="4"/>
  <c r="B581" i="4"/>
  <c r="C581" i="4"/>
  <c r="D581" i="4"/>
  <c r="E581" i="4"/>
  <c r="F581" i="4"/>
  <c r="G581" i="4"/>
  <c r="H581" i="4"/>
  <c r="I581" i="4"/>
  <c r="J581" i="4"/>
  <c r="K581" i="4"/>
  <c r="L581" i="4"/>
  <c r="M581" i="4"/>
  <c r="N581" i="4"/>
  <c r="O581" i="4"/>
  <c r="P581" i="4"/>
  <c r="Q581" i="4"/>
  <c r="R581" i="4"/>
  <c r="B582" i="4"/>
  <c r="C582" i="4"/>
  <c r="D582" i="4"/>
  <c r="E582" i="4"/>
  <c r="F582" i="4"/>
  <c r="G582" i="4"/>
  <c r="H582" i="4"/>
  <c r="I582" i="4"/>
  <c r="J582" i="4"/>
  <c r="K582" i="4"/>
  <c r="L582" i="4"/>
  <c r="N582" i="4"/>
  <c r="O582" i="4"/>
  <c r="P582" i="4"/>
  <c r="Q582" i="4"/>
  <c r="R582" i="4"/>
  <c r="B583" i="4"/>
  <c r="C583" i="4"/>
  <c r="D583" i="4"/>
  <c r="E583" i="4"/>
  <c r="F583" i="4"/>
  <c r="G583" i="4"/>
  <c r="H583" i="4"/>
  <c r="I583" i="4"/>
  <c r="J583" i="4"/>
  <c r="K583" i="4"/>
  <c r="L583" i="4"/>
  <c r="N583" i="4"/>
  <c r="O583" i="4"/>
  <c r="P583" i="4"/>
  <c r="Q583" i="4"/>
  <c r="R583" i="4"/>
  <c r="B584" i="4"/>
  <c r="C584" i="4"/>
  <c r="D584" i="4"/>
  <c r="E584" i="4"/>
  <c r="F584" i="4"/>
  <c r="G584" i="4"/>
  <c r="H584" i="4"/>
  <c r="I584" i="4"/>
  <c r="J584" i="4"/>
  <c r="K584" i="4"/>
  <c r="L584" i="4"/>
  <c r="N584" i="4"/>
  <c r="O584" i="4"/>
  <c r="P584" i="4"/>
  <c r="Q584" i="4"/>
  <c r="R584" i="4"/>
  <c r="B585" i="4"/>
  <c r="C585" i="4"/>
  <c r="D585" i="4"/>
  <c r="E585" i="4"/>
  <c r="F585" i="4"/>
  <c r="G585" i="4"/>
  <c r="H585" i="4"/>
  <c r="I585" i="4"/>
  <c r="J585" i="4"/>
  <c r="K585" i="4"/>
  <c r="L585" i="4"/>
  <c r="N585" i="4"/>
  <c r="O585" i="4"/>
  <c r="P585" i="4"/>
  <c r="Q585" i="4"/>
  <c r="R585" i="4"/>
  <c r="B586" i="4"/>
  <c r="C586" i="4"/>
  <c r="D586" i="4"/>
  <c r="E586" i="4"/>
  <c r="F586" i="4"/>
  <c r="G586" i="4"/>
  <c r="H586" i="4"/>
  <c r="I586" i="4"/>
  <c r="J586" i="4"/>
  <c r="K586" i="4"/>
  <c r="L586" i="4"/>
  <c r="M586" i="4"/>
  <c r="N586" i="4"/>
  <c r="O586" i="4"/>
  <c r="P586" i="4"/>
  <c r="Q586" i="4"/>
  <c r="R586" i="4"/>
  <c r="B587" i="4"/>
  <c r="C587" i="4"/>
  <c r="D587" i="4"/>
  <c r="E587" i="4"/>
  <c r="F587" i="4"/>
  <c r="G587" i="4"/>
  <c r="H587" i="4"/>
  <c r="I587" i="4"/>
  <c r="J587" i="4"/>
  <c r="K587" i="4"/>
  <c r="L587" i="4"/>
  <c r="M587" i="4"/>
  <c r="N587" i="4"/>
  <c r="O587" i="4"/>
  <c r="P587" i="4"/>
  <c r="Q587" i="4"/>
  <c r="R587" i="4"/>
  <c r="B588" i="4"/>
  <c r="C588" i="4"/>
  <c r="D588" i="4"/>
  <c r="E588" i="4"/>
  <c r="F588" i="4"/>
  <c r="G588" i="4"/>
  <c r="H588" i="4"/>
  <c r="I588" i="4"/>
  <c r="J588" i="4"/>
  <c r="K588" i="4"/>
  <c r="L588" i="4"/>
  <c r="M588" i="4"/>
  <c r="N588" i="4"/>
  <c r="O588" i="4"/>
  <c r="P588" i="4"/>
  <c r="Q588" i="4"/>
  <c r="R588" i="4"/>
  <c r="B589" i="4"/>
  <c r="C589" i="4"/>
  <c r="D589" i="4"/>
  <c r="E589" i="4"/>
  <c r="F589" i="4"/>
  <c r="G589" i="4"/>
  <c r="H589" i="4"/>
  <c r="I589" i="4"/>
  <c r="J589" i="4"/>
  <c r="K589" i="4"/>
  <c r="L589" i="4"/>
  <c r="M589" i="4"/>
  <c r="N589" i="4"/>
  <c r="O589" i="4"/>
  <c r="P589" i="4"/>
  <c r="Q589" i="4"/>
  <c r="R589" i="4"/>
  <c r="B590" i="4"/>
  <c r="C590" i="4"/>
  <c r="D590" i="4"/>
  <c r="E590" i="4"/>
  <c r="F590" i="4"/>
  <c r="G590" i="4"/>
  <c r="H590" i="4"/>
  <c r="I590" i="4"/>
  <c r="J590" i="4"/>
  <c r="K590" i="4"/>
  <c r="L590" i="4"/>
  <c r="M590" i="4"/>
  <c r="N590" i="4"/>
  <c r="O590" i="4"/>
  <c r="P590" i="4"/>
  <c r="Q590" i="4"/>
  <c r="R590" i="4"/>
  <c r="B591" i="4"/>
  <c r="C591" i="4"/>
  <c r="D591" i="4"/>
  <c r="E591" i="4"/>
  <c r="F591" i="4"/>
  <c r="G591" i="4"/>
  <c r="H591" i="4"/>
  <c r="I591" i="4"/>
  <c r="J591" i="4"/>
  <c r="K591" i="4"/>
  <c r="L591" i="4"/>
  <c r="M591" i="4"/>
  <c r="N591" i="4"/>
  <c r="O591" i="4"/>
  <c r="P591" i="4"/>
  <c r="Q591" i="4"/>
  <c r="R591" i="4"/>
  <c r="B592" i="4"/>
  <c r="C592" i="4"/>
  <c r="D592" i="4"/>
  <c r="E592" i="4"/>
  <c r="F592" i="4"/>
  <c r="G592" i="4"/>
  <c r="H592" i="4"/>
  <c r="I592" i="4"/>
  <c r="J592" i="4"/>
  <c r="K592" i="4"/>
  <c r="L592" i="4"/>
  <c r="M592" i="4"/>
  <c r="N592" i="4"/>
  <c r="O592" i="4"/>
  <c r="P592" i="4"/>
  <c r="Q592" i="4"/>
  <c r="R592" i="4"/>
  <c r="B593" i="4"/>
  <c r="C593" i="4"/>
  <c r="D593" i="4"/>
  <c r="E593" i="4"/>
  <c r="F593" i="4"/>
  <c r="G593" i="4"/>
  <c r="H593" i="4"/>
  <c r="I593" i="4"/>
  <c r="J593" i="4"/>
  <c r="K593" i="4"/>
  <c r="L593" i="4"/>
  <c r="M593" i="4"/>
  <c r="N593" i="4"/>
  <c r="O593" i="4"/>
  <c r="P593" i="4"/>
  <c r="Q593" i="4"/>
  <c r="R593" i="4"/>
  <c r="B594" i="4"/>
  <c r="C594" i="4"/>
  <c r="D594" i="4"/>
  <c r="E594" i="4"/>
  <c r="F594" i="4"/>
  <c r="G594" i="4"/>
  <c r="H594" i="4"/>
  <c r="I594" i="4"/>
  <c r="J594" i="4"/>
  <c r="K594" i="4"/>
  <c r="L594" i="4"/>
  <c r="M594" i="4"/>
  <c r="N594" i="4"/>
  <c r="O594" i="4"/>
  <c r="P594" i="4"/>
  <c r="Q594" i="4"/>
  <c r="R594" i="4"/>
  <c r="B595" i="4"/>
  <c r="C595" i="4"/>
  <c r="D595" i="4"/>
  <c r="E595" i="4"/>
  <c r="F595" i="4"/>
  <c r="G595" i="4"/>
  <c r="H595" i="4"/>
  <c r="I595" i="4"/>
  <c r="J595" i="4"/>
  <c r="K595" i="4"/>
  <c r="L595" i="4"/>
  <c r="M595" i="4"/>
  <c r="N595" i="4"/>
  <c r="O595" i="4"/>
  <c r="P595" i="4"/>
  <c r="Q595" i="4"/>
  <c r="R595" i="4"/>
  <c r="B596" i="4"/>
  <c r="C596" i="4"/>
  <c r="D596" i="4"/>
  <c r="E596" i="4"/>
  <c r="F596" i="4"/>
  <c r="G596" i="4"/>
  <c r="H596" i="4"/>
  <c r="I596" i="4"/>
  <c r="J596" i="4"/>
  <c r="K596" i="4"/>
  <c r="L596" i="4"/>
  <c r="M596" i="4"/>
  <c r="N596" i="4"/>
  <c r="O596" i="4"/>
  <c r="P596" i="4"/>
  <c r="Q596" i="4"/>
  <c r="R596" i="4"/>
  <c r="B597" i="4"/>
  <c r="C597" i="4"/>
  <c r="D597" i="4"/>
  <c r="E597" i="4"/>
  <c r="F597" i="4"/>
  <c r="G597" i="4"/>
  <c r="H597" i="4"/>
  <c r="I597" i="4"/>
  <c r="J597" i="4"/>
  <c r="K597" i="4"/>
  <c r="L597" i="4"/>
  <c r="M597" i="4"/>
  <c r="N597" i="4"/>
  <c r="O597" i="4"/>
  <c r="P597" i="4"/>
  <c r="Q597" i="4"/>
  <c r="R597" i="4"/>
  <c r="B598" i="4"/>
  <c r="C598" i="4"/>
  <c r="D598" i="4"/>
  <c r="E598" i="4"/>
  <c r="F598" i="4"/>
  <c r="G598" i="4"/>
  <c r="H598" i="4"/>
  <c r="I598" i="4"/>
  <c r="J598" i="4"/>
  <c r="K598" i="4"/>
  <c r="L598" i="4"/>
  <c r="M598" i="4"/>
  <c r="N598" i="4"/>
  <c r="O598" i="4"/>
  <c r="P598" i="4"/>
  <c r="Q598" i="4"/>
  <c r="R598" i="4"/>
  <c r="B599" i="4"/>
  <c r="C599" i="4"/>
  <c r="D599" i="4"/>
  <c r="E599" i="4"/>
  <c r="F599" i="4"/>
  <c r="G599" i="4"/>
  <c r="H599" i="4"/>
  <c r="I599" i="4"/>
  <c r="J599" i="4"/>
  <c r="K599" i="4"/>
  <c r="L599" i="4"/>
  <c r="M599" i="4"/>
  <c r="N599" i="4"/>
  <c r="O599" i="4"/>
  <c r="P599" i="4"/>
  <c r="Q599" i="4"/>
  <c r="R599" i="4"/>
  <c r="B600" i="4"/>
  <c r="C600" i="4"/>
  <c r="D600" i="4"/>
  <c r="E600" i="4"/>
  <c r="F600" i="4"/>
  <c r="G600" i="4"/>
  <c r="H600" i="4"/>
  <c r="I600" i="4"/>
  <c r="J600" i="4"/>
  <c r="K600" i="4"/>
  <c r="L600" i="4"/>
  <c r="M600" i="4"/>
  <c r="N600" i="4"/>
  <c r="O600" i="4"/>
  <c r="P600" i="4"/>
  <c r="Q600" i="4"/>
  <c r="R600" i="4"/>
  <c r="B601" i="4"/>
  <c r="C601" i="4"/>
  <c r="D601" i="4"/>
  <c r="E601" i="4"/>
  <c r="F601" i="4"/>
  <c r="G601" i="4"/>
  <c r="H601" i="4"/>
  <c r="I601" i="4"/>
  <c r="J601" i="4"/>
  <c r="K601" i="4"/>
  <c r="L601" i="4"/>
  <c r="M601" i="4"/>
  <c r="N601" i="4"/>
  <c r="O601" i="4"/>
  <c r="P601" i="4"/>
  <c r="Q601" i="4"/>
  <c r="R601" i="4"/>
  <c r="B602" i="4"/>
  <c r="C602" i="4"/>
  <c r="D602" i="4"/>
  <c r="E602" i="4"/>
  <c r="F602" i="4"/>
  <c r="G602" i="4"/>
  <c r="H602" i="4"/>
  <c r="I602" i="4"/>
  <c r="J602" i="4"/>
  <c r="K602" i="4"/>
  <c r="L602" i="4"/>
  <c r="M602" i="4"/>
  <c r="N602" i="4"/>
  <c r="O602" i="4"/>
  <c r="P602" i="4"/>
  <c r="Q602" i="4"/>
  <c r="R602" i="4"/>
  <c r="B603" i="4"/>
  <c r="C603" i="4"/>
  <c r="D603" i="4"/>
  <c r="E603" i="4"/>
  <c r="F603" i="4"/>
  <c r="G603" i="4"/>
  <c r="H603" i="4"/>
  <c r="I603" i="4"/>
  <c r="J603" i="4"/>
  <c r="K603" i="4"/>
  <c r="L603" i="4"/>
  <c r="M603" i="4"/>
  <c r="N603" i="4"/>
  <c r="O603" i="4"/>
  <c r="P603" i="4"/>
  <c r="Q603" i="4"/>
  <c r="R603" i="4"/>
  <c r="B604" i="4"/>
  <c r="C604" i="4"/>
  <c r="D604" i="4"/>
  <c r="E604" i="4"/>
  <c r="F604" i="4"/>
  <c r="G604" i="4"/>
  <c r="H604" i="4"/>
  <c r="I604" i="4"/>
  <c r="J604" i="4"/>
  <c r="K604" i="4"/>
  <c r="L604" i="4"/>
  <c r="M604" i="4"/>
  <c r="N604" i="4"/>
  <c r="O604" i="4"/>
  <c r="P604" i="4"/>
  <c r="Q604" i="4"/>
  <c r="R604" i="4"/>
  <c r="B605" i="4"/>
  <c r="C605" i="4"/>
  <c r="D605" i="4"/>
  <c r="E605" i="4"/>
  <c r="F605" i="4"/>
  <c r="G605" i="4"/>
  <c r="H605" i="4"/>
  <c r="I605" i="4"/>
  <c r="J605" i="4"/>
  <c r="K605" i="4"/>
  <c r="L605" i="4"/>
  <c r="M605" i="4"/>
  <c r="N605" i="4"/>
  <c r="O605" i="4"/>
  <c r="P605" i="4"/>
  <c r="Q605" i="4"/>
  <c r="R605" i="4"/>
  <c r="B606" i="4"/>
  <c r="C606" i="4"/>
  <c r="D606" i="4"/>
  <c r="E606" i="4"/>
  <c r="F606" i="4"/>
  <c r="G606" i="4"/>
  <c r="H606" i="4"/>
  <c r="I606" i="4"/>
  <c r="J606" i="4"/>
  <c r="K606" i="4"/>
  <c r="L606" i="4"/>
  <c r="M606" i="4"/>
  <c r="N606" i="4"/>
  <c r="O606" i="4"/>
  <c r="P606" i="4"/>
  <c r="Q606" i="4"/>
  <c r="R606" i="4"/>
  <c r="B607" i="4"/>
  <c r="C607" i="4"/>
  <c r="D607" i="4"/>
  <c r="E607" i="4"/>
  <c r="F607" i="4"/>
  <c r="G607" i="4"/>
  <c r="H607" i="4"/>
  <c r="I607" i="4"/>
  <c r="J607" i="4"/>
  <c r="K607" i="4"/>
  <c r="L607" i="4"/>
  <c r="M607" i="4"/>
  <c r="N607" i="4"/>
  <c r="O607" i="4"/>
  <c r="P607" i="4"/>
  <c r="Q607" i="4"/>
  <c r="R607" i="4"/>
  <c r="B608" i="4"/>
  <c r="C608" i="4"/>
  <c r="D608" i="4"/>
  <c r="E608" i="4"/>
  <c r="F608" i="4"/>
  <c r="G608" i="4"/>
  <c r="H608" i="4"/>
  <c r="I608" i="4"/>
  <c r="J608" i="4"/>
  <c r="K608" i="4"/>
  <c r="L608" i="4"/>
  <c r="M608" i="4"/>
  <c r="N608" i="4"/>
  <c r="O608" i="4"/>
  <c r="P608" i="4"/>
  <c r="Q608" i="4"/>
  <c r="R608" i="4"/>
  <c r="B609" i="4"/>
  <c r="C609" i="4"/>
  <c r="D609" i="4"/>
  <c r="E609" i="4"/>
  <c r="F609" i="4"/>
  <c r="G609" i="4"/>
  <c r="H609" i="4"/>
  <c r="I609" i="4"/>
  <c r="J609" i="4"/>
  <c r="K609" i="4"/>
  <c r="L609" i="4"/>
  <c r="M609" i="4"/>
  <c r="N609" i="4"/>
  <c r="O609" i="4"/>
  <c r="P609" i="4"/>
  <c r="Q609" i="4"/>
  <c r="R609" i="4"/>
  <c r="B610" i="4"/>
  <c r="C610" i="4"/>
  <c r="D610" i="4"/>
  <c r="E610" i="4"/>
  <c r="F610" i="4"/>
  <c r="G610" i="4"/>
  <c r="H610" i="4"/>
  <c r="I610" i="4"/>
  <c r="J610" i="4"/>
  <c r="K610" i="4"/>
  <c r="L610" i="4"/>
  <c r="M610" i="4"/>
  <c r="N610" i="4"/>
  <c r="O610" i="4"/>
  <c r="P610" i="4"/>
  <c r="Q610" i="4"/>
  <c r="R610" i="4"/>
  <c r="B611" i="4"/>
  <c r="C611" i="4"/>
  <c r="D611" i="4"/>
  <c r="E611" i="4"/>
  <c r="F611" i="4"/>
  <c r="G611" i="4"/>
  <c r="H611" i="4"/>
  <c r="I611" i="4"/>
  <c r="J611" i="4"/>
  <c r="K611" i="4"/>
  <c r="L611" i="4"/>
  <c r="M611" i="4"/>
  <c r="N611" i="4"/>
  <c r="O611" i="4"/>
  <c r="P611" i="4"/>
  <c r="Q611" i="4"/>
  <c r="R611" i="4"/>
  <c r="B612" i="4"/>
  <c r="C612" i="4"/>
  <c r="D612" i="4"/>
  <c r="E612" i="4"/>
  <c r="F612" i="4"/>
  <c r="G612" i="4"/>
  <c r="H612" i="4"/>
  <c r="I612" i="4"/>
  <c r="J612" i="4"/>
  <c r="K612" i="4"/>
  <c r="L612" i="4"/>
  <c r="M612" i="4"/>
  <c r="N612" i="4"/>
  <c r="O612" i="4"/>
  <c r="P612" i="4"/>
  <c r="Q612" i="4"/>
  <c r="R612" i="4"/>
  <c r="B613" i="4"/>
  <c r="C613" i="4"/>
  <c r="D613" i="4"/>
  <c r="E613" i="4"/>
  <c r="F613" i="4"/>
  <c r="G613" i="4"/>
  <c r="H613" i="4"/>
  <c r="I613" i="4"/>
  <c r="J613" i="4"/>
  <c r="K613" i="4"/>
  <c r="L613" i="4"/>
  <c r="M613" i="4"/>
  <c r="N613" i="4"/>
  <c r="O613" i="4"/>
  <c r="P613" i="4"/>
  <c r="Q613" i="4"/>
  <c r="R613" i="4"/>
  <c r="B614" i="4"/>
  <c r="C614" i="4"/>
  <c r="D614" i="4"/>
  <c r="E614" i="4"/>
  <c r="F614" i="4"/>
  <c r="G614" i="4"/>
  <c r="H614" i="4"/>
  <c r="I614" i="4"/>
  <c r="J614" i="4"/>
  <c r="K614" i="4"/>
  <c r="L614" i="4"/>
  <c r="M614" i="4"/>
  <c r="N614" i="4"/>
  <c r="O614" i="4"/>
  <c r="P614" i="4"/>
  <c r="Q614" i="4"/>
  <c r="R614" i="4"/>
  <c r="B615" i="4"/>
  <c r="C615" i="4"/>
  <c r="D615" i="4"/>
  <c r="E615" i="4"/>
  <c r="F615" i="4"/>
  <c r="G615" i="4"/>
  <c r="H615" i="4"/>
  <c r="I615" i="4"/>
  <c r="J615" i="4"/>
  <c r="K615" i="4"/>
  <c r="L615" i="4"/>
  <c r="M615" i="4"/>
  <c r="N615" i="4"/>
  <c r="O615" i="4"/>
  <c r="P615" i="4"/>
  <c r="Q615" i="4"/>
  <c r="R615" i="4"/>
  <c r="B616" i="4"/>
  <c r="C616" i="4"/>
  <c r="D616" i="4"/>
  <c r="E616" i="4"/>
  <c r="F616" i="4"/>
  <c r="G616" i="4"/>
  <c r="H616" i="4"/>
  <c r="I616" i="4"/>
  <c r="J616" i="4"/>
  <c r="K616" i="4"/>
  <c r="L616" i="4"/>
  <c r="M616" i="4"/>
  <c r="N616" i="4"/>
  <c r="O616" i="4"/>
  <c r="P616" i="4"/>
  <c r="Q616" i="4"/>
  <c r="R616" i="4"/>
  <c r="B617" i="4"/>
  <c r="C617" i="4"/>
  <c r="D617" i="4"/>
  <c r="E617" i="4"/>
  <c r="F617" i="4"/>
  <c r="G617" i="4"/>
  <c r="H617" i="4"/>
  <c r="I617" i="4"/>
  <c r="J617" i="4"/>
  <c r="K617" i="4"/>
  <c r="L617" i="4"/>
  <c r="M617" i="4"/>
  <c r="N617" i="4"/>
  <c r="O617" i="4"/>
  <c r="P617" i="4"/>
  <c r="Q617" i="4"/>
  <c r="R617" i="4"/>
  <c r="B618" i="4"/>
  <c r="C618" i="4"/>
  <c r="D618" i="4"/>
  <c r="E618" i="4"/>
  <c r="F618" i="4"/>
  <c r="G618" i="4"/>
  <c r="H618" i="4"/>
  <c r="I618" i="4"/>
  <c r="J618" i="4"/>
  <c r="K618" i="4"/>
  <c r="L618" i="4"/>
  <c r="M618" i="4"/>
  <c r="N618" i="4"/>
  <c r="O618" i="4"/>
  <c r="P618" i="4"/>
  <c r="Q618" i="4"/>
  <c r="R618" i="4"/>
  <c r="B619" i="4"/>
  <c r="C619" i="4"/>
  <c r="D619" i="4"/>
  <c r="E619" i="4"/>
  <c r="F619" i="4"/>
  <c r="G619" i="4"/>
  <c r="H619" i="4"/>
  <c r="I619" i="4"/>
  <c r="J619" i="4"/>
  <c r="K619" i="4"/>
  <c r="L619" i="4"/>
  <c r="M619" i="4"/>
  <c r="N619" i="4"/>
  <c r="O619" i="4"/>
  <c r="P619" i="4"/>
  <c r="Q619" i="4"/>
  <c r="R619" i="4"/>
  <c r="B620" i="4"/>
  <c r="C620" i="4"/>
  <c r="D620" i="4"/>
  <c r="E620" i="4"/>
  <c r="F620" i="4"/>
  <c r="G620" i="4"/>
  <c r="H620" i="4"/>
  <c r="I620" i="4"/>
  <c r="J620" i="4"/>
  <c r="K620" i="4"/>
  <c r="L620" i="4"/>
  <c r="M620" i="4"/>
  <c r="N620" i="4"/>
  <c r="O620" i="4"/>
  <c r="P620" i="4"/>
  <c r="Q620" i="4"/>
  <c r="R620" i="4"/>
  <c r="B621" i="4"/>
  <c r="C621" i="4"/>
  <c r="D621" i="4"/>
  <c r="E621" i="4"/>
  <c r="F621" i="4"/>
  <c r="G621" i="4"/>
  <c r="H621" i="4"/>
  <c r="I621" i="4"/>
  <c r="J621" i="4"/>
  <c r="K621" i="4"/>
  <c r="L621" i="4"/>
  <c r="M621" i="4"/>
  <c r="N621" i="4"/>
  <c r="O621" i="4"/>
  <c r="P621" i="4"/>
  <c r="Q621" i="4"/>
  <c r="R621" i="4"/>
  <c r="B622" i="4"/>
  <c r="C622" i="4"/>
  <c r="D622" i="4"/>
  <c r="E622" i="4"/>
  <c r="F622" i="4"/>
  <c r="G622" i="4"/>
  <c r="H622" i="4"/>
  <c r="I622" i="4"/>
  <c r="J622" i="4"/>
  <c r="K622" i="4"/>
  <c r="L622" i="4"/>
  <c r="M622" i="4"/>
  <c r="N622" i="4"/>
  <c r="O622" i="4"/>
  <c r="P622" i="4"/>
  <c r="Q622" i="4"/>
  <c r="R622" i="4"/>
  <c r="B623" i="4"/>
  <c r="C623" i="4"/>
  <c r="D623" i="4"/>
  <c r="E623" i="4"/>
  <c r="F623" i="4"/>
  <c r="G623" i="4"/>
  <c r="H623" i="4"/>
  <c r="I623" i="4"/>
  <c r="J623" i="4"/>
  <c r="K623" i="4"/>
  <c r="L623" i="4"/>
  <c r="M623" i="4"/>
  <c r="N623" i="4"/>
  <c r="O623" i="4"/>
  <c r="P623" i="4"/>
  <c r="Q623" i="4"/>
  <c r="R623" i="4"/>
  <c r="B624" i="4"/>
  <c r="C624" i="4"/>
  <c r="D624" i="4"/>
  <c r="E624" i="4"/>
  <c r="F624" i="4"/>
  <c r="G624" i="4"/>
  <c r="H624" i="4"/>
  <c r="I624" i="4"/>
  <c r="J624" i="4"/>
  <c r="K624" i="4"/>
  <c r="L624" i="4"/>
  <c r="M624" i="4"/>
  <c r="N624" i="4"/>
  <c r="O624" i="4"/>
  <c r="P624" i="4"/>
  <c r="Q624" i="4"/>
  <c r="R624" i="4"/>
  <c r="B625" i="4"/>
  <c r="C625" i="4"/>
  <c r="D625" i="4"/>
  <c r="E625" i="4"/>
  <c r="F625" i="4"/>
  <c r="G625" i="4"/>
  <c r="H625" i="4"/>
  <c r="I625" i="4"/>
  <c r="J625" i="4"/>
  <c r="K625" i="4"/>
  <c r="L625" i="4"/>
  <c r="M625" i="4"/>
  <c r="N625" i="4"/>
  <c r="O625" i="4"/>
  <c r="P625" i="4"/>
  <c r="Q625" i="4"/>
  <c r="R625" i="4"/>
  <c r="B626" i="4"/>
  <c r="C626" i="4"/>
  <c r="D626" i="4"/>
  <c r="E626" i="4"/>
  <c r="F626" i="4"/>
  <c r="G626" i="4"/>
  <c r="H626" i="4"/>
  <c r="I626" i="4"/>
  <c r="J626" i="4"/>
  <c r="K626" i="4"/>
  <c r="L626" i="4"/>
  <c r="M626" i="4"/>
  <c r="N626" i="4"/>
  <c r="O626" i="4"/>
  <c r="P626" i="4"/>
  <c r="Q626" i="4"/>
  <c r="R626" i="4"/>
  <c r="B627" i="4"/>
  <c r="C627" i="4"/>
  <c r="D627" i="4"/>
  <c r="E627" i="4"/>
  <c r="F627" i="4"/>
  <c r="G627" i="4"/>
  <c r="H627" i="4"/>
  <c r="I627" i="4"/>
  <c r="J627" i="4"/>
  <c r="K627" i="4"/>
  <c r="L627" i="4"/>
  <c r="M627" i="4"/>
  <c r="N627" i="4"/>
  <c r="O627" i="4"/>
  <c r="P627" i="4"/>
  <c r="Q627" i="4"/>
  <c r="R627" i="4"/>
  <c r="B628" i="4"/>
  <c r="C628" i="4"/>
  <c r="D628" i="4"/>
  <c r="E628" i="4"/>
  <c r="F628" i="4"/>
  <c r="G628" i="4"/>
  <c r="H628" i="4"/>
  <c r="I628" i="4"/>
  <c r="J628" i="4"/>
  <c r="K628" i="4"/>
  <c r="L628" i="4"/>
  <c r="M628" i="4"/>
  <c r="N628" i="4"/>
  <c r="O628" i="4"/>
  <c r="P628" i="4"/>
  <c r="Q628" i="4"/>
  <c r="R628" i="4"/>
  <c r="B629" i="4"/>
  <c r="C629" i="4"/>
  <c r="D629" i="4"/>
  <c r="E629" i="4"/>
  <c r="F629" i="4"/>
  <c r="G629" i="4"/>
  <c r="H629" i="4"/>
  <c r="I629" i="4"/>
  <c r="J629" i="4"/>
  <c r="K629" i="4"/>
  <c r="L629" i="4"/>
  <c r="M629" i="4"/>
  <c r="N629" i="4"/>
  <c r="O629" i="4"/>
  <c r="P629" i="4"/>
  <c r="Q629" i="4"/>
  <c r="R629" i="4"/>
  <c r="B630" i="4"/>
  <c r="C630" i="4"/>
  <c r="D630" i="4"/>
  <c r="E630" i="4"/>
  <c r="F630" i="4"/>
  <c r="G630" i="4"/>
  <c r="H630" i="4"/>
  <c r="I630" i="4"/>
  <c r="J630" i="4"/>
  <c r="K630" i="4"/>
  <c r="L630" i="4"/>
  <c r="M630" i="4"/>
  <c r="N630" i="4"/>
  <c r="O630" i="4"/>
  <c r="P630" i="4"/>
  <c r="Q630" i="4"/>
  <c r="R630" i="4"/>
  <c r="B631" i="4"/>
  <c r="C631" i="4"/>
  <c r="D631" i="4"/>
  <c r="E631" i="4"/>
  <c r="F631" i="4"/>
  <c r="G631" i="4"/>
  <c r="H631" i="4"/>
  <c r="I631" i="4"/>
  <c r="J631" i="4"/>
  <c r="K631" i="4"/>
  <c r="L631" i="4"/>
  <c r="M631" i="4"/>
  <c r="N631" i="4"/>
  <c r="O631" i="4"/>
  <c r="P631" i="4"/>
  <c r="Q631" i="4"/>
  <c r="R631" i="4"/>
  <c r="B632" i="4"/>
  <c r="C632" i="4"/>
  <c r="D632" i="4"/>
  <c r="E632" i="4"/>
  <c r="F632" i="4"/>
  <c r="G632" i="4"/>
  <c r="H632" i="4"/>
  <c r="I632" i="4"/>
  <c r="J632" i="4"/>
  <c r="K632" i="4"/>
  <c r="L632" i="4"/>
  <c r="M632" i="4"/>
  <c r="N632" i="4"/>
  <c r="O632" i="4"/>
  <c r="P632" i="4"/>
  <c r="Q632" i="4"/>
  <c r="R632" i="4"/>
  <c r="B633" i="4"/>
  <c r="C633" i="4"/>
  <c r="D633" i="4"/>
  <c r="E633" i="4"/>
  <c r="F633" i="4"/>
  <c r="G633" i="4"/>
  <c r="H633" i="4"/>
  <c r="I633" i="4"/>
  <c r="J633" i="4"/>
  <c r="K633" i="4"/>
  <c r="L633" i="4"/>
  <c r="M633" i="4"/>
  <c r="N633" i="4"/>
  <c r="O633" i="4"/>
  <c r="P633" i="4"/>
  <c r="Q633" i="4"/>
  <c r="R633" i="4"/>
  <c r="B634" i="4"/>
  <c r="C634" i="4"/>
  <c r="D634" i="4"/>
  <c r="E634" i="4"/>
  <c r="F634" i="4"/>
  <c r="G634" i="4"/>
  <c r="H634" i="4"/>
  <c r="I634" i="4"/>
  <c r="J634" i="4"/>
  <c r="K634" i="4"/>
  <c r="L634" i="4"/>
  <c r="M634" i="4"/>
  <c r="N634" i="4"/>
  <c r="O634" i="4"/>
  <c r="P634" i="4"/>
  <c r="Q634" i="4"/>
  <c r="R634" i="4"/>
  <c r="B635" i="4"/>
  <c r="C635" i="4"/>
  <c r="D635" i="4"/>
  <c r="E635" i="4"/>
  <c r="F635" i="4"/>
  <c r="G635" i="4"/>
  <c r="H635" i="4"/>
  <c r="I635" i="4"/>
  <c r="J635" i="4"/>
  <c r="K635" i="4"/>
  <c r="L635" i="4"/>
  <c r="M635" i="4"/>
  <c r="N635" i="4"/>
  <c r="O635" i="4"/>
  <c r="P635" i="4"/>
  <c r="Q635" i="4"/>
  <c r="R635" i="4"/>
  <c r="B636" i="4"/>
  <c r="C636" i="4"/>
  <c r="D636" i="4"/>
  <c r="E636" i="4"/>
  <c r="F636" i="4"/>
  <c r="G636" i="4"/>
  <c r="H636" i="4"/>
  <c r="I636" i="4"/>
  <c r="J636" i="4"/>
  <c r="K636" i="4"/>
  <c r="L636" i="4"/>
  <c r="M636" i="4"/>
  <c r="N636" i="4"/>
  <c r="O636" i="4"/>
  <c r="P636" i="4"/>
  <c r="Q636" i="4"/>
  <c r="R636" i="4"/>
  <c r="B637" i="4"/>
  <c r="C637" i="4"/>
  <c r="D637" i="4"/>
  <c r="E637" i="4"/>
  <c r="F637" i="4"/>
  <c r="G637" i="4"/>
  <c r="H637" i="4"/>
  <c r="I637" i="4"/>
  <c r="J637" i="4"/>
  <c r="K637" i="4"/>
  <c r="L637" i="4"/>
  <c r="M637" i="4"/>
  <c r="N637" i="4"/>
  <c r="O637" i="4"/>
  <c r="P637" i="4"/>
  <c r="Q637" i="4"/>
  <c r="R637" i="4"/>
  <c r="B638" i="4"/>
  <c r="C638" i="4"/>
  <c r="D638" i="4"/>
  <c r="E638" i="4"/>
  <c r="F638" i="4"/>
  <c r="G638" i="4"/>
  <c r="H638" i="4"/>
  <c r="I638" i="4"/>
  <c r="J638" i="4"/>
  <c r="K638" i="4"/>
  <c r="L638" i="4"/>
  <c r="M638" i="4"/>
  <c r="N638" i="4"/>
  <c r="O638" i="4"/>
  <c r="P638" i="4"/>
  <c r="Q638" i="4"/>
  <c r="R638" i="4"/>
  <c r="B639" i="4"/>
  <c r="C639" i="4"/>
  <c r="D639" i="4"/>
  <c r="E639" i="4"/>
  <c r="F639" i="4"/>
  <c r="G639" i="4"/>
  <c r="H639" i="4"/>
  <c r="I639" i="4"/>
  <c r="J639" i="4"/>
  <c r="K639" i="4"/>
  <c r="L639" i="4"/>
  <c r="M639" i="4"/>
  <c r="N639" i="4"/>
  <c r="O639" i="4"/>
  <c r="P639" i="4"/>
  <c r="Q639" i="4"/>
  <c r="R639" i="4"/>
  <c r="B640" i="4"/>
  <c r="C640" i="4"/>
  <c r="D640" i="4"/>
  <c r="E640" i="4"/>
  <c r="F640" i="4"/>
  <c r="G640" i="4"/>
  <c r="H640" i="4"/>
  <c r="I640" i="4"/>
  <c r="J640" i="4"/>
  <c r="K640" i="4"/>
  <c r="L640" i="4"/>
  <c r="M640" i="4"/>
  <c r="N640" i="4"/>
  <c r="O640" i="4"/>
  <c r="P640" i="4"/>
  <c r="Q640" i="4"/>
  <c r="R640" i="4"/>
  <c r="B641" i="4"/>
  <c r="C641" i="4"/>
  <c r="D641" i="4"/>
  <c r="E641" i="4"/>
  <c r="F641" i="4"/>
  <c r="G641" i="4"/>
  <c r="H641" i="4"/>
  <c r="I641" i="4"/>
  <c r="J641" i="4"/>
  <c r="K641" i="4"/>
  <c r="L641" i="4"/>
  <c r="M641" i="4"/>
  <c r="N641" i="4"/>
  <c r="O641" i="4"/>
  <c r="P641" i="4"/>
  <c r="Q641" i="4"/>
  <c r="R641" i="4"/>
  <c r="B642" i="4"/>
  <c r="C642" i="4"/>
  <c r="D642" i="4"/>
  <c r="E642" i="4"/>
  <c r="F642" i="4"/>
  <c r="G642" i="4"/>
  <c r="H642" i="4"/>
  <c r="I642" i="4"/>
  <c r="J642" i="4"/>
  <c r="K642" i="4"/>
  <c r="L642" i="4"/>
  <c r="M642" i="4"/>
  <c r="N642" i="4"/>
  <c r="O642" i="4"/>
  <c r="P642" i="4"/>
  <c r="Q642" i="4"/>
  <c r="R642" i="4"/>
  <c r="B643" i="4"/>
  <c r="C643" i="4"/>
  <c r="D643" i="4"/>
  <c r="E643" i="4"/>
  <c r="F643" i="4"/>
  <c r="G643" i="4"/>
  <c r="H643" i="4"/>
  <c r="I643" i="4"/>
  <c r="J643" i="4"/>
  <c r="K643" i="4"/>
  <c r="L643" i="4"/>
  <c r="M643" i="4"/>
  <c r="N643" i="4"/>
  <c r="O643" i="4"/>
  <c r="P643" i="4"/>
  <c r="Q643" i="4"/>
  <c r="R643" i="4"/>
  <c r="B644" i="4"/>
  <c r="C644" i="4"/>
  <c r="D644" i="4"/>
  <c r="E644" i="4"/>
  <c r="F644" i="4"/>
  <c r="G644" i="4"/>
  <c r="H644" i="4"/>
  <c r="I644" i="4"/>
  <c r="J644" i="4"/>
  <c r="K644" i="4"/>
  <c r="L644" i="4"/>
  <c r="M644" i="4"/>
  <c r="N644" i="4"/>
  <c r="O644" i="4"/>
  <c r="P644" i="4"/>
  <c r="Q644" i="4"/>
  <c r="R644" i="4"/>
  <c r="B645" i="4"/>
  <c r="C645" i="4"/>
  <c r="D645" i="4"/>
  <c r="E645" i="4"/>
  <c r="F645" i="4"/>
  <c r="G645" i="4"/>
  <c r="H645" i="4"/>
  <c r="I645" i="4"/>
  <c r="J645" i="4"/>
  <c r="K645" i="4"/>
  <c r="L645" i="4"/>
  <c r="M645" i="4"/>
  <c r="N645" i="4"/>
  <c r="O645" i="4"/>
  <c r="P645" i="4"/>
  <c r="Q645" i="4"/>
  <c r="R645" i="4"/>
  <c r="B646" i="4"/>
  <c r="C646" i="4"/>
  <c r="D646" i="4"/>
  <c r="E646" i="4"/>
  <c r="F646" i="4"/>
  <c r="G646" i="4"/>
  <c r="H646" i="4"/>
  <c r="I646" i="4"/>
  <c r="J646" i="4"/>
  <c r="K646" i="4"/>
  <c r="L646" i="4"/>
  <c r="M646" i="4"/>
  <c r="N646" i="4"/>
  <c r="O646" i="4"/>
  <c r="P646" i="4"/>
  <c r="Q646" i="4"/>
  <c r="R646" i="4"/>
  <c r="B647" i="4"/>
  <c r="C647" i="4"/>
  <c r="D647" i="4"/>
  <c r="E647" i="4"/>
  <c r="F647" i="4"/>
  <c r="G647" i="4"/>
  <c r="H647" i="4"/>
  <c r="I647" i="4"/>
  <c r="J647" i="4"/>
  <c r="K647" i="4"/>
  <c r="L647" i="4"/>
  <c r="M647" i="4"/>
  <c r="N647" i="4"/>
  <c r="O647" i="4"/>
  <c r="P647" i="4"/>
  <c r="Q647" i="4"/>
  <c r="R647" i="4"/>
  <c r="B648" i="4"/>
  <c r="C648" i="4"/>
  <c r="D648" i="4"/>
  <c r="E648" i="4"/>
  <c r="F648" i="4"/>
  <c r="G648" i="4"/>
  <c r="H648" i="4"/>
  <c r="I648" i="4"/>
  <c r="J648" i="4"/>
  <c r="K648" i="4"/>
  <c r="L648" i="4"/>
  <c r="M648" i="4"/>
  <c r="N648" i="4"/>
  <c r="O648" i="4"/>
  <c r="P648" i="4"/>
  <c r="Q648" i="4"/>
  <c r="R648" i="4"/>
  <c r="B649" i="4"/>
  <c r="C649" i="4"/>
  <c r="D649" i="4"/>
  <c r="E649" i="4"/>
  <c r="F649" i="4"/>
  <c r="G649" i="4"/>
  <c r="H649" i="4"/>
  <c r="I649" i="4"/>
  <c r="J649" i="4"/>
  <c r="K649" i="4"/>
  <c r="L649" i="4"/>
  <c r="M649" i="4"/>
  <c r="N649" i="4"/>
  <c r="O649" i="4"/>
  <c r="P649" i="4"/>
  <c r="Q649" i="4"/>
  <c r="R649" i="4"/>
  <c r="B650" i="4"/>
  <c r="C650" i="4"/>
  <c r="D650" i="4"/>
  <c r="E650" i="4"/>
  <c r="F650" i="4"/>
  <c r="G650" i="4"/>
  <c r="H650" i="4"/>
  <c r="I650" i="4"/>
  <c r="J650" i="4"/>
  <c r="K650" i="4"/>
  <c r="L650" i="4"/>
  <c r="M650" i="4"/>
  <c r="N650" i="4"/>
  <c r="O650" i="4"/>
  <c r="P650" i="4"/>
  <c r="Q650" i="4"/>
  <c r="R650" i="4"/>
  <c r="B651" i="4"/>
  <c r="C651" i="4"/>
  <c r="D651" i="4"/>
  <c r="E651" i="4"/>
  <c r="F651" i="4"/>
  <c r="G651" i="4"/>
  <c r="H651" i="4"/>
  <c r="I651" i="4"/>
  <c r="J651" i="4"/>
  <c r="K651" i="4"/>
  <c r="L651" i="4"/>
  <c r="M651" i="4"/>
  <c r="N651" i="4"/>
  <c r="O651" i="4"/>
  <c r="P651" i="4"/>
  <c r="Q651" i="4"/>
  <c r="R651" i="4"/>
  <c r="B652" i="4"/>
  <c r="C652" i="4"/>
  <c r="D652" i="4"/>
  <c r="E652" i="4"/>
  <c r="F652" i="4"/>
  <c r="G652" i="4"/>
  <c r="H652" i="4"/>
  <c r="I652" i="4"/>
  <c r="J652" i="4"/>
  <c r="K652" i="4"/>
  <c r="L652" i="4"/>
  <c r="M652" i="4"/>
  <c r="N652" i="4"/>
  <c r="O652" i="4"/>
  <c r="P652" i="4"/>
  <c r="Q652" i="4"/>
  <c r="R652" i="4"/>
  <c r="B653" i="4"/>
  <c r="C653" i="4"/>
  <c r="D653" i="4"/>
  <c r="E653" i="4"/>
  <c r="F653" i="4"/>
  <c r="G653" i="4"/>
  <c r="H653" i="4"/>
  <c r="I653" i="4"/>
  <c r="J653" i="4"/>
  <c r="K653" i="4"/>
  <c r="L653" i="4"/>
  <c r="M653" i="4"/>
  <c r="N653" i="4"/>
  <c r="O653" i="4"/>
  <c r="P653" i="4"/>
  <c r="Q653" i="4"/>
  <c r="R653" i="4"/>
  <c r="B654" i="4"/>
  <c r="C654" i="4"/>
  <c r="D654" i="4"/>
  <c r="E654" i="4"/>
  <c r="F654" i="4"/>
  <c r="G654" i="4"/>
  <c r="H654" i="4"/>
  <c r="I654" i="4"/>
  <c r="J654" i="4"/>
  <c r="K654" i="4"/>
  <c r="L654" i="4"/>
  <c r="M654" i="4"/>
  <c r="N654" i="4"/>
  <c r="O654" i="4"/>
  <c r="P654" i="4"/>
  <c r="Q654" i="4"/>
  <c r="R654" i="4"/>
  <c r="B655" i="4"/>
  <c r="C655" i="4"/>
  <c r="D655" i="4"/>
  <c r="E655" i="4"/>
  <c r="F655" i="4"/>
  <c r="G655" i="4"/>
  <c r="H655" i="4"/>
  <c r="I655" i="4"/>
  <c r="J655" i="4"/>
  <c r="K655" i="4"/>
  <c r="L655" i="4"/>
  <c r="M655" i="4"/>
  <c r="N655" i="4"/>
  <c r="O655" i="4"/>
  <c r="P655" i="4"/>
  <c r="Q655" i="4"/>
  <c r="R655" i="4"/>
  <c r="B656" i="4"/>
  <c r="C656" i="4"/>
  <c r="D656" i="4"/>
  <c r="E656" i="4"/>
  <c r="F656" i="4"/>
  <c r="G656" i="4"/>
  <c r="H656" i="4"/>
  <c r="I656" i="4"/>
  <c r="J656" i="4"/>
  <c r="K656" i="4"/>
  <c r="L656" i="4"/>
  <c r="M656" i="4"/>
  <c r="N656" i="4"/>
  <c r="O656" i="4"/>
  <c r="P656" i="4"/>
  <c r="Q656" i="4"/>
  <c r="R656" i="4"/>
  <c r="B657" i="4"/>
  <c r="C657" i="4"/>
  <c r="D657" i="4"/>
  <c r="E657" i="4"/>
  <c r="F657" i="4"/>
  <c r="G657" i="4"/>
  <c r="H657" i="4"/>
  <c r="I657" i="4"/>
  <c r="J657" i="4"/>
  <c r="K657" i="4"/>
  <c r="L657" i="4"/>
  <c r="M657" i="4"/>
  <c r="N657" i="4"/>
  <c r="O657" i="4"/>
  <c r="P657" i="4"/>
  <c r="Q657" i="4"/>
  <c r="R657" i="4"/>
  <c r="B658" i="4"/>
  <c r="C658" i="4"/>
  <c r="D658" i="4"/>
  <c r="E658" i="4"/>
  <c r="F658" i="4"/>
  <c r="G658" i="4"/>
  <c r="H658" i="4"/>
  <c r="I658" i="4"/>
  <c r="J658" i="4"/>
  <c r="K658" i="4"/>
  <c r="L658" i="4"/>
  <c r="M658" i="4"/>
  <c r="N658" i="4"/>
  <c r="O658" i="4"/>
  <c r="P658" i="4"/>
  <c r="Q658" i="4"/>
  <c r="R658" i="4"/>
  <c r="B659" i="4"/>
  <c r="C659" i="4"/>
  <c r="D659" i="4"/>
  <c r="E659" i="4"/>
  <c r="F659" i="4"/>
  <c r="G659" i="4"/>
  <c r="H659" i="4"/>
  <c r="I659" i="4"/>
  <c r="J659" i="4"/>
  <c r="K659" i="4"/>
  <c r="L659" i="4"/>
  <c r="M659" i="4"/>
  <c r="N659" i="4"/>
  <c r="O659" i="4"/>
  <c r="P659" i="4"/>
  <c r="Q659" i="4"/>
  <c r="R659" i="4"/>
  <c r="B660" i="4"/>
  <c r="C660" i="4"/>
  <c r="D660" i="4"/>
  <c r="E660" i="4"/>
  <c r="F660" i="4"/>
  <c r="G660" i="4"/>
  <c r="H660" i="4"/>
  <c r="I660" i="4"/>
  <c r="J660" i="4"/>
  <c r="K660" i="4"/>
  <c r="L660" i="4"/>
  <c r="M660" i="4"/>
  <c r="N660" i="4"/>
  <c r="O660" i="4"/>
  <c r="P660" i="4"/>
  <c r="Q660" i="4"/>
  <c r="R660" i="4"/>
  <c r="B661" i="4"/>
  <c r="C661" i="4"/>
  <c r="D661" i="4"/>
  <c r="E661" i="4"/>
  <c r="F661" i="4"/>
  <c r="G661" i="4"/>
  <c r="H661" i="4"/>
  <c r="I661" i="4"/>
  <c r="J661" i="4"/>
  <c r="K661" i="4"/>
  <c r="L661" i="4"/>
  <c r="M661" i="4"/>
  <c r="N661" i="4"/>
  <c r="O661" i="4"/>
  <c r="P661" i="4"/>
  <c r="Q661" i="4"/>
  <c r="R661" i="4"/>
  <c r="B662" i="4"/>
  <c r="C662" i="4"/>
  <c r="D662" i="4"/>
  <c r="E662" i="4"/>
  <c r="F662" i="4"/>
  <c r="G662" i="4"/>
  <c r="H662" i="4"/>
  <c r="I662" i="4"/>
  <c r="J662" i="4"/>
  <c r="K662" i="4"/>
  <c r="L662" i="4"/>
  <c r="M662" i="4"/>
  <c r="N662" i="4"/>
  <c r="O662" i="4"/>
  <c r="P662" i="4"/>
  <c r="Q662" i="4"/>
  <c r="R662" i="4"/>
  <c r="B663" i="4"/>
  <c r="C663" i="4"/>
  <c r="D663" i="4"/>
  <c r="E663" i="4"/>
  <c r="F663" i="4"/>
  <c r="G663" i="4"/>
  <c r="H663" i="4"/>
  <c r="I663" i="4"/>
  <c r="J663" i="4"/>
  <c r="K663" i="4"/>
  <c r="L663" i="4"/>
  <c r="M663" i="4"/>
  <c r="N663" i="4"/>
  <c r="O663" i="4"/>
  <c r="P663" i="4"/>
  <c r="Q663" i="4"/>
  <c r="R663" i="4"/>
  <c r="B664" i="4"/>
  <c r="C664" i="4"/>
  <c r="D664" i="4"/>
  <c r="E664" i="4"/>
  <c r="F664" i="4"/>
  <c r="G664" i="4"/>
  <c r="H664" i="4"/>
  <c r="I664" i="4"/>
  <c r="J664" i="4"/>
  <c r="K664" i="4"/>
  <c r="L664" i="4"/>
  <c r="M664" i="4"/>
  <c r="N664" i="4"/>
  <c r="O664" i="4"/>
  <c r="P664" i="4"/>
  <c r="Q664" i="4"/>
  <c r="R664" i="4"/>
  <c r="B665" i="4"/>
  <c r="C665" i="4"/>
  <c r="D665" i="4"/>
  <c r="E665" i="4"/>
  <c r="F665" i="4"/>
  <c r="G665" i="4"/>
  <c r="H665" i="4"/>
  <c r="I665" i="4"/>
  <c r="J665" i="4"/>
  <c r="K665" i="4"/>
  <c r="L665" i="4"/>
  <c r="M665" i="4"/>
  <c r="N665" i="4"/>
  <c r="O665" i="4"/>
  <c r="P665" i="4"/>
  <c r="Q665" i="4"/>
  <c r="R665" i="4"/>
  <c r="B666" i="4"/>
  <c r="C666" i="4"/>
  <c r="D666" i="4"/>
  <c r="E666" i="4"/>
  <c r="F666" i="4"/>
  <c r="G666" i="4"/>
  <c r="H666" i="4"/>
  <c r="I666" i="4"/>
  <c r="J666" i="4"/>
  <c r="K666" i="4"/>
  <c r="L666" i="4"/>
  <c r="M666" i="4"/>
  <c r="N666" i="4"/>
  <c r="O666" i="4"/>
  <c r="P666" i="4"/>
  <c r="Q666" i="4"/>
  <c r="R666" i="4"/>
  <c r="B667" i="4"/>
  <c r="C667" i="4"/>
  <c r="D667" i="4"/>
  <c r="E667" i="4"/>
  <c r="F667" i="4"/>
  <c r="G667" i="4"/>
  <c r="H667" i="4"/>
  <c r="I667" i="4"/>
  <c r="J667" i="4"/>
  <c r="K667" i="4"/>
  <c r="L667" i="4"/>
  <c r="M667" i="4"/>
  <c r="N667" i="4"/>
  <c r="O667" i="4"/>
  <c r="P667" i="4"/>
  <c r="Q667" i="4"/>
  <c r="R667" i="4"/>
  <c r="B668" i="4"/>
  <c r="C668" i="4"/>
  <c r="D668" i="4"/>
  <c r="E668" i="4"/>
  <c r="F668" i="4"/>
  <c r="G668" i="4"/>
  <c r="H668" i="4"/>
  <c r="I668" i="4"/>
  <c r="J668" i="4"/>
  <c r="K668" i="4"/>
  <c r="L668" i="4"/>
  <c r="M668" i="4"/>
  <c r="N668" i="4"/>
  <c r="O668" i="4"/>
  <c r="P668" i="4"/>
  <c r="Q668" i="4"/>
  <c r="R668" i="4"/>
  <c r="B669" i="4"/>
  <c r="C669" i="4"/>
  <c r="D669" i="4"/>
  <c r="E669" i="4"/>
  <c r="F669" i="4"/>
  <c r="G669" i="4"/>
  <c r="H669" i="4"/>
  <c r="I669" i="4"/>
  <c r="J669" i="4"/>
  <c r="K669" i="4"/>
  <c r="L669" i="4"/>
  <c r="M669" i="4"/>
  <c r="N669" i="4"/>
  <c r="O669" i="4"/>
  <c r="P669" i="4"/>
  <c r="Q669" i="4"/>
  <c r="R669" i="4"/>
  <c r="B670" i="4"/>
  <c r="C670" i="4"/>
  <c r="D670" i="4"/>
  <c r="E670" i="4"/>
  <c r="F670" i="4"/>
  <c r="G670" i="4"/>
  <c r="H670" i="4"/>
  <c r="I670" i="4"/>
  <c r="J670" i="4"/>
  <c r="K670" i="4"/>
  <c r="L670" i="4"/>
  <c r="M670" i="4"/>
  <c r="N670" i="4"/>
  <c r="O670" i="4"/>
  <c r="P670" i="4"/>
  <c r="Q670" i="4"/>
  <c r="R670" i="4"/>
  <c r="B671" i="4"/>
  <c r="C671" i="4"/>
  <c r="D671" i="4"/>
  <c r="E671" i="4"/>
  <c r="F671" i="4"/>
  <c r="G671" i="4"/>
  <c r="H671" i="4"/>
  <c r="I671" i="4"/>
  <c r="J671" i="4"/>
  <c r="K671" i="4"/>
  <c r="L671" i="4"/>
  <c r="M671" i="4"/>
  <c r="N671" i="4"/>
  <c r="O671" i="4"/>
  <c r="P671" i="4"/>
  <c r="Q671" i="4"/>
  <c r="R671" i="4"/>
  <c r="B672" i="4"/>
  <c r="C672" i="4"/>
  <c r="D672" i="4"/>
  <c r="E672" i="4"/>
  <c r="F672" i="4"/>
  <c r="G672" i="4"/>
  <c r="H672" i="4"/>
  <c r="I672" i="4"/>
  <c r="J672" i="4"/>
  <c r="K672" i="4"/>
  <c r="L672" i="4"/>
  <c r="M672" i="4"/>
  <c r="N672" i="4"/>
  <c r="O672" i="4"/>
  <c r="P672" i="4"/>
  <c r="Q672" i="4"/>
  <c r="R672" i="4"/>
  <c r="B673" i="4"/>
  <c r="C673" i="4"/>
  <c r="D673" i="4"/>
  <c r="E673" i="4"/>
  <c r="F673" i="4"/>
  <c r="G673" i="4"/>
  <c r="H673" i="4"/>
  <c r="I673" i="4"/>
  <c r="J673" i="4"/>
  <c r="K673" i="4"/>
  <c r="L673" i="4"/>
  <c r="M673" i="4"/>
  <c r="N673" i="4"/>
  <c r="O673" i="4"/>
  <c r="P673" i="4"/>
  <c r="Q673" i="4"/>
  <c r="R673" i="4"/>
  <c r="B674" i="4"/>
  <c r="C674" i="4"/>
  <c r="D674" i="4"/>
  <c r="E674" i="4"/>
  <c r="F674" i="4"/>
  <c r="G674" i="4"/>
  <c r="H674" i="4"/>
  <c r="I674" i="4"/>
  <c r="J674" i="4"/>
  <c r="K674" i="4"/>
  <c r="L674" i="4"/>
  <c r="M674" i="4"/>
  <c r="N674" i="4"/>
  <c r="O674" i="4"/>
  <c r="P674" i="4"/>
  <c r="Q674" i="4"/>
  <c r="R674" i="4"/>
  <c r="B675" i="4"/>
  <c r="C675" i="4"/>
  <c r="D675" i="4"/>
  <c r="E675" i="4"/>
  <c r="F675" i="4"/>
  <c r="G675" i="4"/>
  <c r="H675" i="4"/>
  <c r="I675" i="4"/>
  <c r="J675" i="4"/>
  <c r="K675" i="4"/>
  <c r="L675" i="4"/>
  <c r="M675" i="4"/>
  <c r="N675" i="4"/>
  <c r="O675" i="4"/>
  <c r="P675" i="4"/>
  <c r="Q675" i="4"/>
  <c r="R675" i="4"/>
  <c r="B676" i="4"/>
  <c r="C676" i="4"/>
  <c r="D676" i="4"/>
  <c r="E676" i="4"/>
  <c r="F676" i="4"/>
  <c r="G676" i="4"/>
  <c r="H676" i="4"/>
  <c r="I676" i="4"/>
  <c r="J676" i="4"/>
  <c r="K676" i="4"/>
  <c r="L676" i="4"/>
  <c r="M676" i="4"/>
  <c r="N676" i="4"/>
  <c r="O676" i="4"/>
  <c r="P676" i="4"/>
  <c r="Q676" i="4"/>
  <c r="R676" i="4"/>
  <c r="B677" i="4"/>
  <c r="C677" i="4"/>
  <c r="D677" i="4"/>
  <c r="E677" i="4"/>
  <c r="F677" i="4"/>
  <c r="G677" i="4"/>
  <c r="H677" i="4"/>
  <c r="I677" i="4"/>
  <c r="J677" i="4"/>
  <c r="K677" i="4"/>
  <c r="L677" i="4"/>
  <c r="M677" i="4"/>
  <c r="N677" i="4"/>
  <c r="O677" i="4"/>
  <c r="P677" i="4"/>
  <c r="Q677" i="4"/>
  <c r="R677" i="4"/>
  <c r="B678" i="4"/>
  <c r="C678" i="4"/>
  <c r="D678" i="4"/>
  <c r="E678" i="4"/>
  <c r="F678" i="4"/>
  <c r="G678" i="4"/>
  <c r="H678" i="4"/>
  <c r="I678" i="4"/>
  <c r="J678" i="4"/>
  <c r="K678" i="4"/>
  <c r="L678" i="4"/>
  <c r="M678" i="4"/>
  <c r="N678" i="4"/>
  <c r="O678" i="4"/>
  <c r="P678" i="4"/>
  <c r="Q678" i="4"/>
  <c r="R678" i="4"/>
  <c r="B679" i="4"/>
  <c r="C679" i="4"/>
  <c r="D679" i="4"/>
  <c r="E679" i="4"/>
  <c r="F679" i="4"/>
  <c r="G679" i="4"/>
  <c r="H679" i="4"/>
  <c r="I679" i="4"/>
  <c r="J679" i="4"/>
  <c r="K679" i="4"/>
  <c r="L679" i="4"/>
  <c r="M679" i="4"/>
  <c r="N679" i="4"/>
  <c r="O679" i="4"/>
  <c r="P679" i="4"/>
  <c r="Q679" i="4"/>
  <c r="R679" i="4"/>
  <c r="B680" i="4"/>
  <c r="C680" i="4"/>
  <c r="D680" i="4"/>
  <c r="E680" i="4"/>
  <c r="F680" i="4"/>
  <c r="G680" i="4"/>
  <c r="H680" i="4"/>
  <c r="I680" i="4"/>
  <c r="J680" i="4"/>
  <c r="K680" i="4"/>
  <c r="L680" i="4"/>
  <c r="M680" i="4"/>
  <c r="N680" i="4"/>
  <c r="O680" i="4"/>
  <c r="P680" i="4"/>
  <c r="Q680" i="4"/>
  <c r="R680" i="4"/>
  <c r="B681" i="4"/>
  <c r="C681" i="4"/>
  <c r="D681" i="4"/>
  <c r="E681" i="4"/>
  <c r="F681" i="4"/>
  <c r="G681" i="4"/>
  <c r="H681" i="4"/>
  <c r="I681" i="4"/>
  <c r="J681" i="4"/>
  <c r="K681" i="4"/>
  <c r="L681" i="4"/>
  <c r="M681" i="4"/>
  <c r="N681" i="4"/>
  <c r="O681" i="4"/>
  <c r="P681" i="4"/>
  <c r="Q681" i="4"/>
  <c r="R681" i="4"/>
  <c r="B682" i="4"/>
  <c r="C682" i="4"/>
  <c r="D682" i="4"/>
  <c r="E682" i="4"/>
  <c r="F682" i="4"/>
  <c r="G682" i="4"/>
  <c r="H682" i="4"/>
  <c r="I682" i="4"/>
  <c r="J682" i="4"/>
  <c r="K682" i="4"/>
  <c r="L682" i="4"/>
  <c r="M682" i="4"/>
  <c r="N682" i="4"/>
  <c r="O682" i="4"/>
  <c r="P682" i="4"/>
  <c r="Q682" i="4"/>
  <c r="R682" i="4"/>
  <c r="B683" i="4"/>
  <c r="C683" i="4"/>
  <c r="D683" i="4"/>
  <c r="E683" i="4"/>
  <c r="F683" i="4"/>
  <c r="G683" i="4"/>
  <c r="H683" i="4"/>
  <c r="I683" i="4"/>
  <c r="J683" i="4"/>
  <c r="K683" i="4"/>
  <c r="L683" i="4"/>
  <c r="M683" i="4"/>
  <c r="N683" i="4"/>
  <c r="O683" i="4"/>
  <c r="P683" i="4"/>
  <c r="Q683" i="4"/>
  <c r="R683" i="4"/>
  <c r="B684" i="4"/>
  <c r="C684" i="4"/>
  <c r="D684" i="4"/>
  <c r="E684" i="4"/>
  <c r="F684" i="4"/>
  <c r="G684" i="4"/>
  <c r="H684" i="4"/>
  <c r="I684" i="4"/>
  <c r="J684" i="4"/>
  <c r="K684" i="4"/>
  <c r="L684" i="4"/>
  <c r="M684" i="4"/>
  <c r="N684" i="4"/>
  <c r="O684" i="4"/>
  <c r="P684" i="4"/>
  <c r="Q684" i="4"/>
  <c r="R684" i="4"/>
  <c r="B685" i="4"/>
  <c r="C685" i="4"/>
  <c r="D685" i="4"/>
  <c r="E685" i="4"/>
  <c r="F685" i="4"/>
  <c r="G685" i="4"/>
  <c r="H685" i="4"/>
  <c r="I685" i="4"/>
  <c r="J685" i="4"/>
  <c r="K685" i="4"/>
  <c r="L685" i="4"/>
  <c r="M685" i="4"/>
  <c r="N685" i="4"/>
  <c r="O685" i="4"/>
  <c r="P685" i="4"/>
  <c r="Q685" i="4"/>
  <c r="R685" i="4"/>
  <c r="B686" i="4"/>
  <c r="C686" i="4"/>
  <c r="D686" i="4"/>
  <c r="E686" i="4"/>
  <c r="F686" i="4"/>
  <c r="G686" i="4"/>
  <c r="H686" i="4"/>
  <c r="I686" i="4"/>
  <c r="J686" i="4"/>
  <c r="K686" i="4"/>
  <c r="L686" i="4"/>
  <c r="M686" i="4"/>
  <c r="N686" i="4"/>
  <c r="O686" i="4"/>
  <c r="P686" i="4"/>
  <c r="Q686" i="4"/>
  <c r="R686" i="4"/>
  <c r="B687" i="4"/>
  <c r="C687" i="4"/>
  <c r="D687" i="4"/>
  <c r="E687" i="4"/>
  <c r="F687" i="4"/>
  <c r="G687" i="4"/>
  <c r="H687" i="4"/>
  <c r="I687" i="4"/>
  <c r="J687" i="4"/>
  <c r="K687" i="4"/>
  <c r="L687" i="4"/>
  <c r="M687" i="4"/>
  <c r="N687" i="4"/>
  <c r="O687" i="4"/>
  <c r="P687" i="4"/>
  <c r="Q687" i="4"/>
  <c r="R687" i="4"/>
  <c r="B688" i="4"/>
  <c r="C688" i="4"/>
  <c r="D688" i="4"/>
  <c r="E688" i="4"/>
  <c r="F688" i="4"/>
  <c r="G688" i="4"/>
  <c r="H688" i="4"/>
  <c r="I688" i="4"/>
  <c r="J688" i="4"/>
  <c r="K688" i="4"/>
  <c r="L688" i="4"/>
  <c r="M688" i="4"/>
  <c r="N688" i="4"/>
  <c r="O688" i="4"/>
  <c r="P688" i="4"/>
  <c r="Q688" i="4"/>
  <c r="R688" i="4"/>
  <c r="B689" i="4"/>
  <c r="C689" i="4"/>
  <c r="D689" i="4"/>
  <c r="E689" i="4"/>
  <c r="F689" i="4"/>
  <c r="G689" i="4"/>
  <c r="H689" i="4"/>
  <c r="I689" i="4"/>
  <c r="J689" i="4"/>
  <c r="K689" i="4"/>
  <c r="L689" i="4"/>
  <c r="M689" i="4"/>
  <c r="N689" i="4"/>
  <c r="O689" i="4"/>
  <c r="P689" i="4"/>
  <c r="Q689" i="4"/>
  <c r="R689" i="4"/>
  <c r="B690" i="4"/>
  <c r="C690" i="4"/>
  <c r="D690" i="4"/>
  <c r="E690" i="4"/>
  <c r="F690" i="4"/>
  <c r="G690" i="4"/>
  <c r="H690" i="4"/>
  <c r="I690" i="4"/>
  <c r="J690" i="4"/>
  <c r="K690" i="4"/>
  <c r="L690" i="4"/>
  <c r="M690" i="4"/>
  <c r="N690" i="4"/>
  <c r="O690" i="4"/>
  <c r="P690" i="4"/>
  <c r="Q690" i="4"/>
  <c r="R690" i="4"/>
  <c r="B691" i="4"/>
  <c r="C691" i="4"/>
  <c r="D691" i="4"/>
  <c r="E691" i="4"/>
  <c r="F691" i="4"/>
  <c r="G691" i="4"/>
  <c r="H691" i="4"/>
  <c r="I691" i="4"/>
  <c r="J691" i="4"/>
  <c r="K691" i="4"/>
  <c r="L691" i="4"/>
  <c r="M691" i="4"/>
  <c r="N691" i="4"/>
  <c r="O691" i="4"/>
  <c r="P691" i="4"/>
  <c r="Q691" i="4"/>
  <c r="R691" i="4"/>
  <c r="B692" i="4"/>
  <c r="C692" i="4"/>
  <c r="D692" i="4"/>
  <c r="E692" i="4"/>
  <c r="F692" i="4"/>
  <c r="G692" i="4"/>
  <c r="H692" i="4"/>
  <c r="I692" i="4"/>
  <c r="J692" i="4"/>
  <c r="K692" i="4"/>
  <c r="L692" i="4"/>
  <c r="M692" i="4"/>
  <c r="N692" i="4"/>
  <c r="O692" i="4"/>
  <c r="P692" i="4"/>
  <c r="Q692" i="4"/>
  <c r="R692" i="4"/>
  <c r="B693" i="4"/>
  <c r="C693" i="4"/>
  <c r="D693" i="4"/>
  <c r="E693" i="4"/>
  <c r="F693" i="4"/>
  <c r="G693" i="4"/>
  <c r="H693" i="4"/>
  <c r="I693" i="4"/>
  <c r="J693" i="4"/>
  <c r="K693" i="4"/>
  <c r="L693" i="4"/>
  <c r="M693" i="4"/>
  <c r="N693" i="4"/>
  <c r="O693" i="4"/>
  <c r="P693" i="4"/>
  <c r="Q693" i="4"/>
  <c r="R693" i="4"/>
  <c r="B694" i="4"/>
  <c r="C694" i="4"/>
  <c r="D694" i="4"/>
  <c r="E694" i="4"/>
  <c r="F694" i="4"/>
  <c r="G694" i="4"/>
  <c r="H694" i="4"/>
  <c r="I694" i="4"/>
  <c r="J694" i="4"/>
  <c r="K694" i="4"/>
  <c r="L694" i="4"/>
  <c r="M694" i="4"/>
  <c r="N694" i="4"/>
  <c r="O694" i="4"/>
  <c r="P694" i="4"/>
  <c r="Q694" i="4"/>
  <c r="R694" i="4"/>
  <c r="B695" i="4"/>
  <c r="C695" i="4"/>
  <c r="D695" i="4"/>
  <c r="E695" i="4"/>
  <c r="F695" i="4"/>
  <c r="G695" i="4"/>
  <c r="H695" i="4"/>
  <c r="I695" i="4"/>
  <c r="J695" i="4"/>
  <c r="K695" i="4"/>
  <c r="L695" i="4"/>
  <c r="M695" i="4"/>
  <c r="N695" i="4"/>
  <c r="O695" i="4"/>
  <c r="P695" i="4"/>
  <c r="Q695" i="4"/>
  <c r="R695" i="4"/>
  <c r="B696" i="4"/>
  <c r="C696" i="4"/>
  <c r="D696" i="4"/>
  <c r="E696" i="4"/>
  <c r="F696" i="4"/>
  <c r="G696" i="4"/>
  <c r="H696" i="4"/>
  <c r="I696" i="4"/>
  <c r="J696" i="4"/>
  <c r="K696" i="4"/>
  <c r="L696" i="4"/>
  <c r="M696" i="4"/>
  <c r="N696" i="4"/>
  <c r="O696" i="4"/>
  <c r="P696" i="4"/>
  <c r="Q696" i="4"/>
  <c r="R696" i="4"/>
  <c r="B697" i="4"/>
  <c r="C697" i="4"/>
  <c r="D697" i="4"/>
  <c r="E697" i="4"/>
  <c r="F697" i="4"/>
  <c r="G697" i="4"/>
  <c r="H697" i="4"/>
  <c r="I697" i="4"/>
  <c r="J697" i="4"/>
  <c r="K697" i="4"/>
  <c r="L697" i="4"/>
  <c r="M697" i="4"/>
  <c r="N697" i="4"/>
  <c r="O697" i="4"/>
  <c r="P697" i="4"/>
  <c r="Q697" i="4"/>
  <c r="R697" i="4"/>
  <c r="B698" i="4"/>
  <c r="C698" i="4"/>
  <c r="D698" i="4"/>
  <c r="E698" i="4"/>
  <c r="F698" i="4"/>
  <c r="G698" i="4"/>
  <c r="H698" i="4"/>
  <c r="I698" i="4"/>
  <c r="J698" i="4"/>
  <c r="K698" i="4"/>
  <c r="L698" i="4"/>
  <c r="M698" i="4"/>
  <c r="N698" i="4"/>
  <c r="O698" i="4"/>
  <c r="P698" i="4"/>
  <c r="Q698" i="4"/>
  <c r="R698" i="4"/>
  <c r="B699" i="4"/>
  <c r="C699" i="4"/>
  <c r="D699" i="4"/>
  <c r="E699" i="4"/>
  <c r="F699" i="4"/>
  <c r="G699" i="4"/>
  <c r="H699" i="4"/>
  <c r="I699" i="4"/>
  <c r="J699" i="4"/>
  <c r="K699" i="4"/>
  <c r="L699" i="4"/>
  <c r="M699" i="4"/>
  <c r="N699" i="4"/>
  <c r="O699" i="4"/>
  <c r="P699" i="4"/>
  <c r="Q699" i="4"/>
  <c r="R699" i="4"/>
  <c r="B700" i="4"/>
  <c r="C700" i="4"/>
  <c r="D700" i="4"/>
  <c r="E700" i="4"/>
  <c r="F700" i="4"/>
  <c r="G700" i="4"/>
  <c r="H700" i="4"/>
  <c r="I700" i="4"/>
  <c r="J700" i="4"/>
  <c r="K700" i="4"/>
  <c r="L700" i="4"/>
  <c r="M700" i="4"/>
  <c r="N700" i="4"/>
  <c r="O700" i="4"/>
  <c r="P700" i="4"/>
  <c r="Q700" i="4"/>
  <c r="R700" i="4"/>
  <c r="B701" i="4"/>
  <c r="C701" i="4"/>
  <c r="D701" i="4"/>
  <c r="E701" i="4"/>
  <c r="F701" i="4"/>
  <c r="G701" i="4"/>
  <c r="H701" i="4"/>
  <c r="I701" i="4"/>
  <c r="J701" i="4"/>
  <c r="K701" i="4"/>
  <c r="L701" i="4"/>
  <c r="M701" i="4"/>
  <c r="N701" i="4"/>
  <c r="O701" i="4"/>
  <c r="P701" i="4"/>
  <c r="Q701" i="4"/>
  <c r="R701" i="4"/>
  <c r="B702" i="4"/>
  <c r="C702" i="4"/>
  <c r="D702" i="4"/>
  <c r="E702" i="4"/>
  <c r="F702" i="4"/>
  <c r="G702" i="4"/>
  <c r="H702" i="4"/>
  <c r="I702" i="4"/>
  <c r="J702" i="4"/>
  <c r="K702" i="4"/>
  <c r="L702" i="4"/>
  <c r="M702" i="4"/>
  <c r="N702" i="4"/>
  <c r="O702" i="4"/>
  <c r="P702" i="4"/>
  <c r="Q702" i="4"/>
  <c r="R702" i="4"/>
  <c r="B703" i="4"/>
  <c r="C703" i="4"/>
  <c r="D703" i="4"/>
  <c r="E703" i="4"/>
  <c r="F703" i="4"/>
  <c r="G703" i="4"/>
  <c r="H703" i="4"/>
  <c r="I703" i="4"/>
  <c r="J703" i="4"/>
  <c r="K703" i="4"/>
  <c r="L703" i="4"/>
  <c r="M703" i="4"/>
  <c r="N703" i="4"/>
  <c r="O703" i="4"/>
  <c r="P703" i="4"/>
  <c r="Q703" i="4"/>
  <c r="R703" i="4"/>
  <c r="B704" i="4"/>
  <c r="C704" i="4"/>
  <c r="D704" i="4"/>
  <c r="E704" i="4"/>
  <c r="F704" i="4"/>
  <c r="G704" i="4"/>
  <c r="H704" i="4"/>
  <c r="I704" i="4"/>
  <c r="J704" i="4"/>
  <c r="K704" i="4"/>
  <c r="L704" i="4"/>
  <c r="M704" i="4"/>
  <c r="N704" i="4"/>
  <c r="O704" i="4"/>
  <c r="P704" i="4"/>
  <c r="Q704" i="4"/>
  <c r="R704" i="4"/>
  <c r="B705" i="4"/>
  <c r="C705" i="4"/>
  <c r="D705" i="4"/>
  <c r="E705" i="4"/>
  <c r="F705" i="4"/>
  <c r="G705" i="4"/>
  <c r="H705" i="4"/>
  <c r="I705" i="4"/>
  <c r="J705" i="4"/>
  <c r="K705" i="4"/>
  <c r="L705" i="4"/>
  <c r="M705" i="4"/>
  <c r="N705" i="4"/>
  <c r="O705" i="4"/>
  <c r="P705" i="4"/>
  <c r="Q705" i="4"/>
  <c r="R705" i="4"/>
  <c r="B706" i="4"/>
  <c r="C706" i="4"/>
  <c r="D706" i="4"/>
  <c r="E706" i="4"/>
  <c r="F706" i="4"/>
  <c r="G706" i="4"/>
  <c r="H706" i="4"/>
  <c r="I706" i="4"/>
  <c r="J706" i="4"/>
  <c r="K706" i="4"/>
  <c r="L706" i="4"/>
  <c r="M706" i="4"/>
  <c r="N706" i="4"/>
  <c r="O706" i="4"/>
  <c r="P706" i="4"/>
  <c r="Q706" i="4"/>
  <c r="R706" i="4"/>
  <c r="B707" i="4"/>
  <c r="C707" i="4"/>
  <c r="D707" i="4"/>
  <c r="E707" i="4"/>
  <c r="F707" i="4"/>
  <c r="G707" i="4"/>
  <c r="H707" i="4"/>
  <c r="I707" i="4"/>
  <c r="J707" i="4"/>
  <c r="K707" i="4"/>
  <c r="L707" i="4"/>
  <c r="M707" i="4"/>
  <c r="N707" i="4"/>
  <c r="O707" i="4"/>
  <c r="P707" i="4"/>
  <c r="Q707" i="4"/>
  <c r="R707" i="4"/>
  <c r="B708" i="4"/>
  <c r="C708" i="4"/>
  <c r="D708" i="4"/>
  <c r="E708" i="4"/>
  <c r="F708" i="4"/>
  <c r="G708" i="4"/>
  <c r="H708" i="4"/>
  <c r="I708" i="4"/>
  <c r="J708" i="4"/>
  <c r="K708" i="4"/>
  <c r="L708" i="4"/>
  <c r="M708" i="4"/>
  <c r="N708" i="4"/>
  <c r="O708" i="4"/>
  <c r="P708" i="4"/>
  <c r="Q708" i="4"/>
  <c r="R708" i="4"/>
  <c r="B709" i="4"/>
  <c r="C709" i="4"/>
  <c r="D709" i="4"/>
  <c r="E709" i="4"/>
  <c r="F709" i="4"/>
  <c r="G709" i="4"/>
  <c r="H709" i="4"/>
  <c r="I709" i="4"/>
  <c r="J709" i="4"/>
  <c r="K709" i="4"/>
  <c r="L709" i="4"/>
  <c r="M709" i="4"/>
  <c r="N709" i="4"/>
  <c r="O709" i="4"/>
  <c r="P709" i="4"/>
  <c r="Q709" i="4"/>
  <c r="R709" i="4"/>
  <c r="B710" i="4"/>
  <c r="C710" i="4"/>
  <c r="D710" i="4"/>
  <c r="E710" i="4"/>
  <c r="F710" i="4"/>
  <c r="G710" i="4"/>
  <c r="H710" i="4"/>
  <c r="I710" i="4"/>
  <c r="J710" i="4"/>
  <c r="K710" i="4"/>
  <c r="L710" i="4"/>
  <c r="M710" i="4"/>
  <c r="N710" i="4"/>
  <c r="O710" i="4"/>
  <c r="P710" i="4"/>
  <c r="Q710" i="4"/>
  <c r="R710" i="4"/>
  <c r="B711" i="4"/>
  <c r="C711" i="4"/>
  <c r="D711" i="4"/>
  <c r="E711" i="4"/>
  <c r="F711" i="4"/>
  <c r="G711" i="4"/>
  <c r="H711" i="4"/>
  <c r="I711" i="4"/>
  <c r="J711" i="4"/>
  <c r="K711" i="4"/>
  <c r="L711" i="4"/>
  <c r="M711" i="4"/>
  <c r="N711" i="4"/>
  <c r="O711" i="4"/>
  <c r="P711" i="4"/>
  <c r="Q711" i="4"/>
  <c r="R711" i="4"/>
  <c r="B712" i="4"/>
  <c r="C712" i="4"/>
  <c r="D712" i="4"/>
  <c r="E712" i="4"/>
  <c r="F712" i="4"/>
  <c r="G712" i="4"/>
  <c r="H712" i="4"/>
  <c r="I712" i="4"/>
  <c r="J712" i="4"/>
  <c r="K712" i="4"/>
  <c r="L712" i="4"/>
  <c r="M712" i="4"/>
  <c r="N712" i="4"/>
  <c r="O712" i="4"/>
  <c r="P712" i="4"/>
  <c r="Q712" i="4"/>
  <c r="R712" i="4"/>
  <c r="B713" i="4"/>
  <c r="C713" i="4"/>
  <c r="D713" i="4"/>
  <c r="E713" i="4"/>
  <c r="F713" i="4"/>
  <c r="G713" i="4"/>
  <c r="H713" i="4"/>
  <c r="I713" i="4"/>
  <c r="J713" i="4"/>
  <c r="K713" i="4"/>
  <c r="L713" i="4"/>
  <c r="M713" i="4"/>
  <c r="N713" i="4"/>
  <c r="O713" i="4"/>
  <c r="P713" i="4"/>
  <c r="Q713" i="4"/>
  <c r="R713" i="4"/>
  <c r="B714" i="4"/>
  <c r="C714" i="4"/>
  <c r="D714" i="4"/>
  <c r="E714" i="4"/>
  <c r="F714" i="4"/>
  <c r="G714" i="4"/>
  <c r="H714" i="4"/>
  <c r="I714" i="4"/>
  <c r="J714" i="4"/>
  <c r="K714" i="4"/>
  <c r="L714" i="4"/>
  <c r="M714" i="4"/>
  <c r="N714" i="4"/>
  <c r="O714" i="4"/>
  <c r="P714" i="4"/>
  <c r="Q714" i="4"/>
  <c r="R714" i="4"/>
  <c r="B715" i="4"/>
  <c r="C715" i="4"/>
  <c r="D715" i="4"/>
  <c r="E715" i="4"/>
  <c r="F715" i="4"/>
  <c r="G715" i="4"/>
  <c r="H715" i="4"/>
  <c r="I715" i="4"/>
  <c r="J715" i="4"/>
  <c r="K715" i="4"/>
  <c r="L715" i="4"/>
  <c r="M715" i="4"/>
  <c r="N715" i="4"/>
  <c r="O715" i="4"/>
  <c r="P715" i="4"/>
  <c r="Q715" i="4"/>
  <c r="R715" i="4"/>
  <c r="B716" i="4"/>
  <c r="C716" i="4"/>
  <c r="D716" i="4"/>
  <c r="E716" i="4"/>
  <c r="F716" i="4"/>
  <c r="G716" i="4"/>
  <c r="H716" i="4"/>
  <c r="I716" i="4"/>
  <c r="J716" i="4"/>
  <c r="K716" i="4"/>
  <c r="L716" i="4"/>
  <c r="M716" i="4"/>
  <c r="N716" i="4"/>
  <c r="O716" i="4"/>
  <c r="P716" i="4"/>
  <c r="Q716" i="4"/>
  <c r="R716" i="4"/>
  <c r="B717" i="4"/>
  <c r="C717" i="4"/>
  <c r="D717" i="4"/>
  <c r="E717" i="4"/>
  <c r="F717" i="4"/>
  <c r="G717" i="4"/>
  <c r="H717" i="4"/>
  <c r="I717" i="4"/>
  <c r="J717" i="4"/>
  <c r="K717" i="4"/>
  <c r="L717" i="4"/>
  <c r="M717" i="4"/>
  <c r="N717" i="4"/>
  <c r="O717" i="4"/>
  <c r="P717" i="4"/>
  <c r="Q717" i="4"/>
  <c r="R717" i="4"/>
  <c r="B718" i="4"/>
  <c r="C718" i="4"/>
  <c r="D718" i="4"/>
  <c r="E718" i="4"/>
  <c r="F718" i="4"/>
  <c r="G718" i="4"/>
  <c r="H718" i="4"/>
  <c r="I718" i="4"/>
  <c r="J718" i="4"/>
  <c r="K718" i="4"/>
  <c r="L718" i="4"/>
  <c r="M718" i="4"/>
  <c r="N718" i="4"/>
  <c r="O718" i="4"/>
  <c r="P718" i="4"/>
  <c r="Q718" i="4"/>
  <c r="R718" i="4"/>
  <c r="B719" i="4"/>
  <c r="C719" i="4"/>
  <c r="D719" i="4"/>
  <c r="E719" i="4"/>
  <c r="F719" i="4"/>
  <c r="G719" i="4"/>
  <c r="H719" i="4"/>
  <c r="I719" i="4"/>
  <c r="J719" i="4"/>
  <c r="K719" i="4"/>
  <c r="L719" i="4"/>
  <c r="M719" i="4"/>
  <c r="N719" i="4"/>
  <c r="O719" i="4"/>
  <c r="P719" i="4"/>
  <c r="Q719" i="4"/>
  <c r="R719" i="4"/>
  <c r="B720" i="4"/>
  <c r="C720" i="4"/>
  <c r="D720" i="4"/>
  <c r="E720" i="4"/>
  <c r="F720" i="4"/>
  <c r="G720" i="4"/>
  <c r="H720" i="4"/>
  <c r="I720" i="4"/>
  <c r="J720" i="4"/>
  <c r="K720" i="4"/>
  <c r="L720" i="4"/>
  <c r="M720" i="4"/>
  <c r="N720" i="4"/>
  <c r="O720" i="4"/>
  <c r="P720" i="4"/>
  <c r="Q720" i="4"/>
  <c r="R720" i="4"/>
  <c r="B721" i="4"/>
  <c r="C721" i="4"/>
  <c r="D721" i="4"/>
  <c r="E721" i="4"/>
  <c r="F721" i="4"/>
  <c r="G721" i="4"/>
  <c r="H721" i="4"/>
  <c r="I721" i="4"/>
  <c r="J721" i="4"/>
  <c r="K721" i="4"/>
  <c r="L721" i="4"/>
  <c r="M721" i="4"/>
  <c r="N721" i="4"/>
  <c r="O721" i="4"/>
  <c r="P721" i="4"/>
  <c r="Q721" i="4"/>
  <c r="R721" i="4"/>
  <c r="B723" i="4"/>
  <c r="C723" i="4"/>
  <c r="D723" i="4"/>
  <c r="E723" i="4"/>
  <c r="F723" i="4"/>
  <c r="G723" i="4"/>
  <c r="H723" i="4"/>
  <c r="I723" i="4"/>
  <c r="J723" i="4"/>
  <c r="K723" i="4"/>
  <c r="L723" i="4"/>
  <c r="M723" i="4"/>
  <c r="N723" i="4"/>
  <c r="O723" i="4"/>
  <c r="P723" i="4"/>
  <c r="Q723" i="4"/>
  <c r="R723" i="4"/>
  <c r="B724" i="4"/>
  <c r="C724" i="4"/>
  <c r="D724" i="4"/>
  <c r="E724" i="4"/>
  <c r="F724" i="4"/>
  <c r="G724" i="4"/>
  <c r="H724" i="4"/>
  <c r="I724" i="4"/>
  <c r="J724" i="4"/>
  <c r="K724" i="4"/>
  <c r="L724" i="4"/>
  <c r="M724" i="4"/>
  <c r="N724" i="4"/>
  <c r="O724" i="4"/>
  <c r="P724" i="4"/>
  <c r="Q724" i="4"/>
  <c r="R724" i="4"/>
  <c r="B725" i="4"/>
  <c r="C725" i="4"/>
  <c r="D725" i="4"/>
  <c r="E725" i="4"/>
  <c r="F725" i="4"/>
  <c r="G725" i="4"/>
  <c r="H725" i="4"/>
  <c r="I725" i="4"/>
  <c r="J725" i="4"/>
  <c r="K725" i="4"/>
  <c r="L725" i="4"/>
  <c r="M725" i="4"/>
  <c r="N725" i="4"/>
  <c r="O725" i="4"/>
  <c r="P725" i="4"/>
  <c r="Q725" i="4"/>
  <c r="R725" i="4"/>
  <c r="B726" i="4"/>
  <c r="C726" i="4"/>
  <c r="D726" i="4"/>
  <c r="E726" i="4"/>
  <c r="F726" i="4"/>
  <c r="G726" i="4"/>
  <c r="H726" i="4"/>
  <c r="I726" i="4"/>
  <c r="J726" i="4"/>
  <c r="K726" i="4"/>
  <c r="L726" i="4"/>
  <c r="M726" i="4"/>
  <c r="N726" i="4"/>
  <c r="O726" i="4"/>
  <c r="P726" i="4"/>
  <c r="Q726" i="4"/>
  <c r="R726" i="4"/>
  <c r="B727" i="4"/>
  <c r="C727" i="4"/>
  <c r="D727" i="4"/>
  <c r="E727" i="4"/>
  <c r="F727" i="4"/>
  <c r="G727" i="4"/>
  <c r="H727" i="4"/>
  <c r="I727" i="4"/>
  <c r="J727" i="4"/>
  <c r="K727" i="4"/>
  <c r="L727" i="4"/>
  <c r="M727" i="4"/>
  <c r="N727" i="4"/>
  <c r="O727" i="4"/>
  <c r="P727" i="4"/>
  <c r="Q727" i="4"/>
  <c r="R727" i="4"/>
  <c r="B728" i="4"/>
  <c r="C728" i="4"/>
  <c r="D728" i="4"/>
  <c r="E728" i="4"/>
  <c r="F728" i="4"/>
  <c r="G728" i="4"/>
  <c r="H728" i="4"/>
  <c r="I728" i="4"/>
  <c r="J728" i="4"/>
  <c r="K728" i="4"/>
  <c r="L728" i="4"/>
  <c r="M728" i="4"/>
  <c r="N728" i="4"/>
  <c r="O728" i="4"/>
  <c r="P728" i="4"/>
  <c r="Q728" i="4"/>
  <c r="R728" i="4"/>
  <c r="B729" i="4"/>
  <c r="C729" i="4"/>
  <c r="D729" i="4"/>
  <c r="E729" i="4"/>
  <c r="F729" i="4"/>
  <c r="G729" i="4"/>
  <c r="H729" i="4"/>
  <c r="I729" i="4"/>
  <c r="J729" i="4"/>
  <c r="K729" i="4"/>
  <c r="L729" i="4"/>
  <c r="M729" i="4"/>
  <c r="N729" i="4"/>
  <c r="O729" i="4"/>
  <c r="P729" i="4"/>
  <c r="Q729" i="4"/>
  <c r="R729" i="4"/>
  <c r="B730" i="4"/>
  <c r="C730" i="4"/>
  <c r="D730" i="4"/>
  <c r="E730" i="4"/>
  <c r="F730" i="4"/>
  <c r="G730" i="4"/>
  <c r="H730" i="4"/>
  <c r="I730" i="4"/>
  <c r="J730" i="4"/>
  <c r="K730" i="4"/>
  <c r="L730" i="4"/>
  <c r="M730" i="4"/>
  <c r="N730" i="4"/>
  <c r="O730" i="4"/>
  <c r="P730" i="4"/>
  <c r="Q730" i="4"/>
  <c r="R730" i="4"/>
  <c r="B731" i="4"/>
  <c r="C731" i="4"/>
  <c r="D731" i="4"/>
  <c r="E731" i="4"/>
  <c r="F731" i="4"/>
  <c r="G731" i="4"/>
  <c r="H731" i="4"/>
  <c r="I731" i="4"/>
  <c r="J731" i="4"/>
  <c r="K731" i="4"/>
  <c r="L731" i="4"/>
  <c r="M731" i="4"/>
  <c r="N731" i="4"/>
  <c r="O731" i="4"/>
  <c r="P731" i="4"/>
  <c r="Q731" i="4"/>
  <c r="R731" i="4"/>
  <c r="B732" i="4"/>
  <c r="C732" i="4"/>
  <c r="D732" i="4"/>
  <c r="E732" i="4"/>
  <c r="F732" i="4"/>
  <c r="G732" i="4"/>
  <c r="H732" i="4"/>
  <c r="I732" i="4"/>
  <c r="J732" i="4"/>
  <c r="K732" i="4"/>
  <c r="L732" i="4"/>
  <c r="M732" i="4"/>
  <c r="N732" i="4"/>
  <c r="O732" i="4"/>
  <c r="P732" i="4"/>
  <c r="Q732" i="4"/>
  <c r="R732" i="4"/>
  <c r="B733" i="4"/>
  <c r="C733" i="4"/>
  <c r="D733" i="4"/>
  <c r="E733" i="4"/>
  <c r="F733" i="4"/>
  <c r="G733" i="4"/>
  <c r="H733" i="4"/>
  <c r="I733" i="4"/>
  <c r="J733" i="4"/>
  <c r="K733" i="4"/>
  <c r="L733" i="4"/>
  <c r="M733" i="4"/>
  <c r="N733" i="4"/>
  <c r="O733" i="4"/>
  <c r="P733" i="4"/>
  <c r="Q733" i="4"/>
  <c r="R733" i="4"/>
  <c r="B734" i="4"/>
  <c r="C734" i="4"/>
  <c r="D734" i="4"/>
  <c r="E734" i="4"/>
  <c r="F734" i="4"/>
  <c r="G734" i="4"/>
  <c r="H734" i="4"/>
  <c r="I734" i="4"/>
  <c r="J734" i="4"/>
  <c r="K734" i="4"/>
  <c r="L734" i="4"/>
  <c r="M734" i="4"/>
  <c r="N734" i="4"/>
  <c r="O734" i="4"/>
  <c r="P734" i="4"/>
  <c r="Q734" i="4"/>
  <c r="R734" i="4"/>
  <c r="B735" i="4"/>
  <c r="C735" i="4"/>
  <c r="D735" i="4"/>
  <c r="E735" i="4"/>
  <c r="F735" i="4"/>
  <c r="G735" i="4"/>
  <c r="H735" i="4"/>
  <c r="I735" i="4"/>
  <c r="J735" i="4"/>
  <c r="K735" i="4"/>
  <c r="L735" i="4"/>
  <c r="M735" i="4"/>
  <c r="N735" i="4"/>
  <c r="O735" i="4"/>
  <c r="P735" i="4"/>
  <c r="Q735" i="4"/>
  <c r="R735" i="4"/>
  <c r="B736" i="4"/>
  <c r="C736" i="4"/>
  <c r="D736" i="4"/>
  <c r="E736" i="4"/>
  <c r="F736" i="4"/>
  <c r="G736" i="4"/>
  <c r="H736" i="4"/>
  <c r="I736" i="4"/>
  <c r="J736" i="4"/>
  <c r="K736" i="4"/>
  <c r="L736" i="4"/>
  <c r="M736" i="4"/>
  <c r="N736" i="4"/>
  <c r="O736" i="4"/>
  <c r="P736" i="4"/>
  <c r="Q736" i="4"/>
  <c r="R736" i="4"/>
  <c r="B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B2" i="4"/>
</calcChain>
</file>

<file path=xl/sharedStrings.xml><?xml version="1.0" encoding="utf-8"?>
<sst xmlns="http://schemas.openxmlformats.org/spreadsheetml/2006/main" count="176" uniqueCount="41">
  <si>
    <t>山口大学工学部中央電気室</t>
  </si>
  <si>
    <t>Time(60)</t>
  </si>
  <si>
    <t>中央電気室</t>
  </si>
  <si>
    <t>B-MPX24</t>
  </si>
  <si>
    <t>中央電気室:高圧受電盤 電力量</t>
  </si>
  <si>
    <t>kWh</t>
  </si>
  <si>
    <t>中央電気室:管理棟 電力量</t>
  </si>
  <si>
    <t>中央電気室:電気工学科棟 電力量</t>
  </si>
  <si>
    <t>中央電気室:資源工学科棟 電力量</t>
  </si>
  <si>
    <t>中央電気室:化学工学科棟 電力量</t>
  </si>
  <si>
    <t>中央電気室:建築工学科棟 電力量</t>
  </si>
  <si>
    <t>中央電気室:講義棟(D) 電力量</t>
  </si>
  <si>
    <t>中央電気室:電気電子工学科棟 電力量</t>
  </si>
  <si>
    <t>中央電気室:所内 電力量</t>
  </si>
  <si>
    <t>中央電気室:図書館 電力量</t>
  </si>
  <si>
    <t>中央電気室:電子工学科棟 電力量</t>
  </si>
  <si>
    <t>中央電気室:SVBL 電力量</t>
  </si>
  <si>
    <t>中央電気室:電子計算機室 電力量</t>
  </si>
  <si>
    <t>中央電気室:福利施設棟 電力量</t>
  </si>
  <si>
    <t>社会実習棟:連携盤T148_1</t>
  </si>
  <si>
    <t>社会実習棟:連携盤T148_2</t>
  </si>
  <si>
    <t>ﾒﾃﾞｨｱ基盤ｾﾝﾀｰ</t>
  </si>
  <si>
    <t>ﾒﾃﾞｨｱ基盤ｾﾝﾀｰ:屋上ｷｭｰﾋﾞｸﾙ 電力量</t>
  </si>
  <si>
    <t>timestamp</t>
  </si>
  <si>
    <t>0: 高圧受電盤(kWh)</t>
  </si>
  <si>
    <t>1: 工学部本館(kWh)</t>
  </si>
  <si>
    <t>2: 総合研究棟2号館(kWh)</t>
  </si>
  <si>
    <t>3: 予備(kWh)</t>
  </si>
  <si>
    <t>4: 環境共生系専攻課棟(kWh)</t>
  </si>
  <si>
    <t>5: 社建実習棟(kWh)</t>
  </si>
  <si>
    <t>6: D講義棟(kWh)</t>
  </si>
  <si>
    <t>7: 電気電子棟(kWh)</t>
  </si>
  <si>
    <t>8: 変電棟所内(kWh)</t>
  </si>
  <si>
    <t>9: 図書館(kWh)</t>
  </si>
  <si>
    <t>10: 知能情報棟(kWh)</t>
  </si>
  <si>
    <t>11: 先端研究棟(kWh)</t>
  </si>
  <si>
    <t>12: メディア基盤センター(kWh)</t>
  </si>
  <si>
    <t>13: 福利厚生棟(kWh)</t>
  </si>
  <si>
    <t>社会実習棟:連携盤T148_1(kWh)</t>
    <phoneticPr fontId="1"/>
  </si>
  <si>
    <t>社会実習棟:連携盤T148_2(kWh)</t>
    <phoneticPr fontId="1"/>
  </si>
  <si>
    <t>ﾒﾃﾞｨｱ基盤ｾﾝﾀｰ:屋上ｷｭｰﾋﾞｸﾙ 電力量(kWh)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</si>
</sst>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\ h:mm;@"/>
  </numFmts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20" fontId="0" fillId="0" borderId="0" xfId="0" applyNumberFormat="1" applyAlignment="1">
      <alignment vertical="center"/>
    </xf>
    <xf numFmtId="22" fontId="0" fillId="0" borderId="0" xfId="0" applyNumberFormat="1" applyAlignment="1">
      <alignment vertical="center"/>
    </xf>
    <xf numFmtId="176" fontId="0" fillId="0" borderId="0" xfId="0" applyNumberFormat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/>
    <xf numFmtId="20" fontId="0" fillId="0" borderId="0" xfId="0" applyNumberForma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BV18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SY18" sqref="F2:SY18"/>
    </sheetView>
  </sheetViews>
  <sheetFormatPr defaultRowHeight="18.75"/>
  <sheetData>
    <row r="1" spans="1:750">
      <c r="A1" s="1" t="s">
        <v>0</v>
      </c>
      <c r="B1" s="1" t="s">
        <v>1</v>
      </c>
      <c r="C1" s="1"/>
      <c r="D1" s="1"/>
      <c r="E1" s="1"/>
      <c r="F1" s="2">
        <v>0</v>
      </c>
      <c r="G1" s="2">
        <v>4.1666666666666664E-2</v>
      </c>
      <c r="H1" s="2">
        <v>8.3333333333333329E-2</v>
      </c>
      <c r="I1" s="2">
        <v>0.125</v>
      </c>
      <c r="J1" s="2">
        <v>0.16666666666666666</v>
      </c>
      <c r="K1" s="2">
        <v>0.20833333333333334</v>
      </c>
      <c r="L1" s="2">
        <v>0.25</v>
      </c>
      <c r="M1" s="2">
        <v>0.29166666666666669</v>
      </c>
      <c r="N1" s="2">
        <v>0.33333333333333331</v>
      </c>
      <c r="O1" s="2">
        <v>0.375</v>
      </c>
      <c r="P1" s="2">
        <v>0.41666666666666669</v>
      </c>
      <c r="Q1" s="2">
        <v>0.45833333333333331</v>
      </c>
      <c r="R1" s="2">
        <v>0.5</v>
      </c>
      <c r="S1" s="2">
        <v>0.54166666666666663</v>
      </c>
      <c r="T1" s="2">
        <v>0.58333333333333337</v>
      </c>
      <c r="U1" s="2">
        <v>0.625</v>
      </c>
      <c r="V1" s="2">
        <v>0.66666666666666663</v>
      </c>
      <c r="W1" s="2">
        <v>0.70833333333333337</v>
      </c>
      <c r="X1" s="2">
        <v>0.75</v>
      </c>
      <c r="Y1" s="2">
        <v>0.79166666666666663</v>
      </c>
      <c r="Z1" s="2">
        <v>0.83333333333333337</v>
      </c>
      <c r="AA1" s="2">
        <v>0.875</v>
      </c>
      <c r="AB1" s="2">
        <v>0.91666666666666663</v>
      </c>
      <c r="AC1" s="2">
        <v>0.95833333333333337</v>
      </c>
      <c r="AD1" s="2">
        <v>0</v>
      </c>
      <c r="AE1" s="2">
        <v>4.1666666666666664E-2</v>
      </c>
      <c r="AF1" s="2">
        <v>8.3333333333333329E-2</v>
      </c>
      <c r="AG1" s="2">
        <v>0.125</v>
      </c>
      <c r="AH1" s="2">
        <v>0.16666666666666666</v>
      </c>
      <c r="AI1" s="2">
        <v>0.20833333333333334</v>
      </c>
      <c r="AJ1" s="2">
        <v>0.25</v>
      </c>
      <c r="AK1" s="2">
        <v>0.29166666666666669</v>
      </c>
      <c r="AL1" s="2">
        <v>0.33333333333333331</v>
      </c>
      <c r="AM1" s="2">
        <v>0.375</v>
      </c>
      <c r="AN1" s="2">
        <v>0.41666666666666669</v>
      </c>
      <c r="AO1" s="2">
        <v>0.45833333333333331</v>
      </c>
      <c r="AP1" s="2">
        <v>0.5</v>
      </c>
      <c r="AQ1" s="2">
        <v>0.54166666666666663</v>
      </c>
      <c r="AR1" s="2">
        <v>0.58333333333333337</v>
      </c>
      <c r="AS1" s="2">
        <v>0.625</v>
      </c>
      <c r="AT1" s="2">
        <v>0.66666666666666663</v>
      </c>
      <c r="AU1" s="2">
        <v>0.70833333333333337</v>
      </c>
      <c r="AV1" s="2">
        <v>0.75</v>
      </c>
      <c r="AW1" s="2">
        <v>0.79166666666666663</v>
      </c>
      <c r="AX1" s="2">
        <v>0.83333333333333337</v>
      </c>
      <c r="AY1" s="2">
        <v>0.875</v>
      </c>
      <c r="AZ1" s="2">
        <v>0.91666666666666663</v>
      </c>
      <c r="BA1" s="2">
        <v>0.95833333333333337</v>
      </c>
      <c r="BB1" s="2">
        <v>0</v>
      </c>
      <c r="BC1" s="2">
        <v>4.1666666666666664E-2</v>
      </c>
      <c r="BD1" s="2">
        <v>8.3333333333333329E-2</v>
      </c>
      <c r="BE1" s="2">
        <v>0.125</v>
      </c>
      <c r="BF1" s="2">
        <v>0.16666666666666666</v>
      </c>
      <c r="BG1" s="2">
        <v>0.20833333333333334</v>
      </c>
      <c r="BH1" s="2">
        <v>0.25</v>
      </c>
      <c r="BI1" s="2">
        <v>0.29166666666666669</v>
      </c>
      <c r="BJ1" s="2">
        <v>0.33333333333333331</v>
      </c>
      <c r="BK1" s="2">
        <v>0.375</v>
      </c>
      <c r="BL1" s="2">
        <v>0.41666666666666669</v>
      </c>
      <c r="BM1" s="2">
        <v>0.45833333333333331</v>
      </c>
      <c r="BN1" s="2">
        <v>0.5</v>
      </c>
      <c r="BO1" s="2">
        <v>0.54166666666666663</v>
      </c>
      <c r="BP1" s="2">
        <v>0.58333333333333337</v>
      </c>
      <c r="BQ1" s="2">
        <v>0.625</v>
      </c>
      <c r="BR1" s="2">
        <v>0.66666666666666663</v>
      </c>
      <c r="BS1" s="2">
        <v>0.70833333333333337</v>
      </c>
      <c r="BT1" s="2">
        <v>0.75</v>
      </c>
      <c r="BU1" s="2">
        <v>0.79166666666666663</v>
      </c>
      <c r="BV1" s="2">
        <v>0.83333333333333337</v>
      </c>
      <c r="BW1" s="2">
        <v>0.875</v>
      </c>
      <c r="BX1" s="2">
        <v>0.91666666666666663</v>
      </c>
      <c r="BY1" s="2">
        <v>0.95833333333333337</v>
      </c>
      <c r="BZ1" s="2">
        <v>0</v>
      </c>
      <c r="CA1" s="2">
        <v>4.1666666666666664E-2</v>
      </c>
      <c r="CB1" s="2">
        <v>8.3333333333333329E-2</v>
      </c>
      <c r="CC1" s="2">
        <v>0.125</v>
      </c>
      <c r="CD1" s="2">
        <v>0.16666666666666666</v>
      </c>
      <c r="CE1" s="2">
        <v>0.20833333333333334</v>
      </c>
      <c r="CF1" s="2">
        <v>0.25</v>
      </c>
      <c r="CG1" s="2">
        <v>0.29166666666666669</v>
      </c>
      <c r="CH1" s="2">
        <v>0.33333333333333331</v>
      </c>
      <c r="CI1" s="2">
        <v>0.375</v>
      </c>
      <c r="CJ1" s="2">
        <v>0.41666666666666669</v>
      </c>
      <c r="CK1" s="2">
        <v>0.45833333333333331</v>
      </c>
      <c r="CL1" s="2">
        <v>0.5</v>
      </c>
      <c r="CM1" s="2">
        <v>0.54166666666666663</v>
      </c>
      <c r="CN1" s="2">
        <v>0.58333333333333337</v>
      </c>
      <c r="CO1" s="2">
        <v>0.625</v>
      </c>
      <c r="CP1" s="2">
        <v>0.66666666666666663</v>
      </c>
      <c r="CQ1" s="2">
        <v>0.70833333333333337</v>
      </c>
      <c r="CR1" s="2">
        <v>0.75</v>
      </c>
      <c r="CS1" s="2">
        <v>0.79166666666666663</v>
      </c>
      <c r="CT1" s="2">
        <v>0.83333333333333337</v>
      </c>
      <c r="CU1" s="2">
        <v>0.875</v>
      </c>
      <c r="CV1" s="2">
        <v>0.91666666666666663</v>
      </c>
      <c r="CW1" s="2">
        <v>0.95833333333333337</v>
      </c>
      <c r="CX1" s="2">
        <v>0</v>
      </c>
      <c r="CY1" s="2">
        <v>4.1666666666666664E-2</v>
      </c>
      <c r="CZ1" s="2">
        <v>8.3333333333333329E-2</v>
      </c>
      <c r="DA1" s="2">
        <v>0.125</v>
      </c>
      <c r="DB1" s="2">
        <v>0.16666666666666666</v>
      </c>
      <c r="DC1" s="2">
        <v>0.20833333333333334</v>
      </c>
      <c r="DD1" s="2">
        <v>0.25</v>
      </c>
      <c r="DE1" s="2">
        <v>0.29166666666666669</v>
      </c>
      <c r="DF1" s="2">
        <v>0.33333333333333331</v>
      </c>
      <c r="DG1" s="2">
        <v>0.375</v>
      </c>
      <c r="DH1" s="2">
        <v>0.41666666666666669</v>
      </c>
      <c r="DI1" s="2">
        <v>0.45833333333333331</v>
      </c>
      <c r="DJ1" s="2">
        <v>0.5</v>
      </c>
      <c r="DK1" s="2">
        <v>0.54166666666666663</v>
      </c>
      <c r="DL1" s="2">
        <v>0.58333333333333337</v>
      </c>
      <c r="DM1" s="2">
        <v>0.625</v>
      </c>
      <c r="DN1" s="2">
        <v>0.66666666666666663</v>
      </c>
      <c r="DO1" s="2">
        <v>0.70833333333333337</v>
      </c>
      <c r="DP1" s="2">
        <v>0.75</v>
      </c>
      <c r="DQ1" s="2">
        <v>0.79166666666666663</v>
      </c>
      <c r="DR1" s="2">
        <v>0.83333333333333337</v>
      </c>
      <c r="DS1" s="2">
        <v>0.875</v>
      </c>
      <c r="DT1" s="2">
        <v>0.91666666666666663</v>
      </c>
      <c r="DU1" s="2">
        <v>0.95833333333333337</v>
      </c>
      <c r="DV1" s="2">
        <v>0</v>
      </c>
      <c r="DW1" s="2">
        <v>4.1666666666666664E-2</v>
      </c>
      <c r="DX1" s="2">
        <v>8.3333333333333329E-2</v>
      </c>
      <c r="DY1" s="2">
        <v>0.125</v>
      </c>
      <c r="DZ1" s="2">
        <v>0.16666666666666666</v>
      </c>
      <c r="EA1" s="2">
        <v>0.20833333333333334</v>
      </c>
      <c r="EB1" s="2">
        <v>0.25</v>
      </c>
      <c r="EC1" s="2">
        <v>0.29166666666666669</v>
      </c>
      <c r="ED1" s="2">
        <v>0.33333333333333331</v>
      </c>
      <c r="EE1" s="2">
        <v>0.375</v>
      </c>
      <c r="EF1" s="2">
        <v>0.41666666666666669</v>
      </c>
      <c r="EG1" s="2">
        <v>0.45833333333333331</v>
      </c>
      <c r="EH1" s="2">
        <v>0.5</v>
      </c>
      <c r="EI1" s="2">
        <v>0.54166666666666663</v>
      </c>
      <c r="EJ1" s="2">
        <v>0.58333333333333337</v>
      </c>
      <c r="EK1" s="2">
        <v>0.625</v>
      </c>
      <c r="EL1" s="2">
        <v>0.66666666666666663</v>
      </c>
      <c r="EM1" s="2">
        <v>0.70833333333333337</v>
      </c>
      <c r="EN1" s="2">
        <v>0.75</v>
      </c>
      <c r="EO1" s="2">
        <v>0.79166666666666663</v>
      </c>
      <c r="EP1" s="2">
        <v>0.83333333333333337</v>
      </c>
      <c r="EQ1" s="2">
        <v>0.875</v>
      </c>
      <c r="ER1" s="2">
        <v>0.91666666666666663</v>
      </c>
      <c r="ES1" s="2">
        <v>0.95833333333333337</v>
      </c>
      <c r="ET1" s="2">
        <v>0</v>
      </c>
      <c r="EU1" s="2">
        <v>4.1666666666666664E-2</v>
      </c>
      <c r="EV1" s="2">
        <v>8.3333333333333329E-2</v>
      </c>
      <c r="EW1" s="2">
        <v>0.125</v>
      </c>
      <c r="EX1" s="2">
        <v>0.16666666666666666</v>
      </c>
      <c r="EY1" s="2">
        <v>0.20833333333333334</v>
      </c>
      <c r="EZ1" s="2">
        <v>0.25</v>
      </c>
      <c r="FA1" s="2">
        <v>0.29166666666666669</v>
      </c>
      <c r="FB1" s="2">
        <v>0.33333333333333331</v>
      </c>
      <c r="FC1" s="2">
        <v>0.375</v>
      </c>
      <c r="FD1" s="2">
        <v>0.41666666666666669</v>
      </c>
      <c r="FE1" s="2">
        <v>0.45833333333333331</v>
      </c>
      <c r="FF1" s="2">
        <v>0.5</v>
      </c>
      <c r="FG1" s="2">
        <v>0.54166666666666663</v>
      </c>
      <c r="FH1" s="2">
        <v>0.58333333333333337</v>
      </c>
      <c r="FI1" s="2">
        <v>0.625</v>
      </c>
      <c r="FJ1" s="2">
        <v>0.66666666666666663</v>
      </c>
      <c r="FK1" s="2">
        <v>0.70833333333333337</v>
      </c>
      <c r="FL1" s="2">
        <v>0.75</v>
      </c>
      <c r="FM1" s="2">
        <v>0.79166666666666663</v>
      </c>
      <c r="FN1" s="2">
        <v>0.83333333333333337</v>
      </c>
      <c r="FO1" s="2">
        <v>0.875</v>
      </c>
      <c r="FP1" s="2">
        <v>0.91666666666666663</v>
      </c>
      <c r="FQ1" s="2">
        <v>0.95833333333333337</v>
      </c>
      <c r="FR1" s="2">
        <v>0</v>
      </c>
      <c r="FS1" s="2">
        <v>4.1666666666666664E-2</v>
      </c>
      <c r="FT1" s="2">
        <v>8.3333333333333329E-2</v>
      </c>
      <c r="FU1" s="2">
        <v>0.125</v>
      </c>
      <c r="FV1" s="2">
        <v>0.16666666666666666</v>
      </c>
      <c r="FW1" s="2">
        <v>0.20833333333333334</v>
      </c>
      <c r="FX1" s="2">
        <v>0.25</v>
      </c>
      <c r="FY1" s="2">
        <v>0.29166666666666669</v>
      </c>
      <c r="FZ1" s="2">
        <v>0.33333333333333331</v>
      </c>
      <c r="GA1" s="2">
        <v>0.375</v>
      </c>
      <c r="GB1" s="2">
        <v>0.41666666666666669</v>
      </c>
      <c r="GC1" s="2">
        <v>0.45833333333333331</v>
      </c>
      <c r="GD1" s="2">
        <v>0.5</v>
      </c>
      <c r="GE1" s="2">
        <v>0.54166666666666663</v>
      </c>
      <c r="GF1" s="2">
        <v>0.58333333333333337</v>
      </c>
      <c r="GG1" s="2">
        <v>0.625</v>
      </c>
      <c r="GH1" s="2">
        <v>0.66666666666666663</v>
      </c>
      <c r="GI1" s="2">
        <v>0.70833333333333337</v>
      </c>
      <c r="GJ1" s="2">
        <v>0.75</v>
      </c>
      <c r="GK1" s="2">
        <v>0.79166666666666663</v>
      </c>
      <c r="GL1" s="2">
        <v>0.83333333333333337</v>
      </c>
      <c r="GM1" s="2">
        <v>0.875</v>
      </c>
      <c r="GN1" s="2">
        <v>0.91666666666666663</v>
      </c>
      <c r="GO1" s="2">
        <v>0.95833333333333337</v>
      </c>
      <c r="GP1" s="2">
        <v>0</v>
      </c>
      <c r="GQ1" s="2">
        <v>4.1666666666666664E-2</v>
      </c>
      <c r="GR1" s="2">
        <v>8.3333333333333329E-2</v>
      </c>
      <c r="GS1" s="2">
        <v>0.125</v>
      </c>
      <c r="GT1" s="2">
        <v>0.16666666666666666</v>
      </c>
      <c r="GU1" s="2">
        <v>0.20833333333333334</v>
      </c>
      <c r="GV1" s="2">
        <v>0.25</v>
      </c>
      <c r="GW1" s="2">
        <v>0.29166666666666669</v>
      </c>
      <c r="GX1" s="2">
        <v>0.33333333333333331</v>
      </c>
      <c r="GY1" s="2">
        <v>0.375</v>
      </c>
      <c r="GZ1" s="2">
        <v>0.41666666666666669</v>
      </c>
      <c r="HA1" s="2">
        <v>0.45833333333333331</v>
      </c>
      <c r="HB1" s="2">
        <v>0.5</v>
      </c>
      <c r="HC1" s="2">
        <v>0.54166666666666663</v>
      </c>
      <c r="HD1" s="2">
        <v>0.58333333333333337</v>
      </c>
      <c r="HE1" s="2">
        <v>0.625</v>
      </c>
      <c r="HF1" s="2">
        <v>0.66666666666666663</v>
      </c>
      <c r="HG1" s="2">
        <v>0.70833333333333337</v>
      </c>
      <c r="HH1" s="2">
        <v>0.75</v>
      </c>
      <c r="HI1" s="2">
        <v>0.79166666666666663</v>
      </c>
      <c r="HJ1" s="2">
        <v>0.83333333333333337</v>
      </c>
      <c r="HK1" s="2">
        <v>0.875</v>
      </c>
      <c r="HL1" s="2">
        <v>0.91666666666666663</v>
      </c>
      <c r="HM1" s="2">
        <v>0.95833333333333337</v>
      </c>
      <c r="HN1" s="2">
        <v>0</v>
      </c>
      <c r="HO1" s="2">
        <v>4.1666666666666664E-2</v>
      </c>
      <c r="HP1" s="2">
        <v>8.3333333333333329E-2</v>
      </c>
      <c r="HQ1" s="2">
        <v>0.125</v>
      </c>
      <c r="HR1" s="2">
        <v>0.16666666666666666</v>
      </c>
      <c r="HS1" s="2">
        <v>0.20833333333333334</v>
      </c>
      <c r="HT1" s="2">
        <v>0.25</v>
      </c>
      <c r="HU1" s="2">
        <v>0.29166666666666669</v>
      </c>
      <c r="HV1" s="2">
        <v>0.33333333333333331</v>
      </c>
      <c r="HW1" s="2">
        <v>0.375</v>
      </c>
      <c r="HX1" s="2">
        <v>0.41666666666666669</v>
      </c>
      <c r="HY1" s="2">
        <v>0.45833333333333331</v>
      </c>
      <c r="HZ1" s="2">
        <v>0.5</v>
      </c>
      <c r="IA1" s="2">
        <v>0.54166666666666663</v>
      </c>
      <c r="IB1" s="2">
        <v>0.58333333333333337</v>
      </c>
      <c r="IC1" s="2">
        <v>0.625</v>
      </c>
      <c r="ID1" s="2">
        <v>0.66666666666666663</v>
      </c>
      <c r="IE1" s="2">
        <v>0.70833333333333337</v>
      </c>
      <c r="IF1" s="2">
        <v>0.75</v>
      </c>
      <c r="IG1" s="2">
        <v>0.79166666666666663</v>
      </c>
      <c r="IH1" s="2">
        <v>0.83333333333333337</v>
      </c>
      <c r="II1" s="2">
        <v>0.875</v>
      </c>
      <c r="IJ1" s="2">
        <v>0.91666666666666663</v>
      </c>
      <c r="IK1" s="2">
        <v>0.95833333333333337</v>
      </c>
      <c r="IL1" s="2">
        <v>0</v>
      </c>
      <c r="IM1" s="2">
        <v>4.1666666666666664E-2</v>
      </c>
      <c r="IN1" s="2">
        <v>8.3333333333333329E-2</v>
      </c>
      <c r="IO1" s="2">
        <v>0.125</v>
      </c>
      <c r="IP1" s="2">
        <v>0.16666666666666666</v>
      </c>
      <c r="IQ1" s="2">
        <v>0.20833333333333334</v>
      </c>
      <c r="IR1" s="2">
        <v>0.25</v>
      </c>
      <c r="IS1" s="2">
        <v>0.29166666666666669</v>
      </c>
      <c r="IT1" s="2">
        <v>0.33333333333333331</v>
      </c>
      <c r="IU1" s="2">
        <v>0.375</v>
      </c>
      <c r="IV1" s="2">
        <v>0.41666666666666669</v>
      </c>
      <c r="IW1" s="2">
        <v>0.45833333333333331</v>
      </c>
      <c r="IX1" s="2">
        <v>0.5</v>
      </c>
      <c r="IY1" s="2">
        <v>0.54166666666666663</v>
      </c>
      <c r="IZ1" s="2">
        <v>0.58333333333333337</v>
      </c>
      <c r="JA1" s="2">
        <v>0.625</v>
      </c>
      <c r="JB1" s="2">
        <v>0.66666666666666663</v>
      </c>
      <c r="JC1" s="2">
        <v>0.70833333333333337</v>
      </c>
      <c r="JD1" s="2">
        <v>0.75</v>
      </c>
      <c r="JE1" s="2">
        <v>0.79166666666666663</v>
      </c>
      <c r="JF1" s="2">
        <v>0.83333333333333337</v>
      </c>
      <c r="JG1" s="2">
        <v>0.875</v>
      </c>
      <c r="JH1" s="2">
        <v>0.91666666666666663</v>
      </c>
      <c r="JI1" s="2">
        <v>0.95833333333333337</v>
      </c>
      <c r="JJ1" s="2">
        <v>0</v>
      </c>
      <c r="JK1" s="2">
        <v>4.1666666666666664E-2</v>
      </c>
      <c r="JL1" s="2">
        <v>8.3333333333333329E-2</v>
      </c>
      <c r="JM1" s="2">
        <v>0.125</v>
      </c>
      <c r="JN1" s="2">
        <v>0.16666666666666666</v>
      </c>
      <c r="JO1" s="2">
        <v>0.20833333333333334</v>
      </c>
      <c r="JP1" s="2">
        <v>0.25</v>
      </c>
      <c r="JQ1" s="2">
        <v>0.29166666666666669</v>
      </c>
      <c r="JR1" s="2">
        <v>0.33333333333333331</v>
      </c>
      <c r="JS1" s="2">
        <v>0.375</v>
      </c>
      <c r="JT1" s="2">
        <v>0.41666666666666669</v>
      </c>
      <c r="JU1" s="2">
        <v>0.45833333333333331</v>
      </c>
      <c r="JV1" s="2">
        <v>0.5</v>
      </c>
      <c r="JW1" s="2">
        <v>0.54166666666666663</v>
      </c>
      <c r="JX1" s="2">
        <v>0.58333333333333337</v>
      </c>
      <c r="JY1" s="2">
        <v>0.625</v>
      </c>
      <c r="JZ1" s="2">
        <v>0.66666666666666663</v>
      </c>
      <c r="KA1" s="2">
        <v>0.70833333333333337</v>
      </c>
      <c r="KB1" s="2">
        <v>0.75</v>
      </c>
      <c r="KC1" s="2">
        <v>0.79166666666666663</v>
      </c>
      <c r="KD1" s="2">
        <v>0.83333333333333337</v>
      </c>
      <c r="KE1" s="2">
        <v>0.875</v>
      </c>
      <c r="KF1" s="2">
        <v>0.91666666666666663</v>
      </c>
      <c r="KG1" s="2">
        <v>0.95833333333333337</v>
      </c>
      <c r="KH1" s="2">
        <v>0</v>
      </c>
      <c r="KI1" s="2">
        <v>4.1666666666666664E-2</v>
      </c>
      <c r="KJ1" s="2">
        <v>8.3333333333333329E-2</v>
      </c>
      <c r="KK1" s="2">
        <v>0.125</v>
      </c>
      <c r="KL1" s="2">
        <v>0.16666666666666666</v>
      </c>
      <c r="KM1" s="2">
        <v>0.20833333333333334</v>
      </c>
      <c r="KN1" s="2">
        <v>0.25</v>
      </c>
      <c r="KO1" s="2">
        <v>0.29166666666666669</v>
      </c>
      <c r="KP1" s="2">
        <v>0.33333333333333331</v>
      </c>
      <c r="KQ1" s="2">
        <v>0.375</v>
      </c>
      <c r="KR1" s="2">
        <v>0.41666666666666669</v>
      </c>
      <c r="KS1" s="2">
        <v>0.45833333333333331</v>
      </c>
      <c r="KT1" s="2">
        <v>0.5</v>
      </c>
      <c r="KU1" s="2">
        <v>0.54166666666666663</v>
      </c>
      <c r="KV1" s="2">
        <v>0.58333333333333337</v>
      </c>
      <c r="KW1" s="2">
        <v>0.625</v>
      </c>
      <c r="KX1" s="2">
        <v>0.66666666666666663</v>
      </c>
      <c r="KY1" s="2">
        <v>0.70833333333333337</v>
      </c>
      <c r="KZ1" s="2">
        <v>0.75</v>
      </c>
      <c r="LA1" s="2">
        <v>0.79166666666666663</v>
      </c>
      <c r="LB1" s="2">
        <v>0.83333333333333337</v>
      </c>
      <c r="LC1" s="2">
        <v>0.875</v>
      </c>
      <c r="LD1" s="2">
        <v>0.91666666666666663</v>
      </c>
      <c r="LE1" s="2">
        <v>0.95833333333333337</v>
      </c>
      <c r="LF1" s="2">
        <v>0</v>
      </c>
      <c r="LG1" s="2">
        <v>4.1666666666666664E-2</v>
      </c>
      <c r="LH1" s="2">
        <v>8.3333333333333329E-2</v>
      </c>
      <c r="LI1" s="2">
        <v>0.125</v>
      </c>
      <c r="LJ1" s="2">
        <v>0.16666666666666666</v>
      </c>
      <c r="LK1" s="2">
        <v>0.20833333333333334</v>
      </c>
      <c r="LL1" s="2">
        <v>0.25</v>
      </c>
      <c r="LM1" s="2">
        <v>0.29166666666666669</v>
      </c>
      <c r="LN1" s="2">
        <v>0.33333333333333331</v>
      </c>
      <c r="LO1" s="2">
        <v>0.375</v>
      </c>
      <c r="LP1" s="2">
        <v>0.41666666666666669</v>
      </c>
      <c r="LQ1" s="2">
        <v>0.45833333333333331</v>
      </c>
      <c r="LR1" s="2">
        <v>0.5</v>
      </c>
      <c r="LS1" s="2">
        <v>0.54166666666666663</v>
      </c>
      <c r="LT1" s="2">
        <v>0.58333333333333337</v>
      </c>
      <c r="LU1" s="2">
        <v>0.625</v>
      </c>
      <c r="LV1" s="2">
        <v>0.66666666666666663</v>
      </c>
      <c r="LW1" s="2">
        <v>0.70833333333333337</v>
      </c>
      <c r="LX1" s="2">
        <v>0.75</v>
      </c>
      <c r="LY1" s="2">
        <v>0.79166666666666663</v>
      </c>
      <c r="LZ1" s="2">
        <v>0.83333333333333337</v>
      </c>
      <c r="MA1" s="2">
        <v>0.875</v>
      </c>
      <c r="MB1" s="2">
        <v>0.91666666666666663</v>
      </c>
      <c r="MC1" s="2">
        <v>0.95833333333333337</v>
      </c>
      <c r="MD1" s="2">
        <v>0</v>
      </c>
      <c r="ME1" s="2">
        <v>4.1666666666666664E-2</v>
      </c>
      <c r="MF1" s="2">
        <v>8.3333333333333329E-2</v>
      </c>
      <c r="MG1" s="2">
        <v>0.125</v>
      </c>
      <c r="MH1" s="2">
        <v>0.16666666666666666</v>
      </c>
      <c r="MI1" s="2">
        <v>0.20833333333333334</v>
      </c>
      <c r="MJ1" s="2">
        <v>0.25</v>
      </c>
      <c r="MK1" s="2">
        <v>0.29166666666666669</v>
      </c>
      <c r="ML1" s="2">
        <v>0.33333333333333331</v>
      </c>
      <c r="MM1" s="2">
        <v>0.375</v>
      </c>
      <c r="MN1" s="2">
        <v>0.41666666666666669</v>
      </c>
      <c r="MO1" s="2">
        <v>0.45833333333333331</v>
      </c>
      <c r="MP1" s="2">
        <v>0.5</v>
      </c>
      <c r="MQ1" s="2">
        <v>0.54166666666666663</v>
      </c>
      <c r="MR1" s="2">
        <v>0.58333333333333337</v>
      </c>
      <c r="MS1" s="2">
        <v>0.625</v>
      </c>
      <c r="MT1" s="2">
        <v>0.66666666666666663</v>
      </c>
      <c r="MU1" s="2">
        <v>0.70833333333333337</v>
      </c>
      <c r="MV1" s="2">
        <v>0.75</v>
      </c>
      <c r="MW1" s="2">
        <v>0.79166666666666663</v>
      </c>
      <c r="MX1" s="2">
        <v>0.83333333333333337</v>
      </c>
      <c r="MY1" s="2">
        <v>0.875</v>
      </c>
      <c r="MZ1" s="2">
        <v>0.91666666666666663</v>
      </c>
      <c r="NA1" s="2">
        <v>0.95833333333333337</v>
      </c>
      <c r="NB1" s="2">
        <v>0</v>
      </c>
      <c r="NC1" s="2">
        <v>4.1666666666666664E-2</v>
      </c>
      <c r="ND1" s="2">
        <v>8.3333333333333329E-2</v>
      </c>
      <c r="NE1" s="2">
        <v>0.125</v>
      </c>
      <c r="NF1" s="2">
        <v>0.16666666666666666</v>
      </c>
      <c r="NG1" s="2">
        <v>0.20833333333333334</v>
      </c>
      <c r="NH1" s="2">
        <v>0.25</v>
      </c>
      <c r="NI1" s="2">
        <v>0.29166666666666669</v>
      </c>
      <c r="NJ1" s="2">
        <v>0.33333333333333331</v>
      </c>
      <c r="NK1" s="2">
        <v>0.375</v>
      </c>
      <c r="NL1" s="2">
        <v>0.41666666666666669</v>
      </c>
      <c r="NM1" s="2">
        <v>0.45833333333333331</v>
      </c>
      <c r="NN1" s="2">
        <v>0.5</v>
      </c>
      <c r="NO1" s="2">
        <v>0.54166666666666663</v>
      </c>
      <c r="NP1" s="2">
        <v>0.58333333333333337</v>
      </c>
      <c r="NQ1" s="2">
        <v>0.625</v>
      </c>
      <c r="NR1" s="2">
        <v>0.66666666666666663</v>
      </c>
      <c r="NS1" s="2">
        <v>0.70833333333333337</v>
      </c>
      <c r="NT1" s="2">
        <v>0.75</v>
      </c>
      <c r="NU1" s="2">
        <v>0.79166666666666663</v>
      </c>
      <c r="NV1" s="2">
        <v>0.83333333333333337</v>
      </c>
      <c r="NW1" s="2">
        <v>0.875</v>
      </c>
      <c r="NX1" s="2">
        <v>0.91666666666666663</v>
      </c>
      <c r="NY1" s="2">
        <v>0.95833333333333337</v>
      </c>
      <c r="NZ1" s="2">
        <v>0</v>
      </c>
      <c r="OA1" s="2">
        <v>4.1666666666666664E-2</v>
      </c>
      <c r="OB1" s="2">
        <v>8.3333333333333329E-2</v>
      </c>
      <c r="OC1" s="2">
        <v>0.125</v>
      </c>
      <c r="OD1" s="2">
        <v>0.16666666666666666</v>
      </c>
      <c r="OE1" s="2">
        <v>0.20833333333333334</v>
      </c>
      <c r="OF1" s="2">
        <v>0.25</v>
      </c>
      <c r="OG1" s="2">
        <v>0.29166666666666669</v>
      </c>
      <c r="OH1" s="2">
        <v>0.33333333333333331</v>
      </c>
      <c r="OI1" s="2">
        <v>0.375</v>
      </c>
      <c r="OJ1" s="2">
        <v>0.41666666666666669</v>
      </c>
      <c r="OK1" s="2">
        <v>0.45833333333333331</v>
      </c>
      <c r="OL1" s="2">
        <v>0.5</v>
      </c>
      <c r="OM1" s="2">
        <v>0.54166666666666663</v>
      </c>
      <c r="ON1" s="2">
        <v>0.58333333333333337</v>
      </c>
      <c r="OO1" s="2">
        <v>0.625</v>
      </c>
      <c r="OP1" s="2">
        <v>0.66666666666666663</v>
      </c>
      <c r="OQ1" s="2">
        <v>0.70833333333333337</v>
      </c>
      <c r="OR1" s="2">
        <v>0.75</v>
      </c>
      <c r="OS1" s="2">
        <v>0.79166666666666663</v>
      </c>
      <c r="OT1" s="2">
        <v>0.83333333333333337</v>
      </c>
      <c r="OU1" s="2">
        <v>0.875</v>
      </c>
      <c r="OV1" s="2">
        <v>0.91666666666666663</v>
      </c>
      <c r="OW1" s="2">
        <v>0.95833333333333337</v>
      </c>
      <c r="OX1" s="2">
        <v>0</v>
      </c>
      <c r="OY1" s="2">
        <v>4.1666666666666664E-2</v>
      </c>
      <c r="OZ1" s="2">
        <v>8.3333333333333329E-2</v>
      </c>
      <c r="PA1" s="2">
        <v>0.125</v>
      </c>
      <c r="PB1" s="2">
        <v>0.16666666666666666</v>
      </c>
      <c r="PC1" s="2">
        <v>0.20833333333333334</v>
      </c>
      <c r="PD1" s="2">
        <v>0.25</v>
      </c>
      <c r="PE1" s="2">
        <v>0.29166666666666669</v>
      </c>
      <c r="PF1" s="2">
        <v>0.33333333333333331</v>
      </c>
      <c r="PG1" s="2">
        <v>0.375</v>
      </c>
      <c r="PH1" s="2">
        <v>0.41666666666666669</v>
      </c>
      <c r="PI1" s="2">
        <v>0.45833333333333331</v>
      </c>
      <c r="PJ1" s="2">
        <v>0.5</v>
      </c>
      <c r="PK1" s="2">
        <v>0.54166666666666663</v>
      </c>
      <c r="PL1" s="2">
        <v>0.58333333333333337</v>
      </c>
      <c r="PM1" s="2">
        <v>0.625</v>
      </c>
      <c r="PN1" s="2">
        <v>0.66666666666666663</v>
      </c>
      <c r="PO1" s="2">
        <v>0.70833333333333337</v>
      </c>
      <c r="PP1" s="2">
        <v>0.75</v>
      </c>
      <c r="PQ1" s="2">
        <v>0.79166666666666663</v>
      </c>
      <c r="PR1" s="2">
        <v>0.83333333333333337</v>
      </c>
      <c r="PS1" s="2">
        <v>0.875</v>
      </c>
      <c r="PT1" s="2">
        <v>0.91666666666666663</v>
      </c>
      <c r="PU1" s="2">
        <v>0.95833333333333337</v>
      </c>
      <c r="PV1" s="2">
        <v>0</v>
      </c>
      <c r="PW1" s="2">
        <v>4.1666666666666664E-2</v>
      </c>
      <c r="PX1" s="2">
        <v>8.3333333333333329E-2</v>
      </c>
      <c r="PY1" s="2">
        <v>0.125</v>
      </c>
      <c r="PZ1" s="2">
        <v>0.16666666666666666</v>
      </c>
      <c r="QA1" s="2">
        <v>0.20833333333333334</v>
      </c>
      <c r="QB1" s="2">
        <v>0.25</v>
      </c>
      <c r="QC1" s="2">
        <v>0.29166666666666669</v>
      </c>
      <c r="QD1" s="2">
        <v>0.33333333333333331</v>
      </c>
      <c r="QE1" s="2">
        <v>0.375</v>
      </c>
      <c r="QF1" s="2">
        <v>0.41666666666666669</v>
      </c>
      <c r="QG1" s="2">
        <v>0.45833333333333331</v>
      </c>
      <c r="QH1" s="2">
        <v>0.5</v>
      </c>
      <c r="QI1" s="2">
        <v>0.54166666666666663</v>
      </c>
      <c r="QJ1" s="2">
        <v>0.58333333333333337</v>
      </c>
      <c r="QK1" s="2">
        <v>0.625</v>
      </c>
      <c r="QL1" s="2">
        <v>0.66666666666666663</v>
      </c>
      <c r="QM1" s="2">
        <v>0.70833333333333337</v>
      </c>
      <c r="QN1" s="2">
        <v>0.75</v>
      </c>
      <c r="QO1" s="2">
        <v>0.79166666666666663</v>
      </c>
      <c r="QP1" s="2">
        <v>0.83333333333333337</v>
      </c>
      <c r="QQ1" s="2">
        <v>0.875</v>
      </c>
      <c r="QR1" s="2">
        <v>0.91666666666666663</v>
      </c>
      <c r="QS1" s="2">
        <v>0.95833333333333337</v>
      </c>
      <c r="QT1" s="2">
        <v>0</v>
      </c>
      <c r="QU1" s="2">
        <v>4.1666666666666664E-2</v>
      </c>
      <c r="QV1" s="2">
        <v>8.3333333333333329E-2</v>
      </c>
      <c r="QW1" s="2">
        <v>0.125</v>
      </c>
      <c r="QX1" s="2">
        <v>0.16666666666666666</v>
      </c>
      <c r="QY1" s="2">
        <v>0.20833333333333334</v>
      </c>
      <c r="QZ1" s="2">
        <v>0.25</v>
      </c>
      <c r="RA1" s="2">
        <v>0.29166666666666669</v>
      </c>
      <c r="RB1" s="2">
        <v>0.33333333333333331</v>
      </c>
      <c r="RC1" s="2">
        <v>0.375</v>
      </c>
      <c r="RD1" s="2">
        <v>0.41666666666666669</v>
      </c>
      <c r="RE1" s="2">
        <v>0.45833333333333331</v>
      </c>
      <c r="RF1" s="2">
        <v>0.5</v>
      </c>
      <c r="RG1" s="2">
        <v>0.54166666666666663</v>
      </c>
      <c r="RH1" s="2">
        <v>0.58333333333333337</v>
      </c>
      <c r="RI1" s="2">
        <v>0.625</v>
      </c>
      <c r="RJ1" s="2">
        <v>0.66666666666666663</v>
      </c>
      <c r="RK1" s="2">
        <v>0.70833333333333337</v>
      </c>
      <c r="RL1" s="2">
        <v>0.75</v>
      </c>
      <c r="RM1" s="2">
        <v>0.79166666666666663</v>
      </c>
      <c r="RN1" s="2">
        <v>0.83333333333333337</v>
      </c>
      <c r="RO1" s="2">
        <v>0.875</v>
      </c>
      <c r="RP1" s="2">
        <v>0.91666666666666663</v>
      </c>
      <c r="RQ1" s="2">
        <v>0.95833333333333337</v>
      </c>
      <c r="RR1" s="2">
        <v>0</v>
      </c>
      <c r="RS1" s="2">
        <v>4.1666666666666664E-2</v>
      </c>
      <c r="RT1" s="2">
        <v>8.3333333333333329E-2</v>
      </c>
      <c r="RU1" s="2">
        <v>0.125</v>
      </c>
      <c r="RV1" s="2">
        <v>0.16666666666666666</v>
      </c>
      <c r="RW1" s="2">
        <v>0.20833333333333334</v>
      </c>
      <c r="RX1" s="2">
        <v>0.25</v>
      </c>
      <c r="RY1" s="2">
        <v>0.29166666666666669</v>
      </c>
      <c r="RZ1" s="2">
        <v>0.33333333333333331</v>
      </c>
      <c r="SA1" s="2">
        <v>0.375</v>
      </c>
      <c r="SB1" s="2">
        <v>0.41666666666666669</v>
      </c>
      <c r="SC1" s="2">
        <v>0.45833333333333331</v>
      </c>
      <c r="SD1" s="2">
        <v>0.5</v>
      </c>
      <c r="SE1" s="2">
        <v>0.54166666666666663</v>
      </c>
      <c r="SF1" s="2">
        <v>0.58333333333333337</v>
      </c>
      <c r="SG1" s="2">
        <v>0.625</v>
      </c>
      <c r="SH1" s="2">
        <v>0.66666666666666663</v>
      </c>
      <c r="SI1" s="2">
        <v>0.70833333333333337</v>
      </c>
      <c r="SJ1" s="2">
        <v>0.75</v>
      </c>
      <c r="SK1" s="2">
        <v>0.79166666666666663</v>
      </c>
      <c r="SL1" s="2">
        <v>0.83333333333333337</v>
      </c>
      <c r="SM1" s="2">
        <v>0.875</v>
      </c>
      <c r="SN1" s="2">
        <v>0.91666666666666663</v>
      </c>
      <c r="SO1" s="2">
        <v>0.95833333333333337</v>
      </c>
      <c r="SP1" s="2">
        <v>0</v>
      </c>
      <c r="SQ1" s="2">
        <v>4.1666666666666664E-2</v>
      </c>
      <c r="SR1" s="2">
        <v>8.3333333333333329E-2</v>
      </c>
      <c r="SS1" s="2">
        <v>0.125</v>
      </c>
      <c r="ST1" s="2">
        <v>0.16666666666666666</v>
      </c>
      <c r="SU1" s="2">
        <v>0.20833333333333334</v>
      </c>
      <c r="SV1" s="2">
        <v>0.25</v>
      </c>
      <c r="SW1" s="2">
        <v>0.29166666666666669</v>
      </c>
      <c r="SX1" s="2">
        <v>0.33333333333333331</v>
      </c>
      <c r="SY1" s="2">
        <v>0.375</v>
      </c>
      <c r="SZ1" s="2">
        <v>0.41666666666666669</v>
      </c>
      <c r="TA1" s="2">
        <v>0.45833333333333331</v>
      </c>
      <c r="TB1" s="2">
        <v>0.5</v>
      </c>
      <c r="TC1" s="2">
        <v>0.54166666666666663</v>
      </c>
      <c r="TD1" s="2">
        <v>0.58333333333333337</v>
      </c>
      <c r="TE1" s="2">
        <v>0.625</v>
      </c>
      <c r="TF1" s="2">
        <v>0.66666666666666663</v>
      </c>
      <c r="TG1" s="2">
        <v>0.70833333333333337</v>
      </c>
      <c r="TH1" s="2">
        <v>0.75</v>
      </c>
      <c r="TI1" s="2">
        <v>0.79166666666666663</v>
      </c>
      <c r="TJ1" s="2">
        <v>0.83333333333333337</v>
      </c>
      <c r="TK1" s="2">
        <v>0.875</v>
      </c>
      <c r="TL1" s="2">
        <v>0.91666666666666663</v>
      </c>
      <c r="TM1" s="2">
        <v>0.95833333333333337</v>
      </c>
      <c r="TN1" s="2">
        <v>0</v>
      </c>
      <c r="TO1" s="2">
        <v>4.1666666666666664E-2</v>
      </c>
      <c r="TP1" s="2">
        <v>8.3333333333333329E-2</v>
      </c>
      <c r="TQ1" s="2">
        <v>0.125</v>
      </c>
      <c r="TR1" s="2">
        <v>0.16666666666666666</v>
      </c>
      <c r="TS1" s="2">
        <v>0.20833333333333334</v>
      </c>
      <c r="TT1" s="2">
        <v>0.25</v>
      </c>
      <c r="TU1" s="2">
        <v>0.29166666666666669</v>
      </c>
      <c r="TV1" s="2">
        <v>0.33333333333333331</v>
      </c>
      <c r="TW1" s="2">
        <v>0.375</v>
      </c>
      <c r="TX1" s="2">
        <v>0.41666666666666669</v>
      </c>
      <c r="TY1" s="2">
        <v>0.45833333333333331</v>
      </c>
      <c r="TZ1" s="2">
        <v>0.5</v>
      </c>
      <c r="UA1" s="2">
        <v>0.54166666666666663</v>
      </c>
      <c r="UB1" s="2">
        <v>0.58333333333333337</v>
      </c>
      <c r="UC1" s="2">
        <v>0.625</v>
      </c>
      <c r="UD1" s="2">
        <v>0.66666666666666663</v>
      </c>
      <c r="UE1" s="2">
        <v>0.70833333333333337</v>
      </c>
      <c r="UF1" s="2">
        <v>0.75</v>
      </c>
      <c r="UG1" s="2">
        <v>0.79166666666666663</v>
      </c>
      <c r="UH1" s="2">
        <v>0.83333333333333337</v>
      </c>
      <c r="UI1" s="2">
        <v>0.875</v>
      </c>
      <c r="UJ1" s="2">
        <v>0.91666666666666663</v>
      </c>
      <c r="UK1" s="2">
        <v>0.95833333333333337</v>
      </c>
      <c r="UL1" s="2">
        <v>0</v>
      </c>
      <c r="UM1" s="2">
        <v>4.1666666666666664E-2</v>
      </c>
      <c r="UN1" s="2">
        <v>8.3333333333333329E-2</v>
      </c>
      <c r="UO1" s="2">
        <v>0.125</v>
      </c>
      <c r="UP1" s="2">
        <v>0.16666666666666666</v>
      </c>
      <c r="UQ1" s="2">
        <v>0.20833333333333334</v>
      </c>
      <c r="UR1" s="2">
        <v>0.25</v>
      </c>
      <c r="US1" s="2">
        <v>0.29166666666666669</v>
      </c>
      <c r="UT1" s="2">
        <v>0.33333333333333331</v>
      </c>
      <c r="UU1" s="2">
        <v>0.375</v>
      </c>
      <c r="UV1" s="2">
        <v>0.41666666666666669</v>
      </c>
      <c r="UW1" s="2">
        <v>0.45833333333333331</v>
      </c>
      <c r="UX1" s="2">
        <v>0.5</v>
      </c>
      <c r="UY1" s="2">
        <v>0.54166666666666663</v>
      </c>
      <c r="UZ1" s="2">
        <v>0.58333333333333337</v>
      </c>
      <c r="VA1" s="2">
        <v>0.625</v>
      </c>
      <c r="VB1" s="2">
        <v>0.66666666666666663</v>
      </c>
      <c r="VC1" s="2">
        <v>0.70833333333333337</v>
      </c>
      <c r="VD1" s="2">
        <v>0.75</v>
      </c>
      <c r="VE1" s="2">
        <v>0.79166666666666663</v>
      </c>
      <c r="VF1" s="2">
        <v>0.83333333333333337</v>
      </c>
      <c r="VG1" s="2">
        <v>0.875</v>
      </c>
      <c r="VH1" s="2">
        <v>0.91666666666666663</v>
      </c>
      <c r="VI1" s="2">
        <v>0.95833333333333337</v>
      </c>
      <c r="VJ1" s="2">
        <v>0</v>
      </c>
      <c r="VK1" s="2">
        <v>4.1666666666666664E-2</v>
      </c>
      <c r="VL1" s="2">
        <v>8.3333333333333329E-2</v>
      </c>
      <c r="VM1" s="2">
        <v>0.125</v>
      </c>
      <c r="VN1" s="2">
        <v>0.16666666666666666</v>
      </c>
      <c r="VO1" s="2">
        <v>0.20833333333333334</v>
      </c>
      <c r="VP1" s="2">
        <v>0.25</v>
      </c>
      <c r="VQ1" s="2">
        <v>0.29166666666666669</v>
      </c>
      <c r="VR1" s="2">
        <v>0.33333333333333331</v>
      </c>
      <c r="VS1" s="2">
        <v>0.375</v>
      </c>
      <c r="VT1" s="2">
        <v>0.41666666666666669</v>
      </c>
      <c r="VU1" s="2">
        <v>0.45833333333333331</v>
      </c>
      <c r="VV1" s="2">
        <v>0.5</v>
      </c>
      <c r="VW1" s="2">
        <v>0.54166666666666663</v>
      </c>
      <c r="VX1" s="2">
        <v>0.58333333333333337</v>
      </c>
      <c r="VY1" s="2">
        <v>0.625</v>
      </c>
      <c r="VZ1" s="2">
        <v>0.66666666666666663</v>
      </c>
      <c r="WA1" s="2">
        <v>0.70833333333333337</v>
      </c>
      <c r="WB1" s="2">
        <v>0.75</v>
      </c>
      <c r="WC1" s="2">
        <v>0.79166666666666663</v>
      </c>
      <c r="WD1" s="2">
        <v>0.83333333333333337</v>
      </c>
      <c r="WE1" s="2">
        <v>0.875</v>
      </c>
      <c r="WF1" s="2">
        <v>0.91666666666666663</v>
      </c>
      <c r="WG1" s="2">
        <v>0.95833333333333337</v>
      </c>
      <c r="WH1" s="2">
        <v>0</v>
      </c>
      <c r="WI1" s="2">
        <v>4.1666666666666664E-2</v>
      </c>
      <c r="WJ1" s="2">
        <v>8.3333333333333329E-2</v>
      </c>
      <c r="WK1" s="2">
        <v>0.125</v>
      </c>
      <c r="WL1" s="2">
        <v>0.16666666666666666</v>
      </c>
      <c r="WM1" s="2">
        <v>0.20833333333333334</v>
      </c>
      <c r="WN1" s="2">
        <v>0.25</v>
      </c>
      <c r="WO1" s="2">
        <v>0.29166666666666669</v>
      </c>
      <c r="WP1" s="2">
        <v>0.33333333333333331</v>
      </c>
      <c r="WQ1" s="2">
        <v>0.375</v>
      </c>
      <c r="WR1" s="2">
        <v>0.41666666666666669</v>
      </c>
      <c r="WS1" s="2">
        <v>0.45833333333333331</v>
      </c>
      <c r="WT1" s="2">
        <v>0.5</v>
      </c>
      <c r="WU1" s="2">
        <v>0.54166666666666663</v>
      </c>
      <c r="WV1" s="2">
        <v>0.58333333333333337</v>
      </c>
      <c r="WW1" s="2">
        <v>0.625</v>
      </c>
      <c r="WX1" s="2">
        <v>0.66666666666666663</v>
      </c>
      <c r="WY1" s="2">
        <v>0.70833333333333337</v>
      </c>
      <c r="WZ1" s="2">
        <v>0.75</v>
      </c>
      <c r="XA1" s="2">
        <v>0.79166666666666663</v>
      </c>
      <c r="XB1" s="2">
        <v>0.83333333333333337</v>
      </c>
      <c r="XC1" s="2">
        <v>0.875</v>
      </c>
      <c r="XD1" s="2">
        <v>0.91666666666666663</v>
      </c>
      <c r="XE1" s="2">
        <v>0.95833333333333337</v>
      </c>
      <c r="XF1" s="2">
        <v>0</v>
      </c>
      <c r="XG1" s="2">
        <v>4.1666666666666664E-2</v>
      </c>
      <c r="XH1" s="2">
        <v>8.3333333333333329E-2</v>
      </c>
      <c r="XI1" s="2">
        <v>0.125</v>
      </c>
      <c r="XJ1" s="2">
        <v>0.16666666666666666</v>
      </c>
      <c r="XK1" s="2">
        <v>0.20833333333333334</v>
      </c>
      <c r="XL1" s="2">
        <v>0.25</v>
      </c>
      <c r="XM1" s="2">
        <v>0.29166666666666669</v>
      </c>
      <c r="XN1" s="2">
        <v>0.33333333333333331</v>
      </c>
      <c r="XO1" s="2">
        <v>0.375</v>
      </c>
      <c r="XP1" s="2">
        <v>0.41666666666666669</v>
      </c>
      <c r="XQ1" s="2">
        <v>0.45833333333333331</v>
      </c>
      <c r="XR1" s="2">
        <v>0.5</v>
      </c>
      <c r="XS1" s="2">
        <v>0.54166666666666663</v>
      </c>
      <c r="XT1" s="2">
        <v>0.58333333333333337</v>
      </c>
      <c r="XU1" s="2">
        <v>0.625</v>
      </c>
      <c r="XV1" s="2">
        <v>0.66666666666666663</v>
      </c>
      <c r="XW1" s="2">
        <v>0.70833333333333337</v>
      </c>
      <c r="XX1" s="2">
        <v>0.75</v>
      </c>
      <c r="XY1" s="2">
        <v>0.79166666666666663</v>
      </c>
      <c r="XZ1" s="2">
        <v>0.83333333333333337</v>
      </c>
      <c r="YA1" s="2">
        <v>0.875</v>
      </c>
      <c r="YB1" s="2">
        <v>0.91666666666666663</v>
      </c>
      <c r="YC1" s="2">
        <v>0.95833333333333337</v>
      </c>
      <c r="YD1" s="2">
        <v>0</v>
      </c>
      <c r="YE1" s="2">
        <v>4.1666666666666664E-2</v>
      </c>
      <c r="YF1" s="2">
        <v>8.3333333333333329E-2</v>
      </c>
      <c r="YG1" s="2">
        <v>0.125</v>
      </c>
      <c r="YH1" s="2">
        <v>0.16666666666666666</v>
      </c>
      <c r="YI1" s="2">
        <v>0.20833333333333334</v>
      </c>
      <c r="YJ1" s="2">
        <v>0.25</v>
      </c>
      <c r="YK1" s="2">
        <v>0.29166666666666669</v>
      </c>
      <c r="YL1" s="2">
        <v>0.33333333333333331</v>
      </c>
      <c r="YM1" s="2">
        <v>0.375</v>
      </c>
      <c r="YN1" s="2">
        <v>0.41666666666666669</v>
      </c>
      <c r="YO1" s="2">
        <v>0.45833333333333331</v>
      </c>
      <c r="YP1" s="2">
        <v>0.5</v>
      </c>
      <c r="YQ1" s="2">
        <v>0.54166666666666663</v>
      </c>
      <c r="YR1" s="2">
        <v>0.58333333333333337</v>
      </c>
      <c r="YS1" s="2">
        <v>0.625</v>
      </c>
      <c r="YT1" s="2">
        <v>0.66666666666666663</v>
      </c>
      <c r="YU1" s="2">
        <v>0.70833333333333337</v>
      </c>
      <c r="YV1" s="2">
        <v>0.75</v>
      </c>
      <c r="YW1" s="2">
        <v>0.79166666666666663</v>
      </c>
      <c r="YX1" s="2">
        <v>0.83333333333333337</v>
      </c>
      <c r="YY1" s="2">
        <v>0.875</v>
      </c>
      <c r="YZ1" s="2">
        <v>0.91666666666666663</v>
      </c>
      <c r="ZA1" s="2">
        <v>0.95833333333333337</v>
      </c>
      <c r="ZB1" s="2">
        <v>0</v>
      </c>
      <c r="ZC1" s="2">
        <v>4.1666666666666664E-2</v>
      </c>
      <c r="ZD1" s="2">
        <v>8.3333333333333329E-2</v>
      </c>
      <c r="ZE1" s="2">
        <v>0.125</v>
      </c>
      <c r="ZF1" s="2">
        <v>0.16666666666666666</v>
      </c>
      <c r="ZG1" s="2">
        <v>0.20833333333333334</v>
      </c>
      <c r="ZH1" s="2">
        <v>0.25</v>
      </c>
      <c r="ZI1" s="2">
        <v>0.29166666666666669</v>
      </c>
      <c r="ZJ1" s="2">
        <v>0.33333333333333331</v>
      </c>
      <c r="ZK1" s="2">
        <v>0.375</v>
      </c>
      <c r="ZL1" s="2">
        <v>0.41666666666666669</v>
      </c>
      <c r="ZM1" s="2">
        <v>0.45833333333333331</v>
      </c>
      <c r="ZN1" s="2">
        <v>0.5</v>
      </c>
      <c r="ZO1" s="2">
        <v>0.54166666666666663</v>
      </c>
      <c r="ZP1" s="2">
        <v>0.58333333333333337</v>
      </c>
      <c r="ZQ1" s="2">
        <v>0.625</v>
      </c>
      <c r="ZR1" s="2">
        <v>0.66666666666666663</v>
      </c>
      <c r="ZS1" s="2">
        <v>0.70833333333333337</v>
      </c>
      <c r="ZT1" s="2">
        <v>0.75</v>
      </c>
      <c r="ZU1" s="2">
        <v>0.79166666666666663</v>
      </c>
      <c r="ZV1" s="2">
        <v>0.83333333333333337</v>
      </c>
      <c r="ZW1" s="2">
        <v>0.875</v>
      </c>
      <c r="ZX1" s="2">
        <v>0.91666666666666663</v>
      </c>
      <c r="ZY1" s="2">
        <v>0.95833333333333337</v>
      </c>
      <c r="ZZ1" s="2">
        <v>0</v>
      </c>
      <c r="AAA1" s="2">
        <v>4.1666666666666664E-2</v>
      </c>
      <c r="AAB1" s="2">
        <v>8.3333333333333329E-2</v>
      </c>
      <c r="AAC1" s="2">
        <v>0.125</v>
      </c>
      <c r="AAD1" s="2">
        <v>0.16666666666666666</v>
      </c>
      <c r="AAE1" s="2">
        <v>0.20833333333333334</v>
      </c>
      <c r="AAF1" s="2">
        <v>0.25</v>
      </c>
      <c r="AAG1" s="2">
        <v>0.29166666666666669</v>
      </c>
      <c r="AAH1" s="2">
        <v>0.33333333333333331</v>
      </c>
      <c r="AAI1" s="2">
        <v>0.375</v>
      </c>
      <c r="AAJ1" s="2">
        <v>0.41666666666666669</v>
      </c>
      <c r="AAK1" s="2">
        <v>0.45833333333333331</v>
      </c>
      <c r="AAL1" s="2">
        <v>0.5</v>
      </c>
      <c r="AAM1" s="2">
        <v>0.54166666666666663</v>
      </c>
      <c r="AAN1" s="2">
        <v>0.58333333333333337</v>
      </c>
      <c r="AAO1" s="2">
        <v>0.625</v>
      </c>
      <c r="AAP1" s="2">
        <v>0.66666666666666663</v>
      </c>
      <c r="AAQ1" s="2">
        <v>0.70833333333333337</v>
      </c>
      <c r="AAR1" s="2">
        <v>0.75</v>
      </c>
      <c r="AAS1" s="2">
        <v>0.79166666666666663</v>
      </c>
      <c r="AAT1" s="2">
        <v>0.83333333333333337</v>
      </c>
      <c r="AAU1" s="2">
        <v>0.875</v>
      </c>
      <c r="AAV1" s="2">
        <v>0.91666666666666663</v>
      </c>
      <c r="AAW1" s="2">
        <v>0.95833333333333337</v>
      </c>
      <c r="AAX1" s="2">
        <v>0</v>
      </c>
      <c r="AAY1" s="2">
        <v>4.1666666666666664E-2</v>
      </c>
      <c r="AAZ1" s="2">
        <v>8.3333333333333329E-2</v>
      </c>
      <c r="ABA1" s="2">
        <v>0.125</v>
      </c>
      <c r="ABB1" s="2">
        <v>0.16666666666666666</v>
      </c>
      <c r="ABC1" s="2">
        <v>0.20833333333333334</v>
      </c>
      <c r="ABD1" s="2">
        <v>0.25</v>
      </c>
      <c r="ABE1" s="2">
        <v>0.29166666666666669</v>
      </c>
      <c r="ABF1" s="2">
        <v>0.33333333333333331</v>
      </c>
      <c r="ABG1" s="2">
        <v>0.375</v>
      </c>
      <c r="ABH1" s="2">
        <v>0.41666666666666669</v>
      </c>
      <c r="ABI1" s="2">
        <v>0.45833333333333331</v>
      </c>
      <c r="ABJ1" s="2">
        <v>0.5</v>
      </c>
      <c r="ABK1" s="2">
        <v>0.54166666666666663</v>
      </c>
      <c r="ABL1" s="2">
        <v>0.58333333333333337</v>
      </c>
      <c r="ABM1" s="2">
        <v>0.625</v>
      </c>
      <c r="ABN1" s="2">
        <v>0.66666666666666663</v>
      </c>
      <c r="ABO1" s="2">
        <v>0.70833333333333337</v>
      </c>
      <c r="ABP1" s="2">
        <v>0.75</v>
      </c>
      <c r="ABQ1" s="2">
        <v>0.79166666666666663</v>
      </c>
      <c r="ABR1" s="2">
        <v>0.83333333333333337</v>
      </c>
      <c r="ABS1" s="2">
        <v>0.875</v>
      </c>
      <c r="ABT1" s="2">
        <v>0.91666666666666663</v>
      </c>
      <c r="ABU1" s="2">
        <v>0.95833333333333337</v>
      </c>
      <c r="ABV1" s="2"/>
    </row>
    <row r="2" spans="1:750">
      <c r="A2" s="1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>
        <v>532760</v>
      </c>
      <c r="G2" s="1">
        <v>533479</v>
      </c>
      <c r="H2" s="1">
        <v>534179</v>
      </c>
      <c r="I2" s="1">
        <v>534877</v>
      </c>
      <c r="J2" s="1">
        <v>535561</v>
      </c>
      <c r="K2" s="1">
        <v>536233</v>
      </c>
      <c r="L2" s="1">
        <v>536898</v>
      </c>
      <c r="M2" s="1">
        <v>537552</v>
      </c>
      <c r="N2" s="1">
        <v>538229</v>
      </c>
      <c r="O2" s="1">
        <v>538909</v>
      </c>
      <c r="P2" s="1">
        <v>539590</v>
      </c>
      <c r="Q2" s="1">
        <v>540280</v>
      </c>
      <c r="R2" s="1">
        <v>540973</v>
      </c>
      <c r="S2" s="1">
        <v>541700</v>
      </c>
      <c r="T2" s="1">
        <v>542478</v>
      </c>
      <c r="U2" s="1">
        <v>543301</v>
      </c>
      <c r="V2" s="1">
        <v>544152</v>
      </c>
      <c r="W2" s="1">
        <v>544974</v>
      </c>
      <c r="X2" s="1">
        <v>545759</v>
      </c>
      <c r="Y2" s="1">
        <v>546511</v>
      </c>
      <c r="Z2" s="1">
        <v>547248</v>
      </c>
      <c r="AA2" s="1">
        <v>547976</v>
      </c>
      <c r="AB2" s="1">
        <v>548705</v>
      </c>
      <c r="AC2" s="1">
        <v>549427</v>
      </c>
      <c r="AD2" s="1">
        <v>550147</v>
      </c>
      <c r="AE2" s="1">
        <v>550856</v>
      </c>
      <c r="AF2" s="1">
        <v>551532</v>
      </c>
      <c r="AG2" s="1">
        <v>552210</v>
      </c>
      <c r="AH2" s="1">
        <v>552891</v>
      </c>
      <c r="AI2" s="1">
        <v>553566</v>
      </c>
      <c r="AJ2" s="1">
        <v>554244</v>
      </c>
      <c r="AK2" s="1">
        <v>554934</v>
      </c>
      <c r="AL2" s="1">
        <v>555664</v>
      </c>
      <c r="AM2" s="1">
        <v>556539</v>
      </c>
      <c r="AN2" s="1">
        <v>557664</v>
      </c>
      <c r="AO2" s="1">
        <v>558982</v>
      </c>
      <c r="AP2" s="1">
        <v>560331</v>
      </c>
      <c r="AQ2" s="1">
        <v>561717</v>
      </c>
      <c r="AR2" s="1">
        <v>563175</v>
      </c>
      <c r="AS2" s="1">
        <v>564639</v>
      </c>
      <c r="AT2" s="1">
        <v>566055</v>
      </c>
      <c r="AU2" s="1">
        <v>567393</v>
      </c>
      <c r="AV2" s="1">
        <v>568588</v>
      </c>
      <c r="AW2" s="1">
        <v>569623</v>
      </c>
      <c r="AX2" s="1">
        <v>570571</v>
      </c>
      <c r="AY2" s="1">
        <v>571459</v>
      </c>
      <c r="AZ2" s="1">
        <v>572307</v>
      </c>
      <c r="BA2" s="1">
        <v>573127</v>
      </c>
      <c r="BB2" s="1">
        <v>573911</v>
      </c>
      <c r="BC2" s="1">
        <v>574655</v>
      </c>
      <c r="BD2" s="1">
        <v>575375</v>
      </c>
      <c r="BE2" s="1">
        <v>576093</v>
      </c>
      <c r="BF2" s="1">
        <v>576813</v>
      </c>
      <c r="BG2" s="1">
        <v>577523</v>
      </c>
      <c r="BH2" s="1">
        <v>578214</v>
      </c>
      <c r="BI2" s="1">
        <v>578909</v>
      </c>
      <c r="BJ2" s="1">
        <v>579638</v>
      </c>
      <c r="BK2" s="1">
        <v>580514</v>
      </c>
      <c r="BL2" s="1">
        <v>581651</v>
      </c>
      <c r="BM2" s="1">
        <v>582928</v>
      </c>
      <c r="BN2" s="1">
        <v>584261</v>
      </c>
      <c r="BO2" s="1">
        <v>585605</v>
      </c>
      <c r="BP2" s="1">
        <v>587050</v>
      </c>
      <c r="BQ2" s="1">
        <v>588467</v>
      </c>
      <c r="BR2" s="1">
        <v>589894</v>
      </c>
      <c r="BS2" s="1">
        <v>591224</v>
      </c>
      <c r="BT2" s="1">
        <v>592437</v>
      </c>
      <c r="BU2" s="1">
        <v>593485</v>
      </c>
      <c r="BV2" s="1">
        <v>594381</v>
      </c>
      <c r="BW2" s="1">
        <v>595192</v>
      </c>
      <c r="BX2" s="1">
        <v>595964</v>
      </c>
      <c r="BY2" s="1">
        <v>596709</v>
      </c>
      <c r="BZ2" s="1">
        <v>597451</v>
      </c>
      <c r="CA2" s="1">
        <v>598156</v>
      </c>
      <c r="CB2" s="1">
        <v>598847</v>
      </c>
      <c r="CC2" s="1">
        <v>599520</v>
      </c>
      <c r="CD2" s="1">
        <v>600190</v>
      </c>
      <c r="CE2" s="1">
        <v>600862</v>
      </c>
      <c r="CF2" s="1">
        <v>601523</v>
      </c>
      <c r="CG2" s="1">
        <v>602200</v>
      </c>
      <c r="CH2" s="1">
        <v>602914</v>
      </c>
      <c r="CI2" s="1">
        <v>603743</v>
      </c>
      <c r="CJ2" s="1">
        <v>604788</v>
      </c>
      <c r="CK2" s="1">
        <v>606015</v>
      </c>
      <c r="CL2" s="1">
        <v>607283</v>
      </c>
      <c r="CM2" s="1">
        <v>608604</v>
      </c>
      <c r="CN2" s="1">
        <v>610000</v>
      </c>
      <c r="CO2" s="1">
        <v>611476</v>
      </c>
      <c r="CP2" s="1">
        <v>612887</v>
      </c>
      <c r="CQ2" s="1">
        <v>614236</v>
      </c>
      <c r="CR2" s="1">
        <v>615423</v>
      </c>
      <c r="CS2" s="1">
        <v>616438</v>
      </c>
      <c r="CT2" s="1">
        <v>617325</v>
      </c>
      <c r="CU2" s="1">
        <v>618153</v>
      </c>
      <c r="CV2" s="1">
        <v>618950</v>
      </c>
      <c r="CW2" s="1">
        <v>619721</v>
      </c>
      <c r="CX2" s="1">
        <v>620466</v>
      </c>
      <c r="CY2" s="1">
        <v>621186</v>
      </c>
      <c r="CZ2" s="1">
        <v>621904</v>
      </c>
      <c r="DA2" s="1">
        <v>622600</v>
      </c>
      <c r="DB2" s="1">
        <v>623296</v>
      </c>
      <c r="DC2" s="1">
        <v>623996</v>
      </c>
      <c r="DD2" s="1">
        <v>624702</v>
      </c>
      <c r="DE2" s="1">
        <v>625412</v>
      </c>
      <c r="DF2" s="1">
        <v>626150</v>
      </c>
      <c r="DG2" s="1">
        <v>627038</v>
      </c>
      <c r="DH2" s="1">
        <v>628124</v>
      </c>
      <c r="DI2" s="1">
        <v>629343</v>
      </c>
      <c r="DJ2" s="1">
        <v>630643</v>
      </c>
      <c r="DK2" s="1">
        <v>631969</v>
      </c>
      <c r="DL2" s="1">
        <v>633343</v>
      </c>
      <c r="DM2" s="1">
        <v>634724</v>
      </c>
      <c r="DN2" s="1">
        <v>636019</v>
      </c>
      <c r="DO2" s="1">
        <v>637211</v>
      </c>
      <c r="DP2" s="1">
        <v>638273</v>
      </c>
      <c r="DQ2" s="1">
        <v>639209</v>
      </c>
      <c r="DR2" s="1">
        <v>640057</v>
      </c>
      <c r="DS2" s="1">
        <v>640855</v>
      </c>
      <c r="DT2" s="1">
        <v>641620</v>
      </c>
      <c r="DU2" s="1">
        <v>642344</v>
      </c>
      <c r="DV2" s="1">
        <v>643054</v>
      </c>
      <c r="DW2" s="1">
        <v>643751</v>
      </c>
      <c r="DX2" s="1">
        <v>644438</v>
      </c>
      <c r="DY2" s="1">
        <v>645113</v>
      </c>
      <c r="DZ2" s="1">
        <v>645785</v>
      </c>
      <c r="EA2" s="1">
        <v>646444</v>
      </c>
      <c r="EB2" s="1">
        <v>647107</v>
      </c>
      <c r="EC2" s="1">
        <v>647780</v>
      </c>
      <c r="ED2" s="1">
        <v>648479</v>
      </c>
      <c r="EE2" s="1">
        <v>649288</v>
      </c>
      <c r="EF2" s="1">
        <v>650298</v>
      </c>
      <c r="EG2" s="1">
        <v>651435</v>
      </c>
      <c r="EH2" s="1">
        <v>652660</v>
      </c>
      <c r="EI2" s="1">
        <v>653954</v>
      </c>
      <c r="EJ2" s="1">
        <v>655349</v>
      </c>
      <c r="EK2" s="1">
        <v>656707</v>
      </c>
      <c r="EL2" s="1">
        <v>658001</v>
      </c>
      <c r="EM2" s="1">
        <v>659242</v>
      </c>
      <c r="EN2" s="1">
        <v>660381</v>
      </c>
      <c r="EO2" s="1">
        <v>661383</v>
      </c>
      <c r="EP2" s="1">
        <v>662279</v>
      </c>
      <c r="EQ2" s="1">
        <v>663104</v>
      </c>
      <c r="ER2" s="1">
        <v>663896</v>
      </c>
      <c r="ES2" s="1">
        <v>664659</v>
      </c>
      <c r="ET2" s="1">
        <v>665398</v>
      </c>
      <c r="EU2" s="1">
        <v>666120</v>
      </c>
      <c r="EV2" s="1">
        <v>666835</v>
      </c>
      <c r="EW2" s="1">
        <v>667533</v>
      </c>
      <c r="EX2" s="1">
        <v>668226</v>
      </c>
      <c r="EY2" s="1">
        <v>668905</v>
      </c>
      <c r="EZ2" s="1">
        <v>669589</v>
      </c>
      <c r="FA2" s="1">
        <v>670275</v>
      </c>
      <c r="FB2" s="1">
        <v>670977</v>
      </c>
      <c r="FC2" s="1">
        <v>671696</v>
      </c>
      <c r="FD2" s="1">
        <v>672417</v>
      </c>
      <c r="FE2" s="1">
        <v>673141</v>
      </c>
      <c r="FF2" s="1">
        <v>673898</v>
      </c>
      <c r="FG2" s="1">
        <v>674688</v>
      </c>
      <c r="FH2" s="1">
        <v>675521</v>
      </c>
      <c r="FI2" s="1">
        <v>676404</v>
      </c>
      <c r="FJ2" s="1">
        <v>677303</v>
      </c>
      <c r="FK2" s="1">
        <v>678196</v>
      </c>
      <c r="FL2" s="1">
        <v>679058</v>
      </c>
      <c r="FM2" s="1">
        <v>679863</v>
      </c>
      <c r="FN2" s="1">
        <v>680652</v>
      </c>
      <c r="FO2" s="1">
        <v>681411</v>
      </c>
      <c r="FP2" s="1">
        <v>682157</v>
      </c>
      <c r="FQ2" s="1">
        <v>682900</v>
      </c>
      <c r="FR2" s="1">
        <v>683638</v>
      </c>
      <c r="FS2" s="1">
        <v>684362</v>
      </c>
      <c r="FT2" s="1">
        <v>685087</v>
      </c>
      <c r="FU2" s="1">
        <v>685811</v>
      </c>
      <c r="FV2" s="1">
        <v>686531</v>
      </c>
      <c r="FW2" s="1">
        <v>687240</v>
      </c>
      <c r="FX2" s="1">
        <v>687931</v>
      </c>
      <c r="FY2" s="1">
        <v>688623</v>
      </c>
      <c r="FZ2" s="1">
        <v>689314</v>
      </c>
      <c r="GA2" s="1">
        <v>690009</v>
      </c>
      <c r="GB2" s="1">
        <v>690703</v>
      </c>
      <c r="GC2" s="1">
        <v>691399</v>
      </c>
      <c r="GD2" s="1">
        <v>692120</v>
      </c>
      <c r="GE2" s="1">
        <v>692860</v>
      </c>
      <c r="GF2" s="1">
        <v>693653</v>
      </c>
      <c r="GG2" s="1">
        <v>694494</v>
      </c>
      <c r="GH2" s="1">
        <v>695346</v>
      </c>
      <c r="GI2" s="1">
        <v>696198</v>
      </c>
      <c r="GJ2" s="1">
        <v>697029</v>
      </c>
      <c r="GK2" s="1">
        <v>697805</v>
      </c>
      <c r="GL2" s="1">
        <v>698621</v>
      </c>
      <c r="GM2" s="1">
        <v>699401</v>
      </c>
      <c r="GN2" s="1">
        <v>700166</v>
      </c>
      <c r="GO2" s="1">
        <v>700925</v>
      </c>
      <c r="GP2" s="1">
        <v>701682</v>
      </c>
      <c r="GQ2" s="1">
        <v>702427</v>
      </c>
      <c r="GR2" s="1">
        <v>703162</v>
      </c>
      <c r="GS2" s="1">
        <v>703883</v>
      </c>
      <c r="GT2" s="1">
        <v>704604</v>
      </c>
      <c r="GU2" s="1">
        <v>705327</v>
      </c>
      <c r="GV2" s="1">
        <v>706055</v>
      </c>
      <c r="GW2" s="1">
        <v>706782</v>
      </c>
      <c r="GX2" s="1">
        <v>707516</v>
      </c>
      <c r="GY2" s="1">
        <v>708364</v>
      </c>
      <c r="GZ2" s="1">
        <v>709477</v>
      </c>
      <c r="HA2" s="1">
        <v>710750</v>
      </c>
      <c r="HB2" s="1">
        <v>712072</v>
      </c>
      <c r="HC2" s="1">
        <v>713487</v>
      </c>
      <c r="HD2" s="1">
        <v>714956</v>
      </c>
      <c r="HE2" s="1">
        <v>716448</v>
      </c>
      <c r="HF2" s="1">
        <v>717903</v>
      </c>
      <c r="HG2" s="1">
        <v>719334</v>
      </c>
      <c r="HH2" s="1">
        <v>720595</v>
      </c>
      <c r="HI2" s="1">
        <v>721673</v>
      </c>
      <c r="HJ2" s="1">
        <v>722613</v>
      </c>
      <c r="HK2" s="1">
        <v>723498</v>
      </c>
      <c r="HL2" s="1">
        <v>724351</v>
      </c>
      <c r="HM2" s="1">
        <v>725174</v>
      </c>
      <c r="HN2" s="1">
        <v>725985</v>
      </c>
      <c r="HO2" s="1">
        <v>726764</v>
      </c>
      <c r="HP2" s="1">
        <v>727514</v>
      </c>
      <c r="HQ2" s="1">
        <v>728255</v>
      </c>
      <c r="HR2" s="1">
        <v>728989</v>
      </c>
      <c r="HS2" s="1">
        <v>729716</v>
      </c>
      <c r="HT2" s="1">
        <v>730446</v>
      </c>
      <c r="HU2" s="1">
        <v>731180</v>
      </c>
      <c r="HV2" s="1">
        <v>731931</v>
      </c>
      <c r="HW2" s="1">
        <v>732805</v>
      </c>
      <c r="HX2" s="1">
        <v>733943</v>
      </c>
      <c r="HY2" s="1">
        <v>735259</v>
      </c>
      <c r="HZ2" s="1">
        <v>736636</v>
      </c>
      <c r="IA2" s="1">
        <v>737984</v>
      </c>
      <c r="IB2" s="1">
        <v>739473</v>
      </c>
      <c r="IC2" s="1">
        <v>740939</v>
      </c>
      <c r="ID2" s="1">
        <v>742363</v>
      </c>
      <c r="IE2" s="1">
        <v>743692</v>
      </c>
      <c r="IF2" s="1">
        <v>744895</v>
      </c>
      <c r="IG2" s="1">
        <v>745927</v>
      </c>
      <c r="IH2" s="1">
        <v>746852</v>
      </c>
      <c r="II2" s="1">
        <v>747696</v>
      </c>
      <c r="IJ2" s="1">
        <v>748518</v>
      </c>
      <c r="IK2" s="1">
        <v>749305</v>
      </c>
      <c r="IL2" s="1">
        <v>750080</v>
      </c>
      <c r="IM2" s="1">
        <v>750826</v>
      </c>
      <c r="IN2" s="1">
        <v>751552</v>
      </c>
      <c r="IO2" s="1">
        <v>752261</v>
      </c>
      <c r="IP2" s="1">
        <v>752971</v>
      </c>
      <c r="IQ2" s="1">
        <v>753673</v>
      </c>
      <c r="IR2" s="1">
        <v>754381</v>
      </c>
      <c r="IS2" s="1">
        <v>755094</v>
      </c>
      <c r="IT2" s="1">
        <v>755824</v>
      </c>
      <c r="IU2" s="1">
        <v>756667</v>
      </c>
      <c r="IV2" s="1">
        <v>757667</v>
      </c>
      <c r="IW2" s="1">
        <v>758760</v>
      </c>
      <c r="IX2" s="1">
        <v>759903</v>
      </c>
      <c r="IY2" s="1">
        <v>761044</v>
      </c>
      <c r="IZ2" s="1">
        <v>762251</v>
      </c>
      <c r="JA2" s="1">
        <v>763494</v>
      </c>
      <c r="JB2" s="1">
        <v>764710</v>
      </c>
      <c r="JC2" s="1">
        <v>765871</v>
      </c>
      <c r="JD2" s="1">
        <v>766905</v>
      </c>
      <c r="JE2" s="1">
        <v>767830</v>
      </c>
      <c r="JF2" s="1">
        <v>768666</v>
      </c>
      <c r="JG2" s="1">
        <v>769447</v>
      </c>
      <c r="JH2" s="1">
        <v>770188</v>
      </c>
      <c r="JI2" s="1">
        <v>770914</v>
      </c>
      <c r="JJ2" s="1">
        <v>771635</v>
      </c>
      <c r="JK2" s="1">
        <v>772341</v>
      </c>
      <c r="JL2" s="1">
        <v>773038</v>
      </c>
      <c r="JM2" s="1">
        <v>773721</v>
      </c>
      <c r="JN2" s="1">
        <v>774388</v>
      </c>
      <c r="JO2" s="1">
        <v>775058</v>
      </c>
      <c r="JP2" s="1">
        <v>775734</v>
      </c>
      <c r="JQ2" s="1">
        <v>776403</v>
      </c>
      <c r="JR2" s="1">
        <v>777088</v>
      </c>
      <c r="JS2" s="1">
        <v>777865</v>
      </c>
      <c r="JT2" s="1">
        <v>778830</v>
      </c>
      <c r="JU2" s="1">
        <v>779928</v>
      </c>
      <c r="JV2" s="1">
        <v>781091</v>
      </c>
      <c r="JW2" s="1">
        <v>782314</v>
      </c>
      <c r="JX2" s="1">
        <v>783587</v>
      </c>
      <c r="JY2" s="1">
        <v>784880</v>
      </c>
      <c r="JZ2" s="1">
        <v>786179</v>
      </c>
      <c r="KA2" s="1">
        <v>787424</v>
      </c>
      <c r="KB2" s="1">
        <v>788506</v>
      </c>
      <c r="KC2" s="1">
        <v>789472</v>
      </c>
      <c r="KD2" s="1">
        <v>790354</v>
      </c>
      <c r="KE2" s="1">
        <v>791138</v>
      </c>
      <c r="KF2" s="1">
        <v>791893</v>
      </c>
      <c r="KG2" s="1">
        <v>792636</v>
      </c>
      <c r="KH2" s="1">
        <v>793372</v>
      </c>
      <c r="KI2" s="1">
        <v>794095</v>
      </c>
      <c r="KJ2" s="1">
        <v>794811</v>
      </c>
      <c r="KK2" s="1">
        <v>795512</v>
      </c>
      <c r="KL2" s="1">
        <v>796213</v>
      </c>
      <c r="KM2" s="1">
        <v>796912</v>
      </c>
      <c r="KN2" s="1">
        <v>797605</v>
      </c>
      <c r="KO2" s="1">
        <v>798308</v>
      </c>
      <c r="KP2" s="1">
        <v>799022</v>
      </c>
      <c r="KQ2" s="1">
        <v>799838</v>
      </c>
      <c r="KR2" s="1">
        <v>800820</v>
      </c>
      <c r="KS2" s="1">
        <v>801953</v>
      </c>
      <c r="KT2" s="1">
        <v>803154</v>
      </c>
      <c r="KU2" s="1">
        <v>804367</v>
      </c>
      <c r="KV2" s="1">
        <v>805609</v>
      </c>
      <c r="KW2" s="1">
        <v>806846</v>
      </c>
      <c r="KX2" s="1">
        <v>808026</v>
      </c>
      <c r="KY2" s="1">
        <v>809178</v>
      </c>
      <c r="KZ2" s="1">
        <v>810212</v>
      </c>
      <c r="LA2" s="1">
        <v>811129</v>
      </c>
      <c r="LB2" s="1">
        <v>811946</v>
      </c>
      <c r="LC2" s="1">
        <v>812736</v>
      </c>
      <c r="LD2" s="1">
        <v>813518</v>
      </c>
      <c r="LE2" s="1">
        <v>814278</v>
      </c>
      <c r="LF2" s="1">
        <v>815024</v>
      </c>
      <c r="LG2" s="1">
        <v>815762</v>
      </c>
      <c r="LH2" s="1">
        <v>816487</v>
      </c>
      <c r="LI2" s="1">
        <v>817196</v>
      </c>
      <c r="LJ2" s="1">
        <v>817889</v>
      </c>
      <c r="LK2" s="1">
        <v>818573</v>
      </c>
      <c r="LL2" s="1">
        <v>819257</v>
      </c>
      <c r="LM2" s="1">
        <v>819935</v>
      </c>
      <c r="LN2" s="1">
        <v>820608</v>
      </c>
      <c r="LO2" s="1">
        <v>821314</v>
      </c>
      <c r="LP2" s="1">
        <v>822058</v>
      </c>
      <c r="LQ2" s="1">
        <v>822828</v>
      </c>
      <c r="LR2" s="1">
        <v>823604</v>
      </c>
      <c r="LS2" s="1">
        <v>824386</v>
      </c>
      <c r="LT2" s="1">
        <v>825198</v>
      </c>
      <c r="LU2" s="1">
        <v>826044</v>
      </c>
      <c r="LV2" s="1">
        <v>826884</v>
      </c>
      <c r="LW2" s="1">
        <v>827681</v>
      </c>
      <c r="LX2" s="1">
        <v>828467</v>
      </c>
      <c r="LY2" s="1">
        <v>829238</v>
      </c>
      <c r="LZ2" s="1">
        <v>829989</v>
      </c>
      <c r="MA2" s="1">
        <v>830721</v>
      </c>
      <c r="MB2" s="1">
        <v>831460</v>
      </c>
      <c r="MC2" s="1">
        <v>832187</v>
      </c>
      <c r="MD2" s="1">
        <v>832902</v>
      </c>
      <c r="ME2" s="1">
        <v>833604</v>
      </c>
      <c r="MF2" s="1">
        <v>834307</v>
      </c>
      <c r="MG2" s="1">
        <v>835003</v>
      </c>
      <c r="MH2" s="1">
        <v>835688</v>
      </c>
      <c r="MI2" s="1">
        <v>836370</v>
      </c>
      <c r="MJ2" s="1">
        <v>837056</v>
      </c>
      <c r="MK2" s="1">
        <v>837731</v>
      </c>
      <c r="ML2" s="1">
        <v>838384</v>
      </c>
      <c r="MM2" s="1">
        <v>839046</v>
      </c>
      <c r="MN2" s="1">
        <v>839713</v>
      </c>
      <c r="MO2" s="1">
        <v>840389</v>
      </c>
      <c r="MP2" s="1">
        <v>841067</v>
      </c>
      <c r="MQ2" s="1">
        <v>841755</v>
      </c>
      <c r="MR2" s="1">
        <v>842471</v>
      </c>
      <c r="MS2" s="1">
        <v>843230</v>
      </c>
      <c r="MT2" s="1">
        <v>844033</v>
      </c>
      <c r="MU2" s="1">
        <v>844837</v>
      </c>
      <c r="MV2" s="1">
        <v>845636</v>
      </c>
      <c r="MW2" s="1">
        <v>846412</v>
      </c>
      <c r="MX2" s="1">
        <v>847176</v>
      </c>
      <c r="MY2" s="1">
        <v>847920</v>
      </c>
      <c r="MZ2" s="1">
        <v>848653</v>
      </c>
      <c r="NA2" s="1">
        <v>849388</v>
      </c>
      <c r="NB2" s="1">
        <v>850109</v>
      </c>
      <c r="NC2" s="1">
        <v>850816</v>
      </c>
      <c r="ND2" s="1">
        <v>851516</v>
      </c>
      <c r="NE2" s="1">
        <v>852212</v>
      </c>
      <c r="NF2" s="1">
        <v>852901</v>
      </c>
      <c r="NG2" s="1">
        <v>853581</v>
      </c>
      <c r="NH2" s="1">
        <v>854254</v>
      </c>
      <c r="NI2" s="1">
        <v>854919</v>
      </c>
      <c r="NJ2" s="1">
        <v>855585</v>
      </c>
      <c r="NK2" s="1">
        <v>856263</v>
      </c>
      <c r="NL2" s="1">
        <v>856968</v>
      </c>
      <c r="NM2" s="1">
        <v>857692</v>
      </c>
      <c r="NN2" s="1">
        <v>858442</v>
      </c>
      <c r="NO2" s="1">
        <v>859226</v>
      </c>
      <c r="NP2" s="1">
        <v>860033</v>
      </c>
      <c r="NQ2" s="1">
        <v>860891</v>
      </c>
      <c r="NR2" s="1">
        <v>861751</v>
      </c>
      <c r="NS2" s="1">
        <v>862623</v>
      </c>
      <c r="NT2" s="1">
        <v>863482</v>
      </c>
      <c r="NU2" s="1">
        <v>864327</v>
      </c>
      <c r="NV2" s="1">
        <v>865132</v>
      </c>
      <c r="NW2" s="1">
        <v>865914</v>
      </c>
      <c r="NX2" s="1">
        <v>866676</v>
      </c>
      <c r="NY2" s="1">
        <v>867433</v>
      </c>
      <c r="NZ2" s="1">
        <v>868172</v>
      </c>
      <c r="OA2" s="1">
        <v>868895</v>
      </c>
      <c r="OB2" s="1">
        <v>869601</v>
      </c>
      <c r="OC2" s="1">
        <v>870289</v>
      </c>
      <c r="OD2" s="1">
        <v>870975</v>
      </c>
      <c r="OE2" s="1">
        <v>871652</v>
      </c>
      <c r="OF2" s="1">
        <v>872336</v>
      </c>
      <c r="OG2" s="1">
        <v>873024</v>
      </c>
      <c r="OH2" s="1">
        <v>873736</v>
      </c>
      <c r="OI2" s="1">
        <v>874572</v>
      </c>
      <c r="OJ2" s="1">
        <v>875618</v>
      </c>
      <c r="OK2" s="1">
        <v>876844</v>
      </c>
      <c r="OL2" s="1">
        <v>878161</v>
      </c>
      <c r="OM2" s="1">
        <v>879531</v>
      </c>
      <c r="ON2" s="1">
        <v>881022</v>
      </c>
      <c r="OO2" s="1">
        <v>882499</v>
      </c>
      <c r="OP2" s="1">
        <v>883954</v>
      </c>
      <c r="OQ2" s="1">
        <v>885357</v>
      </c>
      <c r="OR2" s="1">
        <v>886610</v>
      </c>
      <c r="OS2" s="1">
        <v>887701</v>
      </c>
      <c r="OT2" s="1">
        <v>888687</v>
      </c>
      <c r="OU2" s="1">
        <v>889566</v>
      </c>
      <c r="OV2" s="1">
        <v>890397</v>
      </c>
      <c r="OW2" s="1">
        <v>891205</v>
      </c>
      <c r="OX2" s="1">
        <v>891975</v>
      </c>
      <c r="OY2" s="1">
        <v>892715</v>
      </c>
      <c r="OZ2" s="1">
        <v>893443</v>
      </c>
      <c r="PA2" s="1">
        <v>894154</v>
      </c>
      <c r="PB2" s="1">
        <v>894863</v>
      </c>
      <c r="PC2" s="1">
        <v>895578</v>
      </c>
      <c r="PD2" s="1">
        <v>896285</v>
      </c>
      <c r="PE2" s="1">
        <v>896999</v>
      </c>
      <c r="PF2" s="1">
        <v>897745</v>
      </c>
      <c r="PG2" s="1">
        <v>898619</v>
      </c>
      <c r="PH2" s="1">
        <v>899725</v>
      </c>
      <c r="PI2" s="1">
        <v>901026</v>
      </c>
      <c r="PJ2" s="1">
        <v>902394</v>
      </c>
      <c r="PK2" s="1">
        <v>903799</v>
      </c>
      <c r="PL2" s="1">
        <v>905276</v>
      </c>
      <c r="PM2" s="1">
        <v>906779</v>
      </c>
      <c r="PN2" s="1">
        <v>908233</v>
      </c>
      <c r="PO2" s="1">
        <v>909548</v>
      </c>
      <c r="PP2" s="1">
        <v>910725</v>
      </c>
      <c r="PQ2" s="1">
        <v>911739</v>
      </c>
      <c r="PR2" s="1">
        <v>912660</v>
      </c>
      <c r="PS2" s="1">
        <v>913519</v>
      </c>
      <c r="PT2" s="1">
        <v>914343</v>
      </c>
      <c r="PU2" s="1">
        <v>915160</v>
      </c>
      <c r="PV2" s="1">
        <v>915948</v>
      </c>
      <c r="PW2" s="1">
        <v>916712</v>
      </c>
      <c r="PX2" s="1">
        <v>917460</v>
      </c>
      <c r="PY2" s="1">
        <v>918191</v>
      </c>
      <c r="PZ2" s="1">
        <v>918927</v>
      </c>
      <c r="QA2" s="1">
        <v>919659</v>
      </c>
      <c r="QB2" s="1">
        <v>920375</v>
      </c>
      <c r="QC2" s="1">
        <v>921092</v>
      </c>
      <c r="QD2" s="1">
        <v>921821</v>
      </c>
      <c r="QE2" s="1">
        <v>922640</v>
      </c>
      <c r="QF2" s="1">
        <v>923609</v>
      </c>
      <c r="QG2" s="1">
        <v>924727</v>
      </c>
      <c r="QH2" s="1">
        <v>925912</v>
      </c>
      <c r="QI2" s="1">
        <v>927129</v>
      </c>
      <c r="QJ2" s="1">
        <v>928387</v>
      </c>
      <c r="QK2" s="1">
        <v>929646</v>
      </c>
      <c r="QL2" s="1">
        <v>930840</v>
      </c>
      <c r="QM2" s="1">
        <v>931956</v>
      </c>
      <c r="QN2" s="1">
        <v>932943</v>
      </c>
      <c r="QO2" s="1">
        <v>933799</v>
      </c>
      <c r="QP2" s="1">
        <v>934583</v>
      </c>
      <c r="QQ2" s="1">
        <v>935325</v>
      </c>
      <c r="QR2" s="1">
        <v>936029</v>
      </c>
      <c r="QS2" s="1">
        <v>936708</v>
      </c>
      <c r="QT2" s="1">
        <v>937375</v>
      </c>
      <c r="QU2" s="1">
        <v>938027</v>
      </c>
      <c r="QV2" s="1">
        <v>938660</v>
      </c>
      <c r="QW2" s="1">
        <v>939280</v>
      </c>
      <c r="QX2" s="1">
        <v>939875</v>
      </c>
      <c r="QY2" s="1">
        <v>940473</v>
      </c>
      <c r="QZ2" s="1">
        <v>941059</v>
      </c>
      <c r="RA2" s="1">
        <v>941647</v>
      </c>
      <c r="RB2" s="1">
        <v>942250</v>
      </c>
      <c r="RC2" s="1">
        <v>942940</v>
      </c>
      <c r="RD2" s="1">
        <v>943810</v>
      </c>
      <c r="RE2" s="1">
        <v>944832</v>
      </c>
      <c r="RF2" s="1">
        <v>945882</v>
      </c>
      <c r="RG2" s="1">
        <v>946953</v>
      </c>
      <c r="RH2" s="1">
        <v>948058</v>
      </c>
      <c r="RI2" s="1">
        <v>949247</v>
      </c>
      <c r="RJ2" s="1">
        <v>950389</v>
      </c>
      <c r="RK2" s="1">
        <v>951433</v>
      </c>
      <c r="RL2" s="1">
        <v>952321</v>
      </c>
      <c r="RM2" s="1">
        <v>953064</v>
      </c>
      <c r="RN2" s="1">
        <v>953724</v>
      </c>
      <c r="RO2" s="1">
        <v>954352</v>
      </c>
      <c r="RP2" s="1">
        <v>954967</v>
      </c>
      <c r="RQ2" s="1">
        <v>955555</v>
      </c>
      <c r="RR2" s="1">
        <v>956108</v>
      </c>
      <c r="RS2" s="1">
        <v>956651</v>
      </c>
      <c r="RT2" s="1">
        <v>957182</v>
      </c>
      <c r="RU2" s="1">
        <v>957702</v>
      </c>
      <c r="RV2" s="1">
        <v>958213</v>
      </c>
      <c r="RW2" s="1">
        <v>958726</v>
      </c>
      <c r="RX2" s="1">
        <v>959238</v>
      </c>
      <c r="RY2" s="1">
        <v>959746</v>
      </c>
      <c r="RZ2" s="1">
        <v>960261</v>
      </c>
      <c r="SA2" s="1">
        <v>960783</v>
      </c>
      <c r="SB2" s="1">
        <v>961322</v>
      </c>
      <c r="SC2" s="1">
        <v>961890</v>
      </c>
      <c r="SD2" s="1">
        <v>962476</v>
      </c>
      <c r="SE2" s="1">
        <v>963042</v>
      </c>
      <c r="SF2" s="1">
        <v>963605</v>
      </c>
      <c r="SG2" s="1">
        <v>964184</v>
      </c>
      <c r="SH2" s="1">
        <v>964797</v>
      </c>
      <c r="SI2" s="1">
        <v>965407</v>
      </c>
      <c r="SJ2" s="1">
        <v>965979</v>
      </c>
      <c r="SK2" s="1">
        <v>966523</v>
      </c>
      <c r="SL2" s="1">
        <v>967054</v>
      </c>
      <c r="SM2" s="1">
        <v>967567</v>
      </c>
      <c r="SN2" s="1">
        <v>968072</v>
      </c>
      <c r="SO2" s="1">
        <v>968565</v>
      </c>
      <c r="SP2" s="1">
        <v>969045</v>
      </c>
      <c r="SQ2" s="1">
        <v>969503</v>
      </c>
      <c r="SR2" s="1">
        <v>969953</v>
      </c>
      <c r="SS2" s="1">
        <v>970399</v>
      </c>
      <c r="ST2" s="1">
        <v>970842</v>
      </c>
      <c r="SU2" s="1">
        <v>971271</v>
      </c>
      <c r="SV2" s="1">
        <v>971704</v>
      </c>
      <c r="SW2" s="1">
        <v>972141</v>
      </c>
      <c r="SX2" s="1">
        <v>972573</v>
      </c>
      <c r="SY2" s="1">
        <v>973001</v>
      </c>
    </row>
    <row r="3" spans="1:750">
      <c r="A3" s="1">
        <v>2</v>
      </c>
      <c r="B3" s="1" t="s">
        <v>2</v>
      </c>
      <c r="C3" s="1" t="s">
        <v>3</v>
      </c>
      <c r="D3" s="1" t="s">
        <v>6</v>
      </c>
      <c r="E3" s="1" t="s">
        <v>5</v>
      </c>
      <c r="F3" s="1">
        <v>107287</v>
      </c>
      <c r="G3" s="1">
        <v>107477</v>
      </c>
      <c r="H3" s="1">
        <v>107663</v>
      </c>
      <c r="I3" s="1">
        <v>107844</v>
      </c>
      <c r="J3" s="1">
        <v>108018</v>
      </c>
      <c r="K3" s="1">
        <v>108186</v>
      </c>
      <c r="L3" s="1">
        <v>108354</v>
      </c>
      <c r="M3" s="1">
        <v>108521</v>
      </c>
      <c r="N3" s="1">
        <v>108696</v>
      </c>
      <c r="O3" s="1">
        <v>108872</v>
      </c>
      <c r="P3" s="1">
        <v>109053</v>
      </c>
      <c r="Q3" s="1">
        <v>109235</v>
      </c>
      <c r="R3" s="1">
        <v>109420</v>
      </c>
      <c r="S3" s="1">
        <v>109614</v>
      </c>
      <c r="T3" s="1">
        <v>109819</v>
      </c>
      <c r="U3" s="1">
        <v>110044</v>
      </c>
      <c r="V3" s="1">
        <v>110270</v>
      </c>
      <c r="W3" s="1">
        <v>110486</v>
      </c>
      <c r="X3" s="1">
        <v>110683</v>
      </c>
      <c r="Y3" s="1">
        <v>110873</v>
      </c>
      <c r="Z3" s="1">
        <v>111059</v>
      </c>
      <c r="AA3" s="1">
        <v>111242</v>
      </c>
      <c r="AB3" s="1">
        <v>111429</v>
      </c>
      <c r="AC3" s="1">
        <v>111610</v>
      </c>
      <c r="AD3" s="1">
        <v>111792</v>
      </c>
      <c r="AE3" s="1">
        <v>111969</v>
      </c>
      <c r="AF3" s="1">
        <v>112129</v>
      </c>
      <c r="AG3" s="1">
        <v>112303</v>
      </c>
      <c r="AH3" s="1">
        <v>112480</v>
      </c>
      <c r="AI3" s="1">
        <v>112657</v>
      </c>
      <c r="AJ3" s="1">
        <v>112834</v>
      </c>
      <c r="AK3" s="1">
        <v>113015</v>
      </c>
      <c r="AL3" s="1">
        <v>113208</v>
      </c>
      <c r="AM3" s="1">
        <v>113451</v>
      </c>
      <c r="AN3" s="1">
        <v>113790</v>
      </c>
      <c r="AO3" s="1">
        <v>114163</v>
      </c>
      <c r="AP3" s="1">
        <v>114540</v>
      </c>
      <c r="AQ3" s="1">
        <v>114921</v>
      </c>
      <c r="AR3" s="1">
        <v>115312</v>
      </c>
      <c r="AS3" s="1">
        <v>115729</v>
      </c>
      <c r="AT3" s="1">
        <v>116141</v>
      </c>
      <c r="AU3" s="1">
        <v>116525</v>
      </c>
      <c r="AV3" s="1">
        <v>116867</v>
      </c>
      <c r="AW3" s="1">
        <v>117160</v>
      </c>
      <c r="AX3" s="1">
        <v>117414</v>
      </c>
      <c r="AY3" s="1">
        <v>117644</v>
      </c>
      <c r="AZ3" s="1">
        <v>117872</v>
      </c>
      <c r="BA3" s="1">
        <v>118093</v>
      </c>
      <c r="BB3" s="1">
        <v>118299</v>
      </c>
      <c r="BC3" s="1">
        <v>118493</v>
      </c>
      <c r="BD3" s="1">
        <v>118678</v>
      </c>
      <c r="BE3" s="1">
        <v>118867</v>
      </c>
      <c r="BF3" s="1">
        <v>119056</v>
      </c>
      <c r="BG3" s="1">
        <v>119240</v>
      </c>
      <c r="BH3" s="1">
        <v>119424</v>
      </c>
      <c r="BI3" s="1">
        <v>119608</v>
      </c>
      <c r="BJ3" s="1">
        <v>119806</v>
      </c>
      <c r="BK3" s="1">
        <v>120030</v>
      </c>
      <c r="BL3" s="1">
        <v>120348</v>
      </c>
      <c r="BM3" s="1">
        <v>120696</v>
      </c>
      <c r="BN3" s="1">
        <v>121073</v>
      </c>
      <c r="BO3" s="1">
        <v>121449</v>
      </c>
      <c r="BP3" s="1">
        <v>121842</v>
      </c>
      <c r="BQ3" s="1">
        <v>122239</v>
      </c>
      <c r="BR3" s="1">
        <v>122646</v>
      </c>
      <c r="BS3" s="1">
        <v>123017</v>
      </c>
      <c r="BT3" s="1">
        <v>123339</v>
      </c>
      <c r="BU3" s="1">
        <v>123615</v>
      </c>
      <c r="BV3" s="1">
        <v>123859</v>
      </c>
      <c r="BW3" s="1">
        <v>124074</v>
      </c>
      <c r="BX3" s="1">
        <v>124279</v>
      </c>
      <c r="BY3" s="1">
        <v>124474</v>
      </c>
      <c r="BZ3" s="1">
        <v>124659</v>
      </c>
      <c r="CA3" s="1">
        <v>124837</v>
      </c>
      <c r="CB3" s="1">
        <v>125010</v>
      </c>
      <c r="CC3" s="1">
        <v>125179</v>
      </c>
      <c r="CD3" s="1">
        <v>125348</v>
      </c>
      <c r="CE3" s="1">
        <v>125519</v>
      </c>
      <c r="CF3" s="1">
        <v>125689</v>
      </c>
      <c r="CG3" s="1">
        <v>125864</v>
      </c>
      <c r="CH3" s="1">
        <v>126047</v>
      </c>
      <c r="CI3" s="1">
        <v>126259</v>
      </c>
      <c r="CJ3" s="1">
        <v>126543</v>
      </c>
      <c r="CK3" s="1">
        <v>126861</v>
      </c>
      <c r="CL3" s="1">
        <v>127189</v>
      </c>
      <c r="CM3" s="1">
        <v>127532</v>
      </c>
      <c r="CN3" s="1">
        <v>127892</v>
      </c>
      <c r="CO3" s="1">
        <v>128260</v>
      </c>
      <c r="CP3" s="1">
        <v>128624</v>
      </c>
      <c r="CQ3" s="1">
        <v>128970</v>
      </c>
      <c r="CR3" s="1">
        <v>129271</v>
      </c>
      <c r="CS3" s="1">
        <v>129512</v>
      </c>
      <c r="CT3" s="1">
        <v>129729</v>
      </c>
      <c r="CU3" s="1">
        <v>129939</v>
      </c>
      <c r="CV3" s="1">
        <v>130146</v>
      </c>
      <c r="CW3" s="1">
        <v>130347</v>
      </c>
      <c r="CX3" s="1">
        <v>130534</v>
      </c>
      <c r="CY3" s="1">
        <v>130714</v>
      </c>
      <c r="CZ3" s="1">
        <v>130900</v>
      </c>
      <c r="DA3" s="1">
        <v>131077</v>
      </c>
      <c r="DB3" s="1">
        <v>131258</v>
      </c>
      <c r="DC3" s="1">
        <v>131435</v>
      </c>
      <c r="DD3" s="1">
        <v>131614</v>
      </c>
      <c r="DE3" s="1">
        <v>131795</v>
      </c>
      <c r="DF3" s="1">
        <v>131983</v>
      </c>
      <c r="DG3" s="1">
        <v>132205</v>
      </c>
      <c r="DH3" s="1">
        <v>132480</v>
      </c>
      <c r="DI3" s="1">
        <v>132793</v>
      </c>
      <c r="DJ3" s="1">
        <v>133135</v>
      </c>
      <c r="DK3" s="1">
        <v>133472</v>
      </c>
      <c r="DL3" s="1">
        <v>133811</v>
      </c>
      <c r="DM3" s="1">
        <v>134158</v>
      </c>
      <c r="DN3" s="1">
        <v>134491</v>
      </c>
      <c r="DO3" s="1">
        <v>134802</v>
      </c>
      <c r="DP3" s="1">
        <v>135077</v>
      </c>
      <c r="DQ3" s="1">
        <v>135314</v>
      </c>
      <c r="DR3" s="1">
        <v>135534</v>
      </c>
      <c r="DS3" s="1">
        <v>135732</v>
      </c>
      <c r="DT3" s="1">
        <v>135917</v>
      </c>
      <c r="DU3" s="1">
        <v>136091</v>
      </c>
      <c r="DV3" s="1">
        <v>136263</v>
      </c>
      <c r="DW3" s="1">
        <v>136433</v>
      </c>
      <c r="DX3" s="1">
        <v>136600</v>
      </c>
      <c r="DY3" s="1">
        <v>136765</v>
      </c>
      <c r="DZ3" s="1">
        <v>136929</v>
      </c>
      <c r="EA3" s="1">
        <v>137089</v>
      </c>
      <c r="EB3" s="1">
        <v>137256</v>
      </c>
      <c r="EC3" s="1">
        <v>137430</v>
      </c>
      <c r="ED3" s="1">
        <v>137607</v>
      </c>
      <c r="EE3" s="1">
        <v>137805</v>
      </c>
      <c r="EF3" s="1">
        <v>138073</v>
      </c>
      <c r="EG3" s="1">
        <v>138364</v>
      </c>
      <c r="EH3" s="1">
        <v>138694</v>
      </c>
      <c r="EI3" s="1">
        <v>139027</v>
      </c>
      <c r="EJ3" s="1">
        <v>139373</v>
      </c>
      <c r="EK3" s="1">
        <v>139720</v>
      </c>
      <c r="EL3" s="1">
        <v>140075</v>
      </c>
      <c r="EM3" s="1">
        <v>140408</v>
      </c>
      <c r="EN3" s="1">
        <v>140723</v>
      </c>
      <c r="EO3" s="1">
        <v>140993</v>
      </c>
      <c r="EP3" s="1">
        <v>141217</v>
      </c>
      <c r="EQ3" s="1">
        <v>141418</v>
      </c>
      <c r="ER3" s="1">
        <v>141609</v>
      </c>
      <c r="ES3" s="1">
        <v>141798</v>
      </c>
      <c r="ET3" s="1">
        <v>141979</v>
      </c>
      <c r="EU3" s="1">
        <v>142151</v>
      </c>
      <c r="EV3" s="1">
        <v>142317</v>
      </c>
      <c r="EW3" s="1">
        <v>142478</v>
      </c>
      <c r="EX3" s="1">
        <v>142640</v>
      </c>
      <c r="EY3" s="1">
        <v>142795</v>
      </c>
      <c r="EZ3" s="1">
        <v>142951</v>
      </c>
      <c r="FA3" s="1">
        <v>143111</v>
      </c>
      <c r="FB3" s="1">
        <v>143281</v>
      </c>
      <c r="FC3" s="1">
        <v>143455</v>
      </c>
      <c r="FD3" s="1">
        <v>143636</v>
      </c>
      <c r="FE3" s="1">
        <v>143816</v>
      </c>
      <c r="FF3" s="1">
        <v>144008</v>
      </c>
      <c r="FG3" s="1">
        <v>144212</v>
      </c>
      <c r="FH3" s="1">
        <v>144429</v>
      </c>
      <c r="FI3" s="1">
        <v>144668</v>
      </c>
      <c r="FJ3" s="1">
        <v>144909</v>
      </c>
      <c r="FK3" s="1">
        <v>145140</v>
      </c>
      <c r="FL3" s="1">
        <v>145354</v>
      </c>
      <c r="FM3" s="1">
        <v>145548</v>
      </c>
      <c r="FN3" s="1">
        <v>145730</v>
      </c>
      <c r="FO3" s="1">
        <v>145905</v>
      </c>
      <c r="FP3" s="1">
        <v>146078</v>
      </c>
      <c r="FQ3" s="1">
        <v>146250</v>
      </c>
      <c r="FR3" s="1">
        <v>146424</v>
      </c>
      <c r="FS3" s="1">
        <v>146595</v>
      </c>
      <c r="FT3" s="1">
        <v>146767</v>
      </c>
      <c r="FU3" s="1">
        <v>146941</v>
      </c>
      <c r="FV3" s="1">
        <v>147116</v>
      </c>
      <c r="FW3" s="1">
        <v>147285</v>
      </c>
      <c r="FX3" s="1">
        <v>147450</v>
      </c>
      <c r="FY3" s="1">
        <v>147616</v>
      </c>
      <c r="FZ3" s="1">
        <v>147787</v>
      </c>
      <c r="GA3" s="1">
        <v>147965</v>
      </c>
      <c r="GB3" s="1">
        <v>148147</v>
      </c>
      <c r="GC3" s="1">
        <v>148334</v>
      </c>
      <c r="GD3" s="1">
        <v>148541</v>
      </c>
      <c r="GE3" s="1">
        <v>148752</v>
      </c>
      <c r="GF3" s="1">
        <v>148977</v>
      </c>
      <c r="GG3" s="1">
        <v>149211</v>
      </c>
      <c r="GH3" s="1">
        <v>149436</v>
      </c>
      <c r="GI3" s="1">
        <v>149661</v>
      </c>
      <c r="GJ3" s="1">
        <v>149880</v>
      </c>
      <c r="GK3" s="1">
        <v>150078</v>
      </c>
      <c r="GL3" s="1">
        <v>150277</v>
      </c>
      <c r="GM3" s="1">
        <v>150473</v>
      </c>
      <c r="GN3" s="1">
        <v>150669</v>
      </c>
      <c r="GO3" s="1">
        <v>150857</v>
      </c>
      <c r="GP3" s="1">
        <v>151044</v>
      </c>
      <c r="GQ3" s="1">
        <v>151230</v>
      </c>
      <c r="GR3" s="1">
        <v>151413</v>
      </c>
      <c r="GS3" s="1">
        <v>151599</v>
      </c>
      <c r="GT3" s="1">
        <v>151783</v>
      </c>
      <c r="GU3" s="1">
        <v>151966</v>
      </c>
      <c r="GV3" s="1">
        <v>152147</v>
      </c>
      <c r="GW3" s="1">
        <v>152329</v>
      </c>
      <c r="GX3" s="1">
        <v>152512</v>
      </c>
      <c r="GY3" s="1">
        <v>152725</v>
      </c>
      <c r="GZ3" s="1">
        <v>153020</v>
      </c>
      <c r="HA3" s="1">
        <v>153364</v>
      </c>
      <c r="HB3" s="1">
        <v>153719</v>
      </c>
      <c r="HC3" s="1">
        <v>154083</v>
      </c>
      <c r="HD3" s="1">
        <v>154477</v>
      </c>
      <c r="HE3" s="1">
        <v>154878</v>
      </c>
      <c r="HF3" s="1">
        <v>155286</v>
      </c>
      <c r="HG3" s="1">
        <v>155693</v>
      </c>
      <c r="HH3" s="1">
        <v>156043</v>
      </c>
      <c r="HI3" s="1">
        <v>156323</v>
      </c>
      <c r="HJ3" s="1">
        <v>156554</v>
      </c>
      <c r="HK3" s="1">
        <v>156772</v>
      </c>
      <c r="HL3" s="1">
        <v>156984</v>
      </c>
      <c r="HM3" s="1">
        <v>157188</v>
      </c>
      <c r="HN3" s="1">
        <v>157385</v>
      </c>
      <c r="HO3" s="1">
        <v>157566</v>
      </c>
      <c r="HP3" s="1">
        <v>157736</v>
      </c>
      <c r="HQ3" s="1">
        <v>157908</v>
      </c>
      <c r="HR3" s="1">
        <v>158077</v>
      </c>
      <c r="HS3" s="1">
        <v>158246</v>
      </c>
      <c r="HT3" s="1">
        <v>158417</v>
      </c>
      <c r="HU3" s="1">
        <v>158591</v>
      </c>
      <c r="HV3" s="1">
        <v>158778</v>
      </c>
      <c r="HW3" s="1">
        <v>159002</v>
      </c>
      <c r="HX3" s="1">
        <v>159303</v>
      </c>
      <c r="HY3" s="1">
        <v>159655</v>
      </c>
      <c r="HZ3" s="1">
        <v>160011</v>
      </c>
      <c r="IA3" s="1">
        <v>160363</v>
      </c>
      <c r="IB3" s="1">
        <v>160749</v>
      </c>
      <c r="IC3" s="1">
        <v>161139</v>
      </c>
      <c r="ID3" s="1">
        <v>161520</v>
      </c>
      <c r="IE3" s="1">
        <v>161877</v>
      </c>
      <c r="IF3" s="1">
        <v>162194</v>
      </c>
      <c r="IG3" s="1">
        <v>162456</v>
      </c>
      <c r="IH3" s="1">
        <v>162673</v>
      </c>
      <c r="II3" s="1">
        <v>162871</v>
      </c>
      <c r="IJ3" s="1">
        <v>163061</v>
      </c>
      <c r="IK3" s="1">
        <v>163252</v>
      </c>
      <c r="IL3" s="1">
        <v>163439</v>
      </c>
      <c r="IM3" s="1">
        <v>163622</v>
      </c>
      <c r="IN3" s="1">
        <v>163802</v>
      </c>
      <c r="IO3" s="1">
        <v>163978</v>
      </c>
      <c r="IP3" s="1">
        <v>164153</v>
      </c>
      <c r="IQ3" s="1">
        <v>164325</v>
      </c>
      <c r="IR3" s="1">
        <v>164499</v>
      </c>
      <c r="IS3" s="1">
        <v>164681</v>
      </c>
      <c r="IT3" s="1">
        <v>164868</v>
      </c>
      <c r="IU3" s="1">
        <v>165085</v>
      </c>
      <c r="IV3" s="1">
        <v>165342</v>
      </c>
      <c r="IW3" s="1">
        <v>165622</v>
      </c>
      <c r="IX3" s="1">
        <v>165917</v>
      </c>
      <c r="IY3" s="1">
        <v>166215</v>
      </c>
      <c r="IZ3" s="1">
        <v>166531</v>
      </c>
      <c r="JA3" s="1">
        <v>166865</v>
      </c>
      <c r="JB3" s="1">
        <v>167203</v>
      </c>
      <c r="JC3" s="1">
        <v>167528</v>
      </c>
      <c r="JD3" s="1">
        <v>167820</v>
      </c>
      <c r="JE3" s="1">
        <v>168059</v>
      </c>
      <c r="JF3" s="1">
        <v>168281</v>
      </c>
      <c r="JG3" s="1">
        <v>168481</v>
      </c>
      <c r="JH3" s="1">
        <v>168673</v>
      </c>
      <c r="JI3" s="1">
        <v>168858</v>
      </c>
      <c r="JJ3" s="1">
        <v>169040</v>
      </c>
      <c r="JK3" s="1">
        <v>169220</v>
      </c>
      <c r="JL3" s="1">
        <v>169391</v>
      </c>
      <c r="JM3" s="1">
        <v>169556</v>
      </c>
      <c r="JN3" s="1">
        <v>169715</v>
      </c>
      <c r="JO3" s="1">
        <v>169871</v>
      </c>
      <c r="JP3" s="1">
        <v>170027</v>
      </c>
      <c r="JQ3" s="1">
        <v>170182</v>
      </c>
      <c r="JR3" s="1">
        <v>170348</v>
      </c>
      <c r="JS3" s="1">
        <v>170540</v>
      </c>
      <c r="JT3" s="1">
        <v>170791</v>
      </c>
      <c r="JU3" s="1">
        <v>171064</v>
      </c>
      <c r="JV3" s="1">
        <v>171367</v>
      </c>
      <c r="JW3" s="1">
        <v>171680</v>
      </c>
      <c r="JX3" s="1">
        <v>171990</v>
      </c>
      <c r="JY3" s="1">
        <v>172308</v>
      </c>
      <c r="JZ3" s="1">
        <v>172635</v>
      </c>
      <c r="KA3" s="1">
        <v>172947</v>
      </c>
      <c r="KB3" s="1">
        <v>173238</v>
      </c>
      <c r="KC3" s="1">
        <v>173489</v>
      </c>
      <c r="KD3" s="1">
        <v>173717</v>
      </c>
      <c r="KE3" s="1">
        <v>173905</v>
      </c>
      <c r="KF3" s="1">
        <v>174083</v>
      </c>
      <c r="KG3" s="1">
        <v>174267</v>
      </c>
      <c r="KH3" s="1">
        <v>174450</v>
      </c>
      <c r="KI3" s="1">
        <v>174624</v>
      </c>
      <c r="KJ3" s="1">
        <v>174794</v>
      </c>
      <c r="KK3" s="1">
        <v>174960</v>
      </c>
      <c r="KL3" s="1">
        <v>175128</v>
      </c>
      <c r="KM3" s="1">
        <v>175293</v>
      </c>
      <c r="KN3" s="1">
        <v>175458</v>
      </c>
      <c r="KO3" s="1">
        <v>175628</v>
      </c>
      <c r="KP3" s="1">
        <v>175803</v>
      </c>
      <c r="KQ3" s="1">
        <v>176002</v>
      </c>
      <c r="KR3" s="1">
        <v>176256</v>
      </c>
      <c r="KS3" s="1">
        <v>176543</v>
      </c>
      <c r="KT3" s="1">
        <v>176849</v>
      </c>
      <c r="KU3" s="1">
        <v>177155</v>
      </c>
      <c r="KV3" s="1">
        <v>177465</v>
      </c>
      <c r="KW3" s="1">
        <v>177798</v>
      </c>
      <c r="KX3" s="1">
        <v>178143</v>
      </c>
      <c r="KY3" s="1">
        <v>178476</v>
      </c>
      <c r="KZ3" s="1">
        <v>178773</v>
      </c>
      <c r="LA3" s="1">
        <v>179040</v>
      </c>
      <c r="LB3" s="1">
        <v>179260</v>
      </c>
      <c r="LC3" s="1">
        <v>179468</v>
      </c>
      <c r="LD3" s="1">
        <v>179674</v>
      </c>
      <c r="LE3" s="1">
        <v>179872</v>
      </c>
      <c r="LF3" s="1">
        <v>180064</v>
      </c>
      <c r="LG3" s="1">
        <v>180256</v>
      </c>
      <c r="LH3" s="1">
        <v>180444</v>
      </c>
      <c r="LI3" s="1">
        <v>180627</v>
      </c>
      <c r="LJ3" s="1">
        <v>180800</v>
      </c>
      <c r="LK3" s="1">
        <v>180969</v>
      </c>
      <c r="LL3" s="1">
        <v>181138</v>
      </c>
      <c r="LM3" s="1">
        <v>181307</v>
      </c>
      <c r="LN3" s="1">
        <v>181476</v>
      </c>
      <c r="LO3" s="1">
        <v>181650</v>
      </c>
      <c r="LP3" s="1">
        <v>181826</v>
      </c>
      <c r="LQ3" s="1">
        <v>182007</v>
      </c>
      <c r="LR3" s="1">
        <v>182189</v>
      </c>
      <c r="LS3" s="1">
        <v>182384</v>
      </c>
      <c r="LT3" s="1">
        <v>182593</v>
      </c>
      <c r="LU3" s="1">
        <v>182799</v>
      </c>
      <c r="LV3" s="1">
        <v>182992</v>
      </c>
      <c r="LW3" s="1">
        <v>183181</v>
      </c>
      <c r="LX3" s="1">
        <v>183370</v>
      </c>
      <c r="LY3" s="1">
        <v>183563</v>
      </c>
      <c r="LZ3" s="1">
        <v>183749</v>
      </c>
      <c r="MA3" s="1">
        <v>183929</v>
      </c>
      <c r="MB3" s="1">
        <v>184111</v>
      </c>
      <c r="MC3" s="1">
        <v>184289</v>
      </c>
      <c r="MD3" s="1">
        <v>184464</v>
      </c>
      <c r="ME3" s="1">
        <v>184639</v>
      </c>
      <c r="MF3" s="1">
        <v>184808</v>
      </c>
      <c r="MG3" s="1">
        <v>184978</v>
      </c>
      <c r="MH3" s="1">
        <v>185143</v>
      </c>
      <c r="MI3" s="1">
        <v>185308</v>
      </c>
      <c r="MJ3" s="1">
        <v>185474</v>
      </c>
      <c r="MK3" s="1">
        <v>185637</v>
      </c>
      <c r="ML3" s="1">
        <v>185793</v>
      </c>
      <c r="MM3" s="1">
        <v>185953</v>
      </c>
      <c r="MN3" s="1">
        <v>186116</v>
      </c>
      <c r="MO3" s="1">
        <v>186287</v>
      </c>
      <c r="MP3" s="1">
        <v>186459</v>
      </c>
      <c r="MQ3" s="1">
        <v>186639</v>
      </c>
      <c r="MR3" s="1">
        <v>186822</v>
      </c>
      <c r="MS3" s="1">
        <v>187017</v>
      </c>
      <c r="MT3" s="1">
        <v>187220</v>
      </c>
      <c r="MU3" s="1">
        <v>187425</v>
      </c>
      <c r="MV3" s="1">
        <v>187624</v>
      </c>
      <c r="MW3" s="1">
        <v>187817</v>
      </c>
      <c r="MX3" s="1">
        <v>188003</v>
      </c>
      <c r="MY3" s="1">
        <v>188180</v>
      </c>
      <c r="MZ3" s="1">
        <v>188358</v>
      </c>
      <c r="NA3" s="1">
        <v>188540</v>
      </c>
      <c r="NB3" s="1">
        <v>188715</v>
      </c>
      <c r="NC3" s="1">
        <v>188882</v>
      </c>
      <c r="ND3" s="1">
        <v>189050</v>
      </c>
      <c r="NE3" s="1">
        <v>189221</v>
      </c>
      <c r="NF3" s="1">
        <v>189392</v>
      </c>
      <c r="NG3" s="1">
        <v>189554</v>
      </c>
      <c r="NH3" s="1">
        <v>189715</v>
      </c>
      <c r="NI3" s="1">
        <v>189872</v>
      </c>
      <c r="NJ3" s="1">
        <v>190035</v>
      </c>
      <c r="NK3" s="1">
        <v>190200</v>
      </c>
      <c r="NL3" s="1">
        <v>190374</v>
      </c>
      <c r="NM3" s="1">
        <v>190553</v>
      </c>
      <c r="NN3" s="1">
        <v>190742</v>
      </c>
      <c r="NO3" s="1">
        <v>190934</v>
      </c>
      <c r="NP3" s="1">
        <v>191135</v>
      </c>
      <c r="NQ3" s="1">
        <v>191348</v>
      </c>
      <c r="NR3" s="1">
        <v>191546</v>
      </c>
      <c r="NS3" s="1">
        <v>191752</v>
      </c>
      <c r="NT3" s="1">
        <v>191957</v>
      </c>
      <c r="NU3" s="1">
        <v>192157</v>
      </c>
      <c r="NV3" s="1">
        <v>192348</v>
      </c>
      <c r="NW3" s="1">
        <v>192538</v>
      </c>
      <c r="NX3" s="1">
        <v>192723</v>
      </c>
      <c r="NY3" s="1">
        <v>192914</v>
      </c>
      <c r="NZ3" s="1">
        <v>193096</v>
      </c>
      <c r="OA3" s="1">
        <v>193273</v>
      </c>
      <c r="OB3" s="1">
        <v>193441</v>
      </c>
      <c r="OC3" s="1">
        <v>193605</v>
      </c>
      <c r="OD3" s="1">
        <v>193763</v>
      </c>
      <c r="OE3" s="1">
        <v>193924</v>
      </c>
      <c r="OF3" s="1">
        <v>194088</v>
      </c>
      <c r="OG3" s="1">
        <v>194258</v>
      </c>
      <c r="OH3" s="1">
        <v>194438</v>
      </c>
      <c r="OI3" s="1">
        <v>194653</v>
      </c>
      <c r="OJ3" s="1">
        <v>194936</v>
      </c>
      <c r="OK3" s="1">
        <v>195271</v>
      </c>
      <c r="OL3" s="1">
        <v>195641</v>
      </c>
      <c r="OM3" s="1">
        <v>196020</v>
      </c>
      <c r="ON3" s="1">
        <v>196432</v>
      </c>
      <c r="OO3" s="1">
        <v>196848</v>
      </c>
      <c r="OP3" s="1">
        <v>197263</v>
      </c>
      <c r="OQ3" s="1">
        <v>197658</v>
      </c>
      <c r="OR3" s="1">
        <v>198007</v>
      </c>
      <c r="OS3" s="1">
        <v>198316</v>
      </c>
      <c r="OT3" s="1">
        <v>198592</v>
      </c>
      <c r="OU3" s="1">
        <v>198830</v>
      </c>
      <c r="OV3" s="1">
        <v>199053</v>
      </c>
      <c r="OW3" s="1">
        <v>199283</v>
      </c>
      <c r="OX3" s="1">
        <v>199495</v>
      </c>
      <c r="OY3" s="1">
        <v>199685</v>
      </c>
      <c r="OZ3" s="1">
        <v>199864</v>
      </c>
      <c r="PA3" s="1">
        <v>200036</v>
      </c>
      <c r="PB3" s="1">
        <v>200208</v>
      </c>
      <c r="PC3" s="1">
        <v>200380</v>
      </c>
      <c r="PD3" s="1">
        <v>200549</v>
      </c>
      <c r="PE3" s="1">
        <v>200725</v>
      </c>
      <c r="PF3" s="1">
        <v>200915</v>
      </c>
      <c r="PG3" s="1">
        <v>201146</v>
      </c>
      <c r="PH3" s="1">
        <v>201455</v>
      </c>
      <c r="PI3" s="1">
        <v>201808</v>
      </c>
      <c r="PJ3" s="1">
        <v>202175</v>
      </c>
      <c r="PK3" s="1">
        <v>202548</v>
      </c>
      <c r="PL3" s="1">
        <v>202938</v>
      </c>
      <c r="PM3" s="1">
        <v>203341</v>
      </c>
      <c r="PN3" s="1">
        <v>203748</v>
      </c>
      <c r="PO3" s="1">
        <v>204102</v>
      </c>
      <c r="PP3" s="1">
        <v>204428</v>
      </c>
      <c r="PQ3" s="1">
        <v>204698</v>
      </c>
      <c r="PR3" s="1">
        <v>204945</v>
      </c>
      <c r="PS3" s="1">
        <v>205165</v>
      </c>
      <c r="PT3" s="1">
        <v>205378</v>
      </c>
      <c r="PU3" s="1">
        <v>205587</v>
      </c>
      <c r="PV3" s="1">
        <v>205790</v>
      </c>
      <c r="PW3" s="1">
        <v>205990</v>
      </c>
      <c r="PX3" s="1">
        <v>206183</v>
      </c>
      <c r="PY3" s="1">
        <v>206371</v>
      </c>
      <c r="PZ3" s="1">
        <v>206563</v>
      </c>
      <c r="QA3" s="1">
        <v>206752</v>
      </c>
      <c r="QB3" s="1">
        <v>206934</v>
      </c>
      <c r="QC3" s="1">
        <v>207121</v>
      </c>
      <c r="QD3" s="1">
        <v>207305</v>
      </c>
      <c r="QE3" s="1">
        <v>207512</v>
      </c>
      <c r="QF3" s="1">
        <v>207778</v>
      </c>
      <c r="QG3" s="1">
        <v>208088</v>
      </c>
      <c r="QH3" s="1">
        <v>208401</v>
      </c>
      <c r="QI3" s="1">
        <v>208715</v>
      </c>
      <c r="QJ3" s="1">
        <v>209039</v>
      </c>
      <c r="QK3" s="1">
        <v>209381</v>
      </c>
      <c r="QL3" s="1">
        <v>209699</v>
      </c>
      <c r="QM3" s="1">
        <v>210006</v>
      </c>
      <c r="QN3" s="1">
        <v>210283</v>
      </c>
      <c r="QO3" s="1">
        <v>210511</v>
      </c>
      <c r="QP3" s="1">
        <v>210713</v>
      </c>
      <c r="QQ3" s="1">
        <v>210899</v>
      </c>
      <c r="QR3" s="1">
        <v>211073</v>
      </c>
      <c r="QS3" s="1">
        <v>211245</v>
      </c>
      <c r="QT3" s="1">
        <v>211413</v>
      </c>
      <c r="QU3" s="1">
        <v>211579</v>
      </c>
      <c r="QV3" s="1">
        <v>211738</v>
      </c>
      <c r="QW3" s="1">
        <v>211898</v>
      </c>
      <c r="QX3" s="1">
        <v>212046</v>
      </c>
      <c r="QY3" s="1">
        <v>212189</v>
      </c>
      <c r="QZ3" s="1">
        <v>212329</v>
      </c>
      <c r="RA3" s="1">
        <v>212471</v>
      </c>
      <c r="RB3" s="1">
        <v>212620</v>
      </c>
      <c r="RC3" s="1">
        <v>212795</v>
      </c>
      <c r="RD3" s="1">
        <v>213027</v>
      </c>
      <c r="RE3" s="1">
        <v>213287</v>
      </c>
      <c r="RF3" s="1">
        <v>213561</v>
      </c>
      <c r="RG3" s="1">
        <v>213838</v>
      </c>
      <c r="RH3" s="1">
        <v>214136</v>
      </c>
      <c r="RI3" s="1">
        <v>214437</v>
      </c>
      <c r="RJ3" s="1">
        <v>214740</v>
      </c>
      <c r="RK3" s="1">
        <v>215020</v>
      </c>
      <c r="RL3" s="1">
        <v>215267</v>
      </c>
      <c r="RM3" s="1">
        <v>215451</v>
      </c>
      <c r="RN3" s="1">
        <v>215612</v>
      </c>
      <c r="RO3" s="1">
        <v>215764</v>
      </c>
      <c r="RP3" s="1">
        <v>215911</v>
      </c>
      <c r="RQ3" s="1">
        <v>216052</v>
      </c>
      <c r="RR3" s="1">
        <v>216190</v>
      </c>
      <c r="RS3" s="1">
        <v>216328</v>
      </c>
      <c r="RT3" s="1">
        <v>216459</v>
      </c>
      <c r="RU3" s="1">
        <v>216589</v>
      </c>
      <c r="RV3" s="1">
        <v>216717</v>
      </c>
      <c r="RW3" s="1">
        <v>216842</v>
      </c>
      <c r="RX3" s="1">
        <v>216968</v>
      </c>
      <c r="RY3" s="1">
        <v>217095</v>
      </c>
      <c r="RZ3" s="1">
        <v>217223</v>
      </c>
      <c r="SA3" s="1">
        <v>217353</v>
      </c>
      <c r="SB3" s="1">
        <v>217484</v>
      </c>
      <c r="SC3" s="1">
        <v>217626</v>
      </c>
      <c r="SD3" s="1">
        <v>217775</v>
      </c>
      <c r="SE3" s="1">
        <v>217914</v>
      </c>
      <c r="SF3" s="1">
        <v>218057</v>
      </c>
      <c r="SG3" s="1">
        <v>218193</v>
      </c>
      <c r="SH3" s="1">
        <v>218349</v>
      </c>
      <c r="SI3" s="1">
        <v>218506</v>
      </c>
      <c r="SJ3" s="1">
        <v>218648</v>
      </c>
      <c r="SK3" s="1">
        <v>218771</v>
      </c>
      <c r="SL3" s="1">
        <v>218884</v>
      </c>
      <c r="SM3" s="1">
        <v>218990</v>
      </c>
      <c r="SN3" s="1">
        <v>219095</v>
      </c>
      <c r="SO3" s="1">
        <v>219197</v>
      </c>
      <c r="SP3" s="1">
        <v>219296</v>
      </c>
      <c r="SQ3" s="1">
        <v>219393</v>
      </c>
      <c r="SR3" s="1">
        <v>219487</v>
      </c>
      <c r="SS3" s="1">
        <v>219581</v>
      </c>
      <c r="ST3" s="1">
        <v>219677</v>
      </c>
      <c r="SU3" s="1">
        <v>219770</v>
      </c>
      <c r="SV3" s="1">
        <v>219863</v>
      </c>
      <c r="SW3" s="1">
        <v>219955</v>
      </c>
      <c r="SX3" s="1">
        <v>220049</v>
      </c>
      <c r="SY3" s="1">
        <v>220138</v>
      </c>
    </row>
    <row r="4" spans="1:750">
      <c r="A4" s="1">
        <v>3</v>
      </c>
      <c r="B4" s="1" t="s">
        <v>2</v>
      </c>
      <c r="C4" s="1" t="s">
        <v>3</v>
      </c>
      <c r="D4" s="1" t="s">
        <v>7</v>
      </c>
      <c r="E4" s="1" t="s">
        <v>5</v>
      </c>
      <c r="F4" s="1">
        <v>42241</v>
      </c>
      <c r="G4" s="1">
        <v>42256.1</v>
      </c>
      <c r="H4" s="1">
        <v>42270.7</v>
      </c>
      <c r="I4" s="1">
        <v>42287.199999999997</v>
      </c>
      <c r="J4" s="1">
        <v>42301.7</v>
      </c>
      <c r="K4" s="1">
        <v>42315.9</v>
      </c>
      <c r="L4" s="1">
        <v>42330.1</v>
      </c>
      <c r="M4" s="1">
        <v>42344.9</v>
      </c>
      <c r="N4" s="1">
        <v>42358.5</v>
      </c>
      <c r="O4" s="1">
        <v>42372.1</v>
      </c>
      <c r="P4" s="1">
        <v>42386.1</v>
      </c>
      <c r="Q4" s="1">
        <v>42403.4</v>
      </c>
      <c r="R4" s="1">
        <v>42422.6</v>
      </c>
      <c r="S4" s="1">
        <v>42443.7</v>
      </c>
      <c r="T4" s="1">
        <v>42466.8</v>
      </c>
      <c r="U4" s="1">
        <v>42489</v>
      </c>
      <c r="V4" s="1">
        <v>42516.1</v>
      </c>
      <c r="W4" s="1">
        <v>42538.1</v>
      </c>
      <c r="X4" s="1">
        <v>42555.1</v>
      </c>
      <c r="Y4" s="1">
        <v>42571.199999999997</v>
      </c>
      <c r="Z4" s="1">
        <v>42587</v>
      </c>
      <c r="AA4" s="1">
        <v>42604.4</v>
      </c>
      <c r="AB4" s="1">
        <v>42623.5</v>
      </c>
      <c r="AC4" s="1">
        <v>42640.5</v>
      </c>
      <c r="AD4" s="1">
        <v>42657</v>
      </c>
      <c r="AE4" s="1">
        <v>42675.9</v>
      </c>
      <c r="AF4" s="1">
        <v>42691.4</v>
      </c>
      <c r="AG4" s="1">
        <v>42705.2</v>
      </c>
      <c r="AH4" s="1">
        <v>42719.8</v>
      </c>
      <c r="AI4" s="1">
        <v>42734.2</v>
      </c>
      <c r="AJ4" s="1">
        <v>42750.7</v>
      </c>
      <c r="AK4" s="1">
        <v>42767</v>
      </c>
      <c r="AL4" s="1">
        <v>42784.7</v>
      </c>
      <c r="AM4" s="1">
        <v>42804.4</v>
      </c>
      <c r="AN4" s="1">
        <v>42831.6</v>
      </c>
      <c r="AO4" s="1">
        <v>42863.3</v>
      </c>
      <c r="AP4" s="1">
        <v>42901.9</v>
      </c>
      <c r="AQ4" s="1">
        <v>42946.8</v>
      </c>
      <c r="AR4" s="1">
        <v>42991.9</v>
      </c>
      <c r="AS4" s="1">
        <v>43029.3</v>
      </c>
      <c r="AT4" s="1">
        <v>43064.800000000003</v>
      </c>
      <c r="AU4" s="1">
        <v>43097.3</v>
      </c>
      <c r="AV4" s="1">
        <v>43123.4</v>
      </c>
      <c r="AW4" s="1">
        <v>43144.5</v>
      </c>
      <c r="AX4" s="1">
        <v>43165.7</v>
      </c>
      <c r="AY4" s="1">
        <v>43187.1</v>
      </c>
      <c r="AZ4" s="1">
        <v>43208.5</v>
      </c>
      <c r="BA4" s="1">
        <v>43227.9</v>
      </c>
      <c r="BB4" s="1">
        <v>43246.400000000001</v>
      </c>
      <c r="BC4" s="1">
        <v>43263.3</v>
      </c>
      <c r="BD4" s="1">
        <v>43279.5</v>
      </c>
      <c r="BE4" s="1">
        <v>43296</v>
      </c>
      <c r="BF4" s="1">
        <v>43311.5</v>
      </c>
      <c r="BG4" s="1">
        <v>43325.1</v>
      </c>
      <c r="BH4" s="1">
        <v>43338.5</v>
      </c>
      <c r="BI4" s="1">
        <v>43353</v>
      </c>
      <c r="BJ4" s="1">
        <v>43367</v>
      </c>
      <c r="BK4" s="1">
        <v>43383.199999999997</v>
      </c>
      <c r="BL4" s="1">
        <v>43409.5</v>
      </c>
      <c r="BM4" s="1">
        <v>43440.2</v>
      </c>
      <c r="BN4" s="1">
        <v>43467.7</v>
      </c>
      <c r="BO4" s="1">
        <v>43498.2</v>
      </c>
      <c r="BP4" s="1">
        <v>43543.1</v>
      </c>
      <c r="BQ4" s="1">
        <v>43582.7</v>
      </c>
      <c r="BR4" s="1">
        <v>43621.599999999999</v>
      </c>
      <c r="BS4" s="1">
        <v>43656.3</v>
      </c>
      <c r="BT4" s="1">
        <v>43685.1</v>
      </c>
      <c r="BU4" s="1">
        <v>43712.3</v>
      </c>
      <c r="BV4" s="1">
        <v>43731.8</v>
      </c>
      <c r="BW4" s="1">
        <v>43749.7</v>
      </c>
      <c r="BX4" s="1">
        <v>43765.8</v>
      </c>
      <c r="BY4" s="1">
        <v>43782.6</v>
      </c>
      <c r="BZ4" s="1">
        <v>43797.7</v>
      </c>
      <c r="CA4" s="1">
        <v>43813</v>
      </c>
      <c r="CB4" s="1">
        <v>43829.8</v>
      </c>
      <c r="CC4" s="1">
        <v>43845.5</v>
      </c>
      <c r="CD4" s="1">
        <v>43861</v>
      </c>
      <c r="CE4" s="1">
        <v>43876</v>
      </c>
      <c r="CF4" s="1">
        <v>43890.400000000001</v>
      </c>
      <c r="CG4" s="1">
        <v>43904.4</v>
      </c>
      <c r="CH4" s="1">
        <v>43918.400000000001</v>
      </c>
      <c r="CI4" s="1">
        <v>43939.3</v>
      </c>
      <c r="CJ4" s="1">
        <v>43965.7</v>
      </c>
      <c r="CK4" s="1">
        <v>43992.800000000003</v>
      </c>
      <c r="CL4" s="1">
        <v>44020.4</v>
      </c>
      <c r="CM4" s="1">
        <v>44056.3</v>
      </c>
      <c r="CN4" s="1">
        <v>44092.3</v>
      </c>
      <c r="CO4" s="1">
        <v>44125.7</v>
      </c>
      <c r="CP4" s="1">
        <v>44162.1</v>
      </c>
      <c r="CQ4" s="1">
        <v>44196.7</v>
      </c>
      <c r="CR4" s="1">
        <v>44220.3</v>
      </c>
      <c r="CS4" s="1">
        <v>44239.5</v>
      </c>
      <c r="CT4" s="1">
        <v>44257.2</v>
      </c>
      <c r="CU4" s="1">
        <v>44275</v>
      </c>
      <c r="CV4" s="1">
        <v>44291.1</v>
      </c>
      <c r="CW4" s="1">
        <v>44306.400000000001</v>
      </c>
      <c r="CX4" s="1">
        <v>44319.9</v>
      </c>
      <c r="CY4" s="1">
        <v>44333</v>
      </c>
      <c r="CZ4" s="1">
        <v>44346.5</v>
      </c>
      <c r="DA4" s="1">
        <v>44359.6</v>
      </c>
      <c r="DB4" s="1">
        <v>44372.9</v>
      </c>
      <c r="DC4" s="1">
        <v>44387.199999999997</v>
      </c>
      <c r="DD4" s="1">
        <v>44403.3</v>
      </c>
      <c r="DE4" s="1">
        <v>44418</v>
      </c>
      <c r="DF4" s="1">
        <v>44435.3</v>
      </c>
      <c r="DG4" s="1">
        <v>44454.9</v>
      </c>
      <c r="DH4" s="1">
        <v>44482.2</v>
      </c>
      <c r="DI4" s="1">
        <v>44510.7</v>
      </c>
      <c r="DJ4" s="1">
        <v>44539.9</v>
      </c>
      <c r="DK4" s="1">
        <v>44572.5</v>
      </c>
      <c r="DL4" s="1">
        <v>44604.9</v>
      </c>
      <c r="DM4" s="1">
        <v>44635.4</v>
      </c>
      <c r="DN4" s="1">
        <v>44662.7</v>
      </c>
      <c r="DO4" s="1">
        <v>44687.7</v>
      </c>
      <c r="DP4" s="1">
        <v>44712.1</v>
      </c>
      <c r="DQ4" s="1">
        <v>44735</v>
      </c>
      <c r="DR4" s="1">
        <v>44754.1</v>
      </c>
      <c r="DS4" s="1">
        <v>44777.8</v>
      </c>
      <c r="DT4" s="1">
        <v>44797.7</v>
      </c>
      <c r="DU4" s="1">
        <v>44813.599999999999</v>
      </c>
      <c r="DV4" s="1">
        <v>44828.2</v>
      </c>
      <c r="DW4" s="1">
        <v>44842.5</v>
      </c>
      <c r="DX4" s="1">
        <v>44856.9</v>
      </c>
      <c r="DY4" s="1">
        <v>44871</v>
      </c>
      <c r="DZ4" s="1">
        <v>44885.9</v>
      </c>
      <c r="EA4" s="1">
        <v>44902.3</v>
      </c>
      <c r="EB4" s="1">
        <v>44917.7</v>
      </c>
      <c r="EC4" s="1">
        <v>44933</v>
      </c>
      <c r="ED4" s="1">
        <v>44947.199999999997</v>
      </c>
      <c r="EE4" s="1">
        <v>44966.5</v>
      </c>
      <c r="EF4" s="1">
        <v>44992.5</v>
      </c>
      <c r="EG4" s="1">
        <v>45018.1</v>
      </c>
      <c r="EH4" s="1">
        <v>45045.1</v>
      </c>
      <c r="EI4" s="1">
        <v>45087.4</v>
      </c>
      <c r="EJ4" s="1">
        <v>45128.5</v>
      </c>
      <c r="EK4" s="1">
        <v>45167.6</v>
      </c>
      <c r="EL4" s="1">
        <v>45204.1</v>
      </c>
      <c r="EM4" s="1">
        <v>45236.7</v>
      </c>
      <c r="EN4" s="1">
        <v>45262.5</v>
      </c>
      <c r="EO4" s="1">
        <v>45283</v>
      </c>
      <c r="EP4" s="1">
        <v>45301.9</v>
      </c>
      <c r="EQ4" s="1">
        <v>45320.3</v>
      </c>
      <c r="ER4" s="1">
        <v>45337.7</v>
      </c>
      <c r="ES4" s="1">
        <v>45353.8</v>
      </c>
      <c r="ET4" s="1">
        <v>45368.6</v>
      </c>
      <c r="EU4" s="1">
        <v>45382.8</v>
      </c>
      <c r="EV4" s="1">
        <v>45396.800000000003</v>
      </c>
      <c r="EW4" s="1">
        <v>45411.3</v>
      </c>
      <c r="EX4" s="1">
        <v>45425.599999999999</v>
      </c>
      <c r="EY4" s="1">
        <v>45439.9</v>
      </c>
      <c r="EZ4" s="1">
        <v>45456.2</v>
      </c>
      <c r="FA4" s="1">
        <v>45471.5</v>
      </c>
      <c r="FB4" s="1">
        <v>45486.7</v>
      </c>
      <c r="FC4" s="1">
        <v>45501.5</v>
      </c>
      <c r="FD4" s="1">
        <v>45517.1</v>
      </c>
      <c r="FE4" s="1">
        <v>45534.9</v>
      </c>
      <c r="FF4" s="1">
        <v>45561.2</v>
      </c>
      <c r="FG4" s="1">
        <v>45589.9</v>
      </c>
      <c r="FH4" s="1">
        <v>45615.9</v>
      </c>
      <c r="FI4" s="1">
        <v>45640.800000000003</v>
      </c>
      <c r="FJ4" s="1">
        <v>45667.6</v>
      </c>
      <c r="FK4" s="1">
        <v>45694.3</v>
      </c>
      <c r="FL4" s="1">
        <v>45713.3</v>
      </c>
      <c r="FM4" s="1">
        <v>45730.9</v>
      </c>
      <c r="FN4" s="1">
        <v>45752.5</v>
      </c>
      <c r="FO4" s="1">
        <v>45771.1</v>
      </c>
      <c r="FP4" s="1">
        <v>45787.199999999997</v>
      </c>
      <c r="FQ4" s="1">
        <v>45802.8</v>
      </c>
      <c r="FR4" s="1">
        <v>45818.3</v>
      </c>
      <c r="FS4" s="1">
        <v>45833.5</v>
      </c>
      <c r="FT4" s="1">
        <v>45851.6</v>
      </c>
      <c r="FU4" s="1">
        <v>45867.3</v>
      </c>
      <c r="FV4" s="1">
        <v>45882.8</v>
      </c>
      <c r="FW4" s="1">
        <v>45896.1</v>
      </c>
      <c r="FX4" s="1">
        <v>45910.3</v>
      </c>
      <c r="FY4" s="1">
        <v>45924.2</v>
      </c>
      <c r="FZ4" s="1">
        <v>45938.1</v>
      </c>
      <c r="GA4" s="1">
        <v>45952.1</v>
      </c>
      <c r="GB4" s="1">
        <v>45966.2</v>
      </c>
      <c r="GC4" s="1">
        <v>45980.5</v>
      </c>
      <c r="GD4" s="1">
        <v>45999.8</v>
      </c>
      <c r="GE4" s="1">
        <v>46020.1</v>
      </c>
      <c r="GF4" s="1">
        <v>46040.5</v>
      </c>
      <c r="GG4" s="1">
        <v>46062.8</v>
      </c>
      <c r="GH4" s="1">
        <v>46084.9</v>
      </c>
      <c r="GI4" s="1">
        <v>46110.9</v>
      </c>
      <c r="GJ4" s="1">
        <v>46130.6</v>
      </c>
      <c r="GK4" s="1">
        <v>46148</v>
      </c>
      <c r="GL4" s="1">
        <v>46165.5</v>
      </c>
      <c r="GM4" s="1">
        <v>46182.6</v>
      </c>
      <c r="GN4" s="1">
        <v>46199.5</v>
      </c>
      <c r="GO4" s="1">
        <v>46219.7</v>
      </c>
      <c r="GP4" s="1">
        <v>46238.8</v>
      </c>
      <c r="GQ4" s="1">
        <v>46256.3</v>
      </c>
      <c r="GR4" s="1">
        <v>46272.5</v>
      </c>
      <c r="GS4" s="1">
        <v>46287.7</v>
      </c>
      <c r="GT4" s="1">
        <v>46302.8</v>
      </c>
      <c r="GU4" s="1">
        <v>46318</v>
      </c>
      <c r="GV4" s="1">
        <v>46333</v>
      </c>
      <c r="GW4" s="1">
        <v>46347.8</v>
      </c>
      <c r="GX4" s="1">
        <v>46361.9</v>
      </c>
      <c r="GY4" s="1">
        <v>46382.1</v>
      </c>
      <c r="GZ4" s="1">
        <v>46414</v>
      </c>
      <c r="HA4" s="1">
        <v>46449.2</v>
      </c>
      <c r="HB4" s="1">
        <v>46482.9</v>
      </c>
      <c r="HC4" s="1">
        <v>46527.1</v>
      </c>
      <c r="HD4" s="1">
        <v>46574.2</v>
      </c>
      <c r="HE4" s="1">
        <v>46618.5</v>
      </c>
      <c r="HF4" s="1">
        <v>46661.1</v>
      </c>
      <c r="HG4" s="1">
        <v>46701.9</v>
      </c>
      <c r="HH4" s="1">
        <v>46738.8</v>
      </c>
      <c r="HI4" s="1">
        <v>46767</v>
      </c>
      <c r="HJ4" s="1">
        <v>46790</v>
      </c>
      <c r="HK4" s="1">
        <v>46810</v>
      </c>
      <c r="HL4" s="1">
        <v>46826.2</v>
      </c>
      <c r="HM4" s="1">
        <v>46842.1</v>
      </c>
      <c r="HN4" s="1">
        <v>46857.599999999999</v>
      </c>
      <c r="HO4" s="1">
        <v>46872.5</v>
      </c>
      <c r="HP4" s="1">
        <v>46887.4</v>
      </c>
      <c r="HQ4" s="1">
        <v>46902.400000000001</v>
      </c>
      <c r="HR4" s="1">
        <v>46917</v>
      </c>
      <c r="HS4" s="1">
        <v>46932.2</v>
      </c>
      <c r="HT4" s="1">
        <v>46947.4</v>
      </c>
      <c r="HU4" s="1">
        <v>46962.1</v>
      </c>
      <c r="HV4" s="1">
        <v>46977.8</v>
      </c>
      <c r="HW4" s="1">
        <v>46995.4</v>
      </c>
      <c r="HX4" s="1">
        <v>47021.4</v>
      </c>
      <c r="HY4" s="1">
        <v>47052.3</v>
      </c>
      <c r="HZ4" s="1">
        <v>47081.9</v>
      </c>
      <c r="IA4" s="1">
        <v>47114</v>
      </c>
      <c r="IB4" s="1">
        <v>47162.9</v>
      </c>
      <c r="IC4" s="1">
        <v>47206.7</v>
      </c>
      <c r="ID4" s="1">
        <v>47245.5</v>
      </c>
      <c r="IE4" s="1">
        <v>47285.4</v>
      </c>
      <c r="IF4" s="1">
        <v>47317.599999999999</v>
      </c>
      <c r="IG4" s="1">
        <v>47340</v>
      </c>
      <c r="IH4" s="1">
        <v>47361.5</v>
      </c>
      <c r="II4" s="1">
        <v>47382.6</v>
      </c>
      <c r="IJ4" s="1">
        <v>47404.5</v>
      </c>
      <c r="IK4" s="1">
        <v>47423.9</v>
      </c>
      <c r="IL4" s="1">
        <v>47442.6</v>
      </c>
      <c r="IM4" s="1">
        <v>47459.8</v>
      </c>
      <c r="IN4" s="1">
        <v>47474.5</v>
      </c>
      <c r="IO4" s="1">
        <v>47488.9</v>
      </c>
      <c r="IP4" s="1">
        <v>47503.3</v>
      </c>
      <c r="IQ4" s="1">
        <v>47517.599999999999</v>
      </c>
      <c r="IR4" s="1">
        <v>47532.1</v>
      </c>
      <c r="IS4" s="1">
        <v>47546.400000000001</v>
      </c>
      <c r="IT4" s="1">
        <v>47560.4</v>
      </c>
      <c r="IU4" s="1">
        <v>47578.400000000001</v>
      </c>
      <c r="IV4" s="1">
        <v>47599.199999999997</v>
      </c>
      <c r="IW4" s="1">
        <v>47622.5</v>
      </c>
      <c r="IX4" s="1">
        <v>47645.5</v>
      </c>
      <c r="IY4" s="1">
        <v>47668.7</v>
      </c>
      <c r="IZ4" s="1">
        <v>47694.3</v>
      </c>
      <c r="JA4" s="1">
        <v>47729</v>
      </c>
      <c r="JB4" s="1">
        <v>47760.1</v>
      </c>
      <c r="JC4" s="1">
        <v>47789.5</v>
      </c>
      <c r="JD4" s="1">
        <v>47814.5</v>
      </c>
      <c r="JE4" s="1">
        <v>47838.8</v>
      </c>
      <c r="JF4" s="1">
        <v>47858.3</v>
      </c>
      <c r="JG4" s="1">
        <v>47876.3</v>
      </c>
      <c r="JH4" s="1">
        <v>47893.2</v>
      </c>
      <c r="JI4" s="1">
        <v>47910.1</v>
      </c>
      <c r="JJ4" s="1">
        <v>47929.3</v>
      </c>
      <c r="JK4" s="1">
        <v>47946.400000000001</v>
      </c>
      <c r="JL4" s="1">
        <v>47963.8</v>
      </c>
      <c r="JM4" s="1">
        <v>47978.8</v>
      </c>
      <c r="JN4" s="1">
        <v>47994.2</v>
      </c>
      <c r="JO4" s="1">
        <v>48008.5</v>
      </c>
      <c r="JP4" s="1">
        <v>48022.5</v>
      </c>
      <c r="JQ4" s="1">
        <v>48036.3</v>
      </c>
      <c r="JR4" s="1">
        <v>48050.400000000001</v>
      </c>
      <c r="JS4" s="1">
        <v>48067.3</v>
      </c>
      <c r="JT4" s="1">
        <v>48094.1</v>
      </c>
      <c r="JU4" s="1">
        <v>48120.7</v>
      </c>
      <c r="JV4" s="1">
        <v>48153.1</v>
      </c>
      <c r="JW4" s="1">
        <v>48188</v>
      </c>
      <c r="JX4" s="1">
        <v>48219.9</v>
      </c>
      <c r="JY4" s="1">
        <v>48259</v>
      </c>
      <c r="JZ4" s="1">
        <v>48297.2</v>
      </c>
      <c r="KA4" s="1">
        <v>48330.1</v>
      </c>
      <c r="KB4" s="1">
        <v>48358.2</v>
      </c>
      <c r="KC4" s="1">
        <v>48378.3</v>
      </c>
      <c r="KD4" s="1">
        <v>48396.2</v>
      </c>
      <c r="KE4" s="1">
        <v>48411.3</v>
      </c>
      <c r="KF4" s="1">
        <v>48426.8</v>
      </c>
      <c r="KG4" s="1">
        <v>48444.5</v>
      </c>
      <c r="KH4" s="1">
        <v>48460.9</v>
      </c>
      <c r="KI4" s="1">
        <v>48477.599999999999</v>
      </c>
      <c r="KJ4" s="1">
        <v>48492.800000000003</v>
      </c>
      <c r="KK4" s="1">
        <v>48507</v>
      </c>
      <c r="KL4" s="1">
        <v>48520.6</v>
      </c>
      <c r="KM4" s="1">
        <v>48534</v>
      </c>
      <c r="KN4" s="1">
        <v>48547.8</v>
      </c>
      <c r="KO4" s="1">
        <v>48561.1</v>
      </c>
      <c r="KP4" s="1">
        <v>48575.3</v>
      </c>
      <c r="KQ4" s="1">
        <v>48592.5</v>
      </c>
      <c r="KR4" s="1">
        <v>48616.2</v>
      </c>
      <c r="KS4" s="1">
        <v>48642.400000000001</v>
      </c>
      <c r="KT4" s="1">
        <v>48668.4</v>
      </c>
      <c r="KU4" s="1">
        <v>48699.8</v>
      </c>
      <c r="KV4" s="1">
        <v>48731</v>
      </c>
      <c r="KW4" s="1">
        <v>48766.7</v>
      </c>
      <c r="KX4" s="1">
        <v>48794.9</v>
      </c>
      <c r="KY4" s="1">
        <v>48824.1</v>
      </c>
      <c r="KZ4" s="1">
        <v>48849.1</v>
      </c>
      <c r="LA4" s="1">
        <v>48867.3</v>
      </c>
      <c r="LB4" s="1">
        <v>48883.3</v>
      </c>
      <c r="LC4" s="1">
        <v>48898.3</v>
      </c>
      <c r="LD4" s="1">
        <v>48914.9</v>
      </c>
      <c r="LE4" s="1">
        <v>48930.2</v>
      </c>
      <c r="LF4" s="1">
        <v>48945.4</v>
      </c>
      <c r="LG4" s="1">
        <v>48960.2</v>
      </c>
      <c r="LH4" s="1">
        <v>48975.7</v>
      </c>
      <c r="LI4" s="1">
        <v>48990.7</v>
      </c>
      <c r="LJ4" s="1">
        <v>49004.800000000003</v>
      </c>
      <c r="LK4" s="1">
        <v>49018.5</v>
      </c>
      <c r="LL4" s="1">
        <v>49033.1</v>
      </c>
      <c r="LM4" s="1">
        <v>49047.5</v>
      </c>
      <c r="LN4" s="1">
        <v>49061.4</v>
      </c>
      <c r="LO4" s="1">
        <v>49075.7</v>
      </c>
      <c r="LP4" s="1">
        <v>49093.1</v>
      </c>
      <c r="LQ4" s="1">
        <v>49110.400000000001</v>
      </c>
      <c r="LR4" s="1">
        <v>49128</v>
      </c>
      <c r="LS4" s="1">
        <v>49147.9</v>
      </c>
      <c r="LT4" s="1">
        <v>49165.599999999999</v>
      </c>
      <c r="LU4" s="1">
        <v>49185.1</v>
      </c>
      <c r="LV4" s="1">
        <v>49202.9</v>
      </c>
      <c r="LW4" s="1">
        <v>49220.3</v>
      </c>
      <c r="LX4" s="1">
        <v>49242.8</v>
      </c>
      <c r="LY4" s="1">
        <v>49263.5</v>
      </c>
      <c r="LZ4" s="1">
        <v>49280.9</v>
      </c>
      <c r="MA4" s="1">
        <v>49297.3</v>
      </c>
      <c r="MB4" s="1">
        <v>49319.9</v>
      </c>
      <c r="MC4" s="1">
        <v>49339.6</v>
      </c>
      <c r="MD4" s="1">
        <v>49357.2</v>
      </c>
      <c r="ME4" s="1">
        <v>49372.9</v>
      </c>
      <c r="MF4" s="1">
        <v>49389.3</v>
      </c>
      <c r="MG4" s="1">
        <v>49405.4</v>
      </c>
      <c r="MH4" s="1">
        <v>49419.5</v>
      </c>
      <c r="MI4" s="1">
        <v>49434.3</v>
      </c>
      <c r="MJ4" s="1">
        <v>49448.4</v>
      </c>
      <c r="MK4" s="1">
        <v>49462.2</v>
      </c>
      <c r="ML4" s="1">
        <v>49476.1</v>
      </c>
      <c r="MM4" s="1">
        <v>49490.6</v>
      </c>
      <c r="MN4" s="1">
        <v>49504.5</v>
      </c>
      <c r="MO4" s="1">
        <v>49518.5</v>
      </c>
      <c r="MP4" s="1">
        <v>49536.7</v>
      </c>
      <c r="MQ4" s="1">
        <v>49560.7</v>
      </c>
      <c r="MR4" s="1">
        <v>49584.3</v>
      </c>
      <c r="MS4" s="1">
        <v>49604.800000000003</v>
      </c>
      <c r="MT4" s="1">
        <v>49623.1</v>
      </c>
      <c r="MU4" s="1">
        <v>49644.3</v>
      </c>
      <c r="MV4" s="1">
        <v>49664.800000000003</v>
      </c>
      <c r="MW4" s="1">
        <v>49681.3</v>
      </c>
      <c r="MX4" s="1">
        <v>49697.3</v>
      </c>
      <c r="MY4" s="1">
        <v>49716.9</v>
      </c>
      <c r="MZ4" s="1">
        <v>49734.9</v>
      </c>
      <c r="NA4" s="1">
        <v>49753.5</v>
      </c>
      <c r="NB4" s="1">
        <v>49771.4</v>
      </c>
      <c r="NC4" s="1">
        <v>49788.4</v>
      </c>
      <c r="ND4" s="1">
        <v>49802.7</v>
      </c>
      <c r="NE4" s="1">
        <v>49816.3</v>
      </c>
      <c r="NF4" s="1">
        <v>49830.5</v>
      </c>
      <c r="NG4" s="1">
        <v>49844.5</v>
      </c>
      <c r="NH4" s="1">
        <v>49859</v>
      </c>
      <c r="NI4" s="1">
        <v>49873.4</v>
      </c>
      <c r="NJ4" s="1">
        <v>49887.3</v>
      </c>
      <c r="NK4" s="1">
        <v>49901.5</v>
      </c>
      <c r="NL4" s="1">
        <v>49916.3</v>
      </c>
      <c r="NM4" s="1">
        <v>49934.7</v>
      </c>
      <c r="NN4" s="1">
        <v>49952.800000000003</v>
      </c>
      <c r="NO4" s="1">
        <v>49977.9</v>
      </c>
      <c r="NP4" s="1">
        <v>50006.7</v>
      </c>
      <c r="NQ4" s="1">
        <v>50038.9</v>
      </c>
      <c r="NR4" s="1">
        <v>50066.3</v>
      </c>
      <c r="NS4" s="1">
        <v>50091.8</v>
      </c>
      <c r="NT4" s="1">
        <v>50119.199999999997</v>
      </c>
      <c r="NU4" s="1">
        <v>50145.4</v>
      </c>
      <c r="NV4" s="1">
        <v>50165.9</v>
      </c>
      <c r="NW4" s="1">
        <v>50181.3</v>
      </c>
      <c r="NX4" s="1">
        <v>50201.7</v>
      </c>
      <c r="NY4" s="1">
        <v>50222</v>
      </c>
      <c r="NZ4" s="1">
        <v>50239.8</v>
      </c>
      <c r="OA4" s="1">
        <v>50254.1</v>
      </c>
      <c r="OB4" s="1">
        <v>50269.2</v>
      </c>
      <c r="OC4" s="1">
        <v>50283.5</v>
      </c>
      <c r="OD4" s="1">
        <v>50296.9</v>
      </c>
      <c r="OE4" s="1">
        <v>50310.400000000001</v>
      </c>
      <c r="OF4" s="1">
        <v>50323.6</v>
      </c>
      <c r="OG4" s="1">
        <v>50337.2</v>
      </c>
      <c r="OH4" s="1">
        <v>50354.5</v>
      </c>
      <c r="OI4" s="1">
        <v>50374.3</v>
      </c>
      <c r="OJ4" s="1">
        <v>50401.1</v>
      </c>
      <c r="OK4" s="1">
        <v>50429.2</v>
      </c>
      <c r="OL4" s="1">
        <v>50459</v>
      </c>
      <c r="OM4" s="1">
        <v>50498.1</v>
      </c>
      <c r="ON4" s="1">
        <v>50542.3</v>
      </c>
      <c r="OO4" s="1">
        <v>50585.9</v>
      </c>
      <c r="OP4" s="1">
        <v>50629.3</v>
      </c>
      <c r="OQ4" s="1">
        <v>50670.5</v>
      </c>
      <c r="OR4" s="1">
        <v>50704.1</v>
      </c>
      <c r="OS4" s="1">
        <v>50730.9</v>
      </c>
      <c r="OT4" s="1">
        <v>50754.9</v>
      </c>
      <c r="OU4" s="1">
        <v>50776.800000000003</v>
      </c>
      <c r="OV4" s="1">
        <v>50795.9</v>
      </c>
      <c r="OW4" s="1">
        <v>50814.400000000001</v>
      </c>
      <c r="OX4" s="1">
        <v>50829.9</v>
      </c>
      <c r="OY4" s="1">
        <v>50845.4</v>
      </c>
      <c r="OZ4" s="1">
        <v>50859.1</v>
      </c>
      <c r="PA4" s="1">
        <v>50873.1</v>
      </c>
      <c r="PB4" s="1">
        <v>50887.5</v>
      </c>
      <c r="PC4" s="1">
        <v>50902.2</v>
      </c>
      <c r="PD4" s="1">
        <v>50918</v>
      </c>
      <c r="PE4" s="1">
        <v>50934.1</v>
      </c>
      <c r="PF4" s="1">
        <v>50950.400000000001</v>
      </c>
      <c r="PG4" s="1">
        <v>50970.1</v>
      </c>
      <c r="PH4" s="1">
        <v>50994.1</v>
      </c>
      <c r="PI4" s="1">
        <v>51027.9</v>
      </c>
      <c r="PJ4" s="1">
        <v>51062.3</v>
      </c>
      <c r="PK4" s="1">
        <v>51097.4</v>
      </c>
      <c r="PL4" s="1">
        <v>51143.199999999997</v>
      </c>
      <c r="PM4" s="1">
        <v>51193.2</v>
      </c>
      <c r="PN4" s="1">
        <v>51236.9</v>
      </c>
      <c r="PO4" s="1">
        <v>51273.4</v>
      </c>
      <c r="PP4" s="1">
        <v>51303.5</v>
      </c>
      <c r="PQ4" s="1">
        <v>51330.1</v>
      </c>
      <c r="PR4" s="1">
        <v>51353.3</v>
      </c>
      <c r="PS4" s="1">
        <v>51372.7</v>
      </c>
      <c r="PT4" s="1">
        <v>51392</v>
      </c>
      <c r="PU4" s="1">
        <v>51410.2</v>
      </c>
      <c r="PV4" s="1">
        <v>51428.5</v>
      </c>
      <c r="PW4" s="1">
        <v>51445.8</v>
      </c>
      <c r="PX4" s="1">
        <v>51462.7</v>
      </c>
      <c r="PY4" s="1">
        <v>51478.3</v>
      </c>
      <c r="PZ4" s="1">
        <v>51492.9</v>
      </c>
      <c r="QA4" s="1">
        <v>51507.199999999997</v>
      </c>
      <c r="QB4" s="1">
        <v>51521.3</v>
      </c>
      <c r="QC4" s="1">
        <v>51535.3</v>
      </c>
      <c r="QD4" s="1">
        <v>51549.9</v>
      </c>
      <c r="QE4" s="1">
        <v>51565.2</v>
      </c>
      <c r="QF4" s="1">
        <v>51585.9</v>
      </c>
      <c r="QG4" s="1">
        <v>51609.9</v>
      </c>
      <c r="QH4" s="1">
        <v>51635.8</v>
      </c>
      <c r="QI4" s="1">
        <v>51665.599999999999</v>
      </c>
      <c r="QJ4" s="1">
        <v>51698</v>
      </c>
      <c r="QK4" s="1">
        <v>51728.5</v>
      </c>
      <c r="QL4" s="1">
        <v>51756.7</v>
      </c>
      <c r="QM4" s="1">
        <v>51782.8</v>
      </c>
      <c r="QN4" s="1">
        <v>51807.9</v>
      </c>
      <c r="QO4" s="1">
        <v>51830.8</v>
      </c>
      <c r="QP4" s="1">
        <v>51851.199999999997</v>
      </c>
      <c r="QQ4" s="1">
        <v>51871.4</v>
      </c>
      <c r="QR4" s="1">
        <v>51891</v>
      </c>
      <c r="QS4" s="1">
        <v>51911</v>
      </c>
      <c r="QT4" s="1">
        <v>51927.9</v>
      </c>
      <c r="QU4" s="1">
        <v>51945.3</v>
      </c>
      <c r="QV4" s="1">
        <v>51962.3</v>
      </c>
      <c r="QW4" s="1">
        <v>51976.6</v>
      </c>
      <c r="QX4" s="1">
        <v>51990.7</v>
      </c>
      <c r="QY4" s="1">
        <v>52004.800000000003</v>
      </c>
      <c r="QZ4" s="1">
        <v>52018.6</v>
      </c>
      <c r="RA4" s="1">
        <v>52032.7</v>
      </c>
      <c r="RB4" s="1">
        <v>52047.199999999997</v>
      </c>
      <c r="RC4" s="1">
        <v>52064.2</v>
      </c>
      <c r="RD4" s="1">
        <v>52085.4</v>
      </c>
      <c r="RE4" s="1">
        <v>52110.8</v>
      </c>
      <c r="RF4" s="1">
        <v>52138</v>
      </c>
      <c r="RG4" s="1">
        <v>52167.5</v>
      </c>
      <c r="RH4" s="1">
        <v>52203.3</v>
      </c>
      <c r="RI4" s="1">
        <v>52237.599999999999</v>
      </c>
      <c r="RJ4" s="1">
        <v>52268.6</v>
      </c>
      <c r="RK4" s="1">
        <v>52296.7</v>
      </c>
      <c r="RL4" s="1">
        <v>52317</v>
      </c>
      <c r="RM4" s="1">
        <v>52332.4</v>
      </c>
      <c r="RN4" s="1">
        <v>52345.4</v>
      </c>
      <c r="RO4" s="1">
        <v>52357.1</v>
      </c>
      <c r="RP4" s="1">
        <v>52369.3</v>
      </c>
      <c r="RQ4" s="1">
        <v>52380.5</v>
      </c>
      <c r="RR4" s="1">
        <v>52391.5</v>
      </c>
      <c r="RS4" s="1">
        <v>52400.6</v>
      </c>
      <c r="RT4" s="1">
        <v>52410.6</v>
      </c>
      <c r="RU4" s="1">
        <v>52420</v>
      </c>
      <c r="RV4" s="1">
        <v>52429.8</v>
      </c>
      <c r="RW4" s="1">
        <v>52438.7</v>
      </c>
      <c r="RX4" s="1">
        <v>52449.8</v>
      </c>
      <c r="RY4" s="1">
        <v>52459.5</v>
      </c>
      <c r="RZ4" s="1">
        <v>52469.1</v>
      </c>
      <c r="SA4" s="1">
        <v>52478.5</v>
      </c>
      <c r="SB4" s="1">
        <v>52490.2</v>
      </c>
      <c r="SC4" s="1">
        <v>52501.7</v>
      </c>
      <c r="SD4" s="1">
        <v>52512.800000000003</v>
      </c>
      <c r="SE4" s="1">
        <v>52523.3</v>
      </c>
      <c r="SF4" s="1">
        <v>52533.8</v>
      </c>
      <c r="SG4" s="1">
        <v>52544.800000000003</v>
      </c>
      <c r="SH4" s="1">
        <v>52556.800000000003</v>
      </c>
      <c r="SI4" s="1">
        <v>52567.9</v>
      </c>
      <c r="SJ4" s="1">
        <v>52578.400000000001</v>
      </c>
      <c r="SK4" s="1">
        <v>52587.6</v>
      </c>
      <c r="SL4" s="1">
        <v>52596.800000000003</v>
      </c>
      <c r="SM4" s="1">
        <v>52605.1</v>
      </c>
      <c r="SN4" s="1">
        <v>52614.6</v>
      </c>
      <c r="SO4" s="1">
        <v>52624</v>
      </c>
      <c r="SP4" s="1">
        <v>52632.5</v>
      </c>
      <c r="SQ4" s="1">
        <v>52640.4</v>
      </c>
      <c r="SR4" s="1">
        <v>52649.8</v>
      </c>
      <c r="SS4" s="1">
        <v>52659.4</v>
      </c>
      <c r="ST4" s="1">
        <v>52668.2</v>
      </c>
      <c r="SU4" s="1">
        <v>52676.7</v>
      </c>
      <c r="SV4" s="1">
        <v>52685.599999999999</v>
      </c>
      <c r="SW4" s="1">
        <v>52694.400000000001</v>
      </c>
      <c r="SX4" s="1">
        <v>52703.8</v>
      </c>
      <c r="SY4" s="1">
        <v>52712.5</v>
      </c>
    </row>
    <row r="5" spans="1:750">
      <c r="A5" s="1">
        <v>4</v>
      </c>
      <c r="B5" s="1" t="s">
        <v>2</v>
      </c>
      <c r="C5" s="1" t="s">
        <v>3</v>
      </c>
      <c r="D5" s="1" t="s">
        <v>8</v>
      </c>
      <c r="E5" s="1" t="s">
        <v>5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">
        <v>0</v>
      </c>
      <c r="EF5" s="1">
        <v>0</v>
      </c>
      <c r="EG5" s="1">
        <v>0</v>
      </c>
      <c r="EH5" s="1">
        <v>0</v>
      </c>
      <c r="EI5" s="1">
        <v>0</v>
      </c>
      <c r="EJ5" s="1">
        <v>0</v>
      </c>
      <c r="EK5" s="1">
        <v>0</v>
      </c>
      <c r="EL5" s="1">
        <v>0</v>
      </c>
      <c r="EM5" s="1">
        <v>0</v>
      </c>
      <c r="EN5" s="1">
        <v>0</v>
      </c>
      <c r="EO5" s="1">
        <v>0</v>
      </c>
      <c r="EP5" s="1">
        <v>0</v>
      </c>
      <c r="EQ5" s="1">
        <v>0</v>
      </c>
      <c r="ER5" s="1">
        <v>0</v>
      </c>
      <c r="ES5" s="1">
        <v>0</v>
      </c>
      <c r="ET5" s="1">
        <v>0</v>
      </c>
      <c r="EU5" s="1">
        <v>0</v>
      </c>
      <c r="EV5" s="1">
        <v>0</v>
      </c>
      <c r="EW5" s="1">
        <v>0</v>
      </c>
      <c r="EX5" s="1">
        <v>0</v>
      </c>
      <c r="EY5" s="1">
        <v>0</v>
      </c>
      <c r="EZ5" s="1">
        <v>0</v>
      </c>
      <c r="FA5" s="1">
        <v>0</v>
      </c>
      <c r="FB5" s="1">
        <v>0</v>
      </c>
      <c r="FC5" s="1">
        <v>0</v>
      </c>
      <c r="FD5" s="1">
        <v>0</v>
      </c>
      <c r="FE5" s="1">
        <v>0</v>
      </c>
      <c r="FF5" s="1">
        <v>0</v>
      </c>
      <c r="FG5" s="1">
        <v>0</v>
      </c>
      <c r="FH5" s="1">
        <v>0</v>
      </c>
      <c r="FI5" s="1">
        <v>0</v>
      </c>
      <c r="FJ5" s="1">
        <v>0</v>
      </c>
      <c r="FK5" s="1">
        <v>0</v>
      </c>
      <c r="FL5" s="1">
        <v>0</v>
      </c>
      <c r="FM5" s="1">
        <v>0</v>
      </c>
      <c r="FN5" s="1">
        <v>0</v>
      </c>
      <c r="FO5" s="1">
        <v>0</v>
      </c>
      <c r="FP5" s="1">
        <v>0</v>
      </c>
      <c r="FQ5" s="1">
        <v>0</v>
      </c>
      <c r="FR5" s="1">
        <v>0</v>
      </c>
      <c r="FS5" s="1">
        <v>0</v>
      </c>
      <c r="FT5" s="1">
        <v>0</v>
      </c>
      <c r="FU5" s="1">
        <v>0</v>
      </c>
      <c r="FV5" s="1">
        <v>0</v>
      </c>
      <c r="FW5" s="1">
        <v>0</v>
      </c>
      <c r="FX5" s="1">
        <v>0</v>
      </c>
      <c r="FY5" s="1">
        <v>0</v>
      </c>
      <c r="FZ5" s="1">
        <v>0</v>
      </c>
      <c r="GA5" s="1">
        <v>0</v>
      </c>
      <c r="GB5" s="1">
        <v>0</v>
      </c>
      <c r="GC5" s="1">
        <v>0</v>
      </c>
      <c r="GD5" s="1">
        <v>0</v>
      </c>
      <c r="GE5" s="1">
        <v>0</v>
      </c>
      <c r="GF5" s="1">
        <v>0</v>
      </c>
      <c r="GG5" s="1">
        <v>0</v>
      </c>
      <c r="GH5" s="1">
        <v>0</v>
      </c>
      <c r="GI5" s="1">
        <v>0</v>
      </c>
      <c r="GJ5" s="1">
        <v>0</v>
      </c>
      <c r="GK5" s="1">
        <v>0</v>
      </c>
      <c r="GL5" s="1">
        <v>0</v>
      </c>
      <c r="GM5" s="1">
        <v>0</v>
      </c>
      <c r="GN5" s="1">
        <v>0</v>
      </c>
      <c r="GO5" s="1">
        <v>0</v>
      </c>
      <c r="GP5" s="1">
        <v>0</v>
      </c>
      <c r="GQ5" s="1">
        <v>0</v>
      </c>
      <c r="GR5" s="1">
        <v>0</v>
      </c>
      <c r="GS5" s="1">
        <v>0</v>
      </c>
      <c r="GT5" s="1">
        <v>0</v>
      </c>
      <c r="GU5" s="1">
        <v>0</v>
      </c>
      <c r="GV5" s="1">
        <v>0</v>
      </c>
      <c r="GW5" s="1">
        <v>0</v>
      </c>
      <c r="GX5" s="1">
        <v>0</v>
      </c>
      <c r="GY5" s="1">
        <v>0</v>
      </c>
      <c r="GZ5" s="1">
        <v>0</v>
      </c>
      <c r="HA5" s="1">
        <v>0</v>
      </c>
      <c r="HB5" s="1">
        <v>0</v>
      </c>
      <c r="HC5" s="1">
        <v>0</v>
      </c>
      <c r="HD5" s="1">
        <v>0</v>
      </c>
      <c r="HE5" s="1">
        <v>0</v>
      </c>
      <c r="HF5" s="1">
        <v>0</v>
      </c>
      <c r="HG5" s="1">
        <v>0</v>
      </c>
      <c r="HH5" s="1">
        <v>0</v>
      </c>
      <c r="HI5" s="1">
        <v>0</v>
      </c>
      <c r="HJ5" s="1">
        <v>0</v>
      </c>
      <c r="HK5" s="1">
        <v>0</v>
      </c>
      <c r="HL5" s="1">
        <v>0</v>
      </c>
      <c r="HM5" s="1">
        <v>0</v>
      </c>
      <c r="HN5" s="1">
        <v>0</v>
      </c>
      <c r="HO5" s="1">
        <v>0</v>
      </c>
      <c r="HP5" s="1">
        <v>0</v>
      </c>
      <c r="HQ5" s="1">
        <v>0</v>
      </c>
      <c r="HR5" s="1">
        <v>0</v>
      </c>
      <c r="HS5" s="1">
        <v>0</v>
      </c>
      <c r="HT5" s="1">
        <v>0</v>
      </c>
      <c r="HU5" s="1">
        <v>0</v>
      </c>
      <c r="HV5" s="1">
        <v>0</v>
      </c>
      <c r="HW5" s="1">
        <v>0</v>
      </c>
      <c r="HX5" s="1">
        <v>0</v>
      </c>
      <c r="HY5" s="1">
        <v>0</v>
      </c>
      <c r="HZ5" s="1">
        <v>0</v>
      </c>
      <c r="IA5" s="1">
        <v>0</v>
      </c>
      <c r="IB5" s="1">
        <v>0</v>
      </c>
      <c r="IC5" s="1">
        <v>0</v>
      </c>
      <c r="ID5" s="1">
        <v>0</v>
      </c>
      <c r="IE5" s="1">
        <v>0</v>
      </c>
      <c r="IF5" s="1">
        <v>0</v>
      </c>
      <c r="IG5" s="1">
        <v>0</v>
      </c>
      <c r="IH5" s="1">
        <v>0</v>
      </c>
      <c r="II5" s="1">
        <v>0</v>
      </c>
      <c r="IJ5" s="1">
        <v>0</v>
      </c>
      <c r="IK5" s="1">
        <v>0</v>
      </c>
      <c r="IL5" s="1">
        <v>0</v>
      </c>
      <c r="IM5" s="1">
        <v>0</v>
      </c>
      <c r="IN5" s="1">
        <v>0</v>
      </c>
      <c r="IO5" s="1">
        <v>0</v>
      </c>
      <c r="IP5" s="1">
        <v>0</v>
      </c>
      <c r="IQ5" s="1">
        <v>0</v>
      </c>
      <c r="IR5" s="1">
        <v>0</v>
      </c>
      <c r="IS5" s="1">
        <v>0</v>
      </c>
      <c r="IT5" s="1">
        <v>0</v>
      </c>
      <c r="IU5" s="1">
        <v>0</v>
      </c>
      <c r="IV5" s="1">
        <v>0</v>
      </c>
      <c r="IW5" s="1">
        <v>0</v>
      </c>
      <c r="IX5" s="1">
        <v>0</v>
      </c>
      <c r="IY5" s="1">
        <v>0</v>
      </c>
      <c r="IZ5" s="1">
        <v>0</v>
      </c>
      <c r="JA5" s="1">
        <v>0</v>
      </c>
      <c r="JB5" s="1">
        <v>0</v>
      </c>
      <c r="JC5" s="1">
        <v>0</v>
      </c>
      <c r="JD5" s="1">
        <v>0</v>
      </c>
      <c r="JE5" s="1">
        <v>0</v>
      </c>
      <c r="JF5" s="1">
        <v>0</v>
      </c>
      <c r="JG5" s="1">
        <v>0</v>
      </c>
      <c r="JH5" s="1">
        <v>0</v>
      </c>
      <c r="JI5" s="1">
        <v>0</v>
      </c>
      <c r="JJ5" s="1">
        <v>0</v>
      </c>
      <c r="JK5" s="1">
        <v>0</v>
      </c>
      <c r="JL5" s="1">
        <v>0</v>
      </c>
      <c r="JM5" s="1">
        <v>0</v>
      </c>
      <c r="JN5" s="1">
        <v>0</v>
      </c>
      <c r="JO5" s="1">
        <v>0</v>
      </c>
      <c r="JP5" s="1">
        <v>0</v>
      </c>
      <c r="JQ5" s="1">
        <v>0</v>
      </c>
      <c r="JR5" s="1">
        <v>0</v>
      </c>
      <c r="JS5" s="1">
        <v>0</v>
      </c>
      <c r="JT5" s="1">
        <v>0</v>
      </c>
      <c r="JU5" s="1">
        <v>0</v>
      </c>
      <c r="JV5" s="1">
        <v>0</v>
      </c>
      <c r="JW5" s="1">
        <v>0</v>
      </c>
      <c r="JX5" s="1">
        <v>0</v>
      </c>
      <c r="JY5" s="1">
        <v>0</v>
      </c>
      <c r="JZ5" s="1">
        <v>0</v>
      </c>
      <c r="KA5" s="1">
        <v>0</v>
      </c>
      <c r="KB5" s="1">
        <v>0</v>
      </c>
      <c r="KC5" s="1">
        <v>0</v>
      </c>
      <c r="KD5" s="1">
        <v>0</v>
      </c>
      <c r="KE5" s="1">
        <v>0</v>
      </c>
      <c r="KF5" s="1">
        <v>0</v>
      </c>
      <c r="KG5" s="1">
        <v>0</v>
      </c>
      <c r="KH5" s="1">
        <v>0</v>
      </c>
      <c r="KI5" s="1">
        <v>0</v>
      </c>
      <c r="KJ5" s="1">
        <v>0</v>
      </c>
      <c r="KK5" s="1">
        <v>0</v>
      </c>
      <c r="KL5" s="1">
        <v>0</v>
      </c>
      <c r="KM5" s="1">
        <v>0</v>
      </c>
      <c r="KN5" s="1">
        <v>0</v>
      </c>
      <c r="KO5" s="1">
        <v>0</v>
      </c>
      <c r="KP5" s="1">
        <v>0</v>
      </c>
      <c r="KQ5" s="1">
        <v>0</v>
      </c>
      <c r="KR5" s="1">
        <v>0</v>
      </c>
      <c r="KS5" s="1">
        <v>0</v>
      </c>
      <c r="KT5" s="1">
        <v>0</v>
      </c>
      <c r="KU5" s="1">
        <v>0</v>
      </c>
      <c r="KV5" s="1">
        <v>0</v>
      </c>
      <c r="KW5" s="1">
        <v>0</v>
      </c>
      <c r="KX5" s="1">
        <v>0</v>
      </c>
      <c r="KY5" s="1">
        <v>0</v>
      </c>
      <c r="KZ5" s="1">
        <v>0</v>
      </c>
      <c r="LA5" s="1">
        <v>0</v>
      </c>
      <c r="LB5" s="1">
        <v>0</v>
      </c>
      <c r="LC5" s="1">
        <v>0</v>
      </c>
      <c r="LD5" s="1">
        <v>0</v>
      </c>
      <c r="LE5" s="1">
        <v>0</v>
      </c>
      <c r="LF5" s="1">
        <v>0</v>
      </c>
      <c r="LG5" s="1">
        <v>0</v>
      </c>
      <c r="LH5" s="1">
        <v>0</v>
      </c>
      <c r="LI5" s="1">
        <v>0</v>
      </c>
      <c r="LJ5" s="1">
        <v>0</v>
      </c>
      <c r="LK5" s="1">
        <v>0</v>
      </c>
      <c r="LL5" s="1">
        <v>0</v>
      </c>
      <c r="LM5" s="1">
        <v>0</v>
      </c>
      <c r="LN5" s="1">
        <v>0</v>
      </c>
      <c r="LO5" s="1">
        <v>0</v>
      </c>
      <c r="LP5" s="1">
        <v>0</v>
      </c>
      <c r="LQ5" s="1">
        <v>0</v>
      </c>
      <c r="LR5" s="1">
        <v>0</v>
      </c>
      <c r="LS5" s="1">
        <v>0</v>
      </c>
      <c r="LT5" s="1">
        <v>0</v>
      </c>
      <c r="LU5" s="1">
        <v>0</v>
      </c>
      <c r="LV5" s="1">
        <v>0</v>
      </c>
      <c r="LW5" s="1">
        <v>0</v>
      </c>
      <c r="LX5" s="1">
        <v>0</v>
      </c>
      <c r="LY5" s="1">
        <v>0</v>
      </c>
      <c r="LZ5" s="1">
        <v>0</v>
      </c>
      <c r="MA5" s="1">
        <v>0</v>
      </c>
      <c r="MB5" s="1">
        <v>0</v>
      </c>
      <c r="MC5" s="1">
        <v>0</v>
      </c>
      <c r="MD5" s="1">
        <v>0</v>
      </c>
      <c r="ME5" s="1">
        <v>0</v>
      </c>
      <c r="MF5" s="1">
        <v>0</v>
      </c>
      <c r="MG5" s="1">
        <v>0</v>
      </c>
      <c r="MH5" s="1">
        <v>0</v>
      </c>
      <c r="MI5" s="1">
        <v>0</v>
      </c>
      <c r="MJ5" s="1">
        <v>0</v>
      </c>
      <c r="MK5" s="1">
        <v>0</v>
      </c>
      <c r="ML5" s="1">
        <v>0</v>
      </c>
      <c r="MM5" s="1">
        <v>0</v>
      </c>
      <c r="MN5" s="1">
        <v>0</v>
      </c>
      <c r="MO5" s="1">
        <v>0</v>
      </c>
      <c r="MP5" s="1">
        <v>0</v>
      </c>
      <c r="MQ5" s="1">
        <v>0</v>
      </c>
      <c r="MR5" s="1">
        <v>0</v>
      </c>
      <c r="MS5" s="1">
        <v>0</v>
      </c>
      <c r="MT5" s="1">
        <v>0</v>
      </c>
      <c r="MU5" s="1">
        <v>0</v>
      </c>
      <c r="MV5" s="1">
        <v>0</v>
      </c>
      <c r="MW5" s="1">
        <v>0</v>
      </c>
      <c r="MX5" s="1">
        <v>0</v>
      </c>
      <c r="MY5" s="1">
        <v>0</v>
      </c>
      <c r="MZ5" s="1">
        <v>0</v>
      </c>
      <c r="NA5" s="1">
        <v>0</v>
      </c>
      <c r="NB5" s="1">
        <v>0</v>
      </c>
      <c r="NC5" s="1">
        <v>0</v>
      </c>
      <c r="ND5" s="1">
        <v>0</v>
      </c>
      <c r="NE5" s="1">
        <v>0</v>
      </c>
      <c r="NF5" s="1">
        <v>0</v>
      </c>
      <c r="NG5" s="1">
        <v>0</v>
      </c>
      <c r="NH5" s="1">
        <v>0</v>
      </c>
      <c r="NI5" s="1">
        <v>0</v>
      </c>
      <c r="NJ5" s="1">
        <v>0</v>
      </c>
      <c r="NK5" s="1">
        <v>0</v>
      </c>
      <c r="NL5" s="1">
        <v>0</v>
      </c>
      <c r="NM5" s="1">
        <v>0</v>
      </c>
      <c r="NN5" s="1">
        <v>0</v>
      </c>
      <c r="NO5" s="1">
        <v>0</v>
      </c>
      <c r="NP5" s="1">
        <v>0</v>
      </c>
      <c r="NQ5" s="1">
        <v>0</v>
      </c>
      <c r="NR5" s="1">
        <v>0</v>
      </c>
      <c r="NS5" s="1">
        <v>0</v>
      </c>
      <c r="NT5" s="1">
        <v>0</v>
      </c>
      <c r="NU5" s="1">
        <v>0</v>
      </c>
      <c r="NV5" s="1">
        <v>0</v>
      </c>
      <c r="NW5" s="1">
        <v>0</v>
      </c>
      <c r="NX5" s="1">
        <v>0</v>
      </c>
      <c r="NY5" s="1">
        <v>0</v>
      </c>
      <c r="NZ5" s="1">
        <v>0</v>
      </c>
      <c r="OA5" s="1">
        <v>0</v>
      </c>
      <c r="OB5" s="1">
        <v>0</v>
      </c>
      <c r="OC5" s="1">
        <v>0</v>
      </c>
      <c r="OD5" s="1">
        <v>0</v>
      </c>
      <c r="OE5" s="1">
        <v>0</v>
      </c>
      <c r="OF5" s="1">
        <v>0</v>
      </c>
      <c r="OG5" s="1">
        <v>0</v>
      </c>
      <c r="OH5" s="1">
        <v>0</v>
      </c>
      <c r="OI5" s="1">
        <v>0</v>
      </c>
      <c r="OJ5" s="1">
        <v>0</v>
      </c>
      <c r="OK5" s="1">
        <v>0</v>
      </c>
      <c r="OL5" s="1">
        <v>0</v>
      </c>
      <c r="OM5" s="1">
        <v>0</v>
      </c>
      <c r="ON5" s="1">
        <v>0</v>
      </c>
      <c r="OO5" s="1">
        <v>0</v>
      </c>
      <c r="OP5" s="1">
        <v>0</v>
      </c>
      <c r="OQ5" s="1">
        <v>0</v>
      </c>
      <c r="OR5" s="1">
        <v>0</v>
      </c>
      <c r="OS5" s="1">
        <v>0</v>
      </c>
      <c r="OT5" s="1">
        <v>0</v>
      </c>
      <c r="OU5" s="1">
        <v>0</v>
      </c>
      <c r="OV5" s="1">
        <v>0</v>
      </c>
      <c r="OW5" s="1">
        <v>0</v>
      </c>
      <c r="OX5" s="1">
        <v>0</v>
      </c>
      <c r="OY5" s="1">
        <v>0</v>
      </c>
      <c r="OZ5" s="1">
        <v>0</v>
      </c>
      <c r="PA5" s="1">
        <v>0</v>
      </c>
      <c r="PB5" s="1">
        <v>0</v>
      </c>
      <c r="PC5" s="1">
        <v>0</v>
      </c>
      <c r="PD5" s="1">
        <v>0</v>
      </c>
      <c r="PE5" s="1">
        <v>0</v>
      </c>
      <c r="PF5" s="1">
        <v>0</v>
      </c>
      <c r="PG5" s="1">
        <v>0</v>
      </c>
      <c r="PH5" s="1">
        <v>0</v>
      </c>
      <c r="PI5" s="1">
        <v>0</v>
      </c>
      <c r="PJ5" s="1">
        <v>0</v>
      </c>
      <c r="PK5" s="1">
        <v>0</v>
      </c>
      <c r="PL5" s="1">
        <v>0</v>
      </c>
      <c r="PM5" s="1">
        <v>0</v>
      </c>
      <c r="PN5" s="1">
        <v>0</v>
      </c>
      <c r="PO5" s="1">
        <v>0</v>
      </c>
      <c r="PP5" s="1">
        <v>0</v>
      </c>
      <c r="PQ5" s="1">
        <v>0</v>
      </c>
      <c r="PR5" s="1">
        <v>0</v>
      </c>
      <c r="PS5" s="1">
        <v>0</v>
      </c>
      <c r="PT5" s="1">
        <v>0</v>
      </c>
      <c r="PU5" s="1">
        <v>0</v>
      </c>
      <c r="PV5" s="1">
        <v>0</v>
      </c>
      <c r="PW5" s="1">
        <v>0</v>
      </c>
      <c r="PX5" s="1">
        <v>0</v>
      </c>
      <c r="PY5" s="1">
        <v>0</v>
      </c>
      <c r="PZ5" s="1">
        <v>0</v>
      </c>
      <c r="QA5" s="1">
        <v>0</v>
      </c>
      <c r="QB5" s="1">
        <v>0</v>
      </c>
      <c r="QC5" s="1">
        <v>0</v>
      </c>
      <c r="QD5" s="1">
        <v>0</v>
      </c>
      <c r="QE5" s="1">
        <v>0</v>
      </c>
      <c r="QF5" s="1">
        <v>0</v>
      </c>
      <c r="QG5" s="1">
        <v>0</v>
      </c>
      <c r="QH5" s="1">
        <v>0</v>
      </c>
      <c r="QI5" s="1">
        <v>0</v>
      </c>
      <c r="QJ5" s="1">
        <v>0</v>
      </c>
      <c r="QK5" s="1">
        <v>0</v>
      </c>
      <c r="QL5" s="1">
        <v>0</v>
      </c>
      <c r="QM5" s="1">
        <v>0</v>
      </c>
      <c r="QN5" s="1">
        <v>0</v>
      </c>
      <c r="QO5" s="1">
        <v>0</v>
      </c>
      <c r="QP5" s="1">
        <v>0</v>
      </c>
      <c r="QQ5" s="1">
        <v>0</v>
      </c>
      <c r="QR5" s="1">
        <v>0</v>
      </c>
      <c r="QS5" s="1">
        <v>0</v>
      </c>
      <c r="QT5" s="1">
        <v>0</v>
      </c>
      <c r="QU5" s="1">
        <v>0</v>
      </c>
      <c r="QV5" s="1">
        <v>0</v>
      </c>
      <c r="QW5" s="1">
        <v>0</v>
      </c>
      <c r="QX5" s="1">
        <v>0</v>
      </c>
      <c r="QY5" s="1">
        <v>0</v>
      </c>
      <c r="QZ5" s="1">
        <v>0</v>
      </c>
      <c r="RA5" s="1">
        <v>0</v>
      </c>
      <c r="RB5" s="1">
        <v>0</v>
      </c>
      <c r="RC5" s="1">
        <v>0</v>
      </c>
      <c r="RD5" s="1">
        <v>0</v>
      </c>
      <c r="RE5" s="1">
        <v>0</v>
      </c>
      <c r="RF5" s="1">
        <v>0</v>
      </c>
      <c r="RG5" s="1">
        <v>0</v>
      </c>
      <c r="RH5" s="1">
        <v>0</v>
      </c>
      <c r="RI5" s="1">
        <v>0</v>
      </c>
      <c r="RJ5" s="1">
        <v>0</v>
      </c>
      <c r="RK5" s="1">
        <v>0</v>
      </c>
      <c r="RL5" s="1">
        <v>0</v>
      </c>
      <c r="RM5" s="1">
        <v>0</v>
      </c>
      <c r="RN5" s="1">
        <v>0</v>
      </c>
      <c r="RO5" s="1">
        <v>0</v>
      </c>
      <c r="RP5" s="1">
        <v>0</v>
      </c>
      <c r="RQ5" s="1">
        <v>0</v>
      </c>
      <c r="RR5" s="1">
        <v>0</v>
      </c>
      <c r="RS5" s="1">
        <v>0</v>
      </c>
      <c r="RT5" s="1">
        <v>0</v>
      </c>
      <c r="RU5" s="1">
        <v>0</v>
      </c>
      <c r="RV5" s="1">
        <v>0</v>
      </c>
      <c r="RW5" s="1">
        <v>0</v>
      </c>
      <c r="RX5" s="1">
        <v>0</v>
      </c>
      <c r="RY5" s="1">
        <v>0</v>
      </c>
      <c r="RZ5" s="1">
        <v>0</v>
      </c>
      <c r="SA5" s="1">
        <v>0</v>
      </c>
      <c r="SB5" s="1">
        <v>0</v>
      </c>
      <c r="SC5" s="1">
        <v>0</v>
      </c>
      <c r="SD5" s="1">
        <v>0</v>
      </c>
      <c r="SE5" s="1">
        <v>0</v>
      </c>
      <c r="SF5" s="1">
        <v>0</v>
      </c>
      <c r="SG5" s="1">
        <v>0</v>
      </c>
      <c r="SH5" s="1">
        <v>0</v>
      </c>
      <c r="SI5" s="1">
        <v>0</v>
      </c>
      <c r="SJ5" s="1">
        <v>0</v>
      </c>
      <c r="SK5" s="1">
        <v>0</v>
      </c>
      <c r="SL5" s="1">
        <v>0</v>
      </c>
      <c r="SM5" s="1">
        <v>0</v>
      </c>
      <c r="SN5" s="1">
        <v>0</v>
      </c>
      <c r="SO5" s="1">
        <v>0</v>
      </c>
      <c r="SP5" s="1">
        <v>0</v>
      </c>
      <c r="SQ5" s="1">
        <v>0</v>
      </c>
      <c r="SR5" s="1">
        <v>0</v>
      </c>
      <c r="SS5" s="1">
        <v>0</v>
      </c>
      <c r="ST5" s="1">
        <v>0</v>
      </c>
      <c r="SU5" s="1">
        <v>0</v>
      </c>
      <c r="SV5" s="1">
        <v>0</v>
      </c>
      <c r="SW5" s="1">
        <v>0</v>
      </c>
      <c r="SX5" s="1">
        <v>0</v>
      </c>
      <c r="SY5" s="1">
        <v>0</v>
      </c>
    </row>
    <row r="6" spans="1:750">
      <c r="A6" s="1">
        <v>5</v>
      </c>
      <c r="B6" s="1" t="s">
        <v>2</v>
      </c>
      <c r="C6" s="1" t="s">
        <v>3</v>
      </c>
      <c r="D6" s="1" t="s">
        <v>9</v>
      </c>
      <c r="E6" s="1" t="s">
        <v>5</v>
      </c>
      <c r="F6" s="1">
        <v>406834</v>
      </c>
      <c r="G6" s="1">
        <v>406856</v>
      </c>
      <c r="H6" s="1">
        <v>406877</v>
      </c>
      <c r="I6" s="1">
        <v>406898</v>
      </c>
      <c r="J6" s="1">
        <v>406919</v>
      </c>
      <c r="K6" s="1">
        <v>406939</v>
      </c>
      <c r="L6" s="1">
        <v>406959</v>
      </c>
      <c r="M6" s="1">
        <v>406980</v>
      </c>
      <c r="N6" s="1">
        <v>407001</v>
      </c>
      <c r="O6" s="1">
        <v>407023</v>
      </c>
      <c r="P6" s="1">
        <v>407046</v>
      </c>
      <c r="Q6" s="1">
        <v>407070</v>
      </c>
      <c r="R6" s="1">
        <v>407097</v>
      </c>
      <c r="S6" s="1">
        <v>407124</v>
      </c>
      <c r="T6" s="1">
        <v>407155</v>
      </c>
      <c r="U6" s="1">
        <v>407187</v>
      </c>
      <c r="V6" s="1">
        <v>407217</v>
      </c>
      <c r="W6" s="1">
        <v>407245</v>
      </c>
      <c r="X6" s="1">
        <v>407268</v>
      </c>
      <c r="Y6" s="1">
        <v>407291</v>
      </c>
      <c r="Z6" s="1">
        <v>407314</v>
      </c>
      <c r="AA6" s="1">
        <v>407339</v>
      </c>
      <c r="AB6" s="1">
        <v>407366</v>
      </c>
      <c r="AC6" s="1">
        <v>407390</v>
      </c>
      <c r="AD6" s="1">
        <v>407414</v>
      </c>
      <c r="AE6" s="1">
        <v>407438</v>
      </c>
      <c r="AF6" s="1">
        <v>407460</v>
      </c>
      <c r="AG6" s="1">
        <v>407482</v>
      </c>
      <c r="AH6" s="1">
        <v>407503</v>
      </c>
      <c r="AI6" s="1">
        <v>407523</v>
      </c>
      <c r="AJ6" s="1">
        <v>407544</v>
      </c>
      <c r="AK6" s="1">
        <v>407564</v>
      </c>
      <c r="AL6" s="1">
        <v>407585</v>
      </c>
      <c r="AM6" s="1">
        <v>407613</v>
      </c>
      <c r="AN6" s="1">
        <v>407647</v>
      </c>
      <c r="AO6" s="1">
        <v>407702</v>
      </c>
      <c r="AP6" s="1">
        <v>407755</v>
      </c>
      <c r="AQ6" s="1">
        <v>407811</v>
      </c>
      <c r="AR6" s="1">
        <v>407864</v>
      </c>
      <c r="AS6" s="1">
        <v>407917</v>
      </c>
      <c r="AT6" s="1">
        <v>407968</v>
      </c>
      <c r="AU6" s="1">
        <v>408015</v>
      </c>
      <c r="AV6" s="1">
        <v>408057</v>
      </c>
      <c r="AW6" s="1">
        <v>408091</v>
      </c>
      <c r="AX6" s="1">
        <v>408121</v>
      </c>
      <c r="AY6" s="1">
        <v>408147</v>
      </c>
      <c r="AZ6" s="1">
        <v>408172</v>
      </c>
      <c r="BA6" s="1">
        <v>408196</v>
      </c>
      <c r="BB6" s="1">
        <v>408219</v>
      </c>
      <c r="BC6" s="1">
        <v>408240</v>
      </c>
      <c r="BD6" s="1">
        <v>408261</v>
      </c>
      <c r="BE6" s="1">
        <v>408281</v>
      </c>
      <c r="BF6" s="1">
        <v>408302</v>
      </c>
      <c r="BG6" s="1">
        <v>408322</v>
      </c>
      <c r="BH6" s="1">
        <v>408341</v>
      </c>
      <c r="BI6" s="1">
        <v>408362</v>
      </c>
      <c r="BJ6" s="1">
        <v>408382</v>
      </c>
      <c r="BK6" s="1">
        <v>408408</v>
      </c>
      <c r="BL6" s="1">
        <v>408447</v>
      </c>
      <c r="BM6" s="1">
        <v>408507</v>
      </c>
      <c r="BN6" s="1">
        <v>408559</v>
      </c>
      <c r="BO6" s="1">
        <v>408605</v>
      </c>
      <c r="BP6" s="1">
        <v>408664</v>
      </c>
      <c r="BQ6" s="1">
        <v>408729</v>
      </c>
      <c r="BR6" s="1">
        <v>408793</v>
      </c>
      <c r="BS6" s="1">
        <v>408845</v>
      </c>
      <c r="BT6" s="1">
        <v>408891</v>
      </c>
      <c r="BU6" s="1">
        <v>408928</v>
      </c>
      <c r="BV6" s="1">
        <v>408955</v>
      </c>
      <c r="BW6" s="1">
        <v>408978</v>
      </c>
      <c r="BX6" s="1">
        <v>409000</v>
      </c>
      <c r="BY6" s="1">
        <v>409022</v>
      </c>
      <c r="BZ6" s="1">
        <v>409048</v>
      </c>
      <c r="CA6" s="1">
        <v>409073</v>
      </c>
      <c r="CB6" s="1">
        <v>409097</v>
      </c>
      <c r="CC6" s="1">
        <v>409120</v>
      </c>
      <c r="CD6" s="1">
        <v>409140</v>
      </c>
      <c r="CE6" s="1">
        <v>409160</v>
      </c>
      <c r="CF6" s="1">
        <v>409180</v>
      </c>
      <c r="CG6" s="1">
        <v>409199</v>
      </c>
      <c r="CH6" s="1">
        <v>409220</v>
      </c>
      <c r="CI6" s="1">
        <v>409247</v>
      </c>
      <c r="CJ6" s="1">
        <v>409287</v>
      </c>
      <c r="CK6" s="1">
        <v>409340</v>
      </c>
      <c r="CL6" s="1">
        <v>409397</v>
      </c>
      <c r="CM6" s="1">
        <v>409463</v>
      </c>
      <c r="CN6" s="1">
        <v>409526</v>
      </c>
      <c r="CO6" s="1">
        <v>409583</v>
      </c>
      <c r="CP6" s="1">
        <v>409640</v>
      </c>
      <c r="CQ6" s="1">
        <v>409693</v>
      </c>
      <c r="CR6" s="1">
        <v>409733</v>
      </c>
      <c r="CS6" s="1">
        <v>409767</v>
      </c>
      <c r="CT6" s="1">
        <v>409795</v>
      </c>
      <c r="CU6" s="1">
        <v>409819</v>
      </c>
      <c r="CV6" s="1">
        <v>409842</v>
      </c>
      <c r="CW6" s="1">
        <v>409864</v>
      </c>
      <c r="CX6" s="1">
        <v>409887</v>
      </c>
      <c r="CY6" s="1">
        <v>409909</v>
      </c>
      <c r="CZ6" s="1">
        <v>409930</v>
      </c>
      <c r="DA6" s="1">
        <v>409949</v>
      </c>
      <c r="DB6" s="1">
        <v>409968</v>
      </c>
      <c r="DC6" s="1">
        <v>409987</v>
      </c>
      <c r="DD6" s="1">
        <v>410006</v>
      </c>
      <c r="DE6" s="1">
        <v>410024</v>
      </c>
      <c r="DF6" s="1">
        <v>410044</v>
      </c>
      <c r="DG6" s="1">
        <v>410067</v>
      </c>
      <c r="DH6" s="1">
        <v>410096</v>
      </c>
      <c r="DI6" s="1">
        <v>410139</v>
      </c>
      <c r="DJ6" s="1">
        <v>410188</v>
      </c>
      <c r="DK6" s="1">
        <v>410236</v>
      </c>
      <c r="DL6" s="1">
        <v>410284</v>
      </c>
      <c r="DM6" s="1">
        <v>410338</v>
      </c>
      <c r="DN6" s="1">
        <v>410387</v>
      </c>
      <c r="DO6" s="1">
        <v>410433</v>
      </c>
      <c r="DP6" s="1">
        <v>410473</v>
      </c>
      <c r="DQ6" s="1">
        <v>410504</v>
      </c>
      <c r="DR6" s="1">
        <v>410530</v>
      </c>
      <c r="DS6" s="1">
        <v>410555</v>
      </c>
      <c r="DT6" s="1">
        <v>410578</v>
      </c>
      <c r="DU6" s="1">
        <v>410601</v>
      </c>
      <c r="DV6" s="1">
        <v>410625</v>
      </c>
      <c r="DW6" s="1">
        <v>410647</v>
      </c>
      <c r="DX6" s="1">
        <v>410669</v>
      </c>
      <c r="DY6" s="1">
        <v>410689</v>
      </c>
      <c r="DZ6" s="1">
        <v>410708</v>
      </c>
      <c r="EA6" s="1">
        <v>410726</v>
      </c>
      <c r="EB6" s="1">
        <v>410745</v>
      </c>
      <c r="EC6" s="1">
        <v>410764</v>
      </c>
      <c r="ED6" s="1">
        <v>410783</v>
      </c>
      <c r="EE6" s="1">
        <v>410808</v>
      </c>
      <c r="EF6" s="1">
        <v>410837</v>
      </c>
      <c r="EG6" s="1">
        <v>410876</v>
      </c>
      <c r="EH6" s="1">
        <v>410918</v>
      </c>
      <c r="EI6" s="1">
        <v>410965</v>
      </c>
      <c r="EJ6" s="1">
        <v>411020</v>
      </c>
      <c r="EK6" s="1">
        <v>411073</v>
      </c>
      <c r="EL6" s="1">
        <v>411124</v>
      </c>
      <c r="EM6" s="1">
        <v>411171</v>
      </c>
      <c r="EN6" s="1">
        <v>411211</v>
      </c>
      <c r="EO6" s="1">
        <v>411244</v>
      </c>
      <c r="EP6" s="1">
        <v>411274</v>
      </c>
      <c r="EQ6" s="1">
        <v>411299</v>
      </c>
      <c r="ER6" s="1">
        <v>411322</v>
      </c>
      <c r="ES6" s="1">
        <v>411346</v>
      </c>
      <c r="ET6" s="1">
        <v>411367</v>
      </c>
      <c r="EU6" s="1">
        <v>411387</v>
      </c>
      <c r="EV6" s="1">
        <v>411409</v>
      </c>
      <c r="EW6" s="1">
        <v>411430</v>
      </c>
      <c r="EX6" s="1">
        <v>411450</v>
      </c>
      <c r="EY6" s="1">
        <v>411471</v>
      </c>
      <c r="EZ6" s="1">
        <v>411493</v>
      </c>
      <c r="FA6" s="1">
        <v>411515</v>
      </c>
      <c r="FB6" s="1">
        <v>411537</v>
      </c>
      <c r="FC6" s="1">
        <v>411560</v>
      </c>
      <c r="FD6" s="1">
        <v>411585</v>
      </c>
      <c r="FE6" s="1">
        <v>411612</v>
      </c>
      <c r="FF6" s="1">
        <v>411640</v>
      </c>
      <c r="FG6" s="1">
        <v>411671</v>
      </c>
      <c r="FH6" s="1">
        <v>411705</v>
      </c>
      <c r="FI6" s="1">
        <v>411738</v>
      </c>
      <c r="FJ6" s="1">
        <v>411774</v>
      </c>
      <c r="FK6" s="1">
        <v>411802</v>
      </c>
      <c r="FL6" s="1">
        <v>411827</v>
      </c>
      <c r="FM6" s="1">
        <v>411850</v>
      </c>
      <c r="FN6" s="1">
        <v>411875</v>
      </c>
      <c r="FO6" s="1">
        <v>411897</v>
      </c>
      <c r="FP6" s="1">
        <v>411918</v>
      </c>
      <c r="FQ6" s="1">
        <v>411939</v>
      </c>
      <c r="FR6" s="1">
        <v>411957</v>
      </c>
      <c r="FS6" s="1">
        <v>411976</v>
      </c>
      <c r="FT6" s="1">
        <v>411996</v>
      </c>
      <c r="FU6" s="1">
        <v>412019</v>
      </c>
      <c r="FV6" s="1">
        <v>412040</v>
      </c>
      <c r="FW6" s="1">
        <v>412060</v>
      </c>
      <c r="FX6" s="1">
        <v>412080</v>
      </c>
      <c r="FY6" s="1">
        <v>412099</v>
      </c>
      <c r="FZ6" s="1">
        <v>412118</v>
      </c>
      <c r="GA6" s="1">
        <v>412136</v>
      </c>
      <c r="GB6" s="1">
        <v>412154</v>
      </c>
      <c r="GC6" s="1">
        <v>412175</v>
      </c>
      <c r="GD6" s="1">
        <v>412196</v>
      </c>
      <c r="GE6" s="1">
        <v>412217</v>
      </c>
      <c r="GF6" s="1">
        <v>412238</v>
      </c>
      <c r="GG6" s="1">
        <v>412258</v>
      </c>
      <c r="GH6" s="1">
        <v>412279</v>
      </c>
      <c r="GI6" s="1">
        <v>412299</v>
      </c>
      <c r="GJ6" s="1">
        <v>412321</v>
      </c>
      <c r="GK6" s="1">
        <v>412339</v>
      </c>
      <c r="GL6" s="1">
        <v>412356</v>
      </c>
      <c r="GM6" s="1">
        <v>412374</v>
      </c>
      <c r="GN6" s="1">
        <v>412391</v>
      </c>
      <c r="GO6" s="1">
        <v>412407</v>
      </c>
      <c r="GP6" s="1">
        <v>412423</v>
      </c>
      <c r="GQ6" s="1">
        <v>412441</v>
      </c>
      <c r="GR6" s="1">
        <v>412459</v>
      </c>
      <c r="GS6" s="1">
        <v>412476</v>
      </c>
      <c r="GT6" s="1">
        <v>412491</v>
      </c>
      <c r="GU6" s="1">
        <v>412506</v>
      </c>
      <c r="GV6" s="1">
        <v>412521</v>
      </c>
      <c r="GW6" s="1">
        <v>412535</v>
      </c>
      <c r="GX6" s="1">
        <v>412551</v>
      </c>
      <c r="GY6" s="1">
        <v>412572</v>
      </c>
      <c r="GZ6" s="1">
        <v>412601</v>
      </c>
      <c r="HA6" s="1">
        <v>412651</v>
      </c>
      <c r="HB6" s="1">
        <v>412711</v>
      </c>
      <c r="HC6" s="1">
        <v>412765</v>
      </c>
      <c r="HD6" s="1">
        <v>412821</v>
      </c>
      <c r="HE6" s="1">
        <v>412871</v>
      </c>
      <c r="HF6" s="1">
        <v>412920</v>
      </c>
      <c r="HG6" s="1">
        <v>412974</v>
      </c>
      <c r="HH6" s="1">
        <v>413014</v>
      </c>
      <c r="HI6" s="1">
        <v>413048</v>
      </c>
      <c r="HJ6" s="1">
        <v>413077</v>
      </c>
      <c r="HK6" s="1">
        <v>413101</v>
      </c>
      <c r="HL6" s="1">
        <v>413126</v>
      </c>
      <c r="HM6" s="1">
        <v>413150</v>
      </c>
      <c r="HN6" s="1">
        <v>413172</v>
      </c>
      <c r="HO6" s="1">
        <v>413193</v>
      </c>
      <c r="HP6" s="1">
        <v>413214</v>
      </c>
      <c r="HQ6" s="1">
        <v>413233</v>
      </c>
      <c r="HR6" s="1">
        <v>413252</v>
      </c>
      <c r="HS6" s="1">
        <v>413271</v>
      </c>
      <c r="HT6" s="1">
        <v>413291</v>
      </c>
      <c r="HU6" s="1">
        <v>413310</v>
      </c>
      <c r="HV6" s="1">
        <v>413331</v>
      </c>
      <c r="HW6" s="1">
        <v>413358</v>
      </c>
      <c r="HX6" s="1">
        <v>413397</v>
      </c>
      <c r="HY6" s="1">
        <v>413452</v>
      </c>
      <c r="HZ6" s="1">
        <v>413502</v>
      </c>
      <c r="IA6" s="1">
        <v>413549</v>
      </c>
      <c r="IB6" s="1">
        <v>413609</v>
      </c>
      <c r="IC6" s="1">
        <v>413670</v>
      </c>
      <c r="ID6" s="1">
        <v>413720</v>
      </c>
      <c r="IE6" s="1">
        <v>413755</v>
      </c>
      <c r="IF6" s="1">
        <v>413790</v>
      </c>
      <c r="IG6" s="1">
        <v>413821</v>
      </c>
      <c r="IH6" s="1">
        <v>413849</v>
      </c>
      <c r="II6" s="1">
        <v>413870</v>
      </c>
      <c r="IJ6" s="1">
        <v>413891</v>
      </c>
      <c r="IK6" s="1">
        <v>413913</v>
      </c>
      <c r="IL6" s="1">
        <v>413935</v>
      </c>
      <c r="IM6" s="1">
        <v>413954</v>
      </c>
      <c r="IN6" s="1">
        <v>413973</v>
      </c>
      <c r="IO6" s="1">
        <v>413992</v>
      </c>
      <c r="IP6" s="1">
        <v>414010</v>
      </c>
      <c r="IQ6" s="1">
        <v>414027</v>
      </c>
      <c r="IR6" s="1">
        <v>414045</v>
      </c>
      <c r="IS6" s="1">
        <v>414062</v>
      </c>
      <c r="IT6" s="1">
        <v>414079</v>
      </c>
      <c r="IU6" s="1">
        <v>414102</v>
      </c>
      <c r="IV6" s="1">
        <v>414128</v>
      </c>
      <c r="IW6" s="1">
        <v>414169</v>
      </c>
      <c r="IX6" s="1">
        <v>414211</v>
      </c>
      <c r="IY6" s="1">
        <v>414252</v>
      </c>
      <c r="IZ6" s="1">
        <v>414293</v>
      </c>
      <c r="JA6" s="1">
        <v>414341</v>
      </c>
      <c r="JB6" s="1">
        <v>414389</v>
      </c>
      <c r="JC6" s="1">
        <v>414429</v>
      </c>
      <c r="JD6" s="1">
        <v>414459</v>
      </c>
      <c r="JE6" s="1">
        <v>414487</v>
      </c>
      <c r="JF6" s="1">
        <v>414511</v>
      </c>
      <c r="JG6" s="1">
        <v>414535</v>
      </c>
      <c r="JH6" s="1">
        <v>414555</v>
      </c>
      <c r="JI6" s="1">
        <v>414575</v>
      </c>
      <c r="JJ6" s="1">
        <v>414592</v>
      </c>
      <c r="JK6" s="1">
        <v>414607</v>
      </c>
      <c r="JL6" s="1">
        <v>414621</v>
      </c>
      <c r="JM6" s="1">
        <v>414636</v>
      </c>
      <c r="JN6" s="1">
        <v>414650</v>
      </c>
      <c r="JO6" s="1">
        <v>414664</v>
      </c>
      <c r="JP6" s="1">
        <v>414678</v>
      </c>
      <c r="JQ6" s="1">
        <v>414692</v>
      </c>
      <c r="JR6" s="1">
        <v>414707</v>
      </c>
      <c r="JS6" s="1">
        <v>414728</v>
      </c>
      <c r="JT6" s="1">
        <v>414761</v>
      </c>
      <c r="JU6" s="1">
        <v>414807</v>
      </c>
      <c r="JV6" s="1">
        <v>414852</v>
      </c>
      <c r="JW6" s="1">
        <v>414896</v>
      </c>
      <c r="JX6" s="1">
        <v>414955</v>
      </c>
      <c r="JY6" s="1">
        <v>415012</v>
      </c>
      <c r="JZ6" s="1">
        <v>415069</v>
      </c>
      <c r="KA6" s="1">
        <v>415119</v>
      </c>
      <c r="KB6" s="1">
        <v>415157</v>
      </c>
      <c r="KC6" s="1">
        <v>415188</v>
      </c>
      <c r="KD6" s="1">
        <v>415215</v>
      </c>
      <c r="KE6" s="1">
        <v>415238</v>
      </c>
      <c r="KF6" s="1">
        <v>415260</v>
      </c>
      <c r="KG6" s="1">
        <v>415280</v>
      </c>
      <c r="KH6" s="1">
        <v>415299</v>
      </c>
      <c r="KI6" s="1">
        <v>415317</v>
      </c>
      <c r="KJ6" s="1">
        <v>415335</v>
      </c>
      <c r="KK6" s="1">
        <v>415352</v>
      </c>
      <c r="KL6" s="1">
        <v>415370</v>
      </c>
      <c r="KM6" s="1">
        <v>415388</v>
      </c>
      <c r="KN6" s="1">
        <v>415404</v>
      </c>
      <c r="KO6" s="1">
        <v>415421</v>
      </c>
      <c r="KP6" s="1">
        <v>415443</v>
      </c>
      <c r="KQ6" s="1">
        <v>415466</v>
      </c>
      <c r="KR6" s="1">
        <v>415498</v>
      </c>
      <c r="KS6" s="1">
        <v>415547</v>
      </c>
      <c r="KT6" s="1">
        <v>415596</v>
      </c>
      <c r="KU6" s="1">
        <v>415644</v>
      </c>
      <c r="KV6" s="1">
        <v>415686</v>
      </c>
      <c r="KW6" s="1">
        <v>415728</v>
      </c>
      <c r="KX6" s="1">
        <v>415769</v>
      </c>
      <c r="KY6" s="1">
        <v>415807</v>
      </c>
      <c r="KZ6" s="1">
        <v>415839</v>
      </c>
      <c r="LA6" s="1">
        <v>415866</v>
      </c>
      <c r="LB6" s="1">
        <v>415890</v>
      </c>
      <c r="LC6" s="1">
        <v>415912</v>
      </c>
      <c r="LD6" s="1">
        <v>415935</v>
      </c>
      <c r="LE6" s="1">
        <v>415957</v>
      </c>
      <c r="LF6" s="1">
        <v>415977</v>
      </c>
      <c r="LG6" s="1">
        <v>415996</v>
      </c>
      <c r="LH6" s="1">
        <v>416014</v>
      </c>
      <c r="LI6" s="1">
        <v>416032</v>
      </c>
      <c r="LJ6" s="1">
        <v>416051</v>
      </c>
      <c r="LK6" s="1">
        <v>416069</v>
      </c>
      <c r="LL6" s="1">
        <v>416087</v>
      </c>
      <c r="LM6" s="1">
        <v>416105</v>
      </c>
      <c r="LN6" s="1">
        <v>416123</v>
      </c>
      <c r="LO6" s="1">
        <v>416143</v>
      </c>
      <c r="LP6" s="1">
        <v>416162</v>
      </c>
      <c r="LQ6" s="1">
        <v>416184</v>
      </c>
      <c r="LR6" s="1">
        <v>416207</v>
      </c>
      <c r="LS6" s="1">
        <v>416235</v>
      </c>
      <c r="LT6" s="1">
        <v>416263</v>
      </c>
      <c r="LU6" s="1">
        <v>416293</v>
      </c>
      <c r="LV6" s="1">
        <v>416322</v>
      </c>
      <c r="LW6" s="1">
        <v>416348</v>
      </c>
      <c r="LX6" s="1">
        <v>416372</v>
      </c>
      <c r="LY6" s="1">
        <v>416395</v>
      </c>
      <c r="LZ6" s="1">
        <v>416417</v>
      </c>
      <c r="MA6" s="1">
        <v>416438</v>
      </c>
      <c r="MB6" s="1">
        <v>416460</v>
      </c>
      <c r="MC6" s="1">
        <v>416480</v>
      </c>
      <c r="MD6" s="1">
        <v>416500</v>
      </c>
      <c r="ME6" s="1">
        <v>416518</v>
      </c>
      <c r="MF6" s="1">
        <v>416537</v>
      </c>
      <c r="MG6" s="1">
        <v>416557</v>
      </c>
      <c r="MH6" s="1">
        <v>416576</v>
      </c>
      <c r="MI6" s="1">
        <v>416595</v>
      </c>
      <c r="MJ6" s="1">
        <v>416615</v>
      </c>
      <c r="MK6" s="1">
        <v>416634</v>
      </c>
      <c r="ML6" s="1">
        <v>416652</v>
      </c>
      <c r="MM6" s="1">
        <v>416672</v>
      </c>
      <c r="MN6" s="1">
        <v>416692</v>
      </c>
      <c r="MO6" s="1">
        <v>416712</v>
      </c>
      <c r="MP6" s="1">
        <v>416734</v>
      </c>
      <c r="MQ6" s="1">
        <v>416757</v>
      </c>
      <c r="MR6" s="1">
        <v>416783</v>
      </c>
      <c r="MS6" s="1">
        <v>416810</v>
      </c>
      <c r="MT6" s="1">
        <v>416833</v>
      </c>
      <c r="MU6" s="1">
        <v>416854</v>
      </c>
      <c r="MV6" s="1">
        <v>416876</v>
      </c>
      <c r="MW6" s="1">
        <v>416896</v>
      </c>
      <c r="MX6" s="1">
        <v>416917</v>
      </c>
      <c r="MY6" s="1">
        <v>416936</v>
      </c>
      <c r="MZ6" s="1">
        <v>416955</v>
      </c>
      <c r="NA6" s="1">
        <v>416974</v>
      </c>
      <c r="NB6" s="1">
        <v>416992</v>
      </c>
      <c r="NC6" s="1">
        <v>417011</v>
      </c>
      <c r="ND6" s="1">
        <v>417031</v>
      </c>
      <c r="NE6" s="1">
        <v>417050</v>
      </c>
      <c r="NF6" s="1">
        <v>417068</v>
      </c>
      <c r="NG6" s="1">
        <v>417087</v>
      </c>
      <c r="NH6" s="1">
        <v>417106</v>
      </c>
      <c r="NI6" s="1">
        <v>417125</v>
      </c>
      <c r="NJ6" s="1">
        <v>417143</v>
      </c>
      <c r="NK6" s="1">
        <v>417163</v>
      </c>
      <c r="NL6" s="1">
        <v>417185</v>
      </c>
      <c r="NM6" s="1">
        <v>417206</v>
      </c>
      <c r="NN6" s="1">
        <v>417233</v>
      </c>
      <c r="NO6" s="1">
        <v>417258</v>
      </c>
      <c r="NP6" s="1">
        <v>417283</v>
      </c>
      <c r="NQ6" s="1">
        <v>417309</v>
      </c>
      <c r="NR6" s="1">
        <v>417334</v>
      </c>
      <c r="NS6" s="1">
        <v>417358</v>
      </c>
      <c r="NT6" s="1">
        <v>417382</v>
      </c>
      <c r="NU6" s="1">
        <v>417406</v>
      </c>
      <c r="NV6" s="1">
        <v>417430</v>
      </c>
      <c r="NW6" s="1">
        <v>417453</v>
      </c>
      <c r="NX6" s="1">
        <v>417474</v>
      </c>
      <c r="NY6" s="1">
        <v>417496</v>
      </c>
      <c r="NZ6" s="1">
        <v>417516</v>
      </c>
      <c r="OA6" s="1">
        <v>417537</v>
      </c>
      <c r="OB6" s="1">
        <v>417556</v>
      </c>
      <c r="OC6" s="1">
        <v>417576</v>
      </c>
      <c r="OD6" s="1">
        <v>417596</v>
      </c>
      <c r="OE6" s="1">
        <v>417616</v>
      </c>
      <c r="OF6" s="1">
        <v>417635</v>
      </c>
      <c r="OG6" s="1">
        <v>417654</v>
      </c>
      <c r="OH6" s="1">
        <v>417673</v>
      </c>
      <c r="OI6" s="1">
        <v>417698</v>
      </c>
      <c r="OJ6" s="1">
        <v>417730</v>
      </c>
      <c r="OK6" s="1">
        <v>417780</v>
      </c>
      <c r="OL6" s="1">
        <v>417826</v>
      </c>
      <c r="OM6" s="1">
        <v>417872</v>
      </c>
      <c r="ON6" s="1">
        <v>417918</v>
      </c>
      <c r="OO6" s="1">
        <v>417974</v>
      </c>
      <c r="OP6" s="1">
        <v>418025</v>
      </c>
      <c r="OQ6" s="1">
        <v>418069</v>
      </c>
      <c r="OR6" s="1">
        <v>418107</v>
      </c>
      <c r="OS6" s="1">
        <v>418138</v>
      </c>
      <c r="OT6" s="1">
        <v>418164</v>
      </c>
      <c r="OU6" s="1">
        <v>418190</v>
      </c>
      <c r="OV6" s="1">
        <v>418216</v>
      </c>
      <c r="OW6" s="1">
        <v>418240</v>
      </c>
      <c r="OX6" s="1">
        <v>418263</v>
      </c>
      <c r="OY6" s="1">
        <v>418286</v>
      </c>
      <c r="OZ6" s="1">
        <v>418308</v>
      </c>
      <c r="PA6" s="1">
        <v>418330</v>
      </c>
      <c r="PB6" s="1">
        <v>418351</v>
      </c>
      <c r="PC6" s="1">
        <v>418373</v>
      </c>
      <c r="PD6" s="1">
        <v>418393</v>
      </c>
      <c r="PE6" s="1">
        <v>418413</v>
      </c>
      <c r="PF6" s="1">
        <v>418436</v>
      </c>
      <c r="PG6" s="1">
        <v>418467</v>
      </c>
      <c r="PH6" s="1">
        <v>418502</v>
      </c>
      <c r="PI6" s="1">
        <v>418548</v>
      </c>
      <c r="PJ6" s="1">
        <v>418598</v>
      </c>
      <c r="PK6" s="1">
        <v>418651</v>
      </c>
      <c r="PL6" s="1">
        <v>418702</v>
      </c>
      <c r="PM6" s="1">
        <v>418759</v>
      </c>
      <c r="PN6" s="1">
        <v>418810</v>
      </c>
      <c r="PO6" s="1">
        <v>418853</v>
      </c>
      <c r="PP6" s="1">
        <v>418885</v>
      </c>
      <c r="PQ6" s="1">
        <v>418914</v>
      </c>
      <c r="PR6" s="1">
        <v>418939</v>
      </c>
      <c r="PS6" s="1">
        <v>418963</v>
      </c>
      <c r="PT6" s="1">
        <v>418985</v>
      </c>
      <c r="PU6" s="1">
        <v>419007</v>
      </c>
      <c r="PV6" s="1">
        <v>419031</v>
      </c>
      <c r="PW6" s="1">
        <v>419052</v>
      </c>
      <c r="PX6" s="1">
        <v>419074</v>
      </c>
      <c r="PY6" s="1">
        <v>419099</v>
      </c>
      <c r="PZ6" s="1">
        <v>419125</v>
      </c>
      <c r="QA6" s="1">
        <v>419149</v>
      </c>
      <c r="QB6" s="1">
        <v>419173</v>
      </c>
      <c r="QC6" s="1">
        <v>419195</v>
      </c>
      <c r="QD6" s="1">
        <v>419217</v>
      </c>
      <c r="QE6" s="1">
        <v>419243</v>
      </c>
      <c r="QF6" s="1">
        <v>419271</v>
      </c>
      <c r="QG6" s="1">
        <v>419313</v>
      </c>
      <c r="QH6" s="1">
        <v>419365</v>
      </c>
      <c r="QI6" s="1">
        <v>419420</v>
      </c>
      <c r="QJ6" s="1">
        <v>419472</v>
      </c>
      <c r="QK6" s="1">
        <v>419516</v>
      </c>
      <c r="QL6" s="1">
        <v>419558</v>
      </c>
      <c r="QM6" s="1">
        <v>419594</v>
      </c>
      <c r="QN6" s="1">
        <v>419623</v>
      </c>
      <c r="QO6" s="1">
        <v>419649</v>
      </c>
      <c r="QP6" s="1">
        <v>419673</v>
      </c>
      <c r="QQ6" s="1">
        <v>419694</v>
      </c>
      <c r="QR6" s="1">
        <v>419715</v>
      </c>
      <c r="QS6" s="1">
        <v>419734</v>
      </c>
      <c r="QT6" s="1">
        <v>419753</v>
      </c>
      <c r="QU6" s="1">
        <v>419773</v>
      </c>
      <c r="QV6" s="1">
        <v>419790</v>
      </c>
      <c r="QW6" s="1">
        <v>419807</v>
      </c>
      <c r="QX6" s="1">
        <v>419824</v>
      </c>
      <c r="QY6" s="1">
        <v>419840</v>
      </c>
      <c r="QZ6" s="1">
        <v>419857</v>
      </c>
      <c r="RA6" s="1">
        <v>419875</v>
      </c>
      <c r="RB6" s="1">
        <v>419893</v>
      </c>
      <c r="RC6" s="1">
        <v>419915</v>
      </c>
      <c r="RD6" s="1">
        <v>419943</v>
      </c>
      <c r="RE6" s="1">
        <v>419981</v>
      </c>
      <c r="RF6" s="1">
        <v>420023</v>
      </c>
      <c r="RG6" s="1">
        <v>420067</v>
      </c>
      <c r="RH6" s="1">
        <v>420106</v>
      </c>
      <c r="RI6" s="1">
        <v>420147</v>
      </c>
      <c r="RJ6" s="1">
        <v>420185</v>
      </c>
      <c r="RK6" s="1">
        <v>420220</v>
      </c>
      <c r="RL6" s="1">
        <v>420246</v>
      </c>
      <c r="RM6" s="1">
        <v>420266</v>
      </c>
      <c r="RN6" s="1">
        <v>420283</v>
      </c>
      <c r="RO6" s="1">
        <v>420300</v>
      </c>
      <c r="RP6" s="1">
        <v>420315</v>
      </c>
      <c r="RQ6" s="1">
        <v>420331</v>
      </c>
      <c r="RR6" s="1">
        <v>420347</v>
      </c>
      <c r="RS6" s="1">
        <v>420363</v>
      </c>
      <c r="RT6" s="1">
        <v>420379</v>
      </c>
      <c r="RU6" s="1">
        <v>420396</v>
      </c>
      <c r="RV6" s="1">
        <v>420411</v>
      </c>
      <c r="RW6" s="1">
        <v>420427</v>
      </c>
      <c r="RX6" s="1">
        <v>420442</v>
      </c>
      <c r="RY6" s="1">
        <v>420458</v>
      </c>
      <c r="RZ6" s="1">
        <v>420475</v>
      </c>
      <c r="SA6" s="1">
        <v>420496</v>
      </c>
      <c r="SB6" s="1">
        <v>420518</v>
      </c>
      <c r="SC6" s="1">
        <v>420542</v>
      </c>
      <c r="SD6" s="1">
        <v>420563</v>
      </c>
      <c r="SE6" s="1">
        <v>420588</v>
      </c>
      <c r="SF6" s="1">
        <v>420613</v>
      </c>
      <c r="SG6" s="1">
        <v>420635</v>
      </c>
      <c r="SH6" s="1">
        <v>420658</v>
      </c>
      <c r="SI6" s="1">
        <v>420681</v>
      </c>
      <c r="SJ6" s="1">
        <v>420700</v>
      </c>
      <c r="SK6" s="1">
        <v>420719</v>
      </c>
      <c r="SL6" s="1">
        <v>420738</v>
      </c>
      <c r="SM6" s="1">
        <v>420755</v>
      </c>
      <c r="SN6" s="1">
        <v>420769</v>
      </c>
      <c r="SO6" s="1">
        <v>420783</v>
      </c>
      <c r="SP6" s="1">
        <v>420795</v>
      </c>
      <c r="SQ6" s="1">
        <v>420808</v>
      </c>
      <c r="SR6" s="1">
        <v>420820</v>
      </c>
      <c r="SS6" s="1">
        <v>420833</v>
      </c>
      <c r="ST6" s="1">
        <v>420846</v>
      </c>
      <c r="SU6" s="1">
        <v>420857</v>
      </c>
      <c r="SV6" s="1">
        <v>420870</v>
      </c>
      <c r="SW6" s="1">
        <v>420883</v>
      </c>
      <c r="SX6" s="1">
        <v>420896</v>
      </c>
      <c r="SY6" s="1">
        <v>420906</v>
      </c>
    </row>
    <row r="7" spans="1:750">
      <c r="A7" s="1">
        <v>6</v>
      </c>
      <c r="B7" s="1" t="s">
        <v>2</v>
      </c>
      <c r="C7" s="1" t="s">
        <v>3</v>
      </c>
      <c r="D7" s="1" t="s">
        <v>10</v>
      </c>
      <c r="E7" s="1" t="s">
        <v>5</v>
      </c>
      <c r="F7" s="1">
        <v>62643.5</v>
      </c>
      <c r="G7" s="1">
        <v>62698.5</v>
      </c>
      <c r="H7" s="1">
        <v>62751.6</v>
      </c>
      <c r="I7" s="1">
        <v>62803.5</v>
      </c>
      <c r="J7" s="1">
        <v>62854.9</v>
      </c>
      <c r="K7" s="1">
        <v>62906</v>
      </c>
      <c r="L7" s="1">
        <v>62956.2</v>
      </c>
      <c r="M7" s="1">
        <v>63005.2</v>
      </c>
      <c r="N7" s="1">
        <v>63052.4</v>
      </c>
      <c r="O7" s="1">
        <v>63091.6</v>
      </c>
      <c r="P7" s="1">
        <v>63121.8</v>
      </c>
      <c r="Q7" s="1">
        <v>63146.9</v>
      </c>
      <c r="R7" s="1">
        <v>63168.3</v>
      </c>
      <c r="S7" s="1">
        <v>63188.9</v>
      </c>
      <c r="T7" s="1">
        <v>63215.6</v>
      </c>
      <c r="U7" s="1">
        <v>63259.1</v>
      </c>
      <c r="V7" s="1">
        <v>63309.2</v>
      </c>
      <c r="W7" s="1">
        <v>63356.5</v>
      </c>
      <c r="X7" s="1">
        <v>63414.3</v>
      </c>
      <c r="Y7" s="1">
        <v>63468.5</v>
      </c>
      <c r="Z7" s="1">
        <v>63524.4</v>
      </c>
      <c r="AA7" s="1">
        <v>63579.9</v>
      </c>
      <c r="AB7" s="1">
        <v>63635.1</v>
      </c>
      <c r="AC7" s="1">
        <v>63690.8</v>
      </c>
      <c r="AD7" s="1">
        <v>63747.1</v>
      </c>
      <c r="AE7" s="1">
        <v>63801.8</v>
      </c>
      <c r="AF7" s="1">
        <v>63855.8</v>
      </c>
      <c r="AG7" s="1">
        <v>63906.400000000001</v>
      </c>
      <c r="AH7" s="1">
        <v>63957.9</v>
      </c>
      <c r="AI7" s="1">
        <v>64008.7</v>
      </c>
      <c r="AJ7" s="1">
        <v>64059.4</v>
      </c>
      <c r="AK7" s="1">
        <v>64109.2</v>
      </c>
      <c r="AL7" s="1">
        <v>64158.7</v>
      </c>
      <c r="AM7" s="1">
        <v>64208.2</v>
      </c>
      <c r="AN7" s="1">
        <v>64268</v>
      </c>
      <c r="AO7" s="1">
        <v>64344.7</v>
      </c>
      <c r="AP7" s="1">
        <v>64426.3</v>
      </c>
      <c r="AQ7" s="1">
        <v>64507</v>
      </c>
      <c r="AR7" s="1">
        <v>64601</v>
      </c>
      <c r="AS7" s="1">
        <v>64706.8</v>
      </c>
      <c r="AT7" s="1">
        <v>64807.1</v>
      </c>
      <c r="AU7" s="1">
        <v>64909.3</v>
      </c>
      <c r="AV7" s="1">
        <v>64999</v>
      </c>
      <c r="AW7" s="1">
        <v>65079.5</v>
      </c>
      <c r="AX7" s="1">
        <v>65160.7</v>
      </c>
      <c r="AY7" s="1">
        <v>65235.1</v>
      </c>
      <c r="AZ7" s="1">
        <v>65304.6</v>
      </c>
      <c r="BA7" s="1">
        <v>65369.7</v>
      </c>
      <c r="BB7" s="1">
        <v>65429.7</v>
      </c>
      <c r="BC7" s="1">
        <v>65487.5</v>
      </c>
      <c r="BD7" s="1">
        <v>65544</v>
      </c>
      <c r="BE7" s="1">
        <v>65600.399999999994</v>
      </c>
      <c r="BF7" s="1">
        <v>65656.3</v>
      </c>
      <c r="BG7" s="1">
        <v>65711.5</v>
      </c>
      <c r="BH7" s="1">
        <v>65764</v>
      </c>
      <c r="BI7" s="1">
        <v>65815</v>
      </c>
      <c r="BJ7" s="1">
        <v>65860.7</v>
      </c>
      <c r="BK7" s="1">
        <v>65909.399999999994</v>
      </c>
      <c r="BL7" s="1">
        <v>65968.5</v>
      </c>
      <c r="BM7" s="1">
        <v>66031</v>
      </c>
      <c r="BN7" s="1">
        <v>66106.5</v>
      </c>
      <c r="BO7" s="1">
        <v>66185.5</v>
      </c>
      <c r="BP7" s="1">
        <v>66275.100000000006</v>
      </c>
      <c r="BQ7" s="1">
        <v>66364</v>
      </c>
      <c r="BR7" s="1">
        <v>66453.899999999994</v>
      </c>
      <c r="BS7" s="1">
        <v>66547.3</v>
      </c>
      <c r="BT7" s="1">
        <v>66635.399999999994</v>
      </c>
      <c r="BU7" s="1">
        <v>66720.5</v>
      </c>
      <c r="BV7" s="1">
        <v>66794.3</v>
      </c>
      <c r="BW7" s="1">
        <v>66856.600000000006</v>
      </c>
      <c r="BX7" s="1">
        <v>66916.3</v>
      </c>
      <c r="BY7" s="1">
        <v>66973.7</v>
      </c>
      <c r="BZ7" s="1">
        <v>67030.100000000006</v>
      </c>
      <c r="CA7" s="1">
        <v>67086.5</v>
      </c>
      <c r="CB7" s="1">
        <v>67142.600000000006</v>
      </c>
      <c r="CC7" s="1">
        <v>67197.7</v>
      </c>
      <c r="CD7" s="1">
        <v>67251.399999999994</v>
      </c>
      <c r="CE7" s="1">
        <v>67305.899999999994</v>
      </c>
      <c r="CF7" s="1">
        <v>67360.399999999994</v>
      </c>
      <c r="CG7" s="1">
        <v>67414.399999999994</v>
      </c>
      <c r="CH7" s="1">
        <v>67468.7</v>
      </c>
      <c r="CI7" s="1">
        <v>67520.2</v>
      </c>
      <c r="CJ7" s="1">
        <v>67575.399999999994</v>
      </c>
      <c r="CK7" s="1">
        <v>67649</v>
      </c>
      <c r="CL7" s="1">
        <v>67727.5</v>
      </c>
      <c r="CM7" s="1">
        <v>67800.5</v>
      </c>
      <c r="CN7" s="1">
        <v>67885.899999999994</v>
      </c>
      <c r="CO7" s="1">
        <v>67985.899999999994</v>
      </c>
      <c r="CP7" s="1">
        <v>68085.600000000006</v>
      </c>
      <c r="CQ7" s="1">
        <v>68182.399999999994</v>
      </c>
      <c r="CR7" s="1">
        <v>68265.600000000006</v>
      </c>
      <c r="CS7" s="1">
        <v>68338.7</v>
      </c>
      <c r="CT7" s="1">
        <v>68407.100000000006</v>
      </c>
      <c r="CU7" s="1">
        <v>68472.399999999994</v>
      </c>
      <c r="CV7" s="1">
        <v>68538.5</v>
      </c>
      <c r="CW7" s="1">
        <v>68598.8</v>
      </c>
      <c r="CX7" s="1">
        <v>68658.899999999994</v>
      </c>
      <c r="CY7" s="1">
        <v>68719.7</v>
      </c>
      <c r="CZ7" s="1">
        <v>68778.100000000006</v>
      </c>
      <c r="DA7" s="1">
        <v>68833.899999999994</v>
      </c>
      <c r="DB7" s="1">
        <v>68888.3</v>
      </c>
      <c r="DC7" s="1">
        <v>68943.8</v>
      </c>
      <c r="DD7" s="1">
        <v>68999</v>
      </c>
      <c r="DE7" s="1">
        <v>69053.100000000006</v>
      </c>
      <c r="DF7" s="1">
        <v>69107.100000000006</v>
      </c>
      <c r="DG7" s="1">
        <v>69158.7</v>
      </c>
      <c r="DH7" s="1">
        <v>69230.899999999994</v>
      </c>
      <c r="DI7" s="1">
        <v>69308</v>
      </c>
      <c r="DJ7" s="1">
        <v>69390.399999999994</v>
      </c>
      <c r="DK7" s="1">
        <v>69481.100000000006</v>
      </c>
      <c r="DL7" s="1">
        <v>69586.399999999994</v>
      </c>
      <c r="DM7" s="1">
        <v>69699.3</v>
      </c>
      <c r="DN7" s="1">
        <v>69803.7</v>
      </c>
      <c r="DO7" s="1">
        <v>69899</v>
      </c>
      <c r="DP7" s="1">
        <v>69983.899999999994</v>
      </c>
      <c r="DQ7" s="1">
        <v>70061.600000000006</v>
      </c>
      <c r="DR7" s="1">
        <v>70130.2</v>
      </c>
      <c r="DS7" s="1">
        <v>70195.7</v>
      </c>
      <c r="DT7" s="1">
        <v>70260.600000000006</v>
      </c>
      <c r="DU7" s="1">
        <v>70322.3</v>
      </c>
      <c r="DV7" s="1">
        <v>70380.3</v>
      </c>
      <c r="DW7" s="1">
        <v>70436.2</v>
      </c>
      <c r="DX7" s="1">
        <v>70492.399999999994</v>
      </c>
      <c r="DY7" s="1">
        <v>70547.3</v>
      </c>
      <c r="DZ7" s="1">
        <v>70600.7</v>
      </c>
      <c r="EA7" s="1">
        <v>70652.800000000003</v>
      </c>
      <c r="EB7" s="1">
        <v>70705.7</v>
      </c>
      <c r="EC7" s="1">
        <v>70760.7</v>
      </c>
      <c r="ED7" s="1">
        <v>70814.5</v>
      </c>
      <c r="EE7" s="1">
        <v>70865.3</v>
      </c>
      <c r="EF7" s="1">
        <v>70929.399999999994</v>
      </c>
      <c r="EG7" s="1">
        <v>71016</v>
      </c>
      <c r="EH7" s="1">
        <v>71092</v>
      </c>
      <c r="EI7" s="1">
        <v>71187.3</v>
      </c>
      <c r="EJ7" s="1">
        <v>71281.8</v>
      </c>
      <c r="EK7" s="1">
        <v>71378.399999999994</v>
      </c>
      <c r="EL7" s="1">
        <v>71473.3</v>
      </c>
      <c r="EM7" s="1">
        <v>71579.899999999994</v>
      </c>
      <c r="EN7" s="1">
        <v>71667.399999999994</v>
      </c>
      <c r="EO7" s="1">
        <v>71749</v>
      </c>
      <c r="EP7" s="1">
        <v>71825</v>
      </c>
      <c r="EQ7" s="1">
        <v>71891</v>
      </c>
      <c r="ER7" s="1">
        <v>71952.399999999994</v>
      </c>
      <c r="ES7" s="1">
        <v>72011</v>
      </c>
      <c r="ET7" s="1">
        <v>72065.399999999994</v>
      </c>
      <c r="EU7" s="1">
        <v>72118.7</v>
      </c>
      <c r="EV7" s="1">
        <v>72172</v>
      </c>
      <c r="EW7" s="1">
        <v>72226</v>
      </c>
      <c r="EX7" s="1">
        <v>72277.7</v>
      </c>
      <c r="EY7" s="1">
        <v>72329.3</v>
      </c>
      <c r="EZ7" s="1">
        <v>72381.3</v>
      </c>
      <c r="FA7" s="1">
        <v>72431.399999999994</v>
      </c>
      <c r="FB7" s="1">
        <v>72482.5</v>
      </c>
      <c r="FC7" s="1">
        <v>72523.100000000006</v>
      </c>
      <c r="FD7" s="1">
        <v>72555.7</v>
      </c>
      <c r="FE7" s="1">
        <v>72586.600000000006</v>
      </c>
      <c r="FF7" s="1">
        <v>72621.2</v>
      </c>
      <c r="FG7" s="1">
        <v>72656.399999999994</v>
      </c>
      <c r="FH7" s="1">
        <v>72694</v>
      </c>
      <c r="FI7" s="1">
        <v>72739.8</v>
      </c>
      <c r="FJ7" s="1">
        <v>72792.800000000003</v>
      </c>
      <c r="FK7" s="1">
        <v>72852.7</v>
      </c>
      <c r="FL7" s="1">
        <v>72918.8</v>
      </c>
      <c r="FM7" s="1">
        <v>72983.199999999997</v>
      </c>
      <c r="FN7" s="1">
        <v>73045.600000000006</v>
      </c>
      <c r="FO7" s="1">
        <v>73103.199999999997</v>
      </c>
      <c r="FP7" s="1">
        <v>73158.7</v>
      </c>
      <c r="FQ7" s="1">
        <v>73216.899999999994</v>
      </c>
      <c r="FR7" s="1">
        <v>73277.7</v>
      </c>
      <c r="FS7" s="1">
        <v>73336</v>
      </c>
      <c r="FT7" s="1">
        <v>73392.7</v>
      </c>
      <c r="FU7" s="1">
        <v>73448.100000000006</v>
      </c>
      <c r="FV7" s="1">
        <v>73500.7</v>
      </c>
      <c r="FW7" s="1">
        <v>73552.2</v>
      </c>
      <c r="FX7" s="1">
        <v>73602.899999999994</v>
      </c>
      <c r="FY7" s="1">
        <v>73652.5</v>
      </c>
      <c r="FZ7" s="1">
        <v>73699.199999999997</v>
      </c>
      <c r="GA7" s="1">
        <v>73738</v>
      </c>
      <c r="GB7" s="1">
        <v>73769.8</v>
      </c>
      <c r="GC7" s="1">
        <v>73798.899999999994</v>
      </c>
      <c r="GD7" s="1">
        <v>73826.2</v>
      </c>
      <c r="GE7" s="1">
        <v>73857.399999999994</v>
      </c>
      <c r="GF7" s="1">
        <v>73897.399999999994</v>
      </c>
      <c r="GG7" s="1">
        <v>73946.600000000006</v>
      </c>
      <c r="GH7" s="1">
        <v>74009.899999999994</v>
      </c>
      <c r="GI7" s="1">
        <v>74066.3</v>
      </c>
      <c r="GJ7" s="1">
        <v>74127.600000000006</v>
      </c>
      <c r="GK7" s="1">
        <v>74187.399999999994</v>
      </c>
      <c r="GL7" s="1">
        <v>74254.3</v>
      </c>
      <c r="GM7" s="1">
        <v>74315.100000000006</v>
      </c>
      <c r="GN7" s="1">
        <v>74372.5</v>
      </c>
      <c r="GO7" s="1">
        <v>74428.899999999994</v>
      </c>
      <c r="GP7" s="1">
        <v>74487.3</v>
      </c>
      <c r="GQ7" s="1">
        <v>74545.899999999994</v>
      </c>
      <c r="GR7" s="1">
        <v>74600.800000000003</v>
      </c>
      <c r="GS7" s="1">
        <v>74651.8</v>
      </c>
      <c r="GT7" s="1">
        <v>74703.100000000006</v>
      </c>
      <c r="GU7" s="1">
        <v>74754.3</v>
      </c>
      <c r="GV7" s="1">
        <v>74805.3</v>
      </c>
      <c r="GW7" s="1">
        <v>74854.899999999994</v>
      </c>
      <c r="GX7" s="1">
        <v>74903.100000000006</v>
      </c>
      <c r="GY7" s="1">
        <v>74956.3</v>
      </c>
      <c r="GZ7" s="1">
        <v>75016.3</v>
      </c>
      <c r="HA7" s="1">
        <v>75094.2</v>
      </c>
      <c r="HB7" s="1">
        <v>75164.3</v>
      </c>
      <c r="HC7" s="1">
        <v>75244.2</v>
      </c>
      <c r="HD7" s="1">
        <v>75325.5</v>
      </c>
      <c r="HE7" s="1">
        <v>75429.7</v>
      </c>
      <c r="HF7" s="1">
        <v>75526.3</v>
      </c>
      <c r="HG7" s="1">
        <v>75629.8</v>
      </c>
      <c r="HH7" s="1">
        <v>75720.3</v>
      </c>
      <c r="HI7" s="1">
        <v>75799.7</v>
      </c>
      <c r="HJ7" s="1">
        <v>75872.7</v>
      </c>
      <c r="HK7" s="1">
        <v>75945.100000000006</v>
      </c>
      <c r="HL7" s="1">
        <v>76016.7</v>
      </c>
      <c r="HM7" s="1">
        <v>76085.600000000006</v>
      </c>
      <c r="HN7" s="1">
        <v>76154.7</v>
      </c>
      <c r="HO7" s="1">
        <v>76223.899999999994</v>
      </c>
      <c r="HP7" s="1">
        <v>76289.7</v>
      </c>
      <c r="HQ7" s="1">
        <v>76353</v>
      </c>
      <c r="HR7" s="1">
        <v>76419.199999999997</v>
      </c>
      <c r="HS7" s="1">
        <v>76480.100000000006</v>
      </c>
      <c r="HT7" s="1">
        <v>76542.399999999994</v>
      </c>
      <c r="HU7" s="1">
        <v>76602.3</v>
      </c>
      <c r="HV7" s="1">
        <v>76660.899999999994</v>
      </c>
      <c r="HW7" s="1">
        <v>76722.8</v>
      </c>
      <c r="HX7" s="1">
        <v>76788.7</v>
      </c>
      <c r="HY7" s="1">
        <v>76881.100000000006</v>
      </c>
      <c r="HZ7" s="1">
        <v>76994.600000000006</v>
      </c>
      <c r="IA7" s="1">
        <v>77090.399999999994</v>
      </c>
      <c r="IB7" s="1">
        <v>77187.8</v>
      </c>
      <c r="IC7" s="1">
        <v>77297</v>
      </c>
      <c r="ID7" s="1">
        <v>77432.399999999994</v>
      </c>
      <c r="IE7" s="1">
        <v>77551.3</v>
      </c>
      <c r="IF7" s="1">
        <v>77647.199999999997</v>
      </c>
      <c r="IG7" s="1">
        <v>77731.399999999994</v>
      </c>
      <c r="IH7" s="1">
        <v>77810.5</v>
      </c>
      <c r="II7" s="1">
        <v>77883.5</v>
      </c>
      <c r="IJ7" s="1">
        <v>77955.399999999994</v>
      </c>
      <c r="IK7" s="1">
        <v>78023.100000000006</v>
      </c>
      <c r="IL7" s="1">
        <v>78088.7</v>
      </c>
      <c r="IM7" s="1">
        <v>78152.800000000003</v>
      </c>
      <c r="IN7" s="1">
        <v>78214.3</v>
      </c>
      <c r="IO7" s="1">
        <v>78272.600000000006</v>
      </c>
      <c r="IP7" s="1">
        <v>78330.3</v>
      </c>
      <c r="IQ7" s="1">
        <v>78387.8</v>
      </c>
      <c r="IR7" s="1">
        <v>78445.600000000006</v>
      </c>
      <c r="IS7" s="1">
        <v>78504.800000000003</v>
      </c>
      <c r="IT7" s="1">
        <v>78563.199999999997</v>
      </c>
      <c r="IU7" s="1">
        <v>78626</v>
      </c>
      <c r="IV7" s="1">
        <v>78698.899999999994</v>
      </c>
      <c r="IW7" s="1">
        <v>78783.7</v>
      </c>
      <c r="IX7" s="1">
        <v>78872.5</v>
      </c>
      <c r="IY7" s="1">
        <v>78957.3</v>
      </c>
      <c r="IZ7" s="1">
        <v>79042.2</v>
      </c>
      <c r="JA7" s="1">
        <v>79127.7</v>
      </c>
      <c r="JB7" s="1">
        <v>79213.7</v>
      </c>
      <c r="JC7" s="1">
        <v>79297.899999999994</v>
      </c>
      <c r="JD7" s="1">
        <v>79372.399999999994</v>
      </c>
      <c r="JE7" s="1">
        <v>79436.100000000006</v>
      </c>
      <c r="JF7" s="1">
        <v>79496.7</v>
      </c>
      <c r="JG7" s="1">
        <v>79554.8</v>
      </c>
      <c r="JH7" s="1">
        <v>79611</v>
      </c>
      <c r="JI7" s="1">
        <v>79667.8</v>
      </c>
      <c r="JJ7" s="1">
        <v>79724.2</v>
      </c>
      <c r="JK7" s="1">
        <v>79776.399999999994</v>
      </c>
      <c r="JL7" s="1">
        <v>79829.899999999994</v>
      </c>
      <c r="JM7" s="1">
        <v>79881.600000000006</v>
      </c>
      <c r="JN7" s="1">
        <v>79932.2</v>
      </c>
      <c r="JO7" s="1">
        <v>79984.899999999994</v>
      </c>
      <c r="JP7" s="1">
        <v>80037.100000000006</v>
      </c>
      <c r="JQ7" s="1">
        <v>80086.7</v>
      </c>
      <c r="JR7" s="1">
        <v>80134.399999999994</v>
      </c>
      <c r="JS7" s="1">
        <v>80180.100000000006</v>
      </c>
      <c r="JT7" s="1">
        <v>80225.2</v>
      </c>
      <c r="JU7" s="1">
        <v>80296.5</v>
      </c>
      <c r="JV7" s="1">
        <v>80370.899999999994</v>
      </c>
      <c r="JW7" s="1">
        <v>80453.7</v>
      </c>
      <c r="JX7" s="1">
        <v>80535.8</v>
      </c>
      <c r="JY7" s="1">
        <v>80632.100000000006</v>
      </c>
      <c r="JZ7" s="1">
        <v>80731.3</v>
      </c>
      <c r="KA7" s="1">
        <v>80838.3</v>
      </c>
      <c r="KB7" s="1">
        <v>80929.899999999994</v>
      </c>
      <c r="KC7" s="1">
        <v>81011.5</v>
      </c>
      <c r="KD7" s="1">
        <v>81088.2</v>
      </c>
      <c r="KE7" s="1">
        <v>81152.399999999994</v>
      </c>
      <c r="KF7" s="1">
        <v>81212.399999999994</v>
      </c>
      <c r="KG7" s="1">
        <v>81270.5</v>
      </c>
      <c r="KH7" s="1">
        <v>81328.800000000003</v>
      </c>
      <c r="KI7" s="1">
        <v>81388.5</v>
      </c>
      <c r="KJ7" s="1">
        <v>81448.600000000006</v>
      </c>
      <c r="KK7" s="1">
        <v>81505.8</v>
      </c>
      <c r="KL7" s="1">
        <v>81561.5</v>
      </c>
      <c r="KM7" s="1">
        <v>81616.3</v>
      </c>
      <c r="KN7" s="1">
        <v>81670.7</v>
      </c>
      <c r="KO7" s="1">
        <v>81724.5</v>
      </c>
      <c r="KP7" s="1">
        <v>81773.899999999994</v>
      </c>
      <c r="KQ7" s="1">
        <v>81822.399999999994</v>
      </c>
      <c r="KR7" s="1">
        <v>81878.899999999994</v>
      </c>
      <c r="KS7" s="1">
        <v>81957.5</v>
      </c>
      <c r="KT7" s="1">
        <v>82039.899999999994</v>
      </c>
      <c r="KU7" s="1">
        <v>82136.5</v>
      </c>
      <c r="KV7" s="1">
        <v>82240.5</v>
      </c>
      <c r="KW7" s="1">
        <v>82347.5</v>
      </c>
      <c r="KX7" s="1">
        <v>82444.7</v>
      </c>
      <c r="KY7" s="1">
        <v>82542</v>
      </c>
      <c r="KZ7" s="1">
        <v>82620.399999999994</v>
      </c>
      <c r="LA7" s="1">
        <v>82685.100000000006</v>
      </c>
      <c r="LB7" s="1">
        <v>82741.7</v>
      </c>
      <c r="LC7" s="1">
        <v>82794.3</v>
      </c>
      <c r="LD7" s="1">
        <v>82845.5</v>
      </c>
      <c r="LE7" s="1">
        <v>82896.399999999994</v>
      </c>
      <c r="LF7" s="1">
        <v>82945.2</v>
      </c>
      <c r="LG7" s="1">
        <v>82997.899999999994</v>
      </c>
      <c r="LH7" s="1">
        <v>83047.7</v>
      </c>
      <c r="LI7" s="1">
        <v>83095.8</v>
      </c>
      <c r="LJ7" s="1">
        <v>83143.3</v>
      </c>
      <c r="LK7" s="1">
        <v>83190.399999999994</v>
      </c>
      <c r="LL7" s="1">
        <v>83237.100000000006</v>
      </c>
      <c r="LM7" s="1">
        <v>83282.100000000006</v>
      </c>
      <c r="LN7" s="1">
        <v>83324.399999999994</v>
      </c>
      <c r="LO7" s="1">
        <v>83362.100000000006</v>
      </c>
      <c r="LP7" s="1">
        <v>83399.399999999994</v>
      </c>
      <c r="LQ7" s="1">
        <v>83444.3</v>
      </c>
      <c r="LR7" s="1">
        <v>83490</v>
      </c>
      <c r="LS7" s="1">
        <v>83524.399999999994</v>
      </c>
      <c r="LT7" s="1">
        <v>83562.100000000006</v>
      </c>
      <c r="LU7" s="1">
        <v>83612.7</v>
      </c>
      <c r="LV7" s="1">
        <v>83664.399999999994</v>
      </c>
      <c r="LW7" s="1">
        <v>83716.800000000003</v>
      </c>
      <c r="LX7" s="1">
        <v>83770.899999999994</v>
      </c>
      <c r="LY7" s="1">
        <v>83823.899999999994</v>
      </c>
      <c r="LZ7" s="1">
        <v>83875.899999999994</v>
      </c>
      <c r="MA7" s="1">
        <v>83926.399999999994</v>
      </c>
      <c r="MB7" s="1">
        <v>83976.6</v>
      </c>
      <c r="MC7" s="1">
        <v>84023.9</v>
      </c>
      <c r="MD7" s="1">
        <v>84070.399999999994</v>
      </c>
      <c r="ME7" s="1">
        <v>84117</v>
      </c>
      <c r="MF7" s="1">
        <v>84165.8</v>
      </c>
      <c r="MG7" s="1">
        <v>84214.1</v>
      </c>
      <c r="MH7" s="1">
        <v>84261.5</v>
      </c>
      <c r="MI7" s="1">
        <v>84308.9</v>
      </c>
      <c r="MJ7" s="1">
        <v>84357.2</v>
      </c>
      <c r="MK7" s="1">
        <v>84402.8</v>
      </c>
      <c r="ML7" s="1">
        <v>84447</v>
      </c>
      <c r="MM7" s="1">
        <v>84488.5</v>
      </c>
      <c r="MN7" s="1">
        <v>84529.7</v>
      </c>
      <c r="MO7" s="1">
        <v>84571.7</v>
      </c>
      <c r="MP7" s="1">
        <v>84604.7</v>
      </c>
      <c r="MQ7" s="1">
        <v>84630.399999999994</v>
      </c>
      <c r="MR7" s="1">
        <v>84657.1</v>
      </c>
      <c r="MS7" s="1">
        <v>84690.8</v>
      </c>
      <c r="MT7" s="1">
        <v>84748.9</v>
      </c>
      <c r="MU7" s="1">
        <v>84811.4</v>
      </c>
      <c r="MV7" s="1">
        <v>84870.3</v>
      </c>
      <c r="MW7" s="1">
        <v>84934.8</v>
      </c>
      <c r="MX7" s="1">
        <v>85000.1</v>
      </c>
      <c r="MY7" s="1">
        <v>85060.7</v>
      </c>
      <c r="MZ7" s="1">
        <v>85119.9</v>
      </c>
      <c r="NA7" s="1">
        <v>85177</v>
      </c>
      <c r="NB7" s="1">
        <v>85232.5</v>
      </c>
      <c r="NC7" s="1">
        <v>85288.8</v>
      </c>
      <c r="ND7" s="1">
        <v>85346.4</v>
      </c>
      <c r="NE7" s="1">
        <v>85401.9</v>
      </c>
      <c r="NF7" s="1">
        <v>85456.8</v>
      </c>
      <c r="NG7" s="1">
        <v>85509.4</v>
      </c>
      <c r="NH7" s="1">
        <v>85561.7</v>
      </c>
      <c r="NI7" s="1">
        <v>85613.3</v>
      </c>
      <c r="NJ7" s="1">
        <v>85662.1</v>
      </c>
      <c r="NK7" s="1">
        <v>85704.2</v>
      </c>
      <c r="NL7" s="1">
        <v>85744.6</v>
      </c>
      <c r="NM7" s="1">
        <v>85778.5</v>
      </c>
      <c r="NN7" s="1">
        <v>85807.7</v>
      </c>
      <c r="NO7" s="1">
        <v>85843.5</v>
      </c>
      <c r="NP7" s="1">
        <v>85880</v>
      </c>
      <c r="NQ7" s="1">
        <v>85939.6</v>
      </c>
      <c r="NR7" s="1">
        <v>86005.3</v>
      </c>
      <c r="NS7" s="1">
        <v>86069.9</v>
      </c>
      <c r="NT7" s="1">
        <v>86127.8</v>
      </c>
      <c r="NU7" s="1">
        <v>86192.2</v>
      </c>
      <c r="NV7" s="1">
        <v>86253.5</v>
      </c>
      <c r="NW7" s="1">
        <v>86313.9</v>
      </c>
      <c r="NX7" s="1">
        <v>86372.5</v>
      </c>
      <c r="NY7" s="1">
        <v>86428.4</v>
      </c>
      <c r="NZ7" s="1">
        <v>86482.5</v>
      </c>
      <c r="OA7" s="1">
        <v>86532.800000000003</v>
      </c>
      <c r="OB7" s="1">
        <v>86582.9</v>
      </c>
      <c r="OC7" s="1">
        <v>86632.1</v>
      </c>
      <c r="OD7" s="1">
        <v>86680.3</v>
      </c>
      <c r="OE7" s="1">
        <v>86728.1</v>
      </c>
      <c r="OF7" s="1">
        <v>86775</v>
      </c>
      <c r="OG7" s="1">
        <v>86819.4</v>
      </c>
      <c r="OH7" s="1">
        <v>86861.6</v>
      </c>
      <c r="OI7" s="1">
        <v>86907.4</v>
      </c>
      <c r="OJ7" s="1">
        <v>86963.199999999997</v>
      </c>
      <c r="OK7" s="1">
        <v>87043.7</v>
      </c>
      <c r="OL7" s="1">
        <v>87132.5</v>
      </c>
      <c r="OM7" s="1">
        <v>87224.1</v>
      </c>
      <c r="ON7" s="1">
        <v>87342.1</v>
      </c>
      <c r="OO7" s="1">
        <v>87472</v>
      </c>
      <c r="OP7" s="1">
        <v>87615.2</v>
      </c>
      <c r="OQ7" s="1">
        <v>87744.4</v>
      </c>
      <c r="OR7" s="1">
        <v>87851.3</v>
      </c>
      <c r="OS7" s="1">
        <v>87935.8</v>
      </c>
      <c r="OT7" s="1">
        <v>88015.6</v>
      </c>
      <c r="OU7" s="1">
        <v>88091.1</v>
      </c>
      <c r="OV7" s="1">
        <v>88160.4</v>
      </c>
      <c r="OW7" s="1">
        <v>88226.6</v>
      </c>
      <c r="OX7" s="1">
        <v>88288.6</v>
      </c>
      <c r="OY7" s="1">
        <v>88349.3</v>
      </c>
      <c r="OZ7" s="1">
        <v>88410.6</v>
      </c>
      <c r="PA7" s="1">
        <v>88471.2</v>
      </c>
      <c r="PB7" s="1">
        <v>88530.5</v>
      </c>
      <c r="PC7" s="1">
        <v>88588.5</v>
      </c>
      <c r="PD7" s="1">
        <v>88647.1</v>
      </c>
      <c r="PE7" s="1">
        <v>88704.3</v>
      </c>
      <c r="PF7" s="1">
        <v>88759.4</v>
      </c>
      <c r="PG7" s="1">
        <v>88814.399999999994</v>
      </c>
      <c r="PH7" s="1">
        <v>88880</v>
      </c>
      <c r="PI7" s="1">
        <v>88964.9</v>
      </c>
      <c r="PJ7" s="1">
        <v>89068.1</v>
      </c>
      <c r="PK7" s="1">
        <v>89185.9</v>
      </c>
      <c r="PL7" s="1">
        <v>89299.1</v>
      </c>
      <c r="PM7" s="1">
        <v>89408.6</v>
      </c>
      <c r="PN7" s="1">
        <v>89536.5</v>
      </c>
      <c r="PO7" s="1">
        <v>89662.7</v>
      </c>
      <c r="PP7" s="1">
        <v>89767</v>
      </c>
      <c r="PQ7" s="1">
        <v>89857.3</v>
      </c>
      <c r="PR7" s="1">
        <v>89941.1</v>
      </c>
      <c r="PS7" s="1">
        <v>90018.7</v>
      </c>
      <c r="PT7" s="1">
        <v>90088.9</v>
      </c>
      <c r="PU7" s="1">
        <v>90157.4</v>
      </c>
      <c r="PV7" s="1">
        <v>90224.3</v>
      </c>
      <c r="PW7" s="1">
        <v>90289.600000000006</v>
      </c>
      <c r="PX7" s="1">
        <v>90352.6</v>
      </c>
      <c r="PY7" s="1">
        <v>90409.9</v>
      </c>
      <c r="PZ7" s="1">
        <v>90468.1</v>
      </c>
      <c r="QA7" s="1">
        <v>90525.6</v>
      </c>
      <c r="QB7" s="1">
        <v>90583.1</v>
      </c>
      <c r="QC7" s="1">
        <v>90638.7</v>
      </c>
      <c r="QD7" s="1">
        <v>90693.3</v>
      </c>
      <c r="QE7" s="1">
        <v>90749.4</v>
      </c>
      <c r="QF7" s="1">
        <v>90808.4</v>
      </c>
      <c r="QG7" s="1">
        <v>90884.9</v>
      </c>
      <c r="QH7" s="1">
        <v>90961.4</v>
      </c>
      <c r="QI7" s="1">
        <v>91049.9</v>
      </c>
      <c r="QJ7" s="1">
        <v>91140.3</v>
      </c>
      <c r="QK7" s="1">
        <v>91237.3</v>
      </c>
      <c r="QL7" s="1">
        <v>91343.3</v>
      </c>
      <c r="QM7" s="1">
        <v>91439.7</v>
      </c>
      <c r="QN7" s="1">
        <v>91516.3</v>
      </c>
      <c r="QO7" s="1">
        <v>91580.9</v>
      </c>
      <c r="QP7" s="1">
        <v>91642.4</v>
      </c>
      <c r="QQ7" s="1">
        <v>91700.4</v>
      </c>
      <c r="QR7" s="1">
        <v>91757</v>
      </c>
      <c r="QS7" s="1">
        <v>91810.5</v>
      </c>
      <c r="QT7" s="1">
        <v>91863</v>
      </c>
      <c r="QU7" s="1">
        <v>91915.1</v>
      </c>
      <c r="QV7" s="1">
        <v>91967.3</v>
      </c>
      <c r="QW7" s="1">
        <v>92018.7</v>
      </c>
      <c r="QX7" s="1">
        <v>92069.4</v>
      </c>
      <c r="QY7" s="1">
        <v>92117.8</v>
      </c>
      <c r="QZ7" s="1">
        <v>92165.7</v>
      </c>
      <c r="RA7" s="1">
        <v>92212.6</v>
      </c>
      <c r="RB7" s="1">
        <v>92257.1</v>
      </c>
      <c r="RC7" s="1">
        <v>92298.3</v>
      </c>
      <c r="RD7" s="1">
        <v>92340</v>
      </c>
      <c r="RE7" s="1">
        <v>92400.4</v>
      </c>
      <c r="RF7" s="1">
        <v>92476</v>
      </c>
      <c r="RG7" s="1">
        <v>92552.1</v>
      </c>
      <c r="RH7" s="1">
        <v>92632.6</v>
      </c>
      <c r="RI7" s="1">
        <v>92746.4</v>
      </c>
      <c r="RJ7" s="1">
        <v>92859.3</v>
      </c>
      <c r="RK7" s="1">
        <v>92964.5</v>
      </c>
      <c r="RL7" s="1">
        <v>93051.1</v>
      </c>
      <c r="RM7" s="1">
        <v>93134.1</v>
      </c>
      <c r="RN7" s="1">
        <v>93210.4</v>
      </c>
      <c r="RO7" s="1">
        <v>93281.3</v>
      </c>
      <c r="RP7" s="1">
        <v>93347.7</v>
      </c>
      <c r="RQ7" s="1">
        <v>93403.3</v>
      </c>
      <c r="RR7" s="1">
        <v>93453.7</v>
      </c>
      <c r="RS7" s="1">
        <v>93500</v>
      </c>
      <c r="RT7" s="1">
        <v>93545</v>
      </c>
      <c r="RU7" s="1">
        <v>93589</v>
      </c>
      <c r="RV7" s="1">
        <v>93632</v>
      </c>
      <c r="RW7" s="1">
        <v>93674.3</v>
      </c>
      <c r="RX7" s="1">
        <v>93716.9</v>
      </c>
      <c r="RY7" s="1">
        <v>93759.1</v>
      </c>
      <c r="RZ7" s="1">
        <v>93801.8</v>
      </c>
      <c r="SA7" s="1">
        <v>93843.7</v>
      </c>
      <c r="SB7" s="1">
        <v>93885.1</v>
      </c>
      <c r="SC7" s="1">
        <v>93932.5</v>
      </c>
      <c r="SD7" s="1">
        <v>93978.7</v>
      </c>
      <c r="SE7" s="1">
        <v>94022</v>
      </c>
      <c r="SF7" s="1">
        <v>94064.7</v>
      </c>
      <c r="SG7" s="1">
        <v>94103.6</v>
      </c>
      <c r="SH7" s="1">
        <v>94140.6</v>
      </c>
      <c r="SI7" s="1">
        <v>94178.8</v>
      </c>
      <c r="SJ7" s="1">
        <v>94215.8</v>
      </c>
      <c r="SK7" s="1">
        <v>94254.1</v>
      </c>
      <c r="SL7" s="1">
        <v>94295.7</v>
      </c>
      <c r="SM7" s="1">
        <v>94334.8</v>
      </c>
      <c r="SN7" s="1">
        <v>94372.4</v>
      </c>
      <c r="SO7" s="1">
        <v>94409.5</v>
      </c>
      <c r="SP7" s="1">
        <v>94446.3</v>
      </c>
      <c r="SQ7" s="1">
        <v>94482.4</v>
      </c>
      <c r="SR7" s="1">
        <v>94519.5</v>
      </c>
      <c r="SS7" s="1">
        <v>94556.5</v>
      </c>
      <c r="ST7" s="1">
        <v>94592</v>
      </c>
      <c r="SU7" s="1">
        <v>94627.5</v>
      </c>
      <c r="SV7" s="1">
        <v>94663</v>
      </c>
      <c r="SW7" s="1">
        <v>94697.4</v>
      </c>
      <c r="SX7" s="1">
        <v>94732</v>
      </c>
      <c r="SY7" s="1">
        <v>94763</v>
      </c>
    </row>
    <row r="8" spans="1:750">
      <c r="A8" s="1">
        <v>7</v>
      </c>
      <c r="B8" s="1" t="s">
        <v>2</v>
      </c>
      <c r="C8" s="1" t="s">
        <v>3</v>
      </c>
      <c r="D8" s="1" t="s">
        <v>11</v>
      </c>
      <c r="E8" s="1" t="s">
        <v>5</v>
      </c>
      <c r="F8" s="1">
        <v>371761</v>
      </c>
      <c r="G8" s="1">
        <v>371773</v>
      </c>
      <c r="H8" s="1">
        <v>371785</v>
      </c>
      <c r="I8" s="1">
        <v>371797</v>
      </c>
      <c r="J8" s="1">
        <v>371810</v>
      </c>
      <c r="K8" s="1">
        <v>371821</v>
      </c>
      <c r="L8" s="1">
        <v>371834</v>
      </c>
      <c r="M8" s="1">
        <v>371846</v>
      </c>
      <c r="N8" s="1">
        <v>371858</v>
      </c>
      <c r="O8" s="1">
        <v>371870</v>
      </c>
      <c r="P8" s="1">
        <v>371882</v>
      </c>
      <c r="Q8" s="1">
        <v>371894</v>
      </c>
      <c r="R8" s="1">
        <v>371907</v>
      </c>
      <c r="S8" s="1">
        <v>371919</v>
      </c>
      <c r="T8" s="1">
        <v>371932</v>
      </c>
      <c r="U8" s="1">
        <v>371949</v>
      </c>
      <c r="V8" s="1">
        <v>371966</v>
      </c>
      <c r="W8" s="1">
        <v>371981</v>
      </c>
      <c r="X8" s="1">
        <v>371998</v>
      </c>
      <c r="Y8" s="1">
        <v>372011</v>
      </c>
      <c r="Z8" s="1">
        <v>372024</v>
      </c>
      <c r="AA8" s="1">
        <v>372036</v>
      </c>
      <c r="AB8" s="1">
        <v>372049</v>
      </c>
      <c r="AC8" s="1">
        <v>372061</v>
      </c>
      <c r="AD8" s="1">
        <v>372074</v>
      </c>
      <c r="AE8" s="1">
        <v>372087</v>
      </c>
      <c r="AF8" s="1">
        <v>372099</v>
      </c>
      <c r="AG8" s="1">
        <v>372111</v>
      </c>
      <c r="AH8" s="1">
        <v>372124</v>
      </c>
      <c r="AI8" s="1">
        <v>372136</v>
      </c>
      <c r="AJ8" s="1">
        <v>372148</v>
      </c>
      <c r="AK8" s="1">
        <v>372161</v>
      </c>
      <c r="AL8" s="1">
        <v>372173</v>
      </c>
      <c r="AM8" s="1">
        <v>372185</v>
      </c>
      <c r="AN8" s="1">
        <v>372200</v>
      </c>
      <c r="AO8" s="1">
        <v>372217</v>
      </c>
      <c r="AP8" s="1">
        <v>372234</v>
      </c>
      <c r="AQ8" s="1">
        <v>372248</v>
      </c>
      <c r="AR8" s="1">
        <v>372294</v>
      </c>
      <c r="AS8" s="1">
        <v>372317</v>
      </c>
      <c r="AT8" s="1">
        <v>372332</v>
      </c>
      <c r="AU8" s="1">
        <v>372345</v>
      </c>
      <c r="AV8" s="1">
        <v>372359</v>
      </c>
      <c r="AW8" s="1">
        <v>372378</v>
      </c>
      <c r="AX8" s="1">
        <v>372395</v>
      </c>
      <c r="AY8" s="1">
        <v>372412</v>
      </c>
      <c r="AZ8" s="1">
        <v>372429</v>
      </c>
      <c r="BA8" s="1">
        <v>372445</v>
      </c>
      <c r="BB8" s="1">
        <v>372458</v>
      </c>
      <c r="BC8" s="1">
        <v>372470</v>
      </c>
      <c r="BD8" s="1">
        <v>372484</v>
      </c>
      <c r="BE8" s="1">
        <v>372496</v>
      </c>
      <c r="BF8" s="1">
        <v>372508</v>
      </c>
      <c r="BG8" s="1">
        <v>372521</v>
      </c>
      <c r="BH8" s="1">
        <v>372533</v>
      </c>
      <c r="BI8" s="1">
        <v>372545</v>
      </c>
      <c r="BJ8" s="1">
        <v>372557</v>
      </c>
      <c r="BK8" s="1">
        <v>372586</v>
      </c>
      <c r="BL8" s="1">
        <v>372625</v>
      </c>
      <c r="BM8" s="1">
        <v>372668</v>
      </c>
      <c r="BN8" s="1">
        <v>372705</v>
      </c>
      <c r="BO8" s="1">
        <v>372743</v>
      </c>
      <c r="BP8" s="1">
        <v>372781</v>
      </c>
      <c r="BQ8" s="1">
        <v>372815</v>
      </c>
      <c r="BR8" s="1">
        <v>372848</v>
      </c>
      <c r="BS8" s="1">
        <v>372881</v>
      </c>
      <c r="BT8" s="1">
        <v>372922</v>
      </c>
      <c r="BU8" s="1">
        <v>372947</v>
      </c>
      <c r="BV8" s="1">
        <v>372960</v>
      </c>
      <c r="BW8" s="1">
        <v>372973</v>
      </c>
      <c r="BX8" s="1">
        <v>372986</v>
      </c>
      <c r="BY8" s="1">
        <v>372998</v>
      </c>
      <c r="BZ8" s="1">
        <v>373010</v>
      </c>
      <c r="CA8" s="1">
        <v>373022</v>
      </c>
      <c r="CB8" s="1">
        <v>373034</v>
      </c>
      <c r="CC8" s="1">
        <v>373045</v>
      </c>
      <c r="CD8" s="1">
        <v>373058</v>
      </c>
      <c r="CE8" s="1">
        <v>373070</v>
      </c>
      <c r="CF8" s="1">
        <v>373082</v>
      </c>
      <c r="CG8" s="1">
        <v>373094</v>
      </c>
      <c r="CH8" s="1">
        <v>373105</v>
      </c>
      <c r="CI8" s="1">
        <v>373117</v>
      </c>
      <c r="CJ8" s="1">
        <v>373136</v>
      </c>
      <c r="CK8" s="1">
        <v>373177</v>
      </c>
      <c r="CL8" s="1">
        <v>373200</v>
      </c>
      <c r="CM8" s="1">
        <v>373235</v>
      </c>
      <c r="CN8" s="1">
        <v>373262</v>
      </c>
      <c r="CO8" s="1">
        <v>373347</v>
      </c>
      <c r="CP8" s="1">
        <v>373426</v>
      </c>
      <c r="CQ8" s="1">
        <v>373500</v>
      </c>
      <c r="CR8" s="1">
        <v>373533</v>
      </c>
      <c r="CS8" s="1">
        <v>373546</v>
      </c>
      <c r="CT8" s="1">
        <v>373559</v>
      </c>
      <c r="CU8" s="1">
        <v>373572</v>
      </c>
      <c r="CV8" s="1">
        <v>373585</v>
      </c>
      <c r="CW8" s="1">
        <v>373597</v>
      </c>
      <c r="CX8" s="1">
        <v>373610</v>
      </c>
      <c r="CY8" s="1">
        <v>373622</v>
      </c>
      <c r="CZ8" s="1">
        <v>373634</v>
      </c>
      <c r="DA8" s="1">
        <v>373646</v>
      </c>
      <c r="DB8" s="1">
        <v>373658</v>
      </c>
      <c r="DC8" s="1">
        <v>373670</v>
      </c>
      <c r="DD8" s="1">
        <v>373682</v>
      </c>
      <c r="DE8" s="1">
        <v>373695</v>
      </c>
      <c r="DF8" s="1">
        <v>373725</v>
      </c>
      <c r="DG8" s="1">
        <v>373782</v>
      </c>
      <c r="DH8" s="1">
        <v>373832</v>
      </c>
      <c r="DI8" s="1">
        <v>373880</v>
      </c>
      <c r="DJ8" s="1">
        <v>373935</v>
      </c>
      <c r="DK8" s="1">
        <v>373988</v>
      </c>
      <c r="DL8" s="1">
        <v>374046</v>
      </c>
      <c r="DM8" s="1">
        <v>374104</v>
      </c>
      <c r="DN8" s="1">
        <v>374161</v>
      </c>
      <c r="DO8" s="1">
        <v>374212</v>
      </c>
      <c r="DP8" s="1">
        <v>374246</v>
      </c>
      <c r="DQ8" s="1">
        <v>374264</v>
      </c>
      <c r="DR8" s="1">
        <v>374277</v>
      </c>
      <c r="DS8" s="1">
        <v>374289</v>
      </c>
      <c r="DT8" s="1">
        <v>374301</v>
      </c>
      <c r="DU8" s="1">
        <v>374313</v>
      </c>
      <c r="DV8" s="1">
        <v>374325</v>
      </c>
      <c r="DW8" s="1">
        <v>374337</v>
      </c>
      <c r="DX8" s="1">
        <v>374348</v>
      </c>
      <c r="DY8" s="1">
        <v>374360</v>
      </c>
      <c r="DZ8" s="1">
        <v>374373</v>
      </c>
      <c r="EA8" s="1">
        <v>374385</v>
      </c>
      <c r="EB8" s="1">
        <v>374397</v>
      </c>
      <c r="EC8" s="1">
        <v>374409</v>
      </c>
      <c r="ED8" s="1">
        <v>374421</v>
      </c>
      <c r="EE8" s="1">
        <v>374433</v>
      </c>
      <c r="EF8" s="1">
        <v>374445</v>
      </c>
      <c r="EG8" s="1">
        <v>374458</v>
      </c>
      <c r="EH8" s="1">
        <v>374470</v>
      </c>
      <c r="EI8" s="1">
        <v>374483</v>
      </c>
      <c r="EJ8" s="1">
        <v>374520</v>
      </c>
      <c r="EK8" s="1">
        <v>374554</v>
      </c>
      <c r="EL8" s="1">
        <v>374568</v>
      </c>
      <c r="EM8" s="1">
        <v>374586</v>
      </c>
      <c r="EN8" s="1">
        <v>374600</v>
      </c>
      <c r="EO8" s="1">
        <v>374612</v>
      </c>
      <c r="EP8" s="1">
        <v>374624</v>
      </c>
      <c r="EQ8" s="1">
        <v>374637</v>
      </c>
      <c r="ER8" s="1">
        <v>374649</v>
      </c>
      <c r="ES8" s="1">
        <v>374661</v>
      </c>
      <c r="ET8" s="1">
        <v>374674</v>
      </c>
      <c r="EU8" s="1">
        <v>374686</v>
      </c>
      <c r="EV8" s="1">
        <v>374697</v>
      </c>
      <c r="EW8" s="1">
        <v>374709</v>
      </c>
      <c r="EX8" s="1">
        <v>374720</v>
      </c>
      <c r="EY8" s="1">
        <v>374732</v>
      </c>
      <c r="EZ8" s="1">
        <v>374743</v>
      </c>
      <c r="FA8" s="1">
        <v>374754</v>
      </c>
      <c r="FB8" s="1">
        <v>374767</v>
      </c>
      <c r="FC8" s="1">
        <v>374779</v>
      </c>
      <c r="FD8" s="1">
        <v>374790</v>
      </c>
      <c r="FE8" s="1">
        <v>374802</v>
      </c>
      <c r="FF8" s="1">
        <v>374814</v>
      </c>
      <c r="FG8" s="1">
        <v>374826</v>
      </c>
      <c r="FH8" s="1">
        <v>374838</v>
      </c>
      <c r="FI8" s="1">
        <v>374852</v>
      </c>
      <c r="FJ8" s="1">
        <v>374864</v>
      </c>
      <c r="FK8" s="1">
        <v>374877</v>
      </c>
      <c r="FL8" s="1">
        <v>374889</v>
      </c>
      <c r="FM8" s="1">
        <v>374901</v>
      </c>
      <c r="FN8" s="1">
        <v>374913</v>
      </c>
      <c r="FO8" s="1">
        <v>374926</v>
      </c>
      <c r="FP8" s="1">
        <v>374939</v>
      </c>
      <c r="FQ8" s="1">
        <v>374951</v>
      </c>
      <c r="FR8" s="1">
        <v>374962</v>
      </c>
      <c r="FS8" s="1">
        <v>374974</v>
      </c>
      <c r="FT8" s="1">
        <v>374986</v>
      </c>
      <c r="FU8" s="1">
        <v>374998</v>
      </c>
      <c r="FV8" s="1">
        <v>375011</v>
      </c>
      <c r="FW8" s="1">
        <v>375022</v>
      </c>
      <c r="FX8" s="1">
        <v>375034</v>
      </c>
      <c r="FY8" s="1">
        <v>375046</v>
      </c>
      <c r="FZ8" s="1">
        <v>375058</v>
      </c>
      <c r="GA8" s="1">
        <v>375069</v>
      </c>
      <c r="GB8" s="1">
        <v>375082</v>
      </c>
      <c r="GC8" s="1">
        <v>375095</v>
      </c>
      <c r="GD8" s="1">
        <v>375107</v>
      </c>
      <c r="GE8" s="1">
        <v>375119</v>
      </c>
      <c r="GF8" s="1">
        <v>375132</v>
      </c>
      <c r="GG8" s="1">
        <v>375145</v>
      </c>
      <c r="GH8" s="1">
        <v>375157</v>
      </c>
      <c r="GI8" s="1">
        <v>375171</v>
      </c>
      <c r="GJ8" s="1">
        <v>375183</v>
      </c>
      <c r="GK8" s="1">
        <v>375196</v>
      </c>
      <c r="GL8" s="1">
        <v>375208</v>
      </c>
      <c r="GM8" s="1">
        <v>375221</v>
      </c>
      <c r="GN8" s="1">
        <v>375234</v>
      </c>
      <c r="GO8" s="1">
        <v>375247</v>
      </c>
      <c r="GP8" s="1">
        <v>375260</v>
      </c>
      <c r="GQ8" s="1">
        <v>375273</v>
      </c>
      <c r="GR8" s="1">
        <v>375285</v>
      </c>
      <c r="GS8" s="1">
        <v>375298</v>
      </c>
      <c r="GT8" s="1">
        <v>375310</v>
      </c>
      <c r="GU8" s="1">
        <v>375323</v>
      </c>
      <c r="GV8" s="1">
        <v>375336</v>
      </c>
      <c r="GW8" s="1">
        <v>375349</v>
      </c>
      <c r="GX8" s="1">
        <v>375361</v>
      </c>
      <c r="GY8" s="1">
        <v>375376</v>
      </c>
      <c r="GZ8" s="1">
        <v>375423</v>
      </c>
      <c r="HA8" s="1">
        <v>375452</v>
      </c>
      <c r="HB8" s="1">
        <v>375488</v>
      </c>
      <c r="HC8" s="1">
        <v>375557</v>
      </c>
      <c r="HD8" s="1">
        <v>375604</v>
      </c>
      <c r="HE8" s="1">
        <v>375653</v>
      </c>
      <c r="HF8" s="1">
        <v>375720</v>
      </c>
      <c r="HG8" s="1">
        <v>375767</v>
      </c>
      <c r="HH8" s="1">
        <v>375811</v>
      </c>
      <c r="HI8" s="1">
        <v>375852</v>
      </c>
      <c r="HJ8" s="1">
        <v>375883</v>
      </c>
      <c r="HK8" s="1">
        <v>375904</v>
      </c>
      <c r="HL8" s="1">
        <v>375921</v>
      </c>
      <c r="HM8" s="1">
        <v>375938</v>
      </c>
      <c r="HN8" s="1">
        <v>375954</v>
      </c>
      <c r="HO8" s="1">
        <v>375972</v>
      </c>
      <c r="HP8" s="1">
        <v>375988</v>
      </c>
      <c r="HQ8" s="1">
        <v>376004</v>
      </c>
      <c r="HR8" s="1">
        <v>376020</v>
      </c>
      <c r="HS8" s="1">
        <v>376036</v>
      </c>
      <c r="HT8" s="1">
        <v>376051</v>
      </c>
      <c r="HU8" s="1">
        <v>376067</v>
      </c>
      <c r="HV8" s="1">
        <v>376083</v>
      </c>
      <c r="HW8" s="1">
        <v>376099</v>
      </c>
      <c r="HX8" s="1">
        <v>376150</v>
      </c>
      <c r="HY8" s="1">
        <v>376195</v>
      </c>
      <c r="HZ8" s="1">
        <v>376242</v>
      </c>
      <c r="IA8" s="1">
        <v>376275</v>
      </c>
      <c r="IB8" s="1">
        <v>376318</v>
      </c>
      <c r="IC8" s="1">
        <v>376360</v>
      </c>
      <c r="ID8" s="1">
        <v>376405</v>
      </c>
      <c r="IE8" s="1">
        <v>376440</v>
      </c>
      <c r="IF8" s="1">
        <v>376489</v>
      </c>
      <c r="IG8" s="1">
        <v>376507</v>
      </c>
      <c r="IH8" s="1">
        <v>376524</v>
      </c>
      <c r="II8" s="1">
        <v>376539</v>
      </c>
      <c r="IJ8" s="1">
        <v>376551</v>
      </c>
      <c r="IK8" s="1">
        <v>376563</v>
      </c>
      <c r="IL8" s="1">
        <v>376575</v>
      </c>
      <c r="IM8" s="1">
        <v>376586</v>
      </c>
      <c r="IN8" s="1">
        <v>376599</v>
      </c>
      <c r="IO8" s="1">
        <v>376610</v>
      </c>
      <c r="IP8" s="1">
        <v>376622</v>
      </c>
      <c r="IQ8" s="1">
        <v>376634</v>
      </c>
      <c r="IR8" s="1">
        <v>376645</v>
      </c>
      <c r="IS8" s="1">
        <v>376657</v>
      </c>
      <c r="IT8" s="1">
        <v>376669</v>
      </c>
      <c r="IU8" s="1">
        <v>376683</v>
      </c>
      <c r="IV8" s="1">
        <v>376696</v>
      </c>
      <c r="IW8" s="1">
        <v>376708</v>
      </c>
      <c r="IX8" s="1">
        <v>376720</v>
      </c>
      <c r="IY8" s="1">
        <v>376732</v>
      </c>
      <c r="IZ8" s="1">
        <v>376745</v>
      </c>
      <c r="JA8" s="1">
        <v>376757</v>
      </c>
      <c r="JB8" s="1">
        <v>376770</v>
      </c>
      <c r="JC8" s="1">
        <v>376782</v>
      </c>
      <c r="JD8" s="1">
        <v>376793</v>
      </c>
      <c r="JE8" s="1">
        <v>376805</v>
      </c>
      <c r="JF8" s="1">
        <v>376817</v>
      </c>
      <c r="JG8" s="1">
        <v>376829</v>
      </c>
      <c r="JH8" s="1">
        <v>376842</v>
      </c>
      <c r="JI8" s="1">
        <v>376854</v>
      </c>
      <c r="JJ8" s="1">
        <v>376866</v>
      </c>
      <c r="JK8" s="1">
        <v>376878</v>
      </c>
      <c r="JL8" s="1">
        <v>376889</v>
      </c>
      <c r="JM8" s="1">
        <v>376900</v>
      </c>
      <c r="JN8" s="1">
        <v>376911</v>
      </c>
      <c r="JO8" s="1">
        <v>376923</v>
      </c>
      <c r="JP8" s="1">
        <v>376935</v>
      </c>
      <c r="JQ8" s="1">
        <v>376947</v>
      </c>
      <c r="JR8" s="1">
        <v>376959</v>
      </c>
      <c r="JS8" s="1">
        <v>376971</v>
      </c>
      <c r="JT8" s="1">
        <v>376983</v>
      </c>
      <c r="JU8" s="1">
        <v>376994</v>
      </c>
      <c r="JV8" s="1">
        <v>377006</v>
      </c>
      <c r="JW8" s="1">
        <v>377019</v>
      </c>
      <c r="JX8" s="1">
        <v>377032</v>
      </c>
      <c r="JY8" s="1">
        <v>377044</v>
      </c>
      <c r="JZ8" s="1">
        <v>377062</v>
      </c>
      <c r="KA8" s="1">
        <v>377097</v>
      </c>
      <c r="KB8" s="1">
        <v>377118</v>
      </c>
      <c r="KC8" s="1">
        <v>377133</v>
      </c>
      <c r="KD8" s="1">
        <v>377146</v>
      </c>
      <c r="KE8" s="1">
        <v>377158</v>
      </c>
      <c r="KF8" s="1">
        <v>377170</v>
      </c>
      <c r="KG8" s="1">
        <v>377182</v>
      </c>
      <c r="KH8" s="1">
        <v>377193</v>
      </c>
      <c r="KI8" s="1">
        <v>377205</v>
      </c>
      <c r="KJ8" s="1">
        <v>377217</v>
      </c>
      <c r="KK8" s="1">
        <v>377230</v>
      </c>
      <c r="KL8" s="1">
        <v>377242</v>
      </c>
      <c r="KM8" s="1">
        <v>377253</v>
      </c>
      <c r="KN8" s="1">
        <v>377265</v>
      </c>
      <c r="KO8" s="1">
        <v>377276</v>
      </c>
      <c r="KP8" s="1">
        <v>377288</v>
      </c>
      <c r="KQ8" s="1">
        <v>377300</v>
      </c>
      <c r="KR8" s="1">
        <v>377312</v>
      </c>
      <c r="KS8" s="1">
        <v>377325</v>
      </c>
      <c r="KT8" s="1">
        <v>377337</v>
      </c>
      <c r="KU8" s="1">
        <v>377349</v>
      </c>
      <c r="KV8" s="1">
        <v>377363</v>
      </c>
      <c r="KW8" s="1">
        <v>377380</v>
      </c>
      <c r="KX8" s="1">
        <v>377392</v>
      </c>
      <c r="KY8" s="1">
        <v>377405</v>
      </c>
      <c r="KZ8" s="1">
        <v>377418</v>
      </c>
      <c r="LA8" s="1">
        <v>377430</v>
      </c>
      <c r="LB8" s="1">
        <v>377442</v>
      </c>
      <c r="LC8" s="1">
        <v>377455</v>
      </c>
      <c r="LD8" s="1">
        <v>377467</v>
      </c>
      <c r="LE8" s="1">
        <v>377479</v>
      </c>
      <c r="LF8" s="1">
        <v>377492</v>
      </c>
      <c r="LG8" s="1">
        <v>377504</v>
      </c>
      <c r="LH8" s="1">
        <v>377516</v>
      </c>
      <c r="LI8" s="1">
        <v>377528</v>
      </c>
      <c r="LJ8" s="1">
        <v>377540</v>
      </c>
      <c r="LK8" s="1">
        <v>377552</v>
      </c>
      <c r="LL8" s="1">
        <v>377565</v>
      </c>
      <c r="LM8" s="1">
        <v>377576</v>
      </c>
      <c r="LN8" s="1">
        <v>377588</v>
      </c>
      <c r="LO8" s="1">
        <v>377624</v>
      </c>
      <c r="LP8" s="1">
        <v>377673</v>
      </c>
      <c r="LQ8" s="1">
        <v>377723</v>
      </c>
      <c r="LR8" s="1">
        <v>377772</v>
      </c>
      <c r="LS8" s="1">
        <v>377823</v>
      </c>
      <c r="LT8" s="1">
        <v>377874</v>
      </c>
      <c r="LU8" s="1">
        <v>377922</v>
      </c>
      <c r="LV8" s="1">
        <v>377972</v>
      </c>
      <c r="LW8" s="1">
        <v>377992</v>
      </c>
      <c r="LX8" s="1">
        <v>378005</v>
      </c>
      <c r="LY8" s="1">
        <v>378017</v>
      </c>
      <c r="LZ8" s="1">
        <v>378030</v>
      </c>
      <c r="MA8" s="1">
        <v>378042</v>
      </c>
      <c r="MB8" s="1">
        <v>378054</v>
      </c>
      <c r="MC8" s="1">
        <v>378067</v>
      </c>
      <c r="MD8" s="1">
        <v>378079</v>
      </c>
      <c r="ME8" s="1">
        <v>378090</v>
      </c>
      <c r="MF8" s="1">
        <v>378103</v>
      </c>
      <c r="MG8" s="1">
        <v>378115</v>
      </c>
      <c r="MH8" s="1">
        <v>378127</v>
      </c>
      <c r="MI8" s="1">
        <v>378138</v>
      </c>
      <c r="MJ8" s="1">
        <v>378150</v>
      </c>
      <c r="MK8" s="1">
        <v>378162</v>
      </c>
      <c r="ML8" s="1">
        <v>378174</v>
      </c>
      <c r="MM8" s="1">
        <v>378187</v>
      </c>
      <c r="MN8" s="1">
        <v>378198</v>
      </c>
      <c r="MO8" s="1">
        <v>378211</v>
      </c>
      <c r="MP8" s="1">
        <v>378222</v>
      </c>
      <c r="MQ8" s="1">
        <v>378234</v>
      </c>
      <c r="MR8" s="1">
        <v>378245</v>
      </c>
      <c r="MS8" s="1">
        <v>378257</v>
      </c>
      <c r="MT8" s="1">
        <v>378270</v>
      </c>
      <c r="MU8" s="1">
        <v>378282</v>
      </c>
      <c r="MV8" s="1">
        <v>378294</v>
      </c>
      <c r="MW8" s="1">
        <v>378306</v>
      </c>
      <c r="MX8" s="1">
        <v>378318</v>
      </c>
      <c r="MY8" s="1">
        <v>378331</v>
      </c>
      <c r="MZ8" s="1">
        <v>378343</v>
      </c>
      <c r="NA8" s="1">
        <v>378355</v>
      </c>
      <c r="NB8" s="1">
        <v>378367</v>
      </c>
      <c r="NC8" s="1">
        <v>378378</v>
      </c>
      <c r="ND8" s="1">
        <v>378390</v>
      </c>
      <c r="NE8" s="1">
        <v>378401</v>
      </c>
      <c r="NF8" s="1">
        <v>378412</v>
      </c>
      <c r="NG8" s="1">
        <v>378425</v>
      </c>
      <c r="NH8" s="1">
        <v>378436</v>
      </c>
      <c r="NI8" s="1">
        <v>378447</v>
      </c>
      <c r="NJ8" s="1">
        <v>378458</v>
      </c>
      <c r="NK8" s="1">
        <v>378474</v>
      </c>
      <c r="NL8" s="1">
        <v>378494</v>
      </c>
      <c r="NM8" s="1">
        <v>378517</v>
      </c>
      <c r="NN8" s="1">
        <v>378541</v>
      </c>
      <c r="NO8" s="1">
        <v>378563</v>
      </c>
      <c r="NP8" s="1">
        <v>378586</v>
      </c>
      <c r="NQ8" s="1">
        <v>378610</v>
      </c>
      <c r="NR8" s="1">
        <v>378634</v>
      </c>
      <c r="NS8" s="1">
        <v>378657</v>
      </c>
      <c r="NT8" s="1">
        <v>378682</v>
      </c>
      <c r="NU8" s="1">
        <v>378709</v>
      </c>
      <c r="NV8" s="1">
        <v>378727</v>
      </c>
      <c r="NW8" s="1">
        <v>378740</v>
      </c>
      <c r="NX8" s="1">
        <v>378753</v>
      </c>
      <c r="NY8" s="1">
        <v>378765</v>
      </c>
      <c r="NZ8" s="1">
        <v>378779</v>
      </c>
      <c r="OA8" s="1">
        <v>378791</v>
      </c>
      <c r="OB8" s="1">
        <v>378803</v>
      </c>
      <c r="OC8" s="1">
        <v>378815</v>
      </c>
      <c r="OD8" s="1">
        <v>378826</v>
      </c>
      <c r="OE8" s="1">
        <v>378838</v>
      </c>
      <c r="OF8" s="1">
        <v>378850</v>
      </c>
      <c r="OG8" s="1">
        <v>378863</v>
      </c>
      <c r="OH8" s="1">
        <v>378875</v>
      </c>
      <c r="OI8" s="1">
        <v>378887</v>
      </c>
      <c r="OJ8" s="1">
        <v>378899</v>
      </c>
      <c r="OK8" s="1">
        <v>378910</v>
      </c>
      <c r="OL8" s="1">
        <v>378923</v>
      </c>
      <c r="OM8" s="1">
        <v>378935</v>
      </c>
      <c r="ON8" s="1">
        <v>378950</v>
      </c>
      <c r="OO8" s="1">
        <v>378974</v>
      </c>
      <c r="OP8" s="1">
        <v>378994</v>
      </c>
      <c r="OQ8" s="1">
        <v>379017</v>
      </c>
      <c r="OR8" s="1">
        <v>379037</v>
      </c>
      <c r="OS8" s="1">
        <v>379052</v>
      </c>
      <c r="OT8" s="1">
        <v>379065</v>
      </c>
      <c r="OU8" s="1">
        <v>379078</v>
      </c>
      <c r="OV8" s="1">
        <v>379090</v>
      </c>
      <c r="OW8" s="1">
        <v>379102</v>
      </c>
      <c r="OX8" s="1">
        <v>379114</v>
      </c>
      <c r="OY8" s="1">
        <v>379126</v>
      </c>
      <c r="OZ8" s="1">
        <v>379139</v>
      </c>
      <c r="PA8" s="1">
        <v>379150</v>
      </c>
      <c r="PB8" s="1">
        <v>379161</v>
      </c>
      <c r="PC8" s="1">
        <v>379172</v>
      </c>
      <c r="PD8" s="1">
        <v>379183</v>
      </c>
      <c r="PE8" s="1">
        <v>379195</v>
      </c>
      <c r="PF8" s="1">
        <v>379206</v>
      </c>
      <c r="PG8" s="1">
        <v>379220</v>
      </c>
      <c r="PH8" s="1">
        <v>379249</v>
      </c>
      <c r="PI8" s="1">
        <v>379291</v>
      </c>
      <c r="PJ8" s="1">
        <v>379333</v>
      </c>
      <c r="PK8" s="1">
        <v>379368</v>
      </c>
      <c r="PL8" s="1">
        <v>379432</v>
      </c>
      <c r="PM8" s="1">
        <v>379490</v>
      </c>
      <c r="PN8" s="1">
        <v>379529</v>
      </c>
      <c r="PO8" s="1">
        <v>379564</v>
      </c>
      <c r="PP8" s="1">
        <v>379595</v>
      </c>
      <c r="PQ8" s="1">
        <v>379608</v>
      </c>
      <c r="PR8" s="1">
        <v>379621</v>
      </c>
      <c r="PS8" s="1">
        <v>379635</v>
      </c>
      <c r="PT8" s="1">
        <v>379647</v>
      </c>
      <c r="PU8" s="1">
        <v>379660</v>
      </c>
      <c r="PV8" s="1">
        <v>379672</v>
      </c>
      <c r="PW8" s="1">
        <v>379685</v>
      </c>
      <c r="PX8" s="1">
        <v>379697</v>
      </c>
      <c r="PY8" s="1">
        <v>379709</v>
      </c>
      <c r="PZ8" s="1">
        <v>379722</v>
      </c>
      <c r="QA8" s="1">
        <v>379734</v>
      </c>
      <c r="QB8" s="1">
        <v>379746</v>
      </c>
      <c r="QC8" s="1">
        <v>379758</v>
      </c>
      <c r="QD8" s="1">
        <v>379770</v>
      </c>
      <c r="QE8" s="1">
        <v>379782</v>
      </c>
      <c r="QF8" s="1">
        <v>379794</v>
      </c>
      <c r="QG8" s="1">
        <v>379807</v>
      </c>
      <c r="QH8" s="1">
        <v>379819</v>
      </c>
      <c r="QI8" s="1">
        <v>379832</v>
      </c>
      <c r="QJ8" s="1">
        <v>379858</v>
      </c>
      <c r="QK8" s="1">
        <v>379876</v>
      </c>
      <c r="QL8" s="1">
        <v>379888</v>
      </c>
      <c r="QM8" s="1">
        <v>379900</v>
      </c>
      <c r="QN8" s="1">
        <v>379911</v>
      </c>
      <c r="QO8" s="1">
        <v>379924</v>
      </c>
      <c r="QP8" s="1">
        <v>379935</v>
      </c>
      <c r="QQ8" s="1">
        <v>379947</v>
      </c>
      <c r="QR8" s="1">
        <v>379959</v>
      </c>
      <c r="QS8" s="1">
        <v>379970</v>
      </c>
      <c r="QT8" s="1">
        <v>379981</v>
      </c>
      <c r="QU8" s="1">
        <v>379992</v>
      </c>
      <c r="QV8" s="1">
        <v>380003</v>
      </c>
      <c r="QW8" s="1">
        <v>380015</v>
      </c>
      <c r="QX8" s="1">
        <v>380025</v>
      </c>
      <c r="QY8" s="1">
        <v>380035</v>
      </c>
      <c r="QZ8" s="1">
        <v>380047</v>
      </c>
      <c r="RA8" s="1">
        <v>380057</v>
      </c>
      <c r="RB8" s="1">
        <v>380067</v>
      </c>
      <c r="RC8" s="1">
        <v>380079</v>
      </c>
      <c r="RD8" s="1">
        <v>380105</v>
      </c>
      <c r="RE8" s="1">
        <v>380142</v>
      </c>
      <c r="RF8" s="1">
        <v>380159</v>
      </c>
      <c r="RG8" s="1">
        <v>380170</v>
      </c>
      <c r="RH8" s="1">
        <v>380181</v>
      </c>
      <c r="RI8" s="1">
        <v>380193</v>
      </c>
      <c r="RJ8" s="1">
        <v>380208</v>
      </c>
      <c r="RK8" s="1">
        <v>380223</v>
      </c>
      <c r="RL8" s="1">
        <v>380238</v>
      </c>
      <c r="RM8" s="1">
        <v>380250</v>
      </c>
      <c r="RN8" s="1">
        <v>380261</v>
      </c>
      <c r="RO8" s="1">
        <v>380271</v>
      </c>
      <c r="RP8" s="1">
        <v>380282</v>
      </c>
      <c r="RQ8" s="1">
        <v>380293</v>
      </c>
      <c r="RR8" s="1">
        <v>380304</v>
      </c>
      <c r="RS8" s="1">
        <v>380315</v>
      </c>
      <c r="RT8" s="1">
        <v>380326</v>
      </c>
      <c r="RU8" s="1">
        <v>380337</v>
      </c>
      <c r="RV8" s="1">
        <v>380348</v>
      </c>
      <c r="RW8" s="1">
        <v>380358</v>
      </c>
      <c r="RX8" s="1">
        <v>380369</v>
      </c>
      <c r="RY8" s="1">
        <v>380380</v>
      </c>
      <c r="RZ8" s="1">
        <v>380391</v>
      </c>
      <c r="SA8" s="1">
        <v>380403</v>
      </c>
      <c r="SB8" s="1">
        <v>380415</v>
      </c>
      <c r="SC8" s="1">
        <v>380426</v>
      </c>
      <c r="SD8" s="1">
        <v>380436</v>
      </c>
      <c r="SE8" s="1">
        <v>380447</v>
      </c>
      <c r="SF8" s="1">
        <v>380458</v>
      </c>
      <c r="SG8" s="1">
        <v>380469</v>
      </c>
      <c r="SH8" s="1">
        <v>380480</v>
      </c>
      <c r="SI8" s="1">
        <v>380491</v>
      </c>
      <c r="SJ8" s="1">
        <v>380503</v>
      </c>
      <c r="SK8" s="1">
        <v>380514</v>
      </c>
      <c r="SL8" s="1">
        <v>380526</v>
      </c>
      <c r="SM8" s="1">
        <v>380537</v>
      </c>
      <c r="SN8" s="1">
        <v>380548</v>
      </c>
      <c r="SO8" s="1">
        <v>380559</v>
      </c>
      <c r="SP8" s="1">
        <v>380570</v>
      </c>
      <c r="SQ8" s="1">
        <v>380581</v>
      </c>
      <c r="SR8" s="1">
        <v>380592</v>
      </c>
      <c r="SS8" s="1">
        <v>380603</v>
      </c>
      <c r="ST8" s="1">
        <v>380613</v>
      </c>
      <c r="SU8" s="1">
        <v>380624</v>
      </c>
      <c r="SV8" s="1">
        <v>380634</v>
      </c>
      <c r="SW8" s="1">
        <v>380645</v>
      </c>
      <c r="SX8" s="1">
        <v>380655</v>
      </c>
      <c r="SY8" s="1">
        <v>380666</v>
      </c>
    </row>
    <row r="9" spans="1:750">
      <c r="A9" s="1">
        <v>8</v>
      </c>
      <c r="B9" s="1" t="s">
        <v>2</v>
      </c>
      <c r="C9" s="1" t="s">
        <v>3</v>
      </c>
      <c r="D9" s="1" t="s">
        <v>12</v>
      </c>
      <c r="E9" s="1" t="s">
        <v>5</v>
      </c>
      <c r="F9" s="1">
        <v>622420</v>
      </c>
      <c r="G9" s="1">
        <v>622648</v>
      </c>
      <c r="H9" s="1">
        <v>622866</v>
      </c>
      <c r="I9" s="1">
        <v>623081</v>
      </c>
      <c r="J9" s="1">
        <v>623294</v>
      </c>
      <c r="K9" s="1">
        <v>623509</v>
      </c>
      <c r="L9" s="1">
        <v>623722</v>
      </c>
      <c r="M9" s="1">
        <v>623928</v>
      </c>
      <c r="N9" s="1">
        <v>624150</v>
      </c>
      <c r="O9" s="1">
        <v>624378</v>
      </c>
      <c r="P9" s="1">
        <v>624622</v>
      </c>
      <c r="Q9" s="1">
        <v>624872</v>
      </c>
      <c r="R9" s="1">
        <v>625127</v>
      </c>
      <c r="S9" s="1">
        <v>625402</v>
      </c>
      <c r="T9" s="1">
        <v>625695</v>
      </c>
      <c r="U9" s="1">
        <v>625980</v>
      </c>
      <c r="V9" s="1">
        <v>626270</v>
      </c>
      <c r="W9" s="1">
        <v>626553</v>
      </c>
      <c r="X9" s="1">
        <v>626819</v>
      </c>
      <c r="Y9" s="1">
        <v>627075</v>
      </c>
      <c r="Z9" s="1">
        <v>627321</v>
      </c>
      <c r="AA9" s="1">
        <v>627560</v>
      </c>
      <c r="AB9" s="1">
        <v>627791</v>
      </c>
      <c r="AC9" s="1">
        <v>628021</v>
      </c>
      <c r="AD9" s="1">
        <v>628249</v>
      </c>
      <c r="AE9" s="1">
        <v>628474</v>
      </c>
      <c r="AF9" s="1">
        <v>628690</v>
      </c>
      <c r="AG9" s="1">
        <v>628903</v>
      </c>
      <c r="AH9" s="1">
        <v>629116</v>
      </c>
      <c r="AI9" s="1">
        <v>629324</v>
      </c>
      <c r="AJ9" s="1">
        <v>629535</v>
      </c>
      <c r="AK9" s="1">
        <v>629749</v>
      </c>
      <c r="AL9" s="1">
        <v>629979</v>
      </c>
      <c r="AM9" s="1">
        <v>630257</v>
      </c>
      <c r="AN9" s="1">
        <v>630611</v>
      </c>
      <c r="AO9" s="1">
        <v>631041</v>
      </c>
      <c r="AP9" s="1">
        <v>631501</v>
      </c>
      <c r="AQ9" s="1">
        <v>631984</v>
      </c>
      <c r="AR9" s="1">
        <v>632465</v>
      </c>
      <c r="AS9" s="1">
        <v>632947</v>
      </c>
      <c r="AT9" s="1">
        <v>633438</v>
      </c>
      <c r="AU9" s="1">
        <v>633910</v>
      </c>
      <c r="AV9" s="1">
        <v>634323</v>
      </c>
      <c r="AW9" s="1">
        <v>634676</v>
      </c>
      <c r="AX9" s="1">
        <v>634993</v>
      </c>
      <c r="AY9" s="1">
        <v>635282</v>
      </c>
      <c r="AZ9" s="1">
        <v>635550</v>
      </c>
      <c r="BA9" s="1">
        <v>635813</v>
      </c>
      <c r="BB9" s="1">
        <v>636070</v>
      </c>
      <c r="BC9" s="1">
        <v>636313</v>
      </c>
      <c r="BD9" s="1">
        <v>636540</v>
      </c>
      <c r="BE9" s="1">
        <v>636763</v>
      </c>
      <c r="BF9" s="1">
        <v>636988</v>
      </c>
      <c r="BG9" s="1">
        <v>637215</v>
      </c>
      <c r="BH9" s="1">
        <v>637429</v>
      </c>
      <c r="BI9" s="1">
        <v>637651</v>
      </c>
      <c r="BJ9" s="1">
        <v>637887</v>
      </c>
      <c r="BK9" s="1">
        <v>638172</v>
      </c>
      <c r="BL9" s="1">
        <v>638521</v>
      </c>
      <c r="BM9" s="1">
        <v>638930</v>
      </c>
      <c r="BN9" s="1">
        <v>639368</v>
      </c>
      <c r="BO9" s="1">
        <v>639814</v>
      </c>
      <c r="BP9" s="1">
        <v>640280</v>
      </c>
      <c r="BQ9" s="1">
        <v>640733</v>
      </c>
      <c r="BR9" s="1">
        <v>641210</v>
      </c>
      <c r="BS9" s="1">
        <v>641645</v>
      </c>
      <c r="BT9" s="1">
        <v>642052</v>
      </c>
      <c r="BU9" s="1">
        <v>642408</v>
      </c>
      <c r="BV9" s="1">
        <v>642700</v>
      </c>
      <c r="BW9" s="1">
        <v>642965</v>
      </c>
      <c r="BX9" s="1">
        <v>643205</v>
      </c>
      <c r="BY9" s="1">
        <v>643443</v>
      </c>
      <c r="BZ9" s="1">
        <v>643686</v>
      </c>
      <c r="CA9" s="1">
        <v>643910</v>
      </c>
      <c r="CB9" s="1">
        <v>644127</v>
      </c>
      <c r="CC9" s="1">
        <v>644336</v>
      </c>
      <c r="CD9" s="1">
        <v>644546</v>
      </c>
      <c r="CE9" s="1">
        <v>644754</v>
      </c>
      <c r="CF9" s="1">
        <v>644958</v>
      </c>
      <c r="CG9" s="1">
        <v>645170</v>
      </c>
      <c r="CH9" s="1">
        <v>645397</v>
      </c>
      <c r="CI9" s="1">
        <v>645673</v>
      </c>
      <c r="CJ9" s="1">
        <v>646015</v>
      </c>
      <c r="CK9" s="1">
        <v>646425</v>
      </c>
      <c r="CL9" s="1">
        <v>646874</v>
      </c>
      <c r="CM9" s="1">
        <v>647325</v>
      </c>
      <c r="CN9" s="1">
        <v>647787</v>
      </c>
      <c r="CO9" s="1">
        <v>648257</v>
      </c>
      <c r="CP9" s="1">
        <v>648708</v>
      </c>
      <c r="CQ9" s="1">
        <v>649137</v>
      </c>
      <c r="CR9" s="1">
        <v>649546</v>
      </c>
      <c r="CS9" s="1">
        <v>649932</v>
      </c>
      <c r="CT9" s="1">
        <v>650248</v>
      </c>
      <c r="CU9" s="1">
        <v>650522</v>
      </c>
      <c r="CV9" s="1">
        <v>650773</v>
      </c>
      <c r="CW9" s="1">
        <v>651013</v>
      </c>
      <c r="CX9" s="1">
        <v>651250</v>
      </c>
      <c r="CY9" s="1">
        <v>651476</v>
      </c>
      <c r="CZ9" s="1">
        <v>651698</v>
      </c>
      <c r="DA9" s="1">
        <v>651914</v>
      </c>
      <c r="DB9" s="1">
        <v>652128</v>
      </c>
      <c r="DC9" s="1">
        <v>652343</v>
      </c>
      <c r="DD9" s="1">
        <v>652558</v>
      </c>
      <c r="DE9" s="1">
        <v>652780</v>
      </c>
      <c r="DF9" s="1">
        <v>653003</v>
      </c>
      <c r="DG9" s="1">
        <v>653261</v>
      </c>
      <c r="DH9" s="1">
        <v>653591</v>
      </c>
      <c r="DI9" s="1">
        <v>653960</v>
      </c>
      <c r="DJ9" s="1">
        <v>654354</v>
      </c>
      <c r="DK9" s="1">
        <v>654768</v>
      </c>
      <c r="DL9" s="1">
        <v>655182</v>
      </c>
      <c r="DM9" s="1">
        <v>655595</v>
      </c>
      <c r="DN9" s="1">
        <v>656006</v>
      </c>
      <c r="DO9" s="1">
        <v>656395</v>
      </c>
      <c r="DP9" s="1">
        <v>656746</v>
      </c>
      <c r="DQ9" s="1">
        <v>657063</v>
      </c>
      <c r="DR9" s="1">
        <v>657340</v>
      </c>
      <c r="DS9" s="1">
        <v>657599</v>
      </c>
      <c r="DT9" s="1">
        <v>657849</v>
      </c>
      <c r="DU9" s="1">
        <v>658082</v>
      </c>
      <c r="DV9" s="1">
        <v>658310</v>
      </c>
      <c r="DW9" s="1">
        <v>658534</v>
      </c>
      <c r="DX9" s="1">
        <v>658750</v>
      </c>
      <c r="DY9" s="1">
        <v>658958</v>
      </c>
      <c r="DZ9" s="1">
        <v>659167</v>
      </c>
      <c r="EA9" s="1">
        <v>659370</v>
      </c>
      <c r="EB9" s="1">
        <v>659570</v>
      </c>
      <c r="EC9" s="1">
        <v>659774</v>
      </c>
      <c r="ED9" s="1">
        <v>659995</v>
      </c>
      <c r="EE9" s="1">
        <v>660253</v>
      </c>
      <c r="EF9" s="1">
        <v>660583</v>
      </c>
      <c r="EG9" s="1">
        <v>660959</v>
      </c>
      <c r="EH9" s="1">
        <v>661389</v>
      </c>
      <c r="EI9" s="1">
        <v>661832</v>
      </c>
      <c r="EJ9" s="1">
        <v>662290</v>
      </c>
      <c r="EK9" s="1">
        <v>662747</v>
      </c>
      <c r="EL9" s="1">
        <v>663195</v>
      </c>
      <c r="EM9" s="1">
        <v>663620</v>
      </c>
      <c r="EN9" s="1">
        <v>664022</v>
      </c>
      <c r="EO9" s="1">
        <v>664373</v>
      </c>
      <c r="EP9" s="1">
        <v>664686</v>
      </c>
      <c r="EQ9" s="1">
        <v>664972</v>
      </c>
      <c r="ER9" s="1">
        <v>665249</v>
      </c>
      <c r="ES9" s="1">
        <v>665510</v>
      </c>
      <c r="ET9" s="1">
        <v>665766</v>
      </c>
      <c r="EU9" s="1">
        <v>666022</v>
      </c>
      <c r="EV9" s="1">
        <v>666276</v>
      </c>
      <c r="EW9" s="1">
        <v>666522</v>
      </c>
      <c r="EX9" s="1">
        <v>666764</v>
      </c>
      <c r="EY9" s="1">
        <v>667001</v>
      </c>
      <c r="EZ9" s="1">
        <v>667239</v>
      </c>
      <c r="FA9" s="1">
        <v>667481</v>
      </c>
      <c r="FB9" s="1">
        <v>667726</v>
      </c>
      <c r="FC9" s="1">
        <v>667986</v>
      </c>
      <c r="FD9" s="1">
        <v>668254</v>
      </c>
      <c r="FE9" s="1">
        <v>668523</v>
      </c>
      <c r="FF9" s="1">
        <v>668800</v>
      </c>
      <c r="FG9" s="1">
        <v>669085</v>
      </c>
      <c r="FH9" s="1">
        <v>669385</v>
      </c>
      <c r="FI9" s="1">
        <v>669691</v>
      </c>
      <c r="FJ9" s="1">
        <v>670001</v>
      </c>
      <c r="FK9" s="1">
        <v>670311</v>
      </c>
      <c r="FL9" s="1">
        <v>670619</v>
      </c>
      <c r="FM9" s="1">
        <v>670911</v>
      </c>
      <c r="FN9" s="1">
        <v>671192</v>
      </c>
      <c r="FO9" s="1">
        <v>671463</v>
      </c>
      <c r="FP9" s="1">
        <v>671728</v>
      </c>
      <c r="FQ9" s="1">
        <v>671994</v>
      </c>
      <c r="FR9" s="1">
        <v>672252</v>
      </c>
      <c r="FS9" s="1">
        <v>672507</v>
      </c>
      <c r="FT9" s="1">
        <v>672755</v>
      </c>
      <c r="FU9" s="1">
        <v>673002</v>
      </c>
      <c r="FV9" s="1">
        <v>673249</v>
      </c>
      <c r="FW9" s="1">
        <v>673496</v>
      </c>
      <c r="FX9" s="1">
        <v>673735</v>
      </c>
      <c r="FY9" s="1">
        <v>673977</v>
      </c>
      <c r="FZ9" s="1">
        <v>674220</v>
      </c>
      <c r="GA9" s="1">
        <v>674468</v>
      </c>
      <c r="GB9" s="1">
        <v>674728</v>
      </c>
      <c r="GC9" s="1">
        <v>674984</v>
      </c>
      <c r="GD9" s="1">
        <v>675248</v>
      </c>
      <c r="GE9" s="1">
        <v>675512</v>
      </c>
      <c r="GF9" s="1">
        <v>675796</v>
      </c>
      <c r="GG9" s="1">
        <v>676090</v>
      </c>
      <c r="GH9" s="1">
        <v>676384</v>
      </c>
      <c r="GI9" s="1">
        <v>676673</v>
      </c>
      <c r="GJ9" s="1">
        <v>676950</v>
      </c>
      <c r="GK9" s="1">
        <v>677207</v>
      </c>
      <c r="GL9" s="1">
        <v>677471</v>
      </c>
      <c r="GM9" s="1">
        <v>677729</v>
      </c>
      <c r="GN9" s="1">
        <v>677983</v>
      </c>
      <c r="GO9" s="1">
        <v>678242</v>
      </c>
      <c r="GP9" s="1">
        <v>678499</v>
      </c>
      <c r="GQ9" s="1">
        <v>678749</v>
      </c>
      <c r="GR9" s="1">
        <v>678995</v>
      </c>
      <c r="GS9" s="1">
        <v>679234</v>
      </c>
      <c r="GT9" s="1">
        <v>679477</v>
      </c>
      <c r="GU9" s="1">
        <v>679718</v>
      </c>
      <c r="GV9" s="1">
        <v>679961</v>
      </c>
      <c r="GW9" s="1">
        <v>680208</v>
      </c>
      <c r="GX9" s="1">
        <v>680454</v>
      </c>
      <c r="GY9" s="1">
        <v>680739</v>
      </c>
      <c r="GZ9" s="1">
        <v>681103</v>
      </c>
      <c r="HA9" s="1">
        <v>681536</v>
      </c>
      <c r="HB9" s="1">
        <v>682001</v>
      </c>
      <c r="HC9" s="1">
        <v>682492</v>
      </c>
      <c r="HD9" s="1">
        <v>682994</v>
      </c>
      <c r="HE9" s="1">
        <v>683485</v>
      </c>
      <c r="HF9" s="1">
        <v>683957</v>
      </c>
      <c r="HG9" s="1">
        <v>684416</v>
      </c>
      <c r="HH9" s="1">
        <v>684825</v>
      </c>
      <c r="HI9" s="1">
        <v>685188</v>
      </c>
      <c r="HJ9" s="1">
        <v>685514</v>
      </c>
      <c r="HK9" s="1">
        <v>685816</v>
      </c>
      <c r="HL9" s="1">
        <v>686109</v>
      </c>
      <c r="HM9" s="1">
        <v>686393</v>
      </c>
      <c r="HN9" s="1">
        <v>686677</v>
      </c>
      <c r="HO9" s="1">
        <v>686951</v>
      </c>
      <c r="HP9" s="1">
        <v>687210</v>
      </c>
      <c r="HQ9" s="1">
        <v>687464</v>
      </c>
      <c r="HR9" s="1">
        <v>687715</v>
      </c>
      <c r="HS9" s="1">
        <v>687961</v>
      </c>
      <c r="HT9" s="1">
        <v>688204</v>
      </c>
      <c r="HU9" s="1">
        <v>688457</v>
      </c>
      <c r="HV9" s="1">
        <v>688708</v>
      </c>
      <c r="HW9" s="1">
        <v>688991</v>
      </c>
      <c r="HX9" s="1">
        <v>689340</v>
      </c>
      <c r="HY9" s="1">
        <v>689755</v>
      </c>
      <c r="HZ9" s="1">
        <v>690200</v>
      </c>
      <c r="IA9" s="1">
        <v>690661</v>
      </c>
      <c r="IB9" s="1">
        <v>691160</v>
      </c>
      <c r="IC9" s="1">
        <v>691642</v>
      </c>
      <c r="ID9" s="1">
        <v>692098</v>
      </c>
      <c r="IE9" s="1">
        <v>692536</v>
      </c>
      <c r="IF9" s="1">
        <v>692935</v>
      </c>
      <c r="IG9" s="1">
        <v>693293</v>
      </c>
      <c r="IH9" s="1">
        <v>693614</v>
      </c>
      <c r="II9" s="1">
        <v>693906</v>
      </c>
      <c r="IJ9" s="1">
        <v>694191</v>
      </c>
      <c r="IK9" s="1">
        <v>694458</v>
      </c>
      <c r="IL9" s="1">
        <v>694723</v>
      </c>
      <c r="IM9" s="1">
        <v>694974</v>
      </c>
      <c r="IN9" s="1">
        <v>695215</v>
      </c>
      <c r="IO9" s="1">
        <v>695448</v>
      </c>
      <c r="IP9" s="1">
        <v>695684</v>
      </c>
      <c r="IQ9" s="1">
        <v>695916</v>
      </c>
      <c r="IR9" s="1">
        <v>696150</v>
      </c>
      <c r="IS9" s="1">
        <v>696384</v>
      </c>
      <c r="IT9" s="1">
        <v>696625</v>
      </c>
      <c r="IU9" s="1">
        <v>696895</v>
      </c>
      <c r="IV9" s="1">
        <v>697228</v>
      </c>
      <c r="IW9" s="1">
        <v>697582</v>
      </c>
      <c r="IX9" s="1">
        <v>697971</v>
      </c>
      <c r="IY9" s="1">
        <v>698372</v>
      </c>
      <c r="IZ9" s="1">
        <v>698800</v>
      </c>
      <c r="JA9" s="1">
        <v>699244</v>
      </c>
      <c r="JB9" s="1">
        <v>699676</v>
      </c>
      <c r="JC9" s="1">
        <v>700077</v>
      </c>
      <c r="JD9" s="1">
        <v>700430</v>
      </c>
      <c r="JE9" s="1">
        <v>700763</v>
      </c>
      <c r="JF9" s="1">
        <v>701052</v>
      </c>
      <c r="JG9" s="1">
        <v>701315</v>
      </c>
      <c r="JH9" s="1">
        <v>701560</v>
      </c>
      <c r="JI9" s="1">
        <v>701803</v>
      </c>
      <c r="JJ9" s="1">
        <v>702046</v>
      </c>
      <c r="JK9" s="1">
        <v>702290</v>
      </c>
      <c r="JL9" s="1">
        <v>702534</v>
      </c>
      <c r="JM9" s="1">
        <v>702772</v>
      </c>
      <c r="JN9" s="1">
        <v>703005</v>
      </c>
      <c r="JO9" s="1">
        <v>703241</v>
      </c>
      <c r="JP9" s="1">
        <v>703479</v>
      </c>
      <c r="JQ9" s="1">
        <v>703715</v>
      </c>
      <c r="JR9" s="1">
        <v>703957</v>
      </c>
      <c r="JS9" s="1">
        <v>704231</v>
      </c>
      <c r="JT9" s="1">
        <v>704563</v>
      </c>
      <c r="JU9" s="1">
        <v>704936</v>
      </c>
      <c r="JV9" s="1">
        <v>705328</v>
      </c>
      <c r="JW9" s="1">
        <v>705734</v>
      </c>
      <c r="JX9" s="1">
        <v>706164</v>
      </c>
      <c r="JY9" s="1">
        <v>706609</v>
      </c>
      <c r="JZ9" s="1">
        <v>707058</v>
      </c>
      <c r="KA9" s="1">
        <v>707474</v>
      </c>
      <c r="KB9" s="1">
        <v>707836</v>
      </c>
      <c r="KC9" s="1">
        <v>708163</v>
      </c>
      <c r="KD9" s="1">
        <v>708467</v>
      </c>
      <c r="KE9" s="1">
        <v>708738</v>
      </c>
      <c r="KF9" s="1">
        <v>709000</v>
      </c>
      <c r="KG9" s="1">
        <v>709252</v>
      </c>
      <c r="KH9" s="1">
        <v>709502</v>
      </c>
      <c r="KI9" s="1">
        <v>709751</v>
      </c>
      <c r="KJ9" s="1">
        <v>709996</v>
      </c>
      <c r="KK9" s="1">
        <v>710237</v>
      </c>
      <c r="KL9" s="1">
        <v>710476</v>
      </c>
      <c r="KM9" s="1">
        <v>710720</v>
      </c>
      <c r="KN9" s="1">
        <v>710960</v>
      </c>
      <c r="KO9" s="1">
        <v>711205</v>
      </c>
      <c r="KP9" s="1">
        <v>711453</v>
      </c>
      <c r="KQ9" s="1">
        <v>711730</v>
      </c>
      <c r="KR9" s="1">
        <v>712064</v>
      </c>
      <c r="KS9" s="1">
        <v>712442</v>
      </c>
      <c r="KT9" s="1">
        <v>712859</v>
      </c>
      <c r="KU9" s="1">
        <v>713275</v>
      </c>
      <c r="KV9" s="1">
        <v>713693</v>
      </c>
      <c r="KW9" s="1">
        <v>714095</v>
      </c>
      <c r="KX9" s="1">
        <v>714488</v>
      </c>
      <c r="KY9" s="1">
        <v>714863</v>
      </c>
      <c r="KZ9" s="1">
        <v>715207</v>
      </c>
      <c r="LA9" s="1">
        <v>715519</v>
      </c>
      <c r="LB9" s="1">
        <v>715800</v>
      </c>
      <c r="LC9" s="1">
        <v>716074</v>
      </c>
      <c r="LD9" s="1">
        <v>716342</v>
      </c>
      <c r="LE9" s="1">
        <v>716610</v>
      </c>
      <c r="LF9" s="1">
        <v>716871</v>
      </c>
      <c r="LG9" s="1">
        <v>717126</v>
      </c>
      <c r="LH9" s="1">
        <v>717375</v>
      </c>
      <c r="LI9" s="1">
        <v>717615</v>
      </c>
      <c r="LJ9" s="1">
        <v>717853</v>
      </c>
      <c r="LK9" s="1">
        <v>718090</v>
      </c>
      <c r="LL9" s="1">
        <v>718328</v>
      </c>
      <c r="LM9" s="1">
        <v>718566</v>
      </c>
      <c r="LN9" s="1">
        <v>718806</v>
      </c>
      <c r="LO9" s="1">
        <v>719050</v>
      </c>
      <c r="LP9" s="1">
        <v>719311</v>
      </c>
      <c r="LQ9" s="1">
        <v>719574</v>
      </c>
      <c r="LR9" s="1">
        <v>719838</v>
      </c>
      <c r="LS9" s="1">
        <v>720106</v>
      </c>
      <c r="LT9" s="1">
        <v>720378</v>
      </c>
      <c r="LU9" s="1">
        <v>720666</v>
      </c>
      <c r="LV9" s="1">
        <v>720962</v>
      </c>
      <c r="LW9" s="1">
        <v>721254</v>
      </c>
      <c r="LX9" s="1">
        <v>721538</v>
      </c>
      <c r="LY9" s="1">
        <v>721809</v>
      </c>
      <c r="LZ9" s="1">
        <v>722075</v>
      </c>
      <c r="MA9" s="1">
        <v>722330</v>
      </c>
      <c r="MB9" s="1">
        <v>722585</v>
      </c>
      <c r="MC9" s="1">
        <v>722840</v>
      </c>
      <c r="MD9" s="1">
        <v>723091</v>
      </c>
      <c r="ME9" s="1">
        <v>723339</v>
      </c>
      <c r="MF9" s="1">
        <v>723585</v>
      </c>
      <c r="MG9" s="1">
        <v>723825</v>
      </c>
      <c r="MH9" s="1">
        <v>724063</v>
      </c>
      <c r="MI9" s="1">
        <v>724301</v>
      </c>
      <c r="MJ9" s="1">
        <v>724541</v>
      </c>
      <c r="MK9" s="1">
        <v>724782</v>
      </c>
      <c r="ML9" s="1">
        <v>725015</v>
      </c>
      <c r="MM9" s="1">
        <v>725249</v>
      </c>
      <c r="MN9" s="1">
        <v>725490</v>
      </c>
      <c r="MO9" s="1">
        <v>725731</v>
      </c>
      <c r="MP9" s="1">
        <v>725982</v>
      </c>
      <c r="MQ9" s="1">
        <v>726241</v>
      </c>
      <c r="MR9" s="1">
        <v>726515</v>
      </c>
      <c r="MS9" s="1">
        <v>726805</v>
      </c>
      <c r="MT9" s="1">
        <v>727101</v>
      </c>
      <c r="MU9" s="1">
        <v>727389</v>
      </c>
      <c r="MV9" s="1">
        <v>727679</v>
      </c>
      <c r="MW9" s="1">
        <v>727959</v>
      </c>
      <c r="MX9" s="1">
        <v>728234</v>
      </c>
      <c r="MY9" s="1">
        <v>728503</v>
      </c>
      <c r="MZ9" s="1">
        <v>728760</v>
      </c>
      <c r="NA9" s="1">
        <v>729018</v>
      </c>
      <c r="NB9" s="1">
        <v>729272</v>
      </c>
      <c r="NC9" s="1">
        <v>729523</v>
      </c>
      <c r="ND9" s="1">
        <v>729765</v>
      </c>
      <c r="NE9" s="1">
        <v>730004</v>
      </c>
      <c r="NF9" s="1">
        <v>730238</v>
      </c>
      <c r="NG9" s="1">
        <v>730472</v>
      </c>
      <c r="NH9" s="1">
        <v>730702</v>
      </c>
      <c r="NI9" s="1">
        <v>730933</v>
      </c>
      <c r="NJ9" s="1">
        <v>731166</v>
      </c>
      <c r="NK9" s="1">
        <v>731407</v>
      </c>
      <c r="NL9" s="1">
        <v>731664</v>
      </c>
      <c r="NM9" s="1">
        <v>731933</v>
      </c>
      <c r="NN9" s="1">
        <v>732212</v>
      </c>
      <c r="NO9" s="1">
        <v>732504</v>
      </c>
      <c r="NP9" s="1">
        <v>732803</v>
      </c>
      <c r="NQ9" s="1">
        <v>733104</v>
      </c>
      <c r="NR9" s="1">
        <v>733418</v>
      </c>
      <c r="NS9" s="1">
        <v>733740</v>
      </c>
      <c r="NT9" s="1">
        <v>734057</v>
      </c>
      <c r="NU9" s="1">
        <v>734364</v>
      </c>
      <c r="NV9" s="1">
        <v>734656</v>
      </c>
      <c r="NW9" s="1">
        <v>734939</v>
      </c>
      <c r="NX9" s="1">
        <v>735209</v>
      </c>
      <c r="NY9" s="1">
        <v>735471</v>
      </c>
      <c r="NZ9" s="1">
        <v>735731</v>
      </c>
      <c r="OA9" s="1">
        <v>735988</v>
      </c>
      <c r="OB9" s="1">
        <v>736238</v>
      </c>
      <c r="OC9" s="1">
        <v>736477</v>
      </c>
      <c r="OD9" s="1">
        <v>736722</v>
      </c>
      <c r="OE9" s="1">
        <v>736957</v>
      </c>
      <c r="OF9" s="1">
        <v>737194</v>
      </c>
      <c r="OG9" s="1">
        <v>737435</v>
      </c>
      <c r="OH9" s="1">
        <v>737687</v>
      </c>
      <c r="OI9" s="1">
        <v>737976</v>
      </c>
      <c r="OJ9" s="1">
        <v>738322</v>
      </c>
      <c r="OK9" s="1">
        <v>738747</v>
      </c>
      <c r="OL9" s="1">
        <v>739202</v>
      </c>
      <c r="OM9" s="1">
        <v>739672</v>
      </c>
      <c r="ON9" s="1">
        <v>740153</v>
      </c>
      <c r="OO9" s="1">
        <v>740629</v>
      </c>
      <c r="OP9" s="1">
        <v>741105</v>
      </c>
      <c r="OQ9" s="1">
        <v>741570</v>
      </c>
      <c r="OR9" s="1">
        <v>742002</v>
      </c>
      <c r="OS9" s="1">
        <v>742392</v>
      </c>
      <c r="OT9" s="1">
        <v>742735</v>
      </c>
      <c r="OU9" s="1">
        <v>743028</v>
      </c>
      <c r="OV9" s="1">
        <v>743309</v>
      </c>
      <c r="OW9" s="1">
        <v>743574</v>
      </c>
      <c r="OX9" s="1">
        <v>743827</v>
      </c>
      <c r="OY9" s="1">
        <v>744074</v>
      </c>
      <c r="OZ9" s="1">
        <v>744326</v>
      </c>
      <c r="PA9" s="1">
        <v>744571</v>
      </c>
      <c r="PB9" s="1">
        <v>744816</v>
      </c>
      <c r="PC9" s="1">
        <v>745065</v>
      </c>
      <c r="PD9" s="1">
        <v>745307</v>
      </c>
      <c r="PE9" s="1">
        <v>745550</v>
      </c>
      <c r="PF9" s="1">
        <v>745804</v>
      </c>
      <c r="PG9" s="1">
        <v>746090</v>
      </c>
      <c r="PH9" s="1">
        <v>746445</v>
      </c>
      <c r="PI9" s="1">
        <v>746877</v>
      </c>
      <c r="PJ9" s="1">
        <v>747338</v>
      </c>
      <c r="PK9" s="1">
        <v>747808</v>
      </c>
      <c r="PL9" s="1">
        <v>748282</v>
      </c>
      <c r="PM9" s="1">
        <v>748764</v>
      </c>
      <c r="PN9" s="1">
        <v>749235</v>
      </c>
      <c r="PO9" s="1">
        <v>749668</v>
      </c>
      <c r="PP9" s="1">
        <v>750066</v>
      </c>
      <c r="PQ9" s="1">
        <v>750420</v>
      </c>
      <c r="PR9" s="1">
        <v>750735</v>
      </c>
      <c r="PS9" s="1">
        <v>751031</v>
      </c>
      <c r="PT9" s="1">
        <v>751319</v>
      </c>
      <c r="PU9" s="1">
        <v>751612</v>
      </c>
      <c r="PV9" s="1">
        <v>751883</v>
      </c>
      <c r="PW9" s="1">
        <v>752143</v>
      </c>
      <c r="PX9" s="1">
        <v>752397</v>
      </c>
      <c r="PY9" s="1">
        <v>752642</v>
      </c>
      <c r="PZ9" s="1">
        <v>752882</v>
      </c>
      <c r="QA9" s="1">
        <v>753126</v>
      </c>
      <c r="QB9" s="1">
        <v>753362</v>
      </c>
      <c r="QC9" s="1">
        <v>753600</v>
      </c>
      <c r="QD9" s="1">
        <v>753851</v>
      </c>
      <c r="QE9" s="1">
        <v>754128</v>
      </c>
      <c r="QF9" s="1">
        <v>754447</v>
      </c>
      <c r="QG9" s="1">
        <v>754813</v>
      </c>
      <c r="QH9" s="1">
        <v>755228</v>
      </c>
      <c r="QI9" s="1">
        <v>755646</v>
      </c>
      <c r="QJ9" s="1">
        <v>756071</v>
      </c>
      <c r="QK9" s="1">
        <v>756507</v>
      </c>
      <c r="QL9" s="1">
        <v>756920</v>
      </c>
      <c r="QM9" s="1">
        <v>757312</v>
      </c>
      <c r="QN9" s="1">
        <v>757651</v>
      </c>
      <c r="QO9" s="1">
        <v>757936</v>
      </c>
      <c r="QP9" s="1">
        <v>758198</v>
      </c>
      <c r="QQ9" s="1">
        <v>758442</v>
      </c>
      <c r="QR9" s="1">
        <v>758671</v>
      </c>
      <c r="QS9" s="1">
        <v>758888</v>
      </c>
      <c r="QT9" s="1">
        <v>759103</v>
      </c>
      <c r="QU9" s="1">
        <v>759307</v>
      </c>
      <c r="QV9" s="1">
        <v>759502</v>
      </c>
      <c r="QW9" s="1">
        <v>759690</v>
      </c>
      <c r="QX9" s="1">
        <v>759870</v>
      </c>
      <c r="QY9" s="1">
        <v>760059</v>
      </c>
      <c r="QZ9" s="1">
        <v>760238</v>
      </c>
      <c r="RA9" s="1">
        <v>760418</v>
      </c>
      <c r="RB9" s="1">
        <v>760604</v>
      </c>
      <c r="RC9" s="1">
        <v>760824</v>
      </c>
      <c r="RD9" s="1">
        <v>761111</v>
      </c>
      <c r="RE9" s="1">
        <v>761437</v>
      </c>
      <c r="RF9" s="1">
        <v>761770</v>
      </c>
      <c r="RG9" s="1">
        <v>762127</v>
      </c>
      <c r="RH9" s="1">
        <v>762483</v>
      </c>
      <c r="RI9" s="1">
        <v>762861</v>
      </c>
      <c r="RJ9" s="1">
        <v>763229</v>
      </c>
      <c r="RK9" s="1">
        <v>763576</v>
      </c>
      <c r="RL9" s="1">
        <v>763876</v>
      </c>
      <c r="RM9" s="1">
        <v>764131</v>
      </c>
      <c r="RN9" s="1">
        <v>764351</v>
      </c>
      <c r="RO9" s="1">
        <v>764563</v>
      </c>
      <c r="RP9" s="1">
        <v>764773</v>
      </c>
      <c r="RQ9" s="1">
        <v>764978</v>
      </c>
      <c r="RR9" s="1">
        <v>765161</v>
      </c>
      <c r="RS9" s="1">
        <v>765342</v>
      </c>
      <c r="RT9" s="1">
        <v>765516</v>
      </c>
      <c r="RU9" s="1">
        <v>765683</v>
      </c>
      <c r="RV9" s="1">
        <v>765844</v>
      </c>
      <c r="RW9" s="1">
        <v>766014</v>
      </c>
      <c r="RX9" s="1">
        <v>766182</v>
      </c>
      <c r="RY9" s="1">
        <v>766347</v>
      </c>
      <c r="RZ9" s="1">
        <v>766514</v>
      </c>
      <c r="SA9" s="1">
        <v>766682</v>
      </c>
      <c r="SB9" s="1">
        <v>766863</v>
      </c>
      <c r="SC9" s="1">
        <v>767053</v>
      </c>
      <c r="SD9" s="1">
        <v>767253</v>
      </c>
      <c r="SE9" s="1">
        <v>767446</v>
      </c>
      <c r="SF9" s="1">
        <v>767634</v>
      </c>
      <c r="SG9" s="1">
        <v>767850</v>
      </c>
      <c r="SH9" s="1">
        <v>768073</v>
      </c>
      <c r="SI9" s="1">
        <v>768292</v>
      </c>
      <c r="SJ9" s="1">
        <v>768501</v>
      </c>
      <c r="SK9" s="1">
        <v>768701</v>
      </c>
      <c r="SL9" s="1">
        <v>768897</v>
      </c>
      <c r="SM9" s="1">
        <v>769090</v>
      </c>
      <c r="SN9" s="1">
        <v>769280</v>
      </c>
      <c r="SO9" s="1">
        <v>769466</v>
      </c>
      <c r="SP9" s="1">
        <v>769646</v>
      </c>
      <c r="SQ9" s="1">
        <v>769817</v>
      </c>
      <c r="SR9" s="1">
        <v>769977</v>
      </c>
      <c r="SS9" s="1">
        <v>770136</v>
      </c>
      <c r="ST9" s="1">
        <v>770293</v>
      </c>
      <c r="SU9" s="1">
        <v>770443</v>
      </c>
      <c r="SV9" s="1">
        <v>770594</v>
      </c>
      <c r="SW9" s="1">
        <v>770751</v>
      </c>
      <c r="SX9" s="1">
        <v>770902</v>
      </c>
      <c r="SY9" s="1">
        <v>771064</v>
      </c>
    </row>
    <row r="10" spans="1:750">
      <c r="A10" s="1">
        <v>9</v>
      </c>
      <c r="B10" s="1" t="s">
        <v>2</v>
      </c>
      <c r="C10" s="1" t="s">
        <v>3</v>
      </c>
      <c r="D10" s="1" t="s">
        <v>13</v>
      </c>
      <c r="E10" s="1" t="s">
        <v>5</v>
      </c>
      <c r="F10" s="1">
        <v>50484</v>
      </c>
      <c r="G10" s="1">
        <v>50490.8</v>
      </c>
      <c r="H10" s="1">
        <v>50497.3</v>
      </c>
      <c r="I10" s="1">
        <v>50503.6</v>
      </c>
      <c r="J10" s="1">
        <v>50510.2</v>
      </c>
      <c r="K10" s="1">
        <v>50516.2</v>
      </c>
      <c r="L10" s="1">
        <v>50522.400000000001</v>
      </c>
      <c r="M10" s="1">
        <v>50528.4</v>
      </c>
      <c r="N10" s="1">
        <v>50535</v>
      </c>
      <c r="O10" s="1">
        <v>50541.599999999999</v>
      </c>
      <c r="P10" s="1">
        <v>50548.6</v>
      </c>
      <c r="Q10" s="1">
        <v>50555.7</v>
      </c>
      <c r="R10" s="1">
        <v>50562.9</v>
      </c>
      <c r="S10" s="1">
        <v>50570.6</v>
      </c>
      <c r="T10" s="1">
        <v>50578.7</v>
      </c>
      <c r="U10" s="1">
        <v>50586.9</v>
      </c>
      <c r="V10" s="1">
        <v>50594.7</v>
      </c>
      <c r="W10" s="1">
        <v>50602.3</v>
      </c>
      <c r="X10" s="1">
        <v>50609.3</v>
      </c>
      <c r="Y10" s="1">
        <v>50616</v>
      </c>
      <c r="Z10" s="1">
        <v>50622.7</v>
      </c>
      <c r="AA10" s="1">
        <v>50629.2</v>
      </c>
      <c r="AB10" s="1">
        <v>50635.6</v>
      </c>
      <c r="AC10" s="1">
        <v>50642.400000000001</v>
      </c>
      <c r="AD10" s="1">
        <v>50648.800000000003</v>
      </c>
      <c r="AE10" s="1">
        <v>50655.5</v>
      </c>
      <c r="AF10" s="1">
        <v>50661.9</v>
      </c>
      <c r="AG10" s="1">
        <v>50668</v>
      </c>
      <c r="AH10" s="1">
        <v>50674.400000000001</v>
      </c>
      <c r="AI10" s="1">
        <v>50680.3</v>
      </c>
      <c r="AJ10" s="1">
        <v>50686.400000000001</v>
      </c>
      <c r="AK10" s="1">
        <v>50692.4</v>
      </c>
      <c r="AL10" s="1">
        <v>50698.7</v>
      </c>
      <c r="AM10" s="1">
        <v>50705.5</v>
      </c>
      <c r="AN10" s="1">
        <v>50712.6</v>
      </c>
      <c r="AO10" s="1">
        <v>50724.6</v>
      </c>
      <c r="AP10" s="1">
        <v>50737.9</v>
      </c>
      <c r="AQ10" s="1">
        <v>50749.599999999999</v>
      </c>
      <c r="AR10" s="1">
        <v>50760.800000000003</v>
      </c>
      <c r="AS10" s="1">
        <v>50775.6</v>
      </c>
      <c r="AT10" s="1">
        <v>50792</v>
      </c>
      <c r="AU10" s="1">
        <v>50803.199999999997</v>
      </c>
      <c r="AV10" s="1">
        <v>50811.1</v>
      </c>
      <c r="AW10" s="1">
        <v>50818.8</v>
      </c>
      <c r="AX10" s="1">
        <v>50825.7</v>
      </c>
      <c r="AY10" s="1">
        <v>50833.2</v>
      </c>
      <c r="AZ10" s="1">
        <v>50840.6</v>
      </c>
      <c r="BA10" s="1">
        <v>50847.4</v>
      </c>
      <c r="BB10" s="1">
        <v>50854.400000000001</v>
      </c>
      <c r="BC10" s="1">
        <v>50860.9</v>
      </c>
      <c r="BD10" s="1">
        <v>50867.6</v>
      </c>
      <c r="BE10" s="1">
        <v>50874.2</v>
      </c>
      <c r="BF10" s="1">
        <v>50880.9</v>
      </c>
      <c r="BG10" s="1">
        <v>50887.4</v>
      </c>
      <c r="BH10" s="1">
        <v>50893.599999999999</v>
      </c>
      <c r="BI10" s="1">
        <v>50899.8</v>
      </c>
      <c r="BJ10" s="1">
        <v>50906.7</v>
      </c>
      <c r="BK10" s="1">
        <v>50913.8</v>
      </c>
      <c r="BL10" s="1">
        <v>50921.1</v>
      </c>
      <c r="BM10" s="1">
        <v>50934.9</v>
      </c>
      <c r="BN10" s="1">
        <v>50946.2</v>
      </c>
      <c r="BO10" s="1">
        <v>50958.5</v>
      </c>
      <c r="BP10" s="1">
        <v>50973.9</v>
      </c>
      <c r="BQ10" s="1">
        <v>50988.2</v>
      </c>
      <c r="BR10" s="1">
        <v>51000.5</v>
      </c>
      <c r="BS10" s="1">
        <v>51010.5</v>
      </c>
      <c r="BT10" s="1">
        <v>51020.7</v>
      </c>
      <c r="BU10" s="1">
        <v>51029.7</v>
      </c>
      <c r="BV10" s="1">
        <v>51038.1</v>
      </c>
      <c r="BW10" s="1">
        <v>51046.6</v>
      </c>
      <c r="BX10" s="1">
        <v>51054.5</v>
      </c>
      <c r="BY10" s="1">
        <v>51061</v>
      </c>
      <c r="BZ10" s="1">
        <v>51067.4</v>
      </c>
      <c r="CA10" s="1">
        <v>51073.8</v>
      </c>
      <c r="CB10" s="1">
        <v>51079.9</v>
      </c>
      <c r="CC10" s="1">
        <v>51086.2</v>
      </c>
      <c r="CD10" s="1">
        <v>51092.5</v>
      </c>
      <c r="CE10" s="1">
        <v>51098.6</v>
      </c>
      <c r="CF10" s="1">
        <v>51104.6</v>
      </c>
      <c r="CG10" s="1">
        <v>51110.6</v>
      </c>
      <c r="CH10" s="1">
        <v>51117.5</v>
      </c>
      <c r="CI10" s="1">
        <v>51124.5</v>
      </c>
      <c r="CJ10" s="1">
        <v>51131.9</v>
      </c>
      <c r="CK10" s="1">
        <v>51144.2</v>
      </c>
      <c r="CL10" s="1">
        <v>51156.7</v>
      </c>
      <c r="CM10" s="1">
        <v>51168.1</v>
      </c>
      <c r="CN10" s="1">
        <v>51180.5</v>
      </c>
      <c r="CO10" s="1">
        <v>51192.6</v>
      </c>
      <c r="CP10" s="1">
        <v>51204.5</v>
      </c>
      <c r="CQ10" s="1">
        <v>51216.4</v>
      </c>
      <c r="CR10" s="1">
        <v>51225</v>
      </c>
      <c r="CS10" s="1">
        <v>51232.6</v>
      </c>
      <c r="CT10" s="1">
        <v>51240.1</v>
      </c>
      <c r="CU10" s="1">
        <v>51246.9</v>
      </c>
      <c r="CV10" s="1">
        <v>51254.1</v>
      </c>
      <c r="CW10" s="1">
        <v>51261.1</v>
      </c>
      <c r="CX10" s="1">
        <v>51267.9</v>
      </c>
      <c r="CY10" s="1">
        <v>51274.5</v>
      </c>
      <c r="CZ10" s="1">
        <v>51280.800000000003</v>
      </c>
      <c r="DA10" s="1">
        <v>51287.3</v>
      </c>
      <c r="DB10" s="1">
        <v>51293.7</v>
      </c>
      <c r="DC10" s="1">
        <v>51299.8</v>
      </c>
      <c r="DD10" s="1">
        <v>51306</v>
      </c>
      <c r="DE10" s="1">
        <v>51312.4</v>
      </c>
      <c r="DF10" s="1">
        <v>51318.9</v>
      </c>
      <c r="DG10" s="1">
        <v>51325.5</v>
      </c>
      <c r="DH10" s="1">
        <v>51332.1</v>
      </c>
      <c r="DI10" s="1">
        <v>51342.3</v>
      </c>
      <c r="DJ10" s="1">
        <v>51352.800000000003</v>
      </c>
      <c r="DK10" s="1">
        <v>51362.5</v>
      </c>
      <c r="DL10" s="1">
        <v>51371.7</v>
      </c>
      <c r="DM10" s="1">
        <v>51380</v>
      </c>
      <c r="DN10" s="1">
        <v>51387.5</v>
      </c>
      <c r="DO10" s="1">
        <v>51393.8</v>
      </c>
      <c r="DP10" s="1">
        <v>51400.2</v>
      </c>
      <c r="DQ10" s="1">
        <v>51406.1</v>
      </c>
      <c r="DR10" s="1">
        <v>51413.8</v>
      </c>
      <c r="DS10" s="1">
        <v>51421.1</v>
      </c>
      <c r="DT10" s="1">
        <v>51427.3</v>
      </c>
      <c r="DU10" s="1">
        <v>51433.4</v>
      </c>
      <c r="DV10" s="1">
        <v>51439.3</v>
      </c>
      <c r="DW10" s="1">
        <v>51445.2</v>
      </c>
      <c r="DX10" s="1">
        <v>51451.1</v>
      </c>
      <c r="DY10" s="1">
        <v>51456.800000000003</v>
      </c>
      <c r="DZ10" s="1">
        <v>51462.7</v>
      </c>
      <c r="EA10" s="1">
        <v>51468.3</v>
      </c>
      <c r="EB10" s="1">
        <v>51473.9</v>
      </c>
      <c r="EC10" s="1">
        <v>51479.8</v>
      </c>
      <c r="ED10" s="1">
        <v>51485.7</v>
      </c>
      <c r="EE10" s="1">
        <v>51492.1</v>
      </c>
      <c r="EF10" s="1">
        <v>51498.9</v>
      </c>
      <c r="EG10" s="1">
        <v>51506.7</v>
      </c>
      <c r="EH10" s="1">
        <v>51514.6</v>
      </c>
      <c r="EI10" s="1">
        <v>51521.2</v>
      </c>
      <c r="EJ10" s="1">
        <v>51526.7</v>
      </c>
      <c r="EK10" s="1">
        <v>51532.9</v>
      </c>
      <c r="EL10" s="1">
        <v>51539.9</v>
      </c>
      <c r="EM10" s="1">
        <v>51545.5</v>
      </c>
      <c r="EN10" s="1">
        <v>51550.9</v>
      </c>
      <c r="EO10" s="1">
        <v>51555.4</v>
      </c>
      <c r="EP10" s="1">
        <v>51560.2</v>
      </c>
      <c r="EQ10" s="1">
        <v>51565</v>
      </c>
      <c r="ER10" s="1">
        <v>51569.1</v>
      </c>
      <c r="ES10" s="1">
        <v>51573.1</v>
      </c>
      <c r="ET10" s="1">
        <v>51576.800000000003</v>
      </c>
      <c r="EU10" s="1">
        <v>51580.7</v>
      </c>
      <c r="EV10" s="1">
        <v>51584.3</v>
      </c>
      <c r="EW10" s="1">
        <v>51588</v>
      </c>
      <c r="EX10" s="1">
        <v>51591.8</v>
      </c>
      <c r="EY10" s="1">
        <v>51595.5</v>
      </c>
      <c r="EZ10" s="1">
        <v>51599.5</v>
      </c>
      <c r="FA10" s="1">
        <v>51603</v>
      </c>
      <c r="FB10" s="1">
        <v>51606.8</v>
      </c>
      <c r="FC10" s="1">
        <v>51610.5</v>
      </c>
      <c r="FD10" s="1">
        <v>51614.5</v>
      </c>
      <c r="FE10" s="1">
        <v>51618.1</v>
      </c>
      <c r="FF10" s="1">
        <v>51622</v>
      </c>
      <c r="FG10" s="1">
        <v>51626</v>
      </c>
      <c r="FH10" s="1">
        <v>51629.9</v>
      </c>
      <c r="FI10" s="1">
        <v>51634.8</v>
      </c>
      <c r="FJ10" s="1">
        <v>51639.6</v>
      </c>
      <c r="FK10" s="1">
        <v>51644.3</v>
      </c>
      <c r="FL10" s="1">
        <v>51648.3</v>
      </c>
      <c r="FM10" s="1">
        <v>51651.9</v>
      </c>
      <c r="FN10" s="1">
        <v>51656</v>
      </c>
      <c r="FO10" s="1">
        <v>51659.6</v>
      </c>
      <c r="FP10" s="1">
        <v>51663.6</v>
      </c>
      <c r="FQ10" s="1">
        <v>51667.4</v>
      </c>
      <c r="FR10" s="1">
        <v>51671.199999999997</v>
      </c>
      <c r="FS10" s="1">
        <v>51675.1</v>
      </c>
      <c r="FT10" s="1">
        <v>51678.8</v>
      </c>
      <c r="FU10" s="1">
        <v>51682.8</v>
      </c>
      <c r="FV10" s="1">
        <v>51686.7</v>
      </c>
      <c r="FW10" s="1">
        <v>51690.5</v>
      </c>
      <c r="FX10" s="1">
        <v>51694.400000000001</v>
      </c>
      <c r="FY10" s="1">
        <v>51698</v>
      </c>
      <c r="FZ10" s="1">
        <v>51701.9</v>
      </c>
      <c r="GA10" s="1">
        <v>51706</v>
      </c>
      <c r="GB10" s="1">
        <v>51709.9</v>
      </c>
      <c r="GC10" s="1">
        <v>51713.9</v>
      </c>
      <c r="GD10" s="1">
        <v>51718.1</v>
      </c>
      <c r="GE10" s="1">
        <v>51722.2</v>
      </c>
      <c r="GF10" s="1">
        <v>51730.6</v>
      </c>
      <c r="GG10" s="1">
        <v>51741</v>
      </c>
      <c r="GH10" s="1">
        <v>51751.1</v>
      </c>
      <c r="GI10" s="1">
        <v>51760.6</v>
      </c>
      <c r="GJ10" s="1">
        <v>51768.2</v>
      </c>
      <c r="GK10" s="1">
        <v>51779.3</v>
      </c>
      <c r="GL10" s="1">
        <v>51809</v>
      </c>
      <c r="GM10" s="1">
        <v>51815.4</v>
      </c>
      <c r="GN10" s="1">
        <v>51820.9</v>
      </c>
      <c r="GO10" s="1">
        <v>51826.3</v>
      </c>
      <c r="GP10" s="1">
        <v>51832</v>
      </c>
      <c r="GQ10" s="1">
        <v>51837.1</v>
      </c>
      <c r="GR10" s="1">
        <v>51842.6</v>
      </c>
      <c r="GS10" s="1">
        <v>51847.5</v>
      </c>
      <c r="GT10" s="1">
        <v>51852.6</v>
      </c>
      <c r="GU10" s="1">
        <v>51857.8</v>
      </c>
      <c r="GV10" s="1">
        <v>51862.9</v>
      </c>
      <c r="GW10" s="1">
        <v>51867.8</v>
      </c>
      <c r="GX10" s="1">
        <v>51872.6</v>
      </c>
      <c r="GY10" s="1">
        <v>51877.3</v>
      </c>
      <c r="GZ10" s="1">
        <v>51882.8</v>
      </c>
      <c r="HA10" s="1">
        <v>51887.7</v>
      </c>
      <c r="HB10" s="1">
        <v>51893.1</v>
      </c>
      <c r="HC10" s="1">
        <v>51899.1</v>
      </c>
      <c r="HD10" s="1">
        <v>51909</v>
      </c>
      <c r="HE10" s="1">
        <v>51919.1</v>
      </c>
      <c r="HF10" s="1">
        <v>51929.2</v>
      </c>
      <c r="HG10" s="1">
        <v>51939.6</v>
      </c>
      <c r="HH10" s="1">
        <v>51948.800000000003</v>
      </c>
      <c r="HI10" s="1">
        <v>51957.1</v>
      </c>
      <c r="HJ10" s="1">
        <v>51964.9</v>
      </c>
      <c r="HK10" s="1">
        <v>51972.800000000003</v>
      </c>
      <c r="HL10" s="1">
        <v>51980.3</v>
      </c>
      <c r="HM10" s="1">
        <v>51987.5</v>
      </c>
      <c r="HN10" s="1">
        <v>51994.7</v>
      </c>
      <c r="HO10" s="1">
        <v>52001.3</v>
      </c>
      <c r="HP10" s="1">
        <v>52008.3</v>
      </c>
      <c r="HQ10" s="1">
        <v>52015.199999999997</v>
      </c>
      <c r="HR10" s="1">
        <v>52021.9</v>
      </c>
      <c r="HS10" s="1">
        <v>52028.3</v>
      </c>
      <c r="HT10" s="1">
        <v>52035.4</v>
      </c>
      <c r="HU10" s="1">
        <v>52041.9</v>
      </c>
      <c r="HV10" s="1">
        <v>52048.800000000003</v>
      </c>
      <c r="HW10" s="1">
        <v>52055.7</v>
      </c>
      <c r="HX10" s="1">
        <v>52063.4</v>
      </c>
      <c r="HY10" s="1">
        <v>52072</v>
      </c>
      <c r="HZ10" s="1">
        <v>52082.7</v>
      </c>
      <c r="IA10" s="1">
        <v>52093.599999999999</v>
      </c>
      <c r="IB10" s="1">
        <v>52105.5</v>
      </c>
      <c r="IC10" s="1">
        <v>52117</v>
      </c>
      <c r="ID10" s="1">
        <v>52126.5</v>
      </c>
      <c r="IE10" s="1">
        <v>52135.199999999997</v>
      </c>
      <c r="IF10" s="1">
        <v>52143.6</v>
      </c>
      <c r="IG10" s="1">
        <v>52151.7</v>
      </c>
      <c r="IH10" s="1">
        <v>52159.4</v>
      </c>
      <c r="II10" s="1">
        <v>52167</v>
      </c>
      <c r="IJ10" s="1">
        <v>52174.2</v>
      </c>
      <c r="IK10" s="1">
        <v>52181.5</v>
      </c>
      <c r="IL10" s="1">
        <v>52188.6</v>
      </c>
      <c r="IM10" s="1">
        <v>52195.6</v>
      </c>
      <c r="IN10" s="1">
        <v>52202.6</v>
      </c>
      <c r="IO10" s="1">
        <v>52209.3</v>
      </c>
      <c r="IP10" s="1">
        <v>52216</v>
      </c>
      <c r="IQ10" s="1">
        <v>52222.8</v>
      </c>
      <c r="IR10" s="1">
        <v>52229.4</v>
      </c>
      <c r="IS10" s="1">
        <v>52236.1</v>
      </c>
      <c r="IT10" s="1">
        <v>52242.9</v>
      </c>
      <c r="IU10" s="1">
        <v>52249.5</v>
      </c>
      <c r="IV10" s="1">
        <v>52256.1</v>
      </c>
      <c r="IW10" s="1">
        <v>52262.3</v>
      </c>
      <c r="IX10" s="1">
        <v>52268.800000000003</v>
      </c>
      <c r="IY10" s="1">
        <v>52275.199999999997</v>
      </c>
      <c r="IZ10" s="1">
        <v>52283.1</v>
      </c>
      <c r="JA10" s="1">
        <v>52291.5</v>
      </c>
      <c r="JB10" s="1">
        <v>52301.3</v>
      </c>
      <c r="JC10" s="1">
        <v>52312.4</v>
      </c>
      <c r="JD10" s="1">
        <v>52321.2</v>
      </c>
      <c r="JE10" s="1">
        <v>52329.9</v>
      </c>
      <c r="JF10" s="1">
        <v>52336.7</v>
      </c>
      <c r="JG10" s="1">
        <v>52343.4</v>
      </c>
      <c r="JH10" s="1">
        <v>52349.9</v>
      </c>
      <c r="JI10" s="1">
        <v>52356.5</v>
      </c>
      <c r="JJ10" s="1">
        <v>52363.199999999997</v>
      </c>
      <c r="JK10" s="1">
        <v>52369.5</v>
      </c>
      <c r="JL10" s="1">
        <v>52376.1</v>
      </c>
      <c r="JM10" s="1">
        <v>52382.400000000001</v>
      </c>
      <c r="JN10" s="1">
        <v>52388.6</v>
      </c>
      <c r="JO10" s="1">
        <v>52394.8</v>
      </c>
      <c r="JP10" s="1">
        <v>52401.1</v>
      </c>
      <c r="JQ10" s="1">
        <v>52407.3</v>
      </c>
      <c r="JR10" s="1">
        <v>52413.5</v>
      </c>
      <c r="JS10" s="1">
        <v>52420</v>
      </c>
      <c r="JT10" s="1">
        <v>52427.4</v>
      </c>
      <c r="JU10" s="1">
        <v>52435.3</v>
      </c>
      <c r="JV10" s="1">
        <v>52443.8</v>
      </c>
      <c r="JW10" s="1">
        <v>52455.6</v>
      </c>
      <c r="JX10" s="1">
        <v>52466.5</v>
      </c>
      <c r="JY10" s="1">
        <v>52477.9</v>
      </c>
      <c r="JZ10" s="1">
        <v>52490.8</v>
      </c>
      <c r="KA10" s="1">
        <v>52500.2</v>
      </c>
      <c r="KB10" s="1">
        <v>52507.9</v>
      </c>
      <c r="KC10" s="1">
        <v>52515.3</v>
      </c>
      <c r="KD10" s="1">
        <v>52522.400000000001</v>
      </c>
      <c r="KE10" s="1">
        <v>52529.1</v>
      </c>
      <c r="KF10" s="1">
        <v>52536</v>
      </c>
      <c r="KG10" s="1">
        <v>52542.7</v>
      </c>
      <c r="KH10" s="1">
        <v>52549.5</v>
      </c>
      <c r="KI10" s="1">
        <v>52556.1</v>
      </c>
      <c r="KJ10" s="1">
        <v>52562.9</v>
      </c>
      <c r="KK10" s="1">
        <v>52569.5</v>
      </c>
      <c r="KL10" s="1">
        <v>52576.1</v>
      </c>
      <c r="KM10" s="1">
        <v>52582.8</v>
      </c>
      <c r="KN10" s="1">
        <v>52589.4</v>
      </c>
      <c r="KO10" s="1">
        <v>52595.8</v>
      </c>
      <c r="KP10" s="1">
        <v>52602.6</v>
      </c>
      <c r="KQ10" s="1">
        <v>52609.3</v>
      </c>
      <c r="KR10" s="1">
        <v>52616.3</v>
      </c>
      <c r="KS10" s="1">
        <v>52623.1</v>
      </c>
      <c r="KT10" s="1">
        <v>52630.5</v>
      </c>
      <c r="KU10" s="1">
        <v>52638.1</v>
      </c>
      <c r="KV10" s="1">
        <v>52645.7</v>
      </c>
      <c r="KW10" s="1">
        <v>52652.6</v>
      </c>
      <c r="KX10" s="1">
        <v>52659.4</v>
      </c>
      <c r="KY10" s="1">
        <v>52666.400000000001</v>
      </c>
      <c r="KZ10" s="1">
        <v>52673</v>
      </c>
      <c r="LA10" s="1">
        <v>52679.7</v>
      </c>
      <c r="LB10" s="1">
        <v>52686.3</v>
      </c>
      <c r="LC10" s="1">
        <v>52692.9</v>
      </c>
      <c r="LD10" s="1">
        <v>52699.7</v>
      </c>
      <c r="LE10" s="1">
        <v>52706.7</v>
      </c>
      <c r="LF10" s="1">
        <v>52715.3</v>
      </c>
      <c r="LG10" s="1">
        <v>52723.8</v>
      </c>
      <c r="LH10" s="1">
        <v>52731.8</v>
      </c>
      <c r="LI10" s="1">
        <v>52739.7</v>
      </c>
      <c r="LJ10" s="1">
        <v>52747.7</v>
      </c>
      <c r="LK10" s="1">
        <v>52755.199999999997</v>
      </c>
      <c r="LL10" s="1">
        <v>52762.7</v>
      </c>
      <c r="LM10" s="1">
        <v>52770.400000000001</v>
      </c>
      <c r="LN10" s="1">
        <v>52778.2</v>
      </c>
      <c r="LO10" s="1">
        <v>52786.400000000001</v>
      </c>
      <c r="LP10" s="1">
        <v>52795</v>
      </c>
      <c r="LQ10" s="1">
        <v>52803.1</v>
      </c>
      <c r="LR10" s="1">
        <v>52811.4</v>
      </c>
      <c r="LS10" s="1">
        <v>52819.7</v>
      </c>
      <c r="LT10" s="1">
        <v>52828.5</v>
      </c>
      <c r="LU10" s="1">
        <v>52836.4</v>
      </c>
      <c r="LV10" s="1">
        <v>52844.5</v>
      </c>
      <c r="LW10" s="1">
        <v>52852.6</v>
      </c>
      <c r="LX10" s="1">
        <v>52860.1</v>
      </c>
      <c r="LY10" s="1">
        <v>52868</v>
      </c>
      <c r="LZ10" s="1">
        <v>52875.7</v>
      </c>
      <c r="MA10" s="1">
        <v>52883.3</v>
      </c>
      <c r="MB10" s="1">
        <v>52891.5</v>
      </c>
      <c r="MC10" s="1">
        <v>52899.3</v>
      </c>
      <c r="MD10" s="1">
        <v>52906.9</v>
      </c>
      <c r="ME10" s="1">
        <v>52914.5</v>
      </c>
      <c r="MF10" s="1">
        <v>52922.1</v>
      </c>
      <c r="MG10" s="1">
        <v>52930.1</v>
      </c>
      <c r="MH10" s="1">
        <v>52937.7</v>
      </c>
      <c r="MI10" s="1">
        <v>52945.599999999999</v>
      </c>
      <c r="MJ10" s="1">
        <v>52953.1</v>
      </c>
      <c r="MK10" s="1">
        <v>52960.3</v>
      </c>
      <c r="ML10" s="1">
        <v>52967.3</v>
      </c>
      <c r="MM10" s="1">
        <v>52974.7</v>
      </c>
      <c r="MN10" s="1">
        <v>52982</v>
      </c>
      <c r="MO10" s="1">
        <v>52989.1</v>
      </c>
      <c r="MP10" s="1">
        <v>52996.7</v>
      </c>
      <c r="MQ10" s="1">
        <v>53005.3</v>
      </c>
      <c r="MR10" s="1">
        <v>53014.7</v>
      </c>
      <c r="MS10" s="1">
        <v>53024.6</v>
      </c>
      <c r="MT10" s="1">
        <v>53033.9</v>
      </c>
      <c r="MU10" s="1">
        <v>53042.6</v>
      </c>
      <c r="MV10" s="1">
        <v>53051.5</v>
      </c>
      <c r="MW10" s="1">
        <v>53059.5</v>
      </c>
      <c r="MX10" s="1">
        <v>53067.6</v>
      </c>
      <c r="MY10" s="1">
        <v>53074.9</v>
      </c>
      <c r="MZ10" s="1">
        <v>53082.1</v>
      </c>
      <c r="NA10" s="1">
        <v>53089.5</v>
      </c>
      <c r="NB10" s="1">
        <v>53096.7</v>
      </c>
      <c r="NC10" s="1">
        <v>53103.9</v>
      </c>
      <c r="ND10" s="1">
        <v>53110.9</v>
      </c>
      <c r="NE10" s="1">
        <v>53117.8</v>
      </c>
      <c r="NF10" s="1">
        <v>53124.7</v>
      </c>
      <c r="NG10" s="1">
        <v>53131.8</v>
      </c>
      <c r="NH10" s="1">
        <v>53138.6</v>
      </c>
      <c r="NI10" s="1">
        <v>53145.5</v>
      </c>
      <c r="NJ10" s="1">
        <v>53152.7</v>
      </c>
      <c r="NK10" s="1">
        <v>53160.3</v>
      </c>
      <c r="NL10" s="1">
        <v>53167.8</v>
      </c>
      <c r="NM10" s="1">
        <v>53176.5</v>
      </c>
      <c r="NN10" s="1">
        <v>53185.3</v>
      </c>
      <c r="NO10" s="1">
        <v>53194.6</v>
      </c>
      <c r="NP10" s="1">
        <v>53205</v>
      </c>
      <c r="NQ10" s="1">
        <v>53215.1</v>
      </c>
      <c r="NR10" s="1">
        <v>53224</v>
      </c>
      <c r="NS10" s="1">
        <v>53233</v>
      </c>
      <c r="NT10" s="1">
        <v>53242.1</v>
      </c>
      <c r="NU10" s="1">
        <v>53249.7</v>
      </c>
      <c r="NV10" s="1">
        <v>53256.9</v>
      </c>
      <c r="NW10" s="1">
        <v>53264.4</v>
      </c>
      <c r="NX10" s="1">
        <v>53271.4</v>
      </c>
      <c r="NY10" s="1">
        <v>53278.400000000001</v>
      </c>
      <c r="NZ10" s="1">
        <v>53285.7</v>
      </c>
      <c r="OA10" s="1">
        <v>53293.3</v>
      </c>
      <c r="OB10" s="1">
        <v>53300.2</v>
      </c>
      <c r="OC10" s="1">
        <v>53307</v>
      </c>
      <c r="OD10" s="1">
        <v>53314</v>
      </c>
      <c r="OE10" s="1">
        <v>53320.6</v>
      </c>
      <c r="OF10" s="1">
        <v>53327.3</v>
      </c>
      <c r="OG10" s="1">
        <v>53333.9</v>
      </c>
      <c r="OH10" s="1">
        <v>53341.4</v>
      </c>
      <c r="OI10" s="1">
        <v>53348.9</v>
      </c>
      <c r="OJ10" s="1">
        <v>53358.2</v>
      </c>
      <c r="OK10" s="1">
        <v>53368</v>
      </c>
      <c r="OL10" s="1">
        <v>53378.3</v>
      </c>
      <c r="OM10" s="1">
        <v>53389.4</v>
      </c>
      <c r="ON10" s="1">
        <v>53402.5</v>
      </c>
      <c r="OO10" s="1">
        <v>53417</v>
      </c>
      <c r="OP10" s="1">
        <v>53431</v>
      </c>
      <c r="OQ10" s="1">
        <v>53444.5</v>
      </c>
      <c r="OR10" s="1">
        <v>53456</v>
      </c>
      <c r="OS10" s="1">
        <v>53465.599999999999</v>
      </c>
      <c r="OT10" s="1">
        <v>53474.5</v>
      </c>
      <c r="OU10" s="1">
        <v>53482.400000000001</v>
      </c>
      <c r="OV10" s="1">
        <v>53490.2</v>
      </c>
      <c r="OW10" s="1">
        <v>53497.599999999999</v>
      </c>
      <c r="OX10" s="1">
        <v>53505.2</v>
      </c>
      <c r="OY10" s="1">
        <v>53512.3</v>
      </c>
      <c r="OZ10" s="1">
        <v>53519.5</v>
      </c>
      <c r="PA10" s="1">
        <v>53526.400000000001</v>
      </c>
      <c r="PB10" s="1">
        <v>53533.5</v>
      </c>
      <c r="PC10" s="1">
        <v>53540.4</v>
      </c>
      <c r="PD10" s="1">
        <v>53547.199999999997</v>
      </c>
      <c r="PE10" s="1">
        <v>53554.1</v>
      </c>
      <c r="PF10" s="1">
        <v>53561.1</v>
      </c>
      <c r="PG10" s="1">
        <v>53569.1</v>
      </c>
      <c r="PH10" s="1">
        <v>53577.5</v>
      </c>
      <c r="PI10" s="1">
        <v>53587.6</v>
      </c>
      <c r="PJ10" s="1">
        <v>53598.9</v>
      </c>
      <c r="PK10" s="1">
        <v>53611.3</v>
      </c>
      <c r="PL10" s="1">
        <v>53625.1</v>
      </c>
      <c r="PM10" s="1">
        <v>53639.8</v>
      </c>
      <c r="PN10" s="1">
        <v>53653.5</v>
      </c>
      <c r="PO10" s="1">
        <v>53663.7</v>
      </c>
      <c r="PP10" s="1">
        <v>53672.800000000003</v>
      </c>
      <c r="PQ10" s="1">
        <v>53681.9</v>
      </c>
      <c r="PR10" s="1">
        <v>53690.2</v>
      </c>
      <c r="PS10" s="1">
        <v>53697.7</v>
      </c>
      <c r="PT10" s="1">
        <v>53705.2</v>
      </c>
      <c r="PU10" s="1">
        <v>53712.5</v>
      </c>
      <c r="PV10" s="1">
        <v>53719.7</v>
      </c>
      <c r="PW10" s="1">
        <v>53726.8</v>
      </c>
      <c r="PX10" s="1">
        <v>53733.8</v>
      </c>
      <c r="PY10" s="1">
        <v>53740.800000000003</v>
      </c>
      <c r="PZ10" s="1">
        <v>53747.8</v>
      </c>
      <c r="QA10" s="1">
        <v>53755.1</v>
      </c>
      <c r="QB10" s="1">
        <v>53762</v>
      </c>
      <c r="QC10" s="1">
        <v>53768.5</v>
      </c>
      <c r="QD10" s="1">
        <v>53774.8</v>
      </c>
      <c r="QE10" s="1">
        <v>53781.1</v>
      </c>
      <c r="QF10" s="1">
        <v>53788.2</v>
      </c>
      <c r="QG10" s="1">
        <v>53795.9</v>
      </c>
      <c r="QH10" s="1">
        <v>53804.1</v>
      </c>
      <c r="QI10" s="1">
        <v>53814.1</v>
      </c>
      <c r="QJ10" s="1">
        <v>53824.7</v>
      </c>
      <c r="QK10" s="1">
        <v>53835.3</v>
      </c>
      <c r="QL10" s="1">
        <v>53847.6</v>
      </c>
      <c r="QM10" s="1">
        <v>53855.6</v>
      </c>
      <c r="QN10" s="1">
        <v>53862.1</v>
      </c>
      <c r="QO10" s="1">
        <v>53868.5</v>
      </c>
      <c r="QP10" s="1">
        <v>53874.6</v>
      </c>
      <c r="QQ10" s="1">
        <v>53880.6</v>
      </c>
      <c r="QR10" s="1">
        <v>53886.6</v>
      </c>
      <c r="QS10" s="1">
        <v>53892.6</v>
      </c>
      <c r="QT10" s="1">
        <v>53898.400000000001</v>
      </c>
      <c r="QU10" s="1">
        <v>53904.3</v>
      </c>
      <c r="QV10" s="1">
        <v>53909.9</v>
      </c>
      <c r="QW10" s="1">
        <v>53915.6</v>
      </c>
      <c r="QX10" s="1">
        <v>53921.1</v>
      </c>
      <c r="QY10" s="1">
        <v>53926.6</v>
      </c>
      <c r="QZ10" s="1">
        <v>53932</v>
      </c>
      <c r="RA10" s="1">
        <v>53938.3</v>
      </c>
      <c r="RB10" s="1">
        <v>53945.8</v>
      </c>
      <c r="RC10" s="1">
        <v>53953.5</v>
      </c>
      <c r="RD10" s="1">
        <v>53961.9</v>
      </c>
      <c r="RE10" s="1">
        <v>53972.2</v>
      </c>
      <c r="RF10" s="1">
        <v>53982.9</v>
      </c>
      <c r="RG10" s="1">
        <v>53994.7</v>
      </c>
      <c r="RH10" s="1">
        <v>54007.5</v>
      </c>
      <c r="RI10" s="1">
        <v>54020.9</v>
      </c>
      <c r="RJ10" s="1">
        <v>54033.5</v>
      </c>
      <c r="RK10" s="1">
        <v>54045.2</v>
      </c>
      <c r="RL10" s="1">
        <v>54054.2</v>
      </c>
      <c r="RM10" s="1">
        <v>54062.5</v>
      </c>
      <c r="RN10" s="1">
        <v>54070.400000000001</v>
      </c>
      <c r="RO10" s="1">
        <v>54077.3</v>
      </c>
      <c r="RP10" s="1">
        <v>54084.3</v>
      </c>
      <c r="RQ10" s="1">
        <v>54091.5</v>
      </c>
      <c r="RR10" s="1">
        <v>54098.6</v>
      </c>
      <c r="RS10" s="1">
        <v>54105.7</v>
      </c>
      <c r="RT10" s="1">
        <v>54112.5</v>
      </c>
      <c r="RU10" s="1">
        <v>54119.3</v>
      </c>
      <c r="RV10" s="1">
        <v>54126.1</v>
      </c>
      <c r="RW10" s="1">
        <v>54132.7</v>
      </c>
      <c r="RX10" s="1">
        <v>54139.3</v>
      </c>
      <c r="RY10" s="1">
        <v>54146</v>
      </c>
      <c r="RZ10" s="1">
        <v>54152.9</v>
      </c>
      <c r="SA10" s="1">
        <v>54159.9</v>
      </c>
      <c r="SB10" s="1">
        <v>54167.199999999997</v>
      </c>
      <c r="SC10" s="1">
        <v>54174.8</v>
      </c>
      <c r="SD10" s="1">
        <v>54182.3</v>
      </c>
      <c r="SE10" s="1">
        <v>54189.4</v>
      </c>
      <c r="SF10" s="1">
        <v>54196</v>
      </c>
      <c r="SG10" s="1">
        <v>54202.7</v>
      </c>
      <c r="SH10" s="1">
        <v>54210.3</v>
      </c>
      <c r="SI10" s="1">
        <v>54217.599999999999</v>
      </c>
      <c r="SJ10" s="1">
        <v>54224.5</v>
      </c>
      <c r="SK10" s="1">
        <v>54231.199999999997</v>
      </c>
      <c r="SL10" s="1">
        <v>54238.3</v>
      </c>
      <c r="SM10" s="1">
        <v>54245</v>
      </c>
      <c r="SN10" s="1">
        <v>54251.7</v>
      </c>
      <c r="SO10" s="1">
        <v>54258.400000000001</v>
      </c>
      <c r="SP10" s="1">
        <v>54263.7</v>
      </c>
      <c r="SQ10" s="1">
        <v>54266.8</v>
      </c>
      <c r="SR10" s="1">
        <v>54270.1</v>
      </c>
      <c r="SS10" s="1">
        <v>54273.4</v>
      </c>
      <c r="ST10" s="1">
        <v>54276.6</v>
      </c>
      <c r="SU10" s="1">
        <v>54279.8</v>
      </c>
      <c r="SV10" s="1">
        <v>54282.8</v>
      </c>
      <c r="SW10" s="1">
        <v>54285.9</v>
      </c>
      <c r="SX10" s="1">
        <v>54289.2</v>
      </c>
      <c r="SY10" s="1">
        <v>54292.6</v>
      </c>
    </row>
    <row r="11" spans="1:750">
      <c r="A11" s="1">
        <v>10</v>
      </c>
      <c r="B11" s="1" t="s">
        <v>2</v>
      </c>
      <c r="C11" s="1" t="s">
        <v>3</v>
      </c>
      <c r="D11" s="1" t="s">
        <v>14</v>
      </c>
      <c r="E11" s="1" t="s">
        <v>5</v>
      </c>
      <c r="F11" s="1">
        <v>88565</v>
      </c>
      <c r="G11" s="1">
        <v>88568.6</v>
      </c>
      <c r="H11" s="1">
        <v>88572.2</v>
      </c>
      <c r="I11" s="1">
        <v>88575.7</v>
      </c>
      <c r="J11" s="1">
        <v>88579.199999999997</v>
      </c>
      <c r="K11" s="1">
        <v>88582.6</v>
      </c>
      <c r="L11" s="1">
        <v>88585.9</v>
      </c>
      <c r="M11" s="1">
        <v>88588.800000000003</v>
      </c>
      <c r="N11" s="1">
        <v>88589.5</v>
      </c>
      <c r="O11" s="1">
        <v>88589.5</v>
      </c>
      <c r="P11" s="1">
        <v>88589.5</v>
      </c>
      <c r="Q11" s="1">
        <v>88589.5</v>
      </c>
      <c r="R11" s="1">
        <v>88589.5</v>
      </c>
      <c r="S11" s="1">
        <v>88589.5</v>
      </c>
      <c r="T11" s="1">
        <v>88589.5</v>
      </c>
      <c r="U11" s="1">
        <v>88589.5</v>
      </c>
      <c r="V11" s="1">
        <v>88589.5</v>
      </c>
      <c r="W11" s="1">
        <v>88589.9</v>
      </c>
      <c r="X11" s="1">
        <v>88593.1</v>
      </c>
      <c r="Y11" s="1">
        <v>88596.800000000003</v>
      </c>
      <c r="Z11" s="1">
        <v>88600.3</v>
      </c>
      <c r="AA11" s="1">
        <v>88603.8</v>
      </c>
      <c r="AB11" s="1">
        <v>88607.5</v>
      </c>
      <c r="AC11" s="1">
        <v>88611.1</v>
      </c>
      <c r="AD11" s="1">
        <v>88615.2</v>
      </c>
      <c r="AE11" s="1">
        <v>88618.7</v>
      </c>
      <c r="AF11" s="1">
        <v>88622.3</v>
      </c>
      <c r="AG11" s="1">
        <v>88625.7</v>
      </c>
      <c r="AH11" s="1">
        <v>88629.2</v>
      </c>
      <c r="AI11" s="1">
        <v>88632.6</v>
      </c>
      <c r="AJ11" s="1">
        <v>88636.1</v>
      </c>
      <c r="AK11" s="1">
        <v>88639.1</v>
      </c>
      <c r="AL11" s="1">
        <v>88640.3</v>
      </c>
      <c r="AM11" s="1">
        <v>88640.6</v>
      </c>
      <c r="AN11" s="1">
        <v>88641.1</v>
      </c>
      <c r="AO11" s="1">
        <v>88641.1</v>
      </c>
      <c r="AP11" s="1">
        <v>88641.1</v>
      </c>
      <c r="AQ11" s="1">
        <v>88641.3</v>
      </c>
      <c r="AR11" s="1">
        <v>88641.3</v>
      </c>
      <c r="AS11" s="1">
        <v>88642.4</v>
      </c>
      <c r="AT11" s="1">
        <v>88642.4</v>
      </c>
      <c r="AU11" s="1">
        <v>88646.2</v>
      </c>
      <c r="AV11" s="1">
        <v>88651.3</v>
      </c>
      <c r="AW11" s="1">
        <v>88656.5</v>
      </c>
      <c r="AX11" s="1">
        <v>88661.7</v>
      </c>
      <c r="AY11" s="1">
        <v>88667</v>
      </c>
      <c r="AZ11" s="1">
        <v>88671.9</v>
      </c>
      <c r="BA11" s="1">
        <v>88676.5</v>
      </c>
      <c r="BB11" s="1">
        <v>88681</v>
      </c>
      <c r="BC11" s="1">
        <v>88685.6</v>
      </c>
      <c r="BD11" s="1">
        <v>88690.1</v>
      </c>
      <c r="BE11" s="1">
        <v>88694.7</v>
      </c>
      <c r="BF11" s="1">
        <v>88699.1</v>
      </c>
      <c r="BG11" s="1">
        <v>88703.5</v>
      </c>
      <c r="BH11" s="1">
        <v>88707.9</v>
      </c>
      <c r="BI11" s="1">
        <v>88711.1</v>
      </c>
      <c r="BJ11" s="1">
        <v>88711.6</v>
      </c>
      <c r="BK11" s="1">
        <v>88711.6</v>
      </c>
      <c r="BL11" s="1">
        <v>88711.8</v>
      </c>
      <c r="BM11" s="1">
        <v>88713.7</v>
      </c>
      <c r="BN11" s="1">
        <v>88716.1</v>
      </c>
      <c r="BO11" s="1">
        <v>88716.3</v>
      </c>
      <c r="BP11" s="1">
        <v>88718.2</v>
      </c>
      <c r="BQ11" s="1">
        <v>88722.6</v>
      </c>
      <c r="BR11" s="1">
        <v>88726</v>
      </c>
      <c r="BS11" s="1">
        <v>88732.6</v>
      </c>
      <c r="BT11" s="1">
        <v>88736.9</v>
      </c>
      <c r="BU11" s="1">
        <v>88741.4</v>
      </c>
      <c r="BV11" s="1">
        <v>88745.8</v>
      </c>
      <c r="BW11" s="1">
        <v>88750.2</v>
      </c>
      <c r="BX11" s="1">
        <v>88754.1</v>
      </c>
      <c r="BY11" s="1">
        <v>88757.6</v>
      </c>
      <c r="BZ11" s="1">
        <v>88761</v>
      </c>
      <c r="CA11" s="1">
        <v>88764.7</v>
      </c>
      <c r="CB11" s="1">
        <v>88768.3</v>
      </c>
      <c r="CC11" s="1">
        <v>88771.7</v>
      </c>
      <c r="CD11" s="1">
        <v>88775.1</v>
      </c>
      <c r="CE11" s="1">
        <v>88778.4</v>
      </c>
      <c r="CF11" s="1">
        <v>88781.7</v>
      </c>
      <c r="CG11" s="1">
        <v>88784.8</v>
      </c>
      <c r="CH11" s="1">
        <v>88786.1</v>
      </c>
      <c r="CI11" s="1">
        <v>88786.8</v>
      </c>
      <c r="CJ11" s="1">
        <v>88787</v>
      </c>
      <c r="CK11" s="1">
        <v>88787.4</v>
      </c>
      <c r="CL11" s="1">
        <v>88787.5</v>
      </c>
      <c r="CM11" s="1">
        <v>88787.5</v>
      </c>
      <c r="CN11" s="1">
        <v>88787.5</v>
      </c>
      <c r="CO11" s="1">
        <v>88790.3</v>
      </c>
      <c r="CP11" s="1">
        <v>88790.9</v>
      </c>
      <c r="CQ11" s="1">
        <v>88793.3</v>
      </c>
      <c r="CR11" s="1">
        <v>88797.1</v>
      </c>
      <c r="CS11" s="1">
        <v>88800.8</v>
      </c>
      <c r="CT11" s="1">
        <v>88804.4</v>
      </c>
      <c r="CU11" s="1">
        <v>88807.9</v>
      </c>
      <c r="CV11" s="1">
        <v>88811.3</v>
      </c>
      <c r="CW11" s="1">
        <v>88814.8</v>
      </c>
      <c r="CX11" s="1">
        <v>88818.1</v>
      </c>
      <c r="CY11" s="1">
        <v>88821.4</v>
      </c>
      <c r="CZ11" s="1">
        <v>88824.6</v>
      </c>
      <c r="DA11" s="1">
        <v>88827.9</v>
      </c>
      <c r="DB11" s="1">
        <v>88831.2</v>
      </c>
      <c r="DC11" s="1">
        <v>88834.5</v>
      </c>
      <c r="DD11" s="1">
        <v>88837.7</v>
      </c>
      <c r="DE11" s="1">
        <v>88841</v>
      </c>
      <c r="DF11" s="1">
        <v>88842.7</v>
      </c>
      <c r="DG11" s="1">
        <v>88845.9</v>
      </c>
      <c r="DH11" s="1">
        <v>88848</v>
      </c>
      <c r="DI11" s="1">
        <v>88850.8</v>
      </c>
      <c r="DJ11" s="1">
        <v>88853</v>
      </c>
      <c r="DK11" s="1">
        <v>88857.2</v>
      </c>
      <c r="DL11" s="1">
        <v>88862.7</v>
      </c>
      <c r="DM11" s="1">
        <v>88871</v>
      </c>
      <c r="DN11" s="1">
        <v>88880.2</v>
      </c>
      <c r="DO11" s="1">
        <v>88888.2</v>
      </c>
      <c r="DP11" s="1">
        <v>88892.3</v>
      </c>
      <c r="DQ11" s="1">
        <v>88895.2</v>
      </c>
      <c r="DR11" s="1">
        <v>88898.2</v>
      </c>
      <c r="DS11" s="1">
        <v>88901.3</v>
      </c>
      <c r="DT11" s="1">
        <v>88904.8</v>
      </c>
      <c r="DU11" s="1">
        <v>88907.8</v>
      </c>
      <c r="DV11" s="1">
        <v>88910.9</v>
      </c>
      <c r="DW11" s="1">
        <v>88913.9</v>
      </c>
      <c r="DX11" s="1">
        <v>88916.9</v>
      </c>
      <c r="DY11" s="1">
        <v>88920</v>
      </c>
      <c r="DZ11" s="1">
        <v>88923</v>
      </c>
      <c r="EA11" s="1">
        <v>88926</v>
      </c>
      <c r="EB11" s="1">
        <v>88929</v>
      </c>
      <c r="EC11" s="1">
        <v>88931.6</v>
      </c>
      <c r="ED11" s="1">
        <v>88932.7</v>
      </c>
      <c r="EE11" s="1">
        <v>88934</v>
      </c>
      <c r="EF11" s="1">
        <v>88935.6</v>
      </c>
      <c r="EG11" s="1">
        <v>88939.7</v>
      </c>
      <c r="EH11" s="1">
        <v>88940.1</v>
      </c>
      <c r="EI11" s="1">
        <v>88941.1</v>
      </c>
      <c r="EJ11" s="1">
        <v>88942.7</v>
      </c>
      <c r="EK11" s="1">
        <v>88944.6</v>
      </c>
      <c r="EL11" s="1">
        <v>88945.2</v>
      </c>
      <c r="EM11" s="1">
        <v>88949.4</v>
      </c>
      <c r="EN11" s="1">
        <v>88951.3</v>
      </c>
      <c r="EO11" s="1">
        <v>88954.8</v>
      </c>
      <c r="EP11" s="1">
        <v>88958.2</v>
      </c>
      <c r="EQ11" s="1">
        <v>88961.5</v>
      </c>
      <c r="ER11" s="1">
        <v>88964.7</v>
      </c>
      <c r="ES11" s="1">
        <v>88967.8</v>
      </c>
      <c r="ET11" s="1">
        <v>88970.9</v>
      </c>
      <c r="EU11" s="1">
        <v>88974</v>
      </c>
      <c r="EV11" s="1">
        <v>88977.1</v>
      </c>
      <c r="EW11" s="1">
        <v>88980.2</v>
      </c>
      <c r="EX11" s="1">
        <v>88983.2</v>
      </c>
      <c r="EY11" s="1">
        <v>88986.1</v>
      </c>
      <c r="EZ11" s="1">
        <v>88989.1</v>
      </c>
      <c r="FA11" s="1">
        <v>88991.9</v>
      </c>
      <c r="FB11" s="1">
        <v>88993</v>
      </c>
      <c r="FC11" s="1">
        <v>88993</v>
      </c>
      <c r="FD11" s="1">
        <v>88993</v>
      </c>
      <c r="FE11" s="1">
        <v>88993</v>
      </c>
      <c r="FF11" s="1">
        <v>88993</v>
      </c>
      <c r="FG11" s="1">
        <v>88993</v>
      </c>
      <c r="FH11" s="1">
        <v>88993</v>
      </c>
      <c r="FI11" s="1">
        <v>88993</v>
      </c>
      <c r="FJ11" s="1">
        <v>88993</v>
      </c>
      <c r="FK11" s="1">
        <v>88993.3</v>
      </c>
      <c r="FL11" s="1">
        <v>88996.2</v>
      </c>
      <c r="FM11" s="1">
        <v>89000</v>
      </c>
      <c r="FN11" s="1">
        <v>89003.7</v>
      </c>
      <c r="FO11" s="1">
        <v>89007.2</v>
      </c>
      <c r="FP11" s="1">
        <v>89010.6</v>
      </c>
      <c r="FQ11" s="1">
        <v>89014.1</v>
      </c>
      <c r="FR11" s="1">
        <v>89017.4</v>
      </c>
      <c r="FS11" s="1">
        <v>89020.7</v>
      </c>
      <c r="FT11" s="1">
        <v>89024</v>
      </c>
      <c r="FU11" s="1">
        <v>89027.5</v>
      </c>
      <c r="FV11" s="1">
        <v>89031.2</v>
      </c>
      <c r="FW11" s="1">
        <v>89034.5</v>
      </c>
      <c r="FX11" s="1">
        <v>89037.8</v>
      </c>
      <c r="FY11" s="1">
        <v>89040</v>
      </c>
      <c r="FZ11" s="1">
        <v>89040.2</v>
      </c>
      <c r="GA11" s="1">
        <v>89040.2</v>
      </c>
      <c r="GB11" s="1">
        <v>89040.2</v>
      </c>
      <c r="GC11" s="1">
        <v>89040.2</v>
      </c>
      <c r="GD11" s="1">
        <v>89040.2</v>
      </c>
      <c r="GE11" s="1">
        <v>89040.2</v>
      </c>
      <c r="GF11" s="1">
        <v>89040.2</v>
      </c>
      <c r="GG11" s="1">
        <v>89040.3</v>
      </c>
      <c r="GH11" s="1">
        <v>89040.3</v>
      </c>
      <c r="GI11" s="1">
        <v>89040.6</v>
      </c>
      <c r="GJ11" s="1">
        <v>89043.1</v>
      </c>
      <c r="GK11" s="1">
        <v>89046.5</v>
      </c>
      <c r="GL11" s="1">
        <v>89050.3</v>
      </c>
      <c r="GM11" s="1">
        <v>89053.9</v>
      </c>
      <c r="GN11" s="1">
        <v>89057.4</v>
      </c>
      <c r="GO11" s="1">
        <v>89060.7</v>
      </c>
      <c r="GP11" s="1">
        <v>89064.1</v>
      </c>
      <c r="GQ11" s="1">
        <v>89067.5</v>
      </c>
      <c r="GR11" s="1">
        <v>89070.9</v>
      </c>
      <c r="GS11" s="1">
        <v>89074.4</v>
      </c>
      <c r="GT11" s="1">
        <v>89077.8</v>
      </c>
      <c r="GU11" s="1">
        <v>89081.2</v>
      </c>
      <c r="GV11" s="1">
        <v>89084.5</v>
      </c>
      <c r="GW11" s="1">
        <v>89087.6</v>
      </c>
      <c r="GX11" s="1">
        <v>89090.4</v>
      </c>
      <c r="GY11" s="1">
        <v>89094.6</v>
      </c>
      <c r="GZ11" s="1">
        <v>89099.6</v>
      </c>
      <c r="HA11" s="1">
        <v>89105.5</v>
      </c>
      <c r="HB11" s="1">
        <v>89106</v>
      </c>
      <c r="HC11" s="1">
        <v>89106.2</v>
      </c>
      <c r="HD11" s="1">
        <v>89106.3</v>
      </c>
      <c r="HE11" s="1">
        <v>89110.3</v>
      </c>
      <c r="HF11" s="1">
        <v>89110.9</v>
      </c>
      <c r="HG11" s="1">
        <v>89114.5</v>
      </c>
      <c r="HH11" s="1">
        <v>89116.5</v>
      </c>
      <c r="HI11" s="1">
        <v>89120.2</v>
      </c>
      <c r="HJ11" s="1">
        <v>89124</v>
      </c>
      <c r="HK11" s="1">
        <v>89127.7</v>
      </c>
      <c r="HL11" s="1">
        <v>89131.3</v>
      </c>
      <c r="HM11" s="1">
        <v>89135</v>
      </c>
      <c r="HN11" s="1">
        <v>89138.6</v>
      </c>
      <c r="HO11" s="1">
        <v>89142.1</v>
      </c>
      <c r="HP11" s="1">
        <v>89145.600000000006</v>
      </c>
      <c r="HQ11" s="1">
        <v>89149</v>
      </c>
      <c r="HR11" s="1">
        <v>89152.3</v>
      </c>
      <c r="HS11" s="1">
        <v>89155.8</v>
      </c>
      <c r="HT11" s="1">
        <v>89159.7</v>
      </c>
      <c r="HU11" s="1">
        <v>89162.8</v>
      </c>
      <c r="HV11" s="1">
        <v>89163.6</v>
      </c>
      <c r="HW11" s="1">
        <v>89165.3</v>
      </c>
      <c r="HX11" s="1">
        <v>89165.5</v>
      </c>
      <c r="HY11" s="1">
        <v>89165.6</v>
      </c>
      <c r="HZ11" s="1">
        <v>89167.5</v>
      </c>
      <c r="IA11" s="1">
        <v>89167.6</v>
      </c>
      <c r="IB11" s="1">
        <v>89167.6</v>
      </c>
      <c r="IC11" s="1">
        <v>89167.7</v>
      </c>
      <c r="ID11" s="1">
        <v>89175.4</v>
      </c>
      <c r="IE11" s="1">
        <v>89183.7</v>
      </c>
      <c r="IF11" s="1">
        <v>89187</v>
      </c>
      <c r="IG11" s="1">
        <v>89190.6</v>
      </c>
      <c r="IH11" s="1">
        <v>89194.2</v>
      </c>
      <c r="II11" s="1">
        <v>89197.9</v>
      </c>
      <c r="IJ11" s="1">
        <v>89201.3</v>
      </c>
      <c r="IK11" s="1">
        <v>89204.6</v>
      </c>
      <c r="IL11" s="1">
        <v>89207.9</v>
      </c>
      <c r="IM11" s="1">
        <v>89211.199999999997</v>
      </c>
      <c r="IN11" s="1">
        <v>89214.6</v>
      </c>
      <c r="IO11" s="1">
        <v>89217.9</v>
      </c>
      <c r="IP11" s="1">
        <v>89221</v>
      </c>
      <c r="IQ11" s="1">
        <v>89224.3</v>
      </c>
      <c r="IR11" s="1">
        <v>89227.6</v>
      </c>
      <c r="IS11" s="1">
        <v>89230.8</v>
      </c>
      <c r="IT11" s="1">
        <v>89233.1</v>
      </c>
      <c r="IU11" s="1">
        <v>89239.2</v>
      </c>
      <c r="IV11" s="1">
        <v>89246.9</v>
      </c>
      <c r="IW11" s="1">
        <v>89255.2</v>
      </c>
      <c r="IX11" s="1">
        <v>89262.3</v>
      </c>
      <c r="IY11" s="1">
        <v>89264.9</v>
      </c>
      <c r="IZ11" s="1">
        <v>89265.1</v>
      </c>
      <c r="JA11" s="1">
        <v>89265.2</v>
      </c>
      <c r="JB11" s="1">
        <v>89265.7</v>
      </c>
      <c r="JC11" s="1">
        <v>89267.9</v>
      </c>
      <c r="JD11" s="1">
        <v>89270.2</v>
      </c>
      <c r="JE11" s="1">
        <v>89273.8</v>
      </c>
      <c r="JF11" s="1">
        <v>89277.3</v>
      </c>
      <c r="JG11" s="1">
        <v>89280.6</v>
      </c>
      <c r="JH11" s="1">
        <v>89283.9</v>
      </c>
      <c r="JI11" s="1">
        <v>89287.2</v>
      </c>
      <c r="JJ11" s="1">
        <v>89290.5</v>
      </c>
      <c r="JK11" s="1">
        <v>89293.7</v>
      </c>
      <c r="JL11" s="1">
        <v>89296.9</v>
      </c>
      <c r="JM11" s="1">
        <v>89300.2</v>
      </c>
      <c r="JN11" s="1">
        <v>89303.4</v>
      </c>
      <c r="JO11" s="1">
        <v>89306.5</v>
      </c>
      <c r="JP11" s="1">
        <v>89309.8</v>
      </c>
      <c r="JQ11" s="1">
        <v>89312.6</v>
      </c>
      <c r="JR11" s="1">
        <v>89314</v>
      </c>
      <c r="JS11" s="1">
        <v>89315.6</v>
      </c>
      <c r="JT11" s="1">
        <v>89315.7</v>
      </c>
      <c r="JU11" s="1">
        <v>89319</v>
      </c>
      <c r="JV11" s="1">
        <v>89319.4</v>
      </c>
      <c r="JW11" s="1">
        <v>89319.9</v>
      </c>
      <c r="JX11" s="1">
        <v>89319.9</v>
      </c>
      <c r="JY11" s="1">
        <v>89320.1</v>
      </c>
      <c r="JZ11" s="1">
        <v>89320.6</v>
      </c>
      <c r="KA11" s="1">
        <v>89327.3</v>
      </c>
      <c r="KB11" s="1">
        <v>89331.4</v>
      </c>
      <c r="KC11" s="1">
        <v>89334.6</v>
      </c>
      <c r="KD11" s="1">
        <v>89337.8</v>
      </c>
      <c r="KE11" s="1">
        <v>89340.9</v>
      </c>
      <c r="KF11" s="1">
        <v>89344</v>
      </c>
      <c r="KG11" s="1">
        <v>89347.1</v>
      </c>
      <c r="KH11" s="1">
        <v>89350.2</v>
      </c>
      <c r="KI11" s="1">
        <v>89353.4</v>
      </c>
      <c r="KJ11" s="1">
        <v>89356.6</v>
      </c>
      <c r="KK11" s="1">
        <v>89359.7</v>
      </c>
      <c r="KL11" s="1">
        <v>89362.9</v>
      </c>
      <c r="KM11" s="1">
        <v>89366.1</v>
      </c>
      <c r="KN11" s="1">
        <v>89369.2</v>
      </c>
      <c r="KO11" s="1">
        <v>89372.5</v>
      </c>
      <c r="KP11" s="1">
        <v>89373.8</v>
      </c>
      <c r="KQ11" s="1">
        <v>89374.6</v>
      </c>
      <c r="KR11" s="1">
        <v>89374.8</v>
      </c>
      <c r="KS11" s="1">
        <v>89375.9</v>
      </c>
      <c r="KT11" s="1">
        <v>89375.9</v>
      </c>
      <c r="KU11" s="1">
        <v>89376.5</v>
      </c>
      <c r="KV11" s="1">
        <v>89380.800000000003</v>
      </c>
      <c r="KW11" s="1">
        <v>89389.2</v>
      </c>
      <c r="KX11" s="1">
        <v>89394</v>
      </c>
      <c r="KY11" s="1">
        <v>89400</v>
      </c>
      <c r="KZ11" s="1">
        <v>89402.8</v>
      </c>
      <c r="LA11" s="1">
        <v>89405.8</v>
      </c>
      <c r="LB11" s="1">
        <v>89409.1</v>
      </c>
      <c r="LC11" s="1">
        <v>89412.3</v>
      </c>
      <c r="LD11" s="1">
        <v>89415.6</v>
      </c>
      <c r="LE11" s="1">
        <v>89418.7</v>
      </c>
      <c r="LF11" s="1">
        <v>89421.5</v>
      </c>
      <c r="LG11" s="1">
        <v>89424.3</v>
      </c>
      <c r="LH11" s="1">
        <v>89427</v>
      </c>
      <c r="LI11" s="1">
        <v>89429.7</v>
      </c>
      <c r="LJ11" s="1">
        <v>89432.4</v>
      </c>
      <c r="LK11" s="1">
        <v>89435</v>
      </c>
      <c r="LL11" s="1">
        <v>89437.7</v>
      </c>
      <c r="LM11" s="1">
        <v>89439.5</v>
      </c>
      <c r="LN11" s="1">
        <v>89439.6</v>
      </c>
      <c r="LO11" s="1">
        <v>89439.6</v>
      </c>
      <c r="LP11" s="1">
        <v>89439.6</v>
      </c>
      <c r="LQ11" s="1">
        <v>89439.6</v>
      </c>
      <c r="LR11" s="1">
        <v>89439.8</v>
      </c>
      <c r="LS11" s="1">
        <v>89439.8</v>
      </c>
      <c r="LT11" s="1">
        <v>89439.8</v>
      </c>
      <c r="LU11" s="1">
        <v>89440.8</v>
      </c>
      <c r="LV11" s="1">
        <v>89442.8</v>
      </c>
      <c r="LW11" s="1">
        <v>89445.5</v>
      </c>
      <c r="LX11" s="1">
        <v>89448.4</v>
      </c>
      <c r="LY11" s="1">
        <v>89451.4</v>
      </c>
      <c r="LZ11" s="1">
        <v>89454.3</v>
      </c>
      <c r="MA11" s="1">
        <v>89457.2</v>
      </c>
      <c r="MB11" s="1">
        <v>89459.8</v>
      </c>
      <c r="MC11" s="1">
        <v>89462.7</v>
      </c>
      <c r="MD11" s="1">
        <v>89465.5</v>
      </c>
      <c r="ME11" s="1">
        <v>89468.6</v>
      </c>
      <c r="MF11" s="1">
        <v>89471.4</v>
      </c>
      <c r="MG11" s="1">
        <v>89474.3</v>
      </c>
      <c r="MH11" s="1">
        <v>89477</v>
      </c>
      <c r="MI11" s="1">
        <v>89479.7</v>
      </c>
      <c r="MJ11" s="1">
        <v>89482.4</v>
      </c>
      <c r="MK11" s="1">
        <v>89485.1</v>
      </c>
      <c r="ML11" s="1">
        <v>89486.9</v>
      </c>
      <c r="MM11" s="1">
        <v>89487.5</v>
      </c>
      <c r="MN11" s="1">
        <v>89487.7</v>
      </c>
      <c r="MO11" s="1">
        <v>89488.3</v>
      </c>
      <c r="MP11" s="1">
        <v>89488.4</v>
      </c>
      <c r="MQ11" s="1">
        <v>89488.4</v>
      </c>
      <c r="MR11" s="1">
        <v>89488.4</v>
      </c>
      <c r="MS11" s="1">
        <v>89488.4</v>
      </c>
      <c r="MT11" s="1">
        <v>89488.4</v>
      </c>
      <c r="MU11" s="1">
        <v>89488.6</v>
      </c>
      <c r="MV11" s="1">
        <v>89489.9</v>
      </c>
      <c r="MW11" s="1">
        <v>89492.9</v>
      </c>
      <c r="MX11" s="1">
        <v>89495.8</v>
      </c>
      <c r="MY11" s="1">
        <v>89498.7</v>
      </c>
      <c r="MZ11" s="1">
        <v>89501.5</v>
      </c>
      <c r="NA11" s="1">
        <v>89504.3</v>
      </c>
      <c r="NB11" s="1">
        <v>89507</v>
      </c>
      <c r="NC11" s="1">
        <v>89510.3</v>
      </c>
      <c r="ND11" s="1">
        <v>89513.4</v>
      </c>
      <c r="NE11" s="1">
        <v>89516.2</v>
      </c>
      <c r="NF11" s="1">
        <v>89518.8</v>
      </c>
      <c r="NG11" s="1">
        <v>89521.600000000006</v>
      </c>
      <c r="NH11" s="1">
        <v>89524.3</v>
      </c>
      <c r="NI11" s="1">
        <v>89526.2</v>
      </c>
      <c r="NJ11" s="1">
        <v>89527.1</v>
      </c>
      <c r="NK11" s="1">
        <v>89527.1</v>
      </c>
      <c r="NL11" s="1">
        <v>89527.1</v>
      </c>
      <c r="NM11" s="1">
        <v>89527.1</v>
      </c>
      <c r="NN11" s="1">
        <v>89527.1</v>
      </c>
      <c r="NO11" s="1">
        <v>89527.1</v>
      </c>
      <c r="NP11" s="1">
        <v>89527.1</v>
      </c>
      <c r="NQ11" s="1">
        <v>89527.1</v>
      </c>
      <c r="NR11" s="1">
        <v>89528.2</v>
      </c>
      <c r="NS11" s="1">
        <v>89529.3</v>
      </c>
      <c r="NT11" s="1">
        <v>89530.8</v>
      </c>
      <c r="NU11" s="1">
        <v>89533.8</v>
      </c>
      <c r="NV11" s="1">
        <v>89536.6</v>
      </c>
      <c r="NW11" s="1">
        <v>89539.4</v>
      </c>
      <c r="NX11" s="1">
        <v>89542.2</v>
      </c>
      <c r="NY11" s="1">
        <v>89545</v>
      </c>
      <c r="NZ11" s="1">
        <v>89547.8</v>
      </c>
      <c r="OA11" s="1">
        <v>89550.6</v>
      </c>
      <c r="OB11" s="1">
        <v>89553.5</v>
      </c>
      <c r="OC11" s="1">
        <v>89556.3</v>
      </c>
      <c r="OD11" s="1">
        <v>89559</v>
      </c>
      <c r="OE11" s="1">
        <v>89561.600000000006</v>
      </c>
      <c r="OF11" s="1">
        <v>89564.3</v>
      </c>
      <c r="OG11" s="1">
        <v>89566.7</v>
      </c>
      <c r="OH11" s="1">
        <v>89567.4</v>
      </c>
      <c r="OI11" s="1">
        <v>89568.2</v>
      </c>
      <c r="OJ11" s="1">
        <v>89568.2</v>
      </c>
      <c r="OK11" s="1">
        <v>89568.3</v>
      </c>
      <c r="OL11" s="1">
        <v>89568.4</v>
      </c>
      <c r="OM11" s="1">
        <v>89568.4</v>
      </c>
      <c r="ON11" s="1">
        <v>89568.4</v>
      </c>
      <c r="OO11" s="1">
        <v>89568.4</v>
      </c>
      <c r="OP11" s="1">
        <v>89568.7</v>
      </c>
      <c r="OQ11" s="1">
        <v>89571.7</v>
      </c>
      <c r="OR11" s="1">
        <v>89574.5</v>
      </c>
      <c r="OS11" s="1">
        <v>89577.5</v>
      </c>
      <c r="OT11" s="1">
        <v>89580.4</v>
      </c>
      <c r="OU11" s="1">
        <v>89583.4</v>
      </c>
      <c r="OV11" s="1">
        <v>89586.2</v>
      </c>
      <c r="OW11" s="1">
        <v>89589.1</v>
      </c>
      <c r="OX11" s="1">
        <v>89591.9</v>
      </c>
      <c r="OY11" s="1">
        <v>89594.8</v>
      </c>
      <c r="OZ11" s="1">
        <v>89597.9</v>
      </c>
      <c r="PA11" s="1">
        <v>89601.2</v>
      </c>
      <c r="PB11" s="1">
        <v>89604.1</v>
      </c>
      <c r="PC11" s="1">
        <v>89606.8</v>
      </c>
      <c r="PD11" s="1">
        <v>89609.600000000006</v>
      </c>
      <c r="PE11" s="1">
        <v>89612.2</v>
      </c>
      <c r="PF11" s="1">
        <v>89613.2</v>
      </c>
      <c r="PG11" s="1">
        <v>89613.4</v>
      </c>
      <c r="PH11" s="1">
        <v>89614.2</v>
      </c>
      <c r="PI11" s="1">
        <v>89614.7</v>
      </c>
      <c r="PJ11" s="1">
        <v>89615.4</v>
      </c>
      <c r="PK11" s="1">
        <v>89617.600000000006</v>
      </c>
      <c r="PL11" s="1">
        <v>89619.1</v>
      </c>
      <c r="PM11" s="1">
        <v>89620.2</v>
      </c>
      <c r="PN11" s="1">
        <v>89624.1</v>
      </c>
      <c r="PO11" s="1">
        <v>89632.8</v>
      </c>
      <c r="PP11" s="1">
        <v>89636.9</v>
      </c>
      <c r="PQ11" s="1">
        <v>89639.8</v>
      </c>
      <c r="PR11" s="1">
        <v>89642.7</v>
      </c>
      <c r="PS11" s="1">
        <v>89645.6</v>
      </c>
      <c r="PT11" s="1">
        <v>89648.4</v>
      </c>
      <c r="PU11" s="1">
        <v>89651.199999999997</v>
      </c>
      <c r="PV11" s="1">
        <v>89654.1</v>
      </c>
      <c r="PW11" s="1">
        <v>89657</v>
      </c>
      <c r="PX11" s="1">
        <v>89659.9</v>
      </c>
      <c r="PY11" s="1">
        <v>89662.8</v>
      </c>
      <c r="PZ11" s="1">
        <v>89665.7</v>
      </c>
      <c r="QA11" s="1">
        <v>89668.7</v>
      </c>
      <c r="QB11" s="1">
        <v>89672</v>
      </c>
      <c r="QC11" s="1">
        <v>89674.7</v>
      </c>
      <c r="QD11" s="1">
        <v>89677.5</v>
      </c>
      <c r="QE11" s="1">
        <v>89683.7</v>
      </c>
      <c r="QF11" s="1">
        <v>89690</v>
      </c>
      <c r="QG11" s="1">
        <v>89695.8</v>
      </c>
      <c r="QH11" s="1">
        <v>89698.4</v>
      </c>
      <c r="QI11" s="1">
        <v>89702.2</v>
      </c>
      <c r="QJ11" s="1">
        <v>89705.4</v>
      </c>
      <c r="QK11" s="1">
        <v>89710.8</v>
      </c>
      <c r="QL11" s="1">
        <v>89719.5</v>
      </c>
      <c r="QM11" s="1">
        <v>89727.8</v>
      </c>
      <c r="QN11" s="1">
        <v>89731.1</v>
      </c>
      <c r="QO11" s="1">
        <v>89733.6</v>
      </c>
      <c r="QP11" s="1">
        <v>89736.3</v>
      </c>
      <c r="QQ11" s="1">
        <v>89739</v>
      </c>
      <c r="QR11" s="1">
        <v>89741.6</v>
      </c>
      <c r="QS11" s="1">
        <v>89744.2</v>
      </c>
      <c r="QT11" s="1">
        <v>89746.8</v>
      </c>
      <c r="QU11" s="1">
        <v>89749.4</v>
      </c>
      <c r="QV11" s="1">
        <v>89752.1</v>
      </c>
      <c r="QW11" s="1">
        <v>89754.7</v>
      </c>
      <c r="QX11" s="1">
        <v>89757.3</v>
      </c>
      <c r="QY11" s="1">
        <v>89759.9</v>
      </c>
      <c r="QZ11" s="1">
        <v>89762.6</v>
      </c>
      <c r="RA11" s="1">
        <v>89764.9</v>
      </c>
      <c r="RB11" s="1">
        <v>89765.4</v>
      </c>
      <c r="RC11" s="1">
        <v>89765.5</v>
      </c>
      <c r="RD11" s="1">
        <v>89765.5</v>
      </c>
      <c r="RE11" s="1">
        <v>89765.5</v>
      </c>
      <c r="RF11" s="1">
        <v>89765.5</v>
      </c>
      <c r="RG11" s="1">
        <v>89765.5</v>
      </c>
      <c r="RH11" s="1">
        <v>89765.5</v>
      </c>
      <c r="RI11" s="1">
        <v>89776.6</v>
      </c>
      <c r="RJ11" s="1">
        <v>89786</v>
      </c>
      <c r="RK11" s="1">
        <v>89794.1</v>
      </c>
      <c r="RL11" s="1">
        <v>89798.399999999994</v>
      </c>
      <c r="RM11" s="1">
        <v>89800.9</v>
      </c>
      <c r="RN11" s="1">
        <v>89803.1</v>
      </c>
      <c r="RO11" s="1">
        <v>89805.3</v>
      </c>
      <c r="RP11" s="1">
        <v>89807.5</v>
      </c>
      <c r="RQ11" s="1">
        <v>89809.7</v>
      </c>
      <c r="RR11" s="1">
        <v>89811.8</v>
      </c>
      <c r="RS11" s="1">
        <v>89814</v>
      </c>
      <c r="RT11" s="1">
        <v>89816.2</v>
      </c>
      <c r="RU11" s="1">
        <v>89818.4</v>
      </c>
      <c r="RV11" s="1">
        <v>89821</v>
      </c>
      <c r="RW11" s="1">
        <v>89823.1</v>
      </c>
      <c r="RX11" s="1">
        <v>89825.2</v>
      </c>
      <c r="RY11" s="1">
        <v>89827.199999999997</v>
      </c>
      <c r="RZ11" s="1">
        <v>89829.2</v>
      </c>
      <c r="SA11" s="1">
        <v>89831.3</v>
      </c>
      <c r="SB11" s="1">
        <v>89833.2</v>
      </c>
      <c r="SC11" s="1">
        <v>89835.3</v>
      </c>
      <c r="SD11" s="1">
        <v>89840.9</v>
      </c>
      <c r="SE11" s="1">
        <v>89846.8</v>
      </c>
      <c r="SF11" s="1">
        <v>89852.9</v>
      </c>
      <c r="SG11" s="1">
        <v>89858.6</v>
      </c>
      <c r="SH11" s="1">
        <v>89864.5</v>
      </c>
      <c r="SI11" s="1">
        <v>89870.8</v>
      </c>
      <c r="SJ11" s="1">
        <v>89873.7</v>
      </c>
      <c r="SK11" s="1">
        <v>89875.9</v>
      </c>
      <c r="SL11" s="1">
        <v>89878.1</v>
      </c>
      <c r="SM11" s="1">
        <v>89880.3</v>
      </c>
      <c r="SN11" s="1">
        <v>89882.4</v>
      </c>
      <c r="SO11" s="1">
        <v>89884.7</v>
      </c>
      <c r="SP11" s="1">
        <v>89886.8</v>
      </c>
      <c r="SQ11" s="1">
        <v>89889</v>
      </c>
      <c r="SR11" s="1">
        <v>89891.199999999997</v>
      </c>
      <c r="SS11" s="1">
        <v>89893.5</v>
      </c>
      <c r="ST11" s="1">
        <v>89895.6</v>
      </c>
      <c r="SU11" s="1">
        <v>89897.9</v>
      </c>
      <c r="SV11" s="1">
        <v>89900.1</v>
      </c>
      <c r="SW11" s="1">
        <v>89902.399999999994</v>
      </c>
      <c r="SX11" s="1">
        <v>89904.5</v>
      </c>
      <c r="SY11" s="1">
        <v>89906.5</v>
      </c>
    </row>
    <row r="12" spans="1:750">
      <c r="A12" s="1">
        <v>11</v>
      </c>
      <c r="B12" s="1" t="s">
        <v>2</v>
      </c>
      <c r="C12" s="1" t="s">
        <v>3</v>
      </c>
      <c r="D12" s="1" t="s">
        <v>15</v>
      </c>
      <c r="E12" s="1" t="s">
        <v>5</v>
      </c>
      <c r="F12" s="1">
        <v>96349.8</v>
      </c>
      <c r="G12" s="1">
        <v>96371.8</v>
      </c>
      <c r="H12" s="1">
        <v>96393.600000000006</v>
      </c>
      <c r="I12" s="1">
        <v>96418</v>
      </c>
      <c r="J12" s="1">
        <v>96443.7</v>
      </c>
      <c r="K12" s="1">
        <v>96464.9</v>
      </c>
      <c r="L12" s="1">
        <v>96485.8</v>
      </c>
      <c r="M12" s="1">
        <v>96506.9</v>
      </c>
      <c r="N12" s="1">
        <v>96528</v>
      </c>
      <c r="O12" s="1">
        <v>96549</v>
      </c>
      <c r="P12" s="1">
        <v>96570.1</v>
      </c>
      <c r="Q12" s="1">
        <v>96597</v>
      </c>
      <c r="R12" s="1">
        <v>96622.1</v>
      </c>
      <c r="S12" s="1">
        <v>96651</v>
      </c>
      <c r="T12" s="1">
        <v>96683.6</v>
      </c>
      <c r="U12" s="1">
        <v>96710.8</v>
      </c>
      <c r="V12" s="1">
        <v>96739.5</v>
      </c>
      <c r="W12" s="1">
        <v>96768.7</v>
      </c>
      <c r="X12" s="1">
        <v>96792.7</v>
      </c>
      <c r="Y12" s="1">
        <v>96814.399999999994</v>
      </c>
      <c r="Z12" s="1">
        <v>96836.5</v>
      </c>
      <c r="AA12" s="1">
        <v>96858.8</v>
      </c>
      <c r="AB12" s="1">
        <v>96881.600000000006</v>
      </c>
      <c r="AC12" s="1">
        <v>96905.1</v>
      </c>
      <c r="AD12" s="1">
        <v>96928.9</v>
      </c>
      <c r="AE12" s="1">
        <v>96952.6</v>
      </c>
      <c r="AF12" s="1">
        <v>96976.1</v>
      </c>
      <c r="AG12" s="1">
        <v>96999</v>
      </c>
      <c r="AH12" s="1">
        <v>97020.7</v>
      </c>
      <c r="AI12" s="1">
        <v>97040.4</v>
      </c>
      <c r="AJ12" s="1">
        <v>97059.5</v>
      </c>
      <c r="AK12" s="1">
        <v>97081.3</v>
      </c>
      <c r="AL12" s="1">
        <v>97105.4</v>
      </c>
      <c r="AM12" s="1">
        <v>97136.5</v>
      </c>
      <c r="AN12" s="1">
        <v>97178.2</v>
      </c>
      <c r="AO12" s="1">
        <v>97227.7</v>
      </c>
      <c r="AP12" s="1">
        <v>97272.1</v>
      </c>
      <c r="AQ12" s="1">
        <v>97318.5</v>
      </c>
      <c r="AR12" s="1">
        <v>97371.1</v>
      </c>
      <c r="AS12" s="1">
        <v>97423.1</v>
      </c>
      <c r="AT12" s="1">
        <v>97472.9</v>
      </c>
      <c r="AU12" s="1">
        <v>97523.9</v>
      </c>
      <c r="AV12" s="1">
        <v>97567.1</v>
      </c>
      <c r="AW12" s="1">
        <v>97598.5</v>
      </c>
      <c r="AX12" s="1">
        <v>97627.8</v>
      </c>
      <c r="AY12" s="1">
        <v>97661.3</v>
      </c>
      <c r="AZ12" s="1">
        <v>97690.4</v>
      </c>
      <c r="BA12" s="1">
        <v>97717.4</v>
      </c>
      <c r="BB12" s="1">
        <v>97744.2</v>
      </c>
      <c r="BC12" s="1">
        <v>97770.2</v>
      </c>
      <c r="BD12" s="1">
        <v>97796.4</v>
      </c>
      <c r="BE12" s="1">
        <v>97822.2</v>
      </c>
      <c r="BF12" s="1">
        <v>97847.5</v>
      </c>
      <c r="BG12" s="1">
        <v>97871.4</v>
      </c>
      <c r="BH12" s="1">
        <v>97892.7</v>
      </c>
      <c r="BI12" s="1">
        <v>97914.5</v>
      </c>
      <c r="BJ12" s="1">
        <v>97937.600000000006</v>
      </c>
      <c r="BK12" s="1">
        <v>97967.1</v>
      </c>
      <c r="BL12" s="1">
        <v>98003.9</v>
      </c>
      <c r="BM12" s="1">
        <v>98038.8</v>
      </c>
      <c r="BN12" s="1">
        <v>98078.399999999994</v>
      </c>
      <c r="BO12" s="1">
        <v>98118.8</v>
      </c>
      <c r="BP12" s="1">
        <v>98159.6</v>
      </c>
      <c r="BQ12" s="1">
        <v>98207.4</v>
      </c>
      <c r="BR12" s="1">
        <v>98253.5</v>
      </c>
      <c r="BS12" s="1">
        <v>98301.6</v>
      </c>
      <c r="BT12" s="1">
        <v>98344.1</v>
      </c>
      <c r="BU12" s="1">
        <v>98372.1</v>
      </c>
      <c r="BV12" s="1">
        <v>98397.7</v>
      </c>
      <c r="BW12" s="1">
        <v>98424.3</v>
      </c>
      <c r="BX12" s="1">
        <v>98452.1</v>
      </c>
      <c r="BY12" s="1">
        <v>98479</v>
      </c>
      <c r="BZ12" s="1">
        <v>98505.4</v>
      </c>
      <c r="CA12" s="1">
        <v>98531.199999999997</v>
      </c>
      <c r="CB12" s="1">
        <v>98556.9</v>
      </c>
      <c r="CC12" s="1">
        <v>98581.3</v>
      </c>
      <c r="CD12" s="1">
        <v>98604.4</v>
      </c>
      <c r="CE12" s="1">
        <v>98626.9</v>
      </c>
      <c r="CF12" s="1">
        <v>98647.8</v>
      </c>
      <c r="CG12" s="1">
        <v>98668.4</v>
      </c>
      <c r="CH12" s="1">
        <v>98690.8</v>
      </c>
      <c r="CI12" s="1">
        <v>98718</v>
      </c>
      <c r="CJ12" s="1">
        <v>98747.4</v>
      </c>
      <c r="CK12" s="1">
        <v>98780.4</v>
      </c>
      <c r="CL12" s="1">
        <v>98815.8</v>
      </c>
      <c r="CM12" s="1">
        <v>98857.3</v>
      </c>
      <c r="CN12" s="1">
        <v>98911.9</v>
      </c>
      <c r="CO12" s="1">
        <v>98967.2</v>
      </c>
      <c r="CP12" s="1">
        <v>99014.3</v>
      </c>
      <c r="CQ12" s="1">
        <v>99058.7</v>
      </c>
      <c r="CR12" s="1">
        <v>99105</v>
      </c>
      <c r="CS12" s="1">
        <v>99142.5</v>
      </c>
      <c r="CT12" s="1">
        <v>99173.6</v>
      </c>
      <c r="CU12" s="1">
        <v>99201</v>
      </c>
      <c r="CV12" s="1">
        <v>99232.2</v>
      </c>
      <c r="CW12" s="1">
        <v>99262.3</v>
      </c>
      <c r="CX12" s="1">
        <v>99290.9</v>
      </c>
      <c r="CY12" s="1">
        <v>99318.9</v>
      </c>
      <c r="CZ12" s="1">
        <v>99345.8</v>
      </c>
      <c r="DA12" s="1">
        <v>99370.9</v>
      </c>
      <c r="DB12" s="1">
        <v>99396.2</v>
      </c>
      <c r="DC12" s="1">
        <v>99422.3</v>
      </c>
      <c r="DD12" s="1">
        <v>99451.3</v>
      </c>
      <c r="DE12" s="1">
        <v>99476.3</v>
      </c>
      <c r="DF12" s="1">
        <v>99501.5</v>
      </c>
      <c r="DG12" s="1">
        <v>99540.4</v>
      </c>
      <c r="DH12" s="1">
        <v>99578.7</v>
      </c>
      <c r="DI12" s="1">
        <v>99619.5</v>
      </c>
      <c r="DJ12" s="1">
        <v>99661.8</v>
      </c>
      <c r="DK12" s="1">
        <v>99707.5</v>
      </c>
      <c r="DL12" s="1">
        <v>99764.1</v>
      </c>
      <c r="DM12" s="1">
        <v>99812.7</v>
      </c>
      <c r="DN12" s="1">
        <v>99862.2</v>
      </c>
      <c r="DO12" s="1">
        <v>99901.7</v>
      </c>
      <c r="DP12" s="1">
        <v>99935.6</v>
      </c>
      <c r="DQ12" s="1">
        <v>99963.7</v>
      </c>
      <c r="DR12" s="1">
        <v>99989.2</v>
      </c>
      <c r="DS12" s="1">
        <v>13.3</v>
      </c>
      <c r="DT12" s="1">
        <v>36.299999999999997</v>
      </c>
      <c r="DU12" s="1">
        <v>57.8</v>
      </c>
      <c r="DV12" s="1">
        <v>80.2</v>
      </c>
      <c r="DW12" s="1">
        <v>102</v>
      </c>
      <c r="DX12" s="1">
        <v>123.5</v>
      </c>
      <c r="DY12" s="1">
        <v>146</v>
      </c>
      <c r="DZ12" s="1">
        <v>167.8</v>
      </c>
      <c r="EA12" s="1">
        <v>188.3</v>
      </c>
      <c r="EB12" s="1">
        <v>208.2</v>
      </c>
      <c r="EC12" s="1">
        <v>227.6</v>
      </c>
      <c r="ED12" s="1">
        <v>247.6</v>
      </c>
      <c r="EE12" s="1">
        <v>279.7</v>
      </c>
      <c r="EF12" s="1">
        <v>312.3</v>
      </c>
      <c r="EG12" s="1">
        <v>342.1</v>
      </c>
      <c r="EH12" s="1">
        <v>373.7</v>
      </c>
      <c r="EI12" s="1">
        <v>416</v>
      </c>
      <c r="EJ12" s="1">
        <v>469.7</v>
      </c>
      <c r="EK12" s="1">
        <v>527.29999999999995</v>
      </c>
      <c r="EL12" s="1">
        <v>584.29999999999995</v>
      </c>
      <c r="EM12" s="1">
        <v>631.5</v>
      </c>
      <c r="EN12" s="1">
        <v>667.6</v>
      </c>
      <c r="EO12" s="1">
        <v>695.9</v>
      </c>
      <c r="EP12" s="1">
        <v>720.8</v>
      </c>
      <c r="EQ12" s="1">
        <v>745.2</v>
      </c>
      <c r="ER12" s="1">
        <v>768.1</v>
      </c>
      <c r="ES12" s="1">
        <v>791.4</v>
      </c>
      <c r="ET12" s="1">
        <v>815.7</v>
      </c>
      <c r="EU12" s="1">
        <v>840.2</v>
      </c>
      <c r="EV12" s="1">
        <v>864.2</v>
      </c>
      <c r="EW12" s="1">
        <v>887.8</v>
      </c>
      <c r="EX12" s="1">
        <v>910.7</v>
      </c>
      <c r="EY12" s="1">
        <v>932</v>
      </c>
      <c r="EZ12" s="1">
        <v>953.2</v>
      </c>
      <c r="FA12" s="1">
        <v>973.4</v>
      </c>
      <c r="FB12" s="1">
        <v>994.9</v>
      </c>
      <c r="FC12" s="1">
        <v>1025</v>
      </c>
      <c r="FD12" s="1">
        <v>1054.4000000000001</v>
      </c>
      <c r="FE12" s="1">
        <v>1086.4000000000001</v>
      </c>
      <c r="FF12" s="1">
        <v>1117.3</v>
      </c>
      <c r="FG12" s="1">
        <v>1149.8</v>
      </c>
      <c r="FH12" s="1">
        <v>1191.3</v>
      </c>
      <c r="FI12" s="1">
        <v>1233.5</v>
      </c>
      <c r="FJ12" s="1">
        <v>1274</v>
      </c>
      <c r="FK12" s="1">
        <v>1303.9000000000001</v>
      </c>
      <c r="FL12" s="1">
        <v>1326.4</v>
      </c>
      <c r="FM12" s="1">
        <v>1347.9</v>
      </c>
      <c r="FN12" s="1">
        <v>1368.5</v>
      </c>
      <c r="FO12" s="1">
        <v>1388.8</v>
      </c>
      <c r="FP12" s="1">
        <v>1409.4</v>
      </c>
      <c r="FQ12" s="1">
        <v>1431.4</v>
      </c>
      <c r="FR12" s="1">
        <v>1454.1</v>
      </c>
      <c r="FS12" s="1">
        <v>1476.9</v>
      </c>
      <c r="FT12" s="1">
        <v>1499.8</v>
      </c>
      <c r="FU12" s="1">
        <v>1521.1</v>
      </c>
      <c r="FV12" s="1">
        <v>1541.4</v>
      </c>
      <c r="FW12" s="1">
        <v>1561.9</v>
      </c>
      <c r="FX12" s="1">
        <v>1582.2</v>
      </c>
      <c r="FY12" s="1">
        <v>1602.8</v>
      </c>
      <c r="FZ12" s="1">
        <v>1622.6</v>
      </c>
      <c r="GA12" s="1">
        <v>1642.2</v>
      </c>
      <c r="GB12" s="1">
        <v>1662.1</v>
      </c>
      <c r="GC12" s="1">
        <v>1682</v>
      </c>
      <c r="GD12" s="1">
        <v>1702.4</v>
      </c>
      <c r="GE12" s="1">
        <v>1723.6</v>
      </c>
      <c r="GF12" s="1">
        <v>1746.3</v>
      </c>
      <c r="GG12" s="1">
        <v>1769.5</v>
      </c>
      <c r="GH12" s="1">
        <v>1791</v>
      </c>
      <c r="GI12" s="1">
        <v>1813.3</v>
      </c>
      <c r="GJ12" s="1">
        <v>1834.8</v>
      </c>
      <c r="GK12" s="1">
        <v>1856.3</v>
      </c>
      <c r="GL12" s="1">
        <v>1879</v>
      </c>
      <c r="GM12" s="1">
        <v>1902.8</v>
      </c>
      <c r="GN12" s="1">
        <v>1926.3</v>
      </c>
      <c r="GO12" s="1">
        <v>1949.9</v>
      </c>
      <c r="GP12" s="1">
        <v>1973.2</v>
      </c>
      <c r="GQ12" s="1">
        <v>1996</v>
      </c>
      <c r="GR12" s="1">
        <v>2016.5</v>
      </c>
      <c r="GS12" s="1">
        <v>2038.2</v>
      </c>
      <c r="GT12" s="1">
        <v>2060.8000000000002</v>
      </c>
      <c r="GU12" s="1">
        <v>2087.9</v>
      </c>
      <c r="GV12" s="1">
        <v>2116.6</v>
      </c>
      <c r="GW12" s="1">
        <v>2141.1</v>
      </c>
      <c r="GX12" s="1">
        <v>2165.1999999999998</v>
      </c>
      <c r="GY12" s="1">
        <v>2196</v>
      </c>
      <c r="GZ12" s="1">
        <v>2230.1</v>
      </c>
      <c r="HA12" s="1">
        <v>2266.6999999999998</v>
      </c>
      <c r="HB12" s="1">
        <v>2311.6</v>
      </c>
      <c r="HC12" s="1">
        <v>2358.1</v>
      </c>
      <c r="HD12" s="1">
        <v>2408.4</v>
      </c>
      <c r="HE12" s="1">
        <v>2459.6</v>
      </c>
      <c r="HF12" s="1">
        <v>2511.5</v>
      </c>
      <c r="HG12" s="1">
        <v>2560.8000000000002</v>
      </c>
      <c r="HH12" s="1">
        <v>2603.1</v>
      </c>
      <c r="HI12" s="1">
        <v>2637</v>
      </c>
      <c r="HJ12" s="1">
        <v>2663</v>
      </c>
      <c r="HK12" s="1">
        <v>2689.4</v>
      </c>
      <c r="HL12" s="1">
        <v>2718.2</v>
      </c>
      <c r="HM12" s="1">
        <v>2742.7</v>
      </c>
      <c r="HN12" s="1">
        <v>2767</v>
      </c>
      <c r="HO12" s="1">
        <v>2788.9</v>
      </c>
      <c r="HP12" s="1">
        <v>2810.5</v>
      </c>
      <c r="HQ12" s="1">
        <v>2832.9</v>
      </c>
      <c r="HR12" s="1">
        <v>2855.1</v>
      </c>
      <c r="HS12" s="1">
        <v>2877.4</v>
      </c>
      <c r="HT12" s="1">
        <v>2899.9</v>
      </c>
      <c r="HU12" s="1">
        <v>2920.8</v>
      </c>
      <c r="HV12" s="1">
        <v>2944</v>
      </c>
      <c r="HW12" s="1">
        <v>2972.3</v>
      </c>
      <c r="HX12" s="1">
        <v>3006.9</v>
      </c>
      <c r="HY12" s="1">
        <v>3042.3</v>
      </c>
      <c r="HZ12" s="1">
        <v>3078.3</v>
      </c>
      <c r="IA12" s="1">
        <v>3120.8</v>
      </c>
      <c r="IB12" s="1">
        <v>3175.5</v>
      </c>
      <c r="IC12" s="1">
        <v>3230.5</v>
      </c>
      <c r="ID12" s="1">
        <v>3276.1</v>
      </c>
      <c r="IE12" s="1">
        <v>3317</v>
      </c>
      <c r="IF12" s="1">
        <v>3355.3</v>
      </c>
      <c r="IG12" s="1">
        <v>3391.9</v>
      </c>
      <c r="IH12" s="1">
        <v>3426.8</v>
      </c>
      <c r="II12" s="1">
        <v>3453.3</v>
      </c>
      <c r="IJ12" s="1">
        <v>3479.1</v>
      </c>
      <c r="IK12" s="1">
        <v>3503.7</v>
      </c>
      <c r="IL12" s="1">
        <v>3526.7</v>
      </c>
      <c r="IM12" s="1">
        <v>3548.2</v>
      </c>
      <c r="IN12" s="1">
        <v>3571.8</v>
      </c>
      <c r="IO12" s="1">
        <v>3594.6</v>
      </c>
      <c r="IP12" s="1">
        <v>3617.7</v>
      </c>
      <c r="IQ12" s="1">
        <v>3640.1</v>
      </c>
      <c r="IR12" s="1">
        <v>3662.4</v>
      </c>
      <c r="IS12" s="1">
        <v>3683.3</v>
      </c>
      <c r="IT12" s="1">
        <v>3705.4</v>
      </c>
      <c r="IU12" s="1">
        <v>3731.3</v>
      </c>
      <c r="IV12" s="1">
        <v>3760.2</v>
      </c>
      <c r="IW12" s="1">
        <v>3790.7</v>
      </c>
      <c r="IX12" s="1">
        <v>3822</v>
      </c>
      <c r="IY12" s="1">
        <v>3853</v>
      </c>
      <c r="IZ12" s="1">
        <v>3887.4</v>
      </c>
      <c r="JA12" s="1">
        <v>3927</v>
      </c>
      <c r="JB12" s="1">
        <v>3966.5</v>
      </c>
      <c r="JC12" s="1">
        <v>4005.3</v>
      </c>
      <c r="JD12" s="1">
        <v>4039.9</v>
      </c>
      <c r="JE12" s="1">
        <v>4068</v>
      </c>
      <c r="JF12" s="1">
        <v>4094.3</v>
      </c>
      <c r="JG12" s="1">
        <v>4116.6000000000004</v>
      </c>
      <c r="JH12" s="1">
        <v>4138</v>
      </c>
      <c r="JI12" s="1">
        <v>4159.8</v>
      </c>
      <c r="JJ12" s="1">
        <v>4181.1000000000004</v>
      </c>
      <c r="JK12" s="1">
        <v>4201.7</v>
      </c>
      <c r="JL12" s="1">
        <v>4221.3999999999996</v>
      </c>
      <c r="JM12" s="1">
        <v>4243.1000000000004</v>
      </c>
      <c r="JN12" s="1">
        <v>4263.1000000000004</v>
      </c>
      <c r="JO12" s="1">
        <v>4283</v>
      </c>
      <c r="JP12" s="1">
        <v>4303.8</v>
      </c>
      <c r="JQ12" s="1">
        <v>4323.1000000000004</v>
      </c>
      <c r="JR12" s="1">
        <v>4342.8999999999996</v>
      </c>
      <c r="JS12" s="1">
        <v>4365.8999999999996</v>
      </c>
      <c r="JT12" s="1">
        <v>4395.3</v>
      </c>
      <c r="JU12" s="1">
        <v>4427.8</v>
      </c>
      <c r="JV12" s="1">
        <v>4462.6000000000004</v>
      </c>
      <c r="JW12" s="1">
        <v>4505.2</v>
      </c>
      <c r="JX12" s="1">
        <v>4557.6000000000004</v>
      </c>
      <c r="JY12" s="1">
        <v>4607.5</v>
      </c>
      <c r="JZ12" s="1">
        <v>4664.8</v>
      </c>
      <c r="KA12" s="1">
        <v>4706.3999999999996</v>
      </c>
      <c r="KB12" s="1">
        <v>4738.6000000000004</v>
      </c>
      <c r="KC12" s="1">
        <v>4766.6000000000004</v>
      </c>
      <c r="KD12" s="1">
        <v>4790.7</v>
      </c>
      <c r="KE12" s="1">
        <v>4814.1000000000004</v>
      </c>
      <c r="KF12" s="1">
        <v>4836.8999999999996</v>
      </c>
      <c r="KG12" s="1">
        <v>4857.8</v>
      </c>
      <c r="KH12" s="1">
        <v>4878</v>
      </c>
      <c r="KI12" s="1">
        <v>4898.3999999999996</v>
      </c>
      <c r="KJ12" s="1">
        <v>4918.6000000000004</v>
      </c>
      <c r="KK12" s="1">
        <v>4938.5</v>
      </c>
      <c r="KL12" s="1">
        <v>4958.8999999999996</v>
      </c>
      <c r="KM12" s="1">
        <v>4978.6000000000004</v>
      </c>
      <c r="KN12" s="1">
        <v>4998.5</v>
      </c>
      <c r="KO12" s="1">
        <v>5017.6000000000004</v>
      </c>
      <c r="KP12" s="1">
        <v>5037.7</v>
      </c>
      <c r="KQ12" s="1">
        <v>5063.2</v>
      </c>
      <c r="KR12" s="1">
        <v>5093</v>
      </c>
      <c r="KS12" s="1">
        <v>5122.8999999999996</v>
      </c>
      <c r="KT12" s="1">
        <v>5156.6000000000004</v>
      </c>
      <c r="KU12" s="1">
        <v>5193.6000000000004</v>
      </c>
      <c r="KV12" s="1">
        <v>5245.4</v>
      </c>
      <c r="KW12" s="1">
        <v>5288.9</v>
      </c>
      <c r="KX12" s="1">
        <v>5329.4</v>
      </c>
      <c r="KY12" s="1">
        <v>5367.4</v>
      </c>
      <c r="KZ12" s="1">
        <v>5399.2</v>
      </c>
      <c r="LA12" s="1">
        <v>5426</v>
      </c>
      <c r="LB12" s="1">
        <v>5452.1</v>
      </c>
      <c r="LC12" s="1">
        <v>5476.3</v>
      </c>
      <c r="LD12" s="1">
        <v>5500</v>
      </c>
      <c r="LE12" s="1">
        <v>5520.5</v>
      </c>
      <c r="LF12" s="1">
        <v>5541.6</v>
      </c>
      <c r="LG12" s="1">
        <v>5562.7</v>
      </c>
      <c r="LH12" s="1">
        <v>5583.5</v>
      </c>
      <c r="LI12" s="1">
        <v>5606.2</v>
      </c>
      <c r="LJ12" s="1">
        <v>5627.7</v>
      </c>
      <c r="LK12" s="1">
        <v>5648.6</v>
      </c>
      <c r="LL12" s="1">
        <v>5668.1</v>
      </c>
      <c r="LM12" s="1">
        <v>5687.1</v>
      </c>
      <c r="LN12" s="1">
        <v>5705.3</v>
      </c>
      <c r="LO12" s="1">
        <v>5722.6</v>
      </c>
      <c r="LP12" s="1">
        <v>5740.1</v>
      </c>
      <c r="LQ12" s="1">
        <v>5757.5</v>
      </c>
      <c r="LR12" s="1">
        <v>5774.8</v>
      </c>
      <c r="LS12" s="1">
        <v>5794.6</v>
      </c>
      <c r="LT12" s="1">
        <v>5815.1</v>
      </c>
      <c r="LU12" s="1">
        <v>5835.1</v>
      </c>
      <c r="LV12" s="1">
        <v>5854.9</v>
      </c>
      <c r="LW12" s="1">
        <v>5874.2</v>
      </c>
      <c r="LX12" s="1">
        <v>5896</v>
      </c>
      <c r="LY12" s="1">
        <v>5918.4</v>
      </c>
      <c r="LZ12" s="1">
        <v>5939.8</v>
      </c>
      <c r="MA12" s="1">
        <v>5962</v>
      </c>
      <c r="MB12" s="1">
        <v>5984.5</v>
      </c>
      <c r="MC12" s="1">
        <v>6007.8</v>
      </c>
      <c r="MD12" s="1">
        <v>6031.9</v>
      </c>
      <c r="ME12" s="1">
        <v>6052.2</v>
      </c>
      <c r="MF12" s="1">
        <v>6073.1</v>
      </c>
      <c r="MG12" s="1">
        <v>6093</v>
      </c>
      <c r="MH12" s="1">
        <v>6112.3</v>
      </c>
      <c r="MI12" s="1">
        <v>6131</v>
      </c>
      <c r="MJ12" s="1">
        <v>6149.8</v>
      </c>
      <c r="MK12" s="1">
        <v>6167.6</v>
      </c>
      <c r="ML12" s="1">
        <v>6184.3</v>
      </c>
      <c r="MM12" s="1">
        <v>6202.1</v>
      </c>
      <c r="MN12" s="1">
        <v>6220.8</v>
      </c>
      <c r="MO12" s="1">
        <v>6238.9</v>
      </c>
      <c r="MP12" s="1">
        <v>6259.7</v>
      </c>
      <c r="MQ12" s="1">
        <v>6281.9</v>
      </c>
      <c r="MR12" s="1">
        <v>6306.7</v>
      </c>
      <c r="MS12" s="1">
        <v>6337</v>
      </c>
      <c r="MT12" s="1">
        <v>6361.3</v>
      </c>
      <c r="MU12" s="1">
        <v>6384.9</v>
      </c>
      <c r="MV12" s="1">
        <v>6408</v>
      </c>
      <c r="MW12" s="1">
        <v>6429.7</v>
      </c>
      <c r="MX12" s="1">
        <v>6448.5</v>
      </c>
      <c r="MY12" s="1">
        <v>6466.9</v>
      </c>
      <c r="MZ12" s="1">
        <v>6486.5</v>
      </c>
      <c r="NA12" s="1">
        <v>6508</v>
      </c>
      <c r="NB12" s="1">
        <v>6530</v>
      </c>
      <c r="NC12" s="1">
        <v>6551.6</v>
      </c>
      <c r="ND12" s="1">
        <v>6572.9</v>
      </c>
      <c r="NE12" s="1">
        <v>6594.2</v>
      </c>
      <c r="NF12" s="1">
        <v>6615.7</v>
      </c>
      <c r="NG12" s="1">
        <v>6637</v>
      </c>
      <c r="NH12" s="1">
        <v>6658.2</v>
      </c>
      <c r="NI12" s="1">
        <v>6678.7</v>
      </c>
      <c r="NJ12" s="1">
        <v>6698.1</v>
      </c>
      <c r="NK12" s="1">
        <v>6716.3</v>
      </c>
      <c r="NL12" s="1">
        <v>6734.8</v>
      </c>
      <c r="NM12" s="1">
        <v>6755.3</v>
      </c>
      <c r="NN12" s="1">
        <v>6781.2</v>
      </c>
      <c r="NO12" s="1">
        <v>6814</v>
      </c>
      <c r="NP12" s="1">
        <v>6844.8</v>
      </c>
      <c r="NQ12" s="1">
        <v>6874.4</v>
      </c>
      <c r="NR12" s="1">
        <v>6903.3</v>
      </c>
      <c r="NS12" s="1">
        <v>6933.2</v>
      </c>
      <c r="NT12" s="1">
        <v>6956.2</v>
      </c>
      <c r="NU12" s="1">
        <v>6978.3</v>
      </c>
      <c r="NV12" s="1">
        <v>7003.4</v>
      </c>
      <c r="NW12" s="1">
        <v>7027.4</v>
      </c>
      <c r="NX12" s="1">
        <v>7050.4</v>
      </c>
      <c r="NY12" s="1">
        <v>7071.9</v>
      </c>
      <c r="NZ12" s="1">
        <v>7091.6</v>
      </c>
      <c r="OA12" s="1">
        <v>7116.7</v>
      </c>
      <c r="OB12" s="1">
        <v>7143.1</v>
      </c>
      <c r="OC12" s="1">
        <v>7168.1</v>
      </c>
      <c r="OD12" s="1">
        <v>7193.1</v>
      </c>
      <c r="OE12" s="1">
        <v>7216.6</v>
      </c>
      <c r="OF12" s="1">
        <v>7240</v>
      </c>
      <c r="OG12" s="1">
        <v>7263.6</v>
      </c>
      <c r="OH12" s="1">
        <v>7285.5</v>
      </c>
      <c r="OI12" s="1">
        <v>7314.9</v>
      </c>
      <c r="OJ12" s="1">
        <v>7351.5</v>
      </c>
      <c r="OK12" s="1">
        <v>7385.9</v>
      </c>
      <c r="OL12" s="1">
        <v>7427.4</v>
      </c>
      <c r="OM12" s="1">
        <v>7477.1</v>
      </c>
      <c r="ON12" s="1">
        <v>7534.5</v>
      </c>
      <c r="OO12" s="1">
        <v>7591</v>
      </c>
      <c r="OP12" s="1">
        <v>7647.5</v>
      </c>
      <c r="OQ12" s="1">
        <v>7700.3</v>
      </c>
      <c r="OR12" s="1">
        <v>7745.4</v>
      </c>
      <c r="OS12" s="1">
        <v>7780.2</v>
      </c>
      <c r="OT12" s="1">
        <v>7810.4</v>
      </c>
      <c r="OU12" s="1">
        <v>7834.7</v>
      </c>
      <c r="OV12" s="1">
        <v>7857.1</v>
      </c>
      <c r="OW12" s="1">
        <v>7879</v>
      </c>
      <c r="OX12" s="1">
        <v>7900.6</v>
      </c>
      <c r="OY12" s="1">
        <v>7922.1</v>
      </c>
      <c r="OZ12" s="1">
        <v>7943.9</v>
      </c>
      <c r="PA12" s="1">
        <v>7964.7</v>
      </c>
      <c r="PB12" s="1">
        <v>7985.6</v>
      </c>
      <c r="PC12" s="1">
        <v>8006.3</v>
      </c>
      <c r="PD12" s="1">
        <v>8026.3</v>
      </c>
      <c r="PE12" s="1">
        <v>8045.5</v>
      </c>
      <c r="PF12" s="1">
        <v>8066.5</v>
      </c>
      <c r="PG12" s="1">
        <v>8092.7</v>
      </c>
      <c r="PH12" s="1">
        <v>8123.8</v>
      </c>
      <c r="PI12" s="1">
        <v>8163.3</v>
      </c>
      <c r="PJ12" s="1">
        <v>8207</v>
      </c>
      <c r="PK12" s="1">
        <v>8252.2000000000007</v>
      </c>
      <c r="PL12" s="1">
        <v>8303.7999999999993</v>
      </c>
      <c r="PM12" s="1">
        <v>8359</v>
      </c>
      <c r="PN12" s="1">
        <v>8403.7000000000007</v>
      </c>
      <c r="PO12" s="1">
        <v>8443.5</v>
      </c>
      <c r="PP12" s="1">
        <v>8479.5</v>
      </c>
      <c r="PQ12" s="1">
        <v>8510.7999999999993</v>
      </c>
      <c r="PR12" s="1">
        <v>8536.5</v>
      </c>
      <c r="PS12" s="1">
        <v>8560.4</v>
      </c>
      <c r="PT12" s="1">
        <v>8582.2999999999993</v>
      </c>
      <c r="PU12" s="1">
        <v>8604.1</v>
      </c>
      <c r="PV12" s="1">
        <v>8626.6</v>
      </c>
      <c r="PW12" s="1">
        <v>8648.7000000000007</v>
      </c>
      <c r="PX12" s="1">
        <v>8670.6</v>
      </c>
      <c r="PY12" s="1">
        <v>8691.9</v>
      </c>
      <c r="PZ12" s="1">
        <v>8713.7000000000007</v>
      </c>
      <c r="QA12" s="1">
        <v>8734.6</v>
      </c>
      <c r="QB12" s="1">
        <v>8755.4</v>
      </c>
      <c r="QC12" s="1">
        <v>8777.6</v>
      </c>
      <c r="QD12" s="1">
        <v>8798.1</v>
      </c>
      <c r="QE12" s="1">
        <v>8822.9</v>
      </c>
      <c r="QF12" s="1">
        <v>8855.4</v>
      </c>
      <c r="QG12" s="1">
        <v>8889</v>
      </c>
      <c r="QH12" s="1">
        <v>8925.2000000000007</v>
      </c>
      <c r="QI12" s="1">
        <v>8970.6</v>
      </c>
      <c r="QJ12" s="1">
        <v>9015.7000000000007</v>
      </c>
      <c r="QK12" s="1">
        <v>9059.5</v>
      </c>
      <c r="QL12" s="1">
        <v>9103.9</v>
      </c>
      <c r="QM12" s="1">
        <v>9140.6</v>
      </c>
      <c r="QN12" s="1">
        <v>9175.2999999999993</v>
      </c>
      <c r="QO12" s="1">
        <v>9205.2999999999993</v>
      </c>
      <c r="QP12" s="1">
        <v>9235.2999999999993</v>
      </c>
      <c r="QQ12" s="1">
        <v>9263.2999999999993</v>
      </c>
      <c r="QR12" s="1">
        <v>9287.4</v>
      </c>
      <c r="QS12" s="1">
        <v>9307.2999999999993</v>
      </c>
      <c r="QT12" s="1">
        <v>9327.9</v>
      </c>
      <c r="QU12" s="1">
        <v>9348.9</v>
      </c>
      <c r="QV12" s="1">
        <v>9369.1</v>
      </c>
      <c r="QW12" s="1">
        <v>9388</v>
      </c>
      <c r="QX12" s="1">
        <v>9407.2999999999993</v>
      </c>
      <c r="QY12" s="1">
        <v>9426.4</v>
      </c>
      <c r="QZ12" s="1">
        <v>9445.6</v>
      </c>
      <c r="RA12" s="1">
        <v>9464.9</v>
      </c>
      <c r="RB12" s="1">
        <v>9483.7000000000007</v>
      </c>
      <c r="RC12" s="1">
        <v>9505</v>
      </c>
      <c r="RD12" s="1">
        <v>9530.4</v>
      </c>
      <c r="RE12" s="1">
        <v>9563.6</v>
      </c>
      <c r="RF12" s="1">
        <v>9597.2999999999993</v>
      </c>
      <c r="RG12" s="1">
        <v>9635.7999999999993</v>
      </c>
      <c r="RH12" s="1">
        <v>9675.6</v>
      </c>
      <c r="RI12" s="1">
        <v>9722.2000000000007</v>
      </c>
      <c r="RJ12" s="1">
        <v>9766.9</v>
      </c>
      <c r="RK12" s="1">
        <v>9807.7999999999993</v>
      </c>
      <c r="RL12" s="1">
        <v>9841.2000000000007</v>
      </c>
      <c r="RM12" s="1">
        <v>9866.2000000000007</v>
      </c>
      <c r="RN12" s="1">
        <v>9886.1</v>
      </c>
      <c r="RO12" s="1">
        <v>9904.4</v>
      </c>
      <c r="RP12" s="1">
        <v>9921.5</v>
      </c>
      <c r="RQ12" s="1">
        <v>9936.5</v>
      </c>
      <c r="RR12" s="1">
        <v>9951.7999999999993</v>
      </c>
      <c r="RS12" s="1">
        <v>9966.9</v>
      </c>
      <c r="RT12" s="1">
        <v>9982.5</v>
      </c>
      <c r="RU12" s="1">
        <v>9998.5</v>
      </c>
      <c r="RV12" s="1">
        <v>10014.1</v>
      </c>
      <c r="RW12" s="1">
        <v>10029.4</v>
      </c>
      <c r="RX12" s="1">
        <v>10043.4</v>
      </c>
      <c r="RY12" s="1">
        <v>10057.5</v>
      </c>
      <c r="RZ12" s="1">
        <v>10073.200000000001</v>
      </c>
      <c r="SA12" s="1">
        <v>10087.700000000001</v>
      </c>
      <c r="SB12" s="1">
        <v>10100.700000000001</v>
      </c>
      <c r="SC12" s="1">
        <v>10113.9</v>
      </c>
      <c r="SD12" s="1">
        <v>10126.5</v>
      </c>
      <c r="SE12" s="1">
        <v>10142.200000000001</v>
      </c>
      <c r="SF12" s="1">
        <v>10157.700000000001</v>
      </c>
      <c r="SG12" s="1">
        <v>10171.4</v>
      </c>
      <c r="SH12" s="1">
        <v>10186.700000000001</v>
      </c>
      <c r="SI12" s="1">
        <v>10200.4</v>
      </c>
      <c r="SJ12" s="1">
        <v>10213.200000000001</v>
      </c>
      <c r="SK12" s="1">
        <v>10227</v>
      </c>
      <c r="SL12" s="1">
        <v>10244.5</v>
      </c>
      <c r="SM12" s="1">
        <v>10260.9</v>
      </c>
      <c r="SN12" s="1">
        <v>10277.799999999999</v>
      </c>
      <c r="SO12" s="1">
        <v>10292.6</v>
      </c>
      <c r="SP12" s="1">
        <v>10305.799999999999</v>
      </c>
      <c r="SQ12" s="1">
        <v>10318.6</v>
      </c>
      <c r="SR12" s="1">
        <v>10331.799999999999</v>
      </c>
      <c r="SS12" s="1">
        <v>10345.700000000001</v>
      </c>
      <c r="ST12" s="1">
        <v>10360.1</v>
      </c>
      <c r="SU12" s="1">
        <v>10372.9</v>
      </c>
      <c r="SV12" s="1">
        <v>10385.700000000001</v>
      </c>
      <c r="SW12" s="1">
        <v>10398.9</v>
      </c>
      <c r="SX12" s="1">
        <v>10411.9</v>
      </c>
      <c r="SY12" s="1">
        <v>10425.1</v>
      </c>
    </row>
    <row r="13" spans="1:750">
      <c r="A13" s="1">
        <v>12</v>
      </c>
      <c r="B13" s="1" t="s">
        <v>2</v>
      </c>
      <c r="C13" s="1" t="s">
        <v>3</v>
      </c>
      <c r="D13" s="1" t="s">
        <v>16</v>
      </c>
      <c r="E13" s="1" t="s">
        <v>5</v>
      </c>
      <c r="F13" s="1">
        <v>70125.399999999994</v>
      </c>
      <c r="G13" s="1">
        <v>70164.100000000006</v>
      </c>
      <c r="H13" s="1">
        <v>70202.7</v>
      </c>
      <c r="I13" s="1">
        <v>70242.7</v>
      </c>
      <c r="J13" s="1">
        <v>70282.5</v>
      </c>
      <c r="K13" s="1">
        <v>70319.7</v>
      </c>
      <c r="L13" s="1">
        <v>70356.3</v>
      </c>
      <c r="M13" s="1">
        <v>70392.399999999994</v>
      </c>
      <c r="N13" s="1">
        <v>70429.100000000006</v>
      </c>
      <c r="O13" s="1">
        <v>70468.100000000006</v>
      </c>
      <c r="P13" s="1">
        <v>70508.899999999994</v>
      </c>
      <c r="Q13" s="1">
        <v>70549.600000000006</v>
      </c>
      <c r="R13" s="1">
        <v>70590.899999999994</v>
      </c>
      <c r="S13" s="1">
        <v>70633.7</v>
      </c>
      <c r="T13" s="1">
        <v>70675.600000000006</v>
      </c>
      <c r="U13" s="1">
        <v>70718.8</v>
      </c>
      <c r="V13" s="1">
        <v>70764.600000000006</v>
      </c>
      <c r="W13" s="1">
        <v>70810.2</v>
      </c>
      <c r="X13" s="1">
        <v>70853.2</v>
      </c>
      <c r="Y13" s="1">
        <v>70894</v>
      </c>
      <c r="Z13" s="1">
        <v>70932.7</v>
      </c>
      <c r="AA13" s="1">
        <v>70969.3</v>
      </c>
      <c r="AB13" s="1">
        <v>71007</v>
      </c>
      <c r="AC13" s="1">
        <v>71045.399999999994</v>
      </c>
      <c r="AD13" s="1">
        <v>71086</v>
      </c>
      <c r="AE13" s="1">
        <v>71124.600000000006</v>
      </c>
      <c r="AF13" s="1">
        <v>71161.8</v>
      </c>
      <c r="AG13" s="1">
        <v>71199.399999999994</v>
      </c>
      <c r="AH13" s="1">
        <v>71236.399999999994</v>
      </c>
      <c r="AI13" s="1">
        <v>71274.3</v>
      </c>
      <c r="AJ13" s="1">
        <v>71312.800000000003</v>
      </c>
      <c r="AK13" s="1">
        <v>71349.2</v>
      </c>
      <c r="AL13" s="1">
        <v>71386.3</v>
      </c>
      <c r="AM13" s="1">
        <v>71435.8</v>
      </c>
      <c r="AN13" s="1">
        <v>71492</v>
      </c>
      <c r="AO13" s="1">
        <v>71555.3</v>
      </c>
      <c r="AP13" s="1">
        <v>71618.100000000006</v>
      </c>
      <c r="AQ13" s="1">
        <v>71682.100000000006</v>
      </c>
      <c r="AR13" s="1">
        <v>71755.399999999994</v>
      </c>
      <c r="AS13" s="1">
        <v>71835.199999999997</v>
      </c>
      <c r="AT13" s="1">
        <v>71904.899999999994</v>
      </c>
      <c r="AU13" s="1">
        <v>71961.2</v>
      </c>
      <c r="AV13" s="1">
        <v>72011.3</v>
      </c>
      <c r="AW13" s="1">
        <v>72057.5</v>
      </c>
      <c r="AX13" s="1">
        <v>72100.2</v>
      </c>
      <c r="AY13" s="1">
        <v>72141.7</v>
      </c>
      <c r="AZ13" s="1">
        <v>72181.2</v>
      </c>
      <c r="BA13" s="1">
        <v>72223.399999999994</v>
      </c>
      <c r="BB13" s="1">
        <v>72263.3</v>
      </c>
      <c r="BC13" s="1">
        <v>72301.3</v>
      </c>
      <c r="BD13" s="1">
        <v>72339.5</v>
      </c>
      <c r="BE13" s="1">
        <v>72377.8</v>
      </c>
      <c r="BF13" s="1">
        <v>72418.899999999994</v>
      </c>
      <c r="BG13" s="1">
        <v>72457.7</v>
      </c>
      <c r="BH13" s="1">
        <v>72494.899999999994</v>
      </c>
      <c r="BI13" s="1">
        <v>72531.8</v>
      </c>
      <c r="BJ13" s="1">
        <v>72571.600000000006</v>
      </c>
      <c r="BK13" s="1">
        <v>72619.3</v>
      </c>
      <c r="BL13" s="1">
        <v>72671.100000000006</v>
      </c>
      <c r="BM13" s="1">
        <v>72719.899999999994</v>
      </c>
      <c r="BN13" s="1">
        <v>72773.2</v>
      </c>
      <c r="BO13" s="1">
        <v>72824.5</v>
      </c>
      <c r="BP13" s="1">
        <v>72876</v>
      </c>
      <c r="BQ13" s="1">
        <v>72928.399999999994</v>
      </c>
      <c r="BR13" s="1">
        <v>72988.800000000003</v>
      </c>
      <c r="BS13" s="1">
        <v>73044.3</v>
      </c>
      <c r="BT13" s="1">
        <v>73092.399999999994</v>
      </c>
      <c r="BU13" s="1">
        <v>73137.600000000006</v>
      </c>
      <c r="BV13" s="1">
        <v>73182.5</v>
      </c>
      <c r="BW13" s="1">
        <v>73224.600000000006</v>
      </c>
      <c r="BX13" s="1">
        <v>73266.899999999994</v>
      </c>
      <c r="BY13" s="1">
        <v>73308.800000000003</v>
      </c>
      <c r="BZ13" s="1">
        <v>73350.8</v>
      </c>
      <c r="CA13" s="1">
        <v>73389.5</v>
      </c>
      <c r="CB13" s="1">
        <v>73424.800000000003</v>
      </c>
      <c r="CC13" s="1">
        <v>73460.3</v>
      </c>
      <c r="CD13" s="1">
        <v>73496</v>
      </c>
      <c r="CE13" s="1">
        <v>73531.899999999994</v>
      </c>
      <c r="CF13" s="1">
        <v>73566.7</v>
      </c>
      <c r="CG13" s="1">
        <v>73602</v>
      </c>
      <c r="CH13" s="1">
        <v>73639.8</v>
      </c>
      <c r="CI13" s="1">
        <v>73678.899999999994</v>
      </c>
      <c r="CJ13" s="1">
        <v>73720.5</v>
      </c>
      <c r="CK13" s="1">
        <v>73764.100000000006</v>
      </c>
      <c r="CL13" s="1">
        <v>73809.2</v>
      </c>
      <c r="CM13" s="1">
        <v>73858.600000000006</v>
      </c>
      <c r="CN13" s="1">
        <v>73920.7</v>
      </c>
      <c r="CO13" s="1">
        <v>73978.600000000006</v>
      </c>
      <c r="CP13" s="1">
        <v>74034.100000000006</v>
      </c>
      <c r="CQ13" s="1">
        <v>74084.399999999994</v>
      </c>
      <c r="CR13" s="1">
        <v>74130.399999999994</v>
      </c>
      <c r="CS13" s="1">
        <v>74174.399999999994</v>
      </c>
      <c r="CT13" s="1">
        <v>74214.3</v>
      </c>
      <c r="CU13" s="1">
        <v>74254</v>
      </c>
      <c r="CV13" s="1">
        <v>74295.100000000006</v>
      </c>
      <c r="CW13" s="1">
        <v>74335.899999999994</v>
      </c>
      <c r="CX13" s="1">
        <v>74373.100000000006</v>
      </c>
      <c r="CY13" s="1">
        <v>74410.3</v>
      </c>
      <c r="CZ13" s="1">
        <v>74447.100000000006</v>
      </c>
      <c r="DA13" s="1">
        <v>74483.7</v>
      </c>
      <c r="DB13" s="1">
        <v>74521.3</v>
      </c>
      <c r="DC13" s="1">
        <v>74560.600000000006</v>
      </c>
      <c r="DD13" s="1">
        <v>74597.399999999994</v>
      </c>
      <c r="DE13" s="1">
        <v>74633.5</v>
      </c>
      <c r="DF13" s="1">
        <v>74669.7</v>
      </c>
      <c r="DG13" s="1">
        <v>74713.8</v>
      </c>
      <c r="DH13" s="1">
        <v>74760.100000000006</v>
      </c>
      <c r="DI13" s="1">
        <v>74810.100000000006</v>
      </c>
      <c r="DJ13" s="1">
        <v>74860.600000000006</v>
      </c>
      <c r="DK13" s="1">
        <v>74907</v>
      </c>
      <c r="DL13" s="1">
        <v>74957.600000000006</v>
      </c>
      <c r="DM13" s="1">
        <v>75016.800000000003</v>
      </c>
      <c r="DN13" s="1">
        <v>75073.600000000006</v>
      </c>
      <c r="DO13" s="1">
        <v>75128.899999999994</v>
      </c>
      <c r="DP13" s="1">
        <v>75176.399999999994</v>
      </c>
      <c r="DQ13" s="1">
        <v>75222.100000000006</v>
      </c>
      <c r="DR13" s="1">
        <v>75266.899999999994</v>
      </c>
      <c r="DS13" s="1">
        <v>75311.899999999994</v>
      </c>
      <c r="DT13" s="1">
        <v>75356.600000000006</v>
      </c>
      <c r="DU13" s="1">
        <v>75401.3</v>
      </c>
      <c r="DV13" s="1">
        <v>75446.100000000006</v>
      </c>
      <c r="DW13" s="1">
        <v>75490.100000000006</v>
      </c>
      <c r="DX13" s="1">
        <v>75534.399999999994</v>
      </c>
      <c r="DY13" s="1">
        <v>75579.7</v>
      </c>
      <c r="DZ13" s="1">
        <v>75624.3</v>
      </c>
      <c r="EA13" s="1">
        <v>75667.600000000006</v>
      </c>
      <c r="EB13" s="1">
        <v>75709.100000000006</v>
      </c>
      <c r="EC13" s="1">
        <v>75750.8</v>
      </c>
      <c r="ED13" s="1">
        <v>75792.899999999994</v>
      </c>
      <c r="EE13" s="1">
        <v>75842.399999999994</v>
      </c>
      <c r="EF13" s="1">
        <v>75895.100000000006</v>
      </c>
      <c r="EG13" s="1">
        <v>75946</v>
      </c>
      <c r="EH13" s="1">
        <v>76003</v>
      </c>
      <c r="EI13" s="1">
        <v>76066.7</v>
      </c>
      <c r="EJ13" s="1">
        <v>76135.7</v>
      </c>
      <c r="EK13" s="1">
        <v>76195.199999999997</v>
      </c>
      <c r="EL13" s="1">
        <v>76254.8</v>
      </c>
      <c r="EM13" s="1">
        <v>76308.5</v>
      </c>
      <c r="EN13" s="1">
        <v>76360.3</v>
      </c>
      <c r="EO13" s="1">
        <v>76409.399999999994</v>
      </c>
      <c r="EP13" s="1">
        <v>76456.800000000003</v>
      </c>
      <c r="EQ13" s="1">
        <v>76502.100000000006</v>
      </c>
      <c r="ER13" s="1">
        <v>76544.2</v>
      </c>
      <c r="ES13" s="1">
        <v>76583.7</v>
      </c>
      <c r="ET13" s="1">
        <v>76623.199999999997</v>
      </c>
      <c r="EU13" s="1">
        <v>76661.399999999994</v>
      </c>
      <c r="EV13" s="1">
        <v>76699.899999999994</v>
      </c>
      <c r="EW13" s="1">
        <v>76738</v>
      </c>
      <c r="EX13" s="1">
        <v>76775.7</v>
      </c>
      <c r="EY13" s="1">
        <v>76813.8</v>
      </c>
      <c r="EZ13" s="1">
        <v>76851.199999999997</v>
      </c>
      <c r="FA13" s="1">
        <v>76888.3</v>
      </c>
      <c r="FB13" s="1">
        <v>76925.399999999994</v>
      </c>
      <c r="FC13" s="1">
        <v>76964.899999999994</v>
      </c>
      <c r="FD13" s="1">
        <v>77005.3</v>
      </c>
      <c r="FE13" s="1">
        <v>77044.3</v>
      </c>
      <c r="FF13" s="1">
        <v>77085.600000000006</v>
      </c>
      <c r="FG13" s="1">
        <v>77130</v>
      </c>
      <c r="FH13" s="1">
        <v>77173.100000000006</v>
      </c>
      <c r="FI13" s="1">
        <v>77219.199999999997</v>
      </c>
      <c r="FJ13" s="1">
        <v>77264.899999999994</v>
      </c>
      <c r="FK13" s="1">
        <v>77309.3</v>
      </c>
      <c r="FL13" s="1">
        <v>77354.2</v>
      </c>
      <c r="FM13" s="1">
        <v>77395</v>
      </c>
      <c r="FN13" s="1">
        <v>77436</v>
      </c>
      <c r="FO13" s="1">
        <v>77476.5</v>
      </c>
      <c r="FP13" s="1">
        <v>77518.899999999994</v>
      </c>
      <c r="FQ13" s="1">
        <v>77558.899999999994</v>
      </c>
      <c r="FR13" s="1">
        <v>77598.2</v>
      </c>
      <c r="FS13" s="1">
        <v>77637.100000000006</v>
      </c>
      <c r="FT13" s="1">
        <v>77676.399999999994</v>
      </c>
      <c r="FU13" s="1">
        <v>77716.899999999994</v>
      </c>
      <c r="FV13" s="1">
        <v>77758.7</v>
      </c>
      <c r="FW13" s="1">
        <v>77799.8</v>
      </c>
      <c r="FX13" s="1">
        <v>77838.899999999994</v>
      </c>
      <c r="FY13" s="1">
        <v>77877.3</v>
      </c>
      <c r="FZ13" s="1">
        <v>77915.899999999994</v>
      </c>
      <c r="GA13" s="1">
        <v>77957.600000000006</v>
      </c>
      <c r="GB13" s="1">
        <v>77997.3</v>
      </c>
      <c r="GC13" s="1">
        <v>78037.399999999994</v>
      </c>
      <c r="GD13" s="1">
        <v>78081.100000000006</v>
      </c>
      <c r="GE13" s="1">
        <v>78127.100000000006</v>
      </c>
      <c r="GF13" s="1">
        <v>78173.7</v>
      </c>
      <c r="GG13" s="1">
        <v>78220.399999999994</v>
      </c>
      <c r="GH13" s="1">
        <v>78266.100000000006</v>
      </c>
      <c r="GI13" s="1">
        <v>78315.199999999997</v>
      </c>
      <c r="GJ13" s="1">
        <v>78360.399999999994</v>
      </c>
      <c r="GK13" s="1">
        <v>78403.199999999997</v>
      </c>
      <c r="GL13" s="1">
        <v>78448.3</v>
      </c>
      <c r="GM13" s="1">
        <v>78494.600000000006</v>
      </c>
      <c r="GN13" s="1">
        <v>78537.399999999994</v>
      </c>
      <c r="GO13" s="1">
        <v>78578.100000000006</v>
      </c>
      <c r="GP13" s="1">
        <v>78618.399999999994</v>
      </c>
      <c r="GQ13" s="1">
        <v>78659</v>
      </c>
      <c r="GR13" s="1">
        <v>78701.600000000006</v>
      </c>
      <c r="GS13" s="1">
        <v>78742.2</v>
      </c>
      <c r="GT13" s="1">
        <v>78781.7</v>
      </c>
      <c r="GU13" s="1">
        <v>78820.899999999994</v>
      </c>
      <c r="GV13" s="1">
        <v>78860.399999999994</v>
      </c>
      <c r="GW13" s="1">
        <v>78901.899999999994</v>
      </c>
      <c r="GX13" s="1">
        <v>78941.5</v>
      </c>
      <c r="GY13" s="1">
        <v>78985.399999999994</v>
      </c>
      <c r="GZ13" s="1">
        <v>79032.899999999994</v>
      </c>
      <c r="HA13" s="1">
        <v>79080.899999999994</v>
      </c>
      <c r="HB13" s="1">
        <v>79131.8</v>
      </c>
      <c r="HC13" s="1">
        <v>79187</v>
      </c>
      <c r="HD13" s="1">
        <v>79248</v>
      </c>
      <c r="HE13" s="1">
        <v>79307.399999999994</v>
      </c>
      <c r="HF13" s="1">
        <v>79365.2</v>
      </c>
      <c r="HG13" s="1">
        <v>79420.5</v>
      </c>
      <c r="HH13" s="1">
        <v>79471.7</v>
      </c>
      <c r="HI13" s="1">
        <v>79521.399999999994</v>
      </c>
      <c r="HJ13" s="1">
        <v>79568.800000000003</v>
      </c>
      <c r="HK13" s="1">
        <v>79617.3</v>
      </c>
      <c r="HL13" s="1">
        <v>79660.600000000006</v>
      </c>
      <c r="HM13" s="1">
        <v>79704.100000000006</v>
      </c>
      <c r="HN13" s="1">
        <v>79747.3</v>
      </c>
      <c r="HO13" s="1">
        <v>79789.8</v>
      </c>
      <c r="HP13" s="1">
        <v>79835.199999999997</v>
      </c>
      <c r="HQ13" s="1">
        <v>79879.3</v>
      </c>
      <c r="HR13" s="1">
        <v>79920.7</v>
      </c>
      <c r="HS13" s="1">
        <v>79963.100000000006</v>
      </c>
      <c r="HT13" s="1">
        <v>80005.5</v>
      </c>
      <c r="HU13" s="1">
        <v>80045.7</v>
      </c>
      <c r="HV13" s="1">
        <v>80088.899999999994</v>
      </c>
      <c r="HW13" s="1">
        <v>80141.600000000006</v>
      </c>
      <c r="HX13" s="1">
        <v>80199.8</v>
      </c>
      <c r="HY13" s="1">
        <v>80267.899999999994</v>
      </c>
      <c r="HZ13" s="1">
        <v>80334.2</v>
      </c>
      <c r="IA13" s="1">
        <v>80395.899999999994</v>
      </c>
      <c r="IB13" s="1">
        <v>80465.399999999994</v>
      </c>
      <c r="IC13" s="1">
        <v>80536.5</v>
      </c>
      <c r="ID13" s="1">
        <v>80606.3</v>
      </c>
      <c r="IE13" s="1">
        <v>80673.3</v>
      </c>
      <c r="IF13" s="1">
        <v>80728.5</v>
      </c>
      <c r="IG13" s="1">
        <v>80777.600000000006</v>
      </c>
      <c r="IH13" s="1">
        <v>80824.600000000006</v>
      </c>
      <c r="II13" s="1">
        <v>80870.5</v>
      </c>
      <c r="IJ13" s="1">
        <v>80915.7</v>
      </c>
      <c r="IK13" s="1">
        <v>80958.399999999994</v>
      </c>
      <c r="IL13" s="1">
        <v>81000.2</v>
      </c>
      <c r="IM13" s="1">
        <v>81040.899999999994</v>
      </c>
      <c r="IN13" s="1">
        <v>81079</v>
      </c>
      <c r="IO13" s="1">
        <v>81117.100000000006</v>
      </c>
      <c r="IP13" s="1">
        <v>81155.199999999997</v>
      </c>
      <c r="IQ13" s="1">
        <v>81194.899999999994</v>
      </c>
      <c r="IR13" s="1">
        <v>81232.3</v>
      </c>
      <c r="IS13" s="1">
        <v>81268</v>
      </c>
      <c r="IT13" s="1">
        <v>81303.600000000006</v>
      </c>
      <c r="IU13" s="1">
        <v>81344.100000000006</v>
      </c>
      <c r="IV13" s="1">
        <v>81388.800000000003</v>
      </c>
      <c r="IW13" s="1">
        <v>81435.199999999997</v>
      </c>
      <c r="IX13" s="1">
        <v>81483.600000000006</v>
      </c>
      <c r="IY13" s="1">
        <v>81529</v>
      </c>
      <c r="IZ13" s="1">
        <v>81574.899999999994</v>
      </c>
      <c r="JA13" s="1">
        <v>81622.7</v>
      </c>
      <c r="JB13" s="1">
        <v>81668.899999999994</v>
      </c>
      <c r="JC13" s="1">
        <v>81714.5</v>
      </c>
      <c r="JD13" s="1">
        <v>81756.899999999994</v>
      </c>
      <c r="JE13" s="1">
        <v>81792.5</v>
      </c>
      <c r="JF13" s="1">
        <v>81827.600000000006</v>
      </c>
      <c r="JG13" s="1">
        <v>81862.7</v>
      </c>
      <c r="JH13" s="1">
        <v>81895.7</v>
      </c>
      <c r="JI13" s="1">
        <v>81928.2</v>
      </c>
      <c r="JJ13" s="1">
        <v>81961.100000000006</v>
      </c>
      <c r="JK13" s="1">
        <v>81993.2</v>
      </c>
      <c r="JL13" s="1">
        <v>82024.899999999994</v>
      </c>
      <c r="JM13" s="1">
        <v>82057.100000000006</v>
      </c>
      <c r="JN13" s="1">
        <v>82089</v>
      </c>
      <c r="JO13" s="1">
        <v>82120.899999999994</v>
      </c>
      <c r="JP13" s="1">
        <v>82152.7</v>
      </c>
      <c r="JQ13" s="1">
        <v>82183.899999999994</v>
      </c>
      <c r="JR13" s="1">
        <v>82215.399999999994</v>
      </c>
      <c r="JS13" s="1">
        <v>82251.5</v>
      </c>
      <c r="JT13" s="1">
        <v>82292.3</v>
      </c>
      <c r="JU13" s="1">
        <v>82333.899999999994</v>
      </c>
      <c r="JV13" s="1">
        <v>82377.8</v>
      </c>
      <c r="JW13" s="1">
        <v>82424</v>
      </c>
      <c r="JX13" s="1">
        <v>82477.100000000006</v>
      </c>
      <c r="JY13" s="1">
        <v>82528.5</v>
      </c>
      <c r="JZ13" s="1">
        <v>82582.2</v>
      </c>
      <c r="KA13" s="1">
        <v>82633.100000000006</v>
      </c>
      <c r="KB13" s="1">
        <v>82675.600000000006</v>
      </c>
      <c r="KC13" s="1">
        <v>82719</v>
      </c>
      <c r="KD13" s="1">
        <v>82756.600000000006</v>
      </c>
      <c r="KE13" s="1">
        <v>82794.899999999994</v>
      </c>
      <c r="KF13" s="1">
        <v>82834</v>
      </c>
      <c r="KG13" s="1">
        <v>82873.100000000006</v>
      </c>
      <c r="KH13" s="1">
        <v>82912.100000000006</v>
      </c>
      <c r="KI13" s="1">
        <v>82950.899999999994</v>
      </c>
      <c r="KJ13" s="1">
        <v>82988.600000000006</v>
      </c>
      <c r="KK13" s="1">
        <v>83026.100000000006</v>
      </c>
      <c r="KL13" s="1">
        <v>83063.5</v>
      </c>
      <c r="KM13" s="1">
        <v>83100.3</v>
      </c>
      <c r="KN13" s="1">
        <v>83136.899999999994</v>
      </c>
      <c r="KO13" s="1">
        <v>83173.100000000006</v>
      </c>
      <c r="KP13" s="1">
        <v>83210.100000000006</v>
      </c>
      <c r="KQ13" s="1">
        <v>83258.399999999994</v>
      </c>
      <c r="KR13" s="1">
        <v>83310.7</v>
      </c>
      <c r="KS13" s="1">
        <v>83364.899999999994</v>
      </c>
      <c r="KT13" s="1">
        <v>83419.199999999997</v>
      </c>
      <c r="KU13" s="1">
        <v>83469.899999999994</v>
      </c>
      <c r="KV13" s="1">
        <v>83519.5</v>
      </c>
      <c r="KW13" s="1">
        <v>83571.5</v>
      </c>
      <c r="KX13" s="1">
        <v>83617.899999999994</v>
      </c>
      <c r="KY13" s="1">
        <v>83662.8</v>
      </c>
      <c r="KZ13" s="1">
        <v>83708.600000000006</v>
      </c>
      <c r="LA13" s="1">
        <v>83747.899999999994</v>
      </c>
      <c r="LB13" s="1">
        <v>83785.2</v>
      </c>
      <c r="LC13" s="1">
        <v>83823</v>
      </c>
      <c r="LD13" s="1">
        <v>83861.5</v>
      </c>
      <c r="LE13" s="1">
        <v>83899.3</v>
      </c>
      <c r="LF13" s="1">
        <v>83937.2</v>
      </c>
      <c r="LG13" s="1">
        <v>83974.3</v>
      </c>
      <c r="LH13" s="1">
        <v>84010.2</v>
      </c>
      <c r="LI13" s="1">
        <v>84046.8</v>
      </c>
      <c r="LJ13" s="1">
        <v>84080.8</v>
      </c>
      <c r="LK13" s="1">
        <v>84113.7</v>
      </c>
      <c r="LL13" s="1">
        <v>84146.4</v>
      </c>
      <c r="LM13" s="1">
        <v>84179.1</v>
      </c>
      <c r="LN13" s="1">
        <v>84211.7</v>
      </c>
      <c r="LO13" s="1">
        <v>84245.3</v>
      </c>
      <c r="LP13" s="1">
        <v>84278</v>
      </c>
      <c r="LQ13" s="1">
        <v>84313.2</v>
      </c>
      <c r="LR13" s="1">
        <v>84348.800000000003</v>
      </c>
      <c r="LS13" s="1">
        <v>84385.4</v>
      </c>
      <c r="LT13" s="1">
        <v>84427.3</v>
      </c>
      <c r="LU13" s="1">
        <v>84466.5</v>
      </c>
      <c r="LV13" s="1">
        <v>84502.8</v>
      </c>
      <c r="LW13" s="1">
        <v>84539.4</v>
      </c>
      <c r="LX13" s="1">
        <v>84576.3</v>
      </c>
      <c r="LY13" s="1">
        <v>84613</v>
      </c>
      <c r="LZ13" s="1">
        <v>84649.3</v>
      </c>
      <c r="MA13" s="1">
        <v>84683.1</v>
      </c>
      <c r="MB13" s="1">
        <v>84716.9</v>
      </c>
      <c r="MC13" s="1">
        <v>84750.8</v>
      </c>
      <c r="MD13" s="1">
        <v>84784.9</v>
      </c>
      <c r="ME13" s="1">
        <v>84818.6</v>
      </c>
      <c r="MF13" s="1">
        <v>84854</v>
      </c>
      <c r="MG13" s="1">
        <v>84890</v>
      </c>
      <c r="MH13" s="1">
        <v>84926</v>
      </c>
      <c r="MI13" s="1">
        <v>84959.5</v>
      </c>
      <c r="MJ13" s="1">
        <v>84992.8</v>
      </c>
      <c r="MK13" s="1">
        <v>85025.1</v>
      </c>
      <c r="ML13" s="1">
        <v>85056.6</v>
      </c>
      <c r="MM13" s="1">
        <v>85089.4</v>
      </c>
      <c r="MN13" s="1">
        <v>85121.3</v>
      </c>
      <c r="MO13" s="1">
        <v>85154</v>
      </c>
      <c r="MP13" s="1">
        <v>85187.1</v>
      </c>
      <c r="MQ13" s="1">
        <v>85224.4</v>
      </c>
      <c r="MR13" s="1">
        <v>85260.2</v>
      </c>
      <c r="MS13" s="1">
        <v>85295.8</v>
      </c>
      <c r="MT13" s="1">
        <v>85332.800000000003</v>
      </c>
      <c r="MU13" s="1">
        <v>85369.7</v>
      </c>
      <c r="MV13" s="1">
        <v>85407.5</v>
      </c>
      <c r="MW13" s="1">
        <v>85442.1</v>
      </c>
      <c r="MX13" s="1">
        <v>85476.6</v>
      </c>
      <c r="MY13" s="1">
        <v>85510.3</v>
      </c>
      <c r="MZ13" s="1">
        <v>85543.9</v>
      </c>
      <c r="NA13" s="1">
        <v>85578</v>
      </c>
      <c r="NB13" s="1">
        <v>85611.8</v>
      </c>
      <c r="NC13" s="1">
        <v>85644</v>
      </c>
      <c r="ND13" s="1">
        <v>85676.9</v>
      </c>
      <c r="NE13" s="1">
        <v>85710.2</v>
      </c>
      <c r="NF13" s="1">
        <v>85742.8</v>
      </c>
      <c r="NG13" s="1">
        <v>85775.1</v>
      </c>
      <c r="NH13" s="1">
        <v>85807.8</v>
      </c>
      <c r="NI13" s="1">
        <v>85839.6</v>
      </c>
      <c r="NJ13" s="1">
        <v>85872.1</v>
      </c>
      <c r="NK13" s="1">
        <v>85908.5</v>
      </c>
      <c r="NL13" s="1">
        <v>85943.5</v>
      </c>
      <c r="NM13" s="1">
        <v>85980.9</v>
      </c>
      <c r="NN13" s="1">
        <v>86020.2</v>
      </c>
      <c r="NO13" s="1">
        <v>86062</v>
      </c>
      <c r="NP13" s="1">
        <v>86105.600000000006</v>
      </c>
      <c r="NQ13" s="1">
        <v>86146.5</v>
      </c>
      <c r="NR13" s="1">
        <v>86183.1</v>
      </c>
      <c r="NS13" s="1">
        <v>86221.5</v>
      </c>
      <c r="NT13" s="1">
        <v>86260</v>
      </c>
      <c r="NU13" s="1">
        <v>86294.399999999994</v>
      </c>
      <c r="NV13" s="1">
        <v>86328.1</v>
      </c>
      <c r="NW13" s="1">
        <v>86361.8</v>
      </c>
      <c r="NX13" s="1">
        <v>86395.3</v>
      </c>
      <c r="NY13" s="1">
        <v>86430.3</v>
      </c>
      <c r="NZ13" s="1">
        <v>86466.6</v>
      </c>
      <c r="OA13" s="1">
        <v>86500.3</v>
      </c>
      <c r="OB13" s="1">
        <v>86532.5</v>
      </c>
      <c r="OC13" s="1">
        <v>86565</v>
      </c>
      <c r="OD13" s="1">
        <v>86596.9</v>
      </c>
      <c r="OE13" s="1">
        <v>86629.3</v>
      </c>
      <c r="OF13" s="1">
        <v>86661.8</v>
      </c>
      <c r="OG13" s="1">
        <v>86693.6</v>
      </c>
      <c r="OH13" s="1">
        <v>86726</v>
      </c>
      <c r="OI13" s="1">
        <v>86765.2</v>
      </c>
      <c r="OJ13" s="1">
        <v>86811.3</v>
      </c>
      <c r="OK13" s="1">
        <v>86856.4</v>
      </c>
      <c r="OL13" s="1">
        <v>86902.1</v>
      </c>
      <c r="OM13" s="1">
        <v>86951.2</v>
      </c>
      <c r="ON13" s="1">
        <v>87007.8</v>
      </c>
      <c r="OO13" s="1">
        <v>87060.2</v>
      </c>
      <c r="OP13" s="1">
        <v>87111.9</v>
      </c>
      <c r="OQ13" s="1">
        <v>87159.8</v>
      </c>
      <c r="OR13" s="1">
        <v>87199.7</v>
      </c>
      <c r="OS13" s="1">
        <v>87235.5</v>
      </c>
      <c r="OT13" s="1">
        <v>87272</v>
      </c>
      <c r="OU13" s="1">
        <v>87309.2</v>
      </c>
      <c r="OV13" s="1">
        <v>87342.1</v>
      </c>
      <c r="OW13" s="1">
        <v>87373.9</v>
      </c>
      <c r="OX13" s="1">
        <v>87406.3</v>
      </c>
      <c r="OY13" s="1">
        <v>87438.9</v>
      </c>
      <c r="OZ13" s="1">
        <v>87470.3</v>
      </c>
      <c r="PA13" s="1">
        <v>87501.6</v>
      </c>
      <c r="PB13" s="1">
        <v>87533.6</v>
      </c>
      <c r="PC13" s="1">
        <v>87567.3</v>
      </c>
      <c r="PD13" s="1">
        <v>87601.5</v>
      </c>
      <c r="PE13" s="1">
        <v>87633.5</v>
      </c>
      <c r="PF13" s="1">
        <v>87664.8</v>
      </c>
      <c r="PG13" s="1">
        <v>87703.7</v>
      </c>
      <c r="PH13" s="1">
        <v>87745.9</v>
      </c>
      <c r="PI13" s="1">
        <v>87792.8</v>
      </c>
      <c r="PJ13" s="1">
        <v>87842.5</v>
      </c>
      <c r="PK13" s="1">
        <v>87891.5</v>
      </c>
      <c r="PL13" s="1">
        <v>87938.5</v>
      </c>
      <c r="PM13" s="1">
        <v>87989.6</v>
      </c>
      <c r="PN13" s="1">
        <v>88042.5</v>
      </c>
      <c r="PO13" s="1">
        <v>88085.8</v>
      </c>
      <c r="PP13" s="1">
        <v>88123.4</v>
      </c>
      <c r="PQ13" s="1">
        <v>88159.7</v>
      </c>
      <c r="PR13" s="1">
        <v>88195.3</v>
      </c>
      <c r="PS13" s="1">
        <v>88230.1</v>
      </c>
      <c r="PT13" s="1">
        <v>88264</v>
      </c>
      <c r="PU13" s="1">
        <v>88298.1</v>
      </c>
      <c r="PV13" s="1">
        <v>88330.2</v>
      </c>
      <c r="PW13" s="1">
        <v>88362.9</v>
      </c>
      <c r="PX13" s="1">
        <v>88394.4</v>
      </c>
      <c r="PY13" s="1">
        <v>88426.4</v>
      </c>
      <c r="PZ13" s="1">
        <v>88460.800000000003</v>
      </c>
      <c r="QA13" s="1">
        <v>88495.5</v>
      </c>
      <c r="QB13" s="1">
        <v>88528.1</v>
      </c>
      <c r="QC13" s="1">
        <v>88559.1</v>
      </c>
      <c r="QD13" s="1">
        <v>88590</v>
      </c>
      <c r="QE13" s="1">
        <v>88625.7</v>
      </c>
      <c r="QF13" s="1">
        <v>88660.9</v>
      </c>
      <c r="QG13" s="1">
        <v>88701.5</v>
      </c>
      <c r="QH13" s="1">
        <v>88742.399999999994</v>
      </c>
      <c r="QI13" s="1">
        <v>88782.5</v>
      </c>
      <c r="QJ13" s="1">
        <v>88823.2</v>
      </c>
      <c r="QK13" s="1">
        <v>88862.8</v>
      </c>
      <c r="QL13" s="1">
        <v>88900.4</v>
      </c>
      <c r="QM13" s="1">
        <v>88935.9</v>
      </c>
      <c r="QN13" s="1">
        <v>88969</v>
      </c>
      <c r="QO13" s="1">
        <v>89002.6</v>
      </c>
      <c r="QP13" s="1">
        <v>89035.3</v>
      </c>
      <c r="QQ13" s="1">
        <v>89068.5</v>
      </c>
      <c r="QR13" s="1">
        <v>89101.2</v>
      </c>
      <c r="QS13" s="1">
        <v>89133.8</v>
      </c>
      <c r="QT13" s="1">
        <v>89167</v>
      </c>
      <c r="QU13" s="1">
        <v>89199.8</v>
      </c>
      <c r="QV13" s="1">
        <v>89232.7</v>
      </c>
      <c r="QW13" s="1">
        <v>89263.5</v>
      </c>
      <c r="QX13" s="1">
        <v>89293.4</v>
      </c>
      <c r="QY13" s="1">
        <v>89323.7</v>
      </c>
      <c r="QZ13" s="1">
        <v>89353.3</v>
      </c>
      <c r="RA13" s="1">
        <v>89383.3</v>
      </c>
      <c r="RB13" s="1">
        <v>89413.4</v>
      </c>
      <c r="RC13" s="1">
        <v>89446.5</v>
      </c>
      <c r="RD13" s="1">
        <v>89485.2</v>
      </c>
      <c r="RE13" s="1">
        <v>89527.8</v>
      </c>
      <c r="RF13" s="1">
        <v>89566.5</v>
      </c>
      <c r="RG13" s="1">
        <v>89602.7</v>
      </c>
      <c r="RH13" s="1">
        <v>89630.7</v>
      </c>
      <c r="RI13" s="1">
        <v>89656.3</v>
      </c>
      <c r="RJ13" s="1">
        <v>89680.8</v>
      </c>
      <c r="RK13" s="1">
        <v>89697.600000000006</v>
      </c>
      <c r="RL13" s="1">
        <v>89710.2</v>
      </c>
      <c r="RM13" s="1">
        <v>89722.3</v>
      </c>
      <c r="RN13" s="1">
        <v>89733.7</v>
      </c>
      <c r="RO13" s="1">
        <v>89742.7</v>
      </c>
      <c r="RP13" s="1">
        <v>89753.7</v>
      </c>
      <c r="RQ13" s="1">
        <v>89763.3</v>
      </c>
      <c r="RR13" s="1">
        <v>89771.3</v>
      </c>
      <c r="RS13" s="1">
        <v>89778.9</v>
      </c>
      <c r="RT13" s="1">
        <v>89786.8</v>
      </c>
      <c r="RU13" s="1">
        <v>89794.7</v>
      </c>
      <c r="RV13" s="1">
        <v>89802.6</v>
      </c>
      <c r="RW13" s="1">
        <v>89810</v>
      </c>
      <c r="RX13" s="1">
        <v>89817.5</v>
      </c>
      <c r="RY13" s="1">
        <v>89825</v>
      </c>
      <c r="RZ13" s="1">
        <v>89832.3</v>
      </c>
      <c r="SA13" s="1">
        <v>89839.4</v>
      </c>
      <c r="SB13" s="1">
        <v>89846.7</v>
      </c>
      <c r="SC13" s="1">
        <v>89854.7</v>
      </c>
      <c r="SD13" s="1">
        <v>89863.7</v>
      </c>
      <c r="SE13" s="1">
        <v>89870.5</v>
      </c>
      <c r="SF13" s="1">
        <v>89877.4</v>
      </c>
      <c r="SG13" s="1">
        <v>89884.4</v>
      </c>
      <c r="SH13" s="1">
        <v>89892.1</v>
      </c>
      <c r="SI13" s="1">
        <v>89899.8</v>
      </c>
      <c r="SJ13" s="1">
        <v>89907.199999999997</v>
      </c>
      <c r="SK13" s="1">
        <v>89914.7</v>
      </c>
      <c r="SL13" s="1">
        <v>89922.5</v>
      </c>
      <c r="SM13" s="1">
        <v>89929.9</v>
      </c>
      <c r="SN13" s="1">
        <v>89937.600000000006</v>
      </c>
      <c r="SO13" s="1">
        <v>89945.600000000006</v>
      </c>
      <c r="SP13" s="1">
        <v>89953.3</v>
      </c>
      <c r="SQ13" s="1">
        <v>89960.7</v>
      </c>
      <c r="SR13" s="1">
        <v>89968.5</v>
      </c>
      <c r="SS13" s="1">
        <v>89976.2</v>
      </c>
      <c r="ST13" s="1">
        <v>89983.9</v>
      </c>
      <c r="SU13" s="1">
        <v>89991.3</v>
      </c>
      <c r="SV13" s="1">
        <v>89999.3</v>
      </c>
      <c r="SW13" s="1">
        <v>90007.5</v>
      </c>
      <c r="SX13" s="1">
        <v>90015.2</v>
      </c>
      <c r="SY13" s="1">
        <v>90022.8</v>
      </c>
    </row>
    <row r="14" spans="1:750">
      <c r="A14" s="1">
        <v>13</v>
      </c>
      <c r="B14" s="1" t="s">
        <v>2</v>
      </c>
      <c r="C14" s="1" t="s">
        <v>3</v>
      </c>
      <c r="D14" s="1" t="s">
        <v>17</v>
      </c>
      <c r="E14" s="1" t="s">
        <v>5</v>
      </c>
      <c r="F14" s="1">
        <v>88175.5</v>
      </c>
      <c r="G14" s="1">
        <v>88231.2</v>
      </c>
      <c r="H14" s="1">
        <v>88286.5</v>
      </c>
      <c r="I14" s="1">
        <v>88341.5</v>
      </c>
      <c r="J14" s="1">
        <v>88396.7</v>
      </c>
      <c r="K14" s="1">
        <v>88451.8</v>
      </c>
      <c r="L14" s="1">
        <v>88506.8</v>
      </c>
      <c r="M14" s="1">
        <v>88560.9</v>
      </c>
      <c r="N14" s="1">
        <v>88612.5</v>
      </c>
      <c r="O14" s="1">
        <v>88661.7</v>
      </c>
      <c r="P14" s="1">
        <v>88707.4</v>
      </c>
      <c r="Q14" s="1">
        <v>88750.1</v>
      </c>
      <c r="R14" s="1">
        <v>88791.5</v>
      </c>
      <c r="S14" s="1">
        <v>88831.5</v>
      </c>
      <c r="T14" s="1">
        <v>88872.1</v>
      </c>
      <c r="U14" s="1">
        <v>88919</v>
      </c>
      <c r="V14" s="1">
        <v>88967.4</v>
      </c>
      <c r="W14" s="1">
        <v>89016.7</v>
      </c>
      <c r="X14" s="1">
        <v>89070.7</v>
      </c>
      <c r="Y14" s="1">
        <v>89125.2</v>
      </c>
      <c r="Z14" s="1">
        <v>89180</v>
      </c>
      <c r="AA14" s="1">
        <v>89234.7</v>
      </c>
      <c r="AB14" s="1">
        <v>89290</v>
      </c>
      <c r="AC14" s="1">
        <v>89345</v>
      </c>
      <c r="AD14" s="1">
        <v>89399.3</v>
      </c>
      <c r="AE14" s="1">
        <v>89454.399999999994</v>
      </c>
      <c r="AF14" s="1">
        <v>89508.9</v>
      </c>
      <c r="AG14" s="1">
        <v>89563.5</v>
      </c>
      <c r="AH14" s="1">
        <v>89618.4</v>
      </c>
      <c r="AI14" s="1">
        <v>89673.2</v>
      </c>
      <c r="AJ14" s="1">
        <v>89727.7</v>
      </c>
      <c r="AK14" s="1">
        <v>89782.2</v>
      </c>
      <c r="AL14" s="1">
        <v>89833.600000000006</v>
      </c>
      <c r="AM14" s="1">
        <v>89883.8</v>
      </c>
      <c r="AN14" s="1">
        <v>89935.4</v>
      </c>
      <c r="AO14" s="1">
        <v>89985.600000000006</v>
      </c>
      <c r="AP14" s="1">
        <v>90036.2</v>
      </c>
      <c r="AQ14" s="1">
        <v>90085.9</v>
      </c>
      <c r="AR14" s="1">
        <v>90130.6</v>
      </c>
      <c r="AS14" s="1">
        <v>90179.5</v>
      </c>
      <c r="AT14" s="1">
        <v>90229.8</v>
      </c>
      <c r="AU14" s="1">
        <v>90281.9</v>
      </c>
      <c r="AV14" s="1">
        <v>90337.5</v>
      </c>
      <c r="AW14" s="1">
        <v>90394.1</v>
      </c>
      <c r="AX14" s="1">
        <v>90451.1</v>
      </c>
      <c r="AY14" s="1">
        <v>90507.5</v>
      </c>
      <c r="AZ14" s="1">
        <v>90563.9</v>
      </c>
      <c r="BA14" s="1">
        <v>90619.9</v>
      </c>
      <c r="BB14" s="1">
        <v>90675.1</v>
      </c>
      <c r="BC14" s="1">
        <v>90730.5</v>
      </c>
      <c r="BD14" s="1">
        <v>90785.8</v>
      </c>
      <c r="BE14" s="1">
        <v>90840.9</v>
      </c>
      <c r="BF14" s="1">
        <v>90897.2</v>
      </c>
      <c r="BG14" s="1">
        <v>90953.4</v>
      </c>
      <c r="BH14" s="1">
        <v>91008.4</v>
      </c>
      <c r="BI14" s="1">
        <v>91062.2</v>
      </c>
      <c r="BJ14" s="1">
        <v>91112</v>
      </c>
      <c r="BK14" s="1">
        <v>91161.600000000006</v>
      </c>
      <c r="BL14" s="1">
        <v>91211.1</v>
      </c>
      <c r="BM14" s="1">
        <v>91261.8</v>
      </c>
      <c r="BN14" s="1">
        <v>91311.7</v>
      </c>
      <c r="BO14" s="1">
        <v>91359.3</v>
      </c>
      <c r="BP14" s="1">
        <v>91412</v>
      </c>
      <c r="BQ14" s="1">
        <v>91461.5</v>
      </c>
      <c r="BR14" s="1">
        <v>91514.3</v>
      </c>
      <c r="BS14" s="1">
        <v>91568.7</v>
      </c>
      <c r="BT14" s="1">
        <v>91625.1</v>
      </c>
      <c r="BU14" s="1">
        <v>91679.9</v>
      </c>
      <c r="BV14" s="1">
        <v>91736.2</v>
      </c>
      <c r="BW14" s="1">
        <v>91789.9</v>
      </c>
      <c r="BX14" s="1">
        <v>91847.3</v>
      </c>
      <c r="BY14" s="1">
        <v>91900.9</v>
      </c>
      <c r="BZ14" s="1">
        <v>91954.5</v>
      </c>
      <c r="CA14" s="1">
        <v>92008.5</v>
      </c>
      <c r="CB14" s="1">
        <v>92062.2</v>
      </c>
      <c r="CC14" s="1">
        <v>92115.6</v>
      </c>
      <c r="CD14" s="1">
        <v>92168.9</v>
      </c>
      <c r="CE14" s="1">
        <v>92225.600000000006</v>
      </c>
      <c r="CF14" s="1">
        <v>92279.1</v>
      </c>
      <c r="CG14" s="1">
        <v>92332</v>
      </c>
      <c r="CH14" s="1">
        <v>92383.1</v>
      </c>
      <c r="CI14" s="1">
        <v>92432.5</v>
      </c>
      <c r="CJ14" s="1">
        <v>92479.8</v>
      </c>
      <c r="CK14" s="1">
        <v>92525.7</v>
      </c>
      <c r="CL14" s="1">
        <v>92570.2</v>
      </c>
      <c r="CM14" s="1">
        <v>92613.4</v>
      </c>
      <c r="CN14" s="1">
        <v>92659.3</v>
      </c>
      <c r="CO14" s="1">
        <v>92708.800000000003</v>
      </c>
      <c r="CP14" s="1">
        <v>92758.6</v>
      </c>
      <c r="CQ14" s="1">
        <v>92812</v>
      </c>
      <c r="CR14" s="1">
        <v>92869.1</v>
      </c>
      <c r="CS14" s="1">
        <v>92925.5</v>
      </c>
      <c r="CT14" s="1">
        <v>92981.8</v>
      </c>
      <c r="CU14" s="1">
        <v>93037.7</v>
      </c>
      <c r="CV14" s="1">
        <v>93092.9</v>
      </c>
      <c r="CW14" s="1">
        <v>93148.9</v>
      </c>
      <c r="CX14" s="1">
        <v>93204.3</v>
      </c>
      <c r="CY14" s="1">
        <v>93259.7</v>
      </c>
      <c r="CZ14" s="1">
        <v>93314.4</v>
      </c>
      <c r="DA14" s="1">
        <v>93368.8</v>
      </c>
      <c r="DB14" s="1">
        <v>93423.4</v>
      </c>
      <c r="DC14" s="1">
        <v>93478.399999999994</v>
      </c>
      <c r="DD14" s="1">
        <v>93533.2</v>
      </c>
      <c r="DE14" s="1">
        <v>93587.6</v>
      </c>
      <c r="DF14" s="1">
        <v>93639.7</v>
      </c>
      <c r="DG14" s="1">
        <v>93691.1</v>
      </c>
      <c r="DH14" s="1">
        <v>93742.7</v>
      </c>
      <c r="DI14" s="1">
        <v>93793.2</v>
      </c>
      <c r="DJ14" s="1">
        <v>93841.9</v>
      </c>
      <c r="DK14" s="1">
        <v>93893</v>
      </c>
      <c r="DL14" s="1">
        <v>93945.4</v>
      </c>
      <c r="DM14" s="1">
        <v>94000.7</v>
      </c>
      <c r="DN14" s="1">
        <v>94055.9</v>
      </c>
      <c r="DO14" s="1">
        <v>94111.3</v>
      </c>
      <c r="DP14" s="1">
        <v>94167.1</v>
      </c>
      <c r="DQ14" s="1">
        <v>94224.2</v>
      </c>
      <c r="DR14" s="1">
        <v>94278.8</v>
      </c>
      <c r="DS14" s="1">
        <v>94332.6</v>
      </c>
      <c r="DT14" s="1">
        <v>94387.6</v>
      </c>
      <c r="DU14" s="1">
        <v>94441.9</v>
      </c>
      <c r="DV14" s="1">
        <v>94495.5</v>
      </c>
      <c r="DW14" s="1">
        <v>94549</v>
      </c>
      <c r="DX14" s="1">
        <v>94602.7</v>
      </c>
      <c r="DY14" s="1">
        <v>94656.2</v>
      </c>
      <c r="DZ14" s="1">
        <v>94710.3</v>
      </c>
      <c r="EA14" s="1">
        <v>94764.5</v>
      </c>
      <c r="EB14" s="1">
        <v>94818.2</v>
      </c>
      <c r="EC14" s="1">
        <v>94871.7</v>
      </c>
      <c r="ED14" s="1">
        <v>94923.199999999997</v>
      </c>
      <c r="EE14" s="1">
        <v>94972.7</v>
      </c>
      <c r="EF14" s="1">
        <v>95022.5</v>
      </c>
      <c r="EG14" s="1">
        <v>95075.1</v>
      </c>
      <c r="EH14" s="1">
        <v>95122.3</v>
      </c>
      <c r="EI14" s="1">
        <v>95169.9</v>
      </c>
      <c r="EJ14" s="1">
        <v>95223</v>
      </c>
      <c r="EK14" s="1">
        <v>95269.6</v>
      </c>
      <c r="EL14" s="1">
        <v>95316.9</v>
      </c>
      <c r="EM14" s="1">
        <v>95368.6</v>
      </c>
      <c r="EN14" s="1">
        <v>95420.800000000003</v>
      </c>
      <c r="EO14" s="1">
        <v>95476.5</v>
      </c>
      <c r="EP14" s="1">
        <v>95532.2</v>
      </c>
      <c r="EQ14" s="1">
        <v>95586</v>
      </c>
      <c r="ER14" s="1">
        <v>95640.5</v>
      </c>
      <c r="ES14" s="1">
        <v>95696</v>
      </c>
      <c r="ET14" s="1">
        <v>95749.3</v>
      </c>
      <c r="EU14" s="1">
        <v>95804.1</v>
      </c>
      <c r="EV14" s="1">
        <v>95858.5</v>
      </c>
      <c r="EW14" s="1">
        <v>95912.5</v>
      </c>
      <c r="EX14" s="1">
        <v>95966.6</v>
      </c>
      <c r="EY14" s="1">
        <v>96020.9</v>
      </c>
      <c r="EZ14" s="1">
        <v>96075.1</v>
      </c>
      <c r="FA14" s="1">
        <v>96128.8</v>
      </c>
      <c r="FB14" s="1">
        <v>96179.5</v>
      </c>
      <c r="FC14" s="1">
        <v>96226.4</v>
      </c>
      <c r="FD14" s="1">
        <v>96272.5</v>
      </c>
      <c r="FE14" s="1">
        <v>96318.9</v>
      </c>
      <c r="FF14" s="1">
        <v>96364.800000000003</v>
      </c>
      <c r="FG14" s="1">
        <v>96411.4</v>
      </c>
      <c r="FH14" s="1">
        <v>96458.1</v>
      </c>
      <c r="FI14" s="1">
        <v>96505</v>
      </c>
      <c r="FJ14" s="1">
        <v>96551.6</v>
      </c>
      <c r="FK14" s="1">
        <v>96600.6</v>
      </c>
      <c r="FL14" s="1">
        <v>96654.5</v>
      </c>
      <c r="FM14" s="1">
        <v>96709.5</v>
      </c>
      <c r="FN14" s="1">
        <v>96765.9</v>
      </c>
      <c r="FO14" s="1">
        <v>96822</v>
      </c>
      <c r="FP14" s="1">
        <v>96876.7</v>
      </c>
      <c r="FQ14" s="1">
        <v>96931.5</v>
      </c>
      <c r="FR14" s="1">
        <v>96986.9</v>
      </c>
      <c r="FS14" s="1">
        <v>97041.9</v>
      </c>
      <c r="FT14" s="1">
        <v>97096.7</v>
      </c>
      <c r="FU14" s="1">
        <v>97151.7</v>
      </c>
      <c r="FV14" s="1">
        <v>97207.2</v>
      </c>
      <c r="FW14" s="1">
        <v>97261.1</v>
      </c>
      <c r="FX14" s="1">
        <v>97314.9</v>
      </c>
      <c r="FY14" s="1">
        <v>97368.8</v>
      </c>
      <c r="FZ14" s="1">
        <v>97419.7</v>
      </c>
      <c r="GA14" s="1">
        <v>97468.4</v>
      </c>
      <c r="GB14" s="1">
        <v>97513.3</v>
      </c>
      <c r="GC14" s="1">
        <v>97557.5</v>
      </c>
      <c r="GD14" s="1">
        <v>97597.3</v>
      </c>
      <c r="GE14" s="1">
        <v>97639.9</v>
      </c>
      <c r="GF14" s="1">
        <v>97685.6</v>
      </c>
      <c r="GG14" s="1">
        <v>97736.1</v>
      </c>
      <c r="GH14" s="1">
        <v>97787.199999999997</v>
      </c>
      <c r="GI14" s="1">
        <v>97839.2</v>
      </c>
      <c r="GJ14" s="1">
        <v>97893.4</v>
      </c>
      <c r="GK14" s="1">
        <v>97947.6</v>
      </c>
      <c r="GL14" s="1">
        <v>98002.5</v>
      </c>
      <c r="GM14" s="1">
        <v>98056.5</v>
      </c>
      <c r="GN14" s="1">
        <v>98110.9</v>
      </c>
      <c r="GO14" s="1">
        <v>98164.9</v>
      </c>
      <c r="GP14" s="1">
        <v>98219.199999999997</v>
      </c>
      <c r="GQ14" s="1">
        <v>98273.7</v>
      </c>
      <c r="GR14" s="1">
        <v>98328.4</v>
      </c>
      <c r="GS14" s="1">
        <v>98382.9</v>
      </c>
      <c r="GT14" s="1">
        <v>98437.6</v>
      </c>
      <c r="GU14" s="1">
        <v>98493.6</v>
      </c>
      <c r="GV14" s="1">
        <v>98548.3</v>
      </c>
      <c r="GW14" s="1">
        <v>98601.8</v>
      </c>
      <c r="GX14" s="1">
        <v>98655.7</v>
      </c>
      <c r="GY14" s="1">
        <v>98709.6</v>
      </c>
      <c r="GZ14" s="1">
        <v>98763.5</v>
      </c>
      <c r="HA14" s="1">
        <v>98819.4</v>
      </c>
      <c r="HB14" s="1">
        <v>98867.6</v>
      </c>
      <c r="HC14" s="1">
        <v>98914.9</v>
      </c>
      <c r="HD14" s="1">
        <v>98959.1</v>
      </c>
      <c r="HE14" s="1">
        <v>99012.7</v>
      </c>
      <c r="HF14" s="1">
        <v>99063.2</v>
      </c>
      <c r="HG14" s="1">
        <v>99118.1</v>
      </c>
      <c r="HH14" s="1">
        <v>99174.1</v>
      </c>
      <c r="HI14" s="1">
        <v>99232.1</v>
      </c>
      <c r="HJ14" s="1">
        <v>99290.4</v>
      </c>
      <c r="HK14" s="1">
        <v>99346.4</v>
      </c>
      <c r="HL14" s="1">
        <v>99401.5</v>
      </c>
      <c r="HM14" s="1">
        <v>99456.9</v>
      </c>
      <c r="HN14" s="1">
        <v>99512</v>
      </c>
      <c r="HO14" s="1">
        <v>99567</v>
      </c>
      <c r="HP14" s="1">
        <v>99622</v>
      </c>
      <c r="HQ14" s="1">
        <v>99676.7</v>
      </c>
      <c r="HR14" s="1">
        <v>99732</v>
      </c>
      <c r="HS14" s="1">
        <v>99787.4</v>
      </c>
      <c r="HT14" s="1">
        <v>99842.7</v>
      </c>
      <c r="HU14" s="1">
        <v>99897.4</v>
      </c>
      <c r="HV14" s="1">
        <v>99949.2</v>
      </c>
      <c r="HW14" s="1">
        <v>0.9</v>
      </c>
      <c r="HX14" s="1">
        <v>50.7</v>
      </c>
      <c r="HY14" s="1">
        <v>100.6</v>
      </c>
      <c r="HZ14" s="1">
        <v>151.80000000000001</v>
      </c>
      <c r="IA14" s="1">
        <v>201.8</v>
      </c>
      <c r="IB14" s="1">
        <v>250.7</v>
      </c>
      <c r="IC14" s="1">
        <v>300.60000000000002</v>
      </c>
      <c r="ID14" s="1">
        <v>356.5</v>
      </c>
      <c r="IE14" s="1">
        <v>412.4</v>
      </c>
      <c r="IF14" s="1">
        <v>468.9</v>
      </c>
      <c r="IG14" s="1">
        <v>525.6</v>
      </c>
      <c r="IH14" s="1">
        <v>581</v>
      </c>
      <c r="II14" s="1">
        <v>636.5</v>
      </c>
      <c r="IJ14" s="1">
        <v>692.2</v>
      </c>
      <c r="IK14" s="1">
        <v>746.6</v>
      </c>
      <c r="IL14" s="1">
        <v>799.6</v>
      </c>
      <c r="IM14" s="1">
        <v>853.6</v>
      </c>
      <c r="IN14" s="1">
        <v>907.7</v>
      </c>
      <c r="IO14" s="1">
        <v>961.7</v>
      </c>
      <c r="IP14" s="1">
        <v>1016</v>
      </c>
      <c r="IQ14" s="1">
        <v>1069.4000000000001</v>
      </c>
      <c r="IR14" s="1">
        <v>1123.8</v>
      </c>
      <c r="IS14" s="1">
        <v>1178</v>
      </c>
      <c r="IT14" s="1">
        <v>1231</v>
      </c>
      <c r="IU14" s="1">
        <v>1285.5</v>
      </c>
      <c r="IV14" s="1">
        <v>1339.7</v>
      </c>
      <c r="IW14" s="1">
        <v>1397.6</v>
      </c>
      <c r="IX14" s="1">
        <v>1449.5</v>
      </c>
      <c r="IY14" s="1">
        <v>1499.4</v>
      </c>
      <c r="IZ14" s="1">
        <v>1545.9</v>
      </c>
      <c r="JA14" s="1">
        <v>1592.3</v>
      </c>
      <c r="JB14" s="1">
        <v>1642</v>
      </c>
      <c r="JC14" s="1">
        <v>1695</v>
      </c>
      <c r="JD14" s="1">
        <v>1750.6</v>
      </c>
      <c r="JE14" s="1">
        <v>1805.5</v>
      </c>
      <c r="JF14" s="1">
        <v>1858.4</v>
      </c>
      <c r="JG14" s="1">
        <v>1912.5</v>
      </c>
      <c r="JH14" s="1">
        <v>1966</v>
      </c>
      <c r="JI14" s="1">
        <v>2019.8</v>
      </c>
      <c r="JJ14" s="1">
        <v>2072.1</v>
      </c>
      <c r="JK14" s="1">
        <v>2125.5</v>
      </c>
      <c r="JL14" s="1">
        <v>2179.1999999999998</v>
      </c>
      <c r="JM14" s="1">
        <v>2232.5</v>
      </c>
      <c r="JN14" s="1">
        <v>2284.4</v>
      </c>
      <c r="JO14" s="1">
        <v>2338</v>
      </c>
      <c r="JP14" s="1">
        <v>2391.1999999999998</v>
      </c>
      <c r="JQ14" s="1">
        <v>2444.6</v>
      </c>
      <c r="JR14" s="1">
        <v>2495.6</v>
      </c>
      <c r="JS14" s="1">
        <v>2544.8000000000002</v>
      </c>
      <c r="JT14" s="1">
        <v>2590.3000000000002</v>
      </c>
      <c r="JU14" s="1">
        <v>2642.9</v>
      </c>
      <c r="JV14" s="1">
        <v>2687.9</v>
      </c>
      <c r="JW14" s="1">
        <v>2733.5</v>
      </c>
      <c r="JX14" s="1">
        <v>2775.9</v>
      </c>
      <c r="JY14" s="1">
        <v>2821</v>
      </c>
      <c r="JZ14" s="1">
        <v>2870.1</v>
      </c>
      <c r="KA14" s="1">
        <v>2925.7</v>
      </c>
      <c r="KB14" s="1">
        <v>2982.1</v>
      </c>
      <c r="KC14" s="1">
        <v>3037.5</v>
      </c>
      <c r="KD14" s="1">
        <v>3092.8</v>
      </c>
      <c r="KE14" s="1">
        <v>3146.9</v>
      </c>
      <c r="KF14" s="1">
        <v>3200.8</v>
      </c>
      <c r="KG14" s="1">
        <v>3254.7</v>
      </c>
      <c r="KH14" s="1">
        <v>3309.1</v>
      </c>
      <c r="KI14" s="1">
        <v>3363.5</v>
      </c>
      <c r="KJ14" s="1">
        <v>3417.8</v>
      </c>
      <c r="KK14" s="1">
        <v>3471.7</v>
      </c>
      <c r="KL14" s="1">
        <v>3526.5</v>
      </c>
      <c r="KM14" s="1">
        <v>3580.9</v>
      </c>
      <c r="KN14" s="1">
        <v>3635.2</v>
      </c>
      <c r="KO14" s="1">
        <v>3688.9</v>
      </c>
      <c r="KP14" s="1">
        <v>3739.7</v>
      </c>
      <c r="KQ14" s="1">
        <v>3790.1</v>
      </c>
      <c r="KR14" s="1">
        <v>3838.4</v>
      </c>
      <c r="KS14" s="1">
        <v>3886.3</v>
      </c>
      <c r="KT14" s="1">
        <v>3932.2</v>
      </c>
      <c r="KU14" s="1">
        <v>3979.4</v>
      </c>
      <c r="KV14" s="1">
        <v>4029.3</v>
      </c>
      <c r="KW14" s="1">
        <v>4082.1</v>
      </c>
      <c r="KX14" s="1">
        <v>4133.3999999999996</v>
      </c>
      <c r="KY14" s="1">
        <v>4187.5</v>
      </c>
      <c r="KZ14" s="1">
        <v>4242.8</v>
      </c>
      <c r="LA14" s="1">
        <v>4296.5</v>
      </c>
      <c r="LB14" s="1">
        <v>4350.8999999999996</v>
      </c>
      <c r="LC14" s="1">
        <v>4405.6000000000004</v>
      </c>
      <c r="LD14" s="1">
        <v>4461</v>
      </c>
      <c r="LE14" s="1">
        <v>4513.7</v>
      </c>
      <c r="LF14" s="1">
        <v>4568.3</v>
      </c>
      <c r="LG14" s="1">
        <v>4623</v>
      </c>
      <c r="LH14" s="1">
        <v>4677.6000000000004</v>
      </c>
      <c r="LI14" s="1">
        <v>4730.1000000000004</v>
      </c>
      <c r="LJ14" s="1">
        <v>4784.5</v>
      </c>
      <c r="LK14" s="1">
        <v>4839.3999999999996</v>
      </c>
      <c r="LL14" s="1">
        <v>4894.1000000000004</v>
      </c>
      <c r="LM14" s="1">
        <v>4948</v>
      </c>
      <c r="LN14" s="1">
        <v>4999.6000000000004</v>
      </c>
      <c r="LO14" s="1">
        <v>5049</v>
      </c>
      <c r="LP14" s="1">
        <v>5097.7</v>
      </c>
      <c r="LQ14" s="1">
        <v>5148.8999999999996</v>
      </c>
      <c r="LR14" s="1">
        <v>5201.2</v>
      </c>
      <c r="LS14" s="1">
        <v>5247.4</v>
      </c>
      <c r="LT14" s="1">
        <v>5294</v>
      </c>
      <c r="LU14" s="1">
        <v>5346.4</v>
      </c>
      <c r="LV14" s="1">
        <v>5399.1</v>
      </c>
      <c r="LW14" s="1">
        <v>5454.2</v>
      </c>
      <c r="LX14" s="1">
        <v>5509.1</v>
      </c>
      <c r="LY14" s="1">
        <v>5564.5</v>
      </c>
      <c r="LZ14" s="1">
        <v>5618.2</v>
      </c>
      <c r="MA14" s="1">
        <v>5672.4</v>
      </c>
      <c r="MB14" s="1">
        <v>5727.5</v>
      </c>
      <c r="MC14" s="1">
        <v>5781.6</v>
      </c>
      <c r="MD14" s="1">
        <v>5836.6</v>
      </c>
      <c r="ME14" s="1">
        <v>5891.4</v>
      </c>
      <c r="MF14" s="1">
        <v>5944.7</v>
      </c>
      <c r="MG14" s="1">
        <v>5998.5</v>
      </c>
      <c r="MH14" s="1">
        <v>6052.7</v>
      </c>
      <c r="MI14" s="1">
        <v>6107</v>
      </c>
      <c r="MJ14" s="1">
        <v>6161.3</v>
      </c>
      <c r="MK14" s="1">
        <v>6214.9</v>
      </c>
      <c r="ML14" s="1">
        <v>6268</v>
      </c>
      <c r="MM14" s="1">
        <v>6320.2</v>
      </c>
      <c r="MN14" s="1">
        <v>6371.7</v>
      </c>
      <c r="MO14" s="1">
        <v>6421.2</v>
      </c>
      <c r="MP14" s="1">
        <v>6468.1</v>
      </c>
      <c r="MQ14" s="1">
        <v>6510.5</v>
      </c>
      <c r="MR14" s="1">
        <v>6552.1</v>
      </c>
      <c r="MS14" s="1">
        <v>6595.6</v>
      </c>
      <c r="MT14" s="1">
        <v>6645</v>
      </c>
      <c r="MU14" s="1">
        <v>6696.9</v>
      </c>
      <c r="MV14" s="1">
        <v>6749.8</v>
      </c>
      <c r="MW14" s="1">
        <v>6804.1</v>
      </c>
      <c r="MX14" s="1">
        <v>6858.6</v>
      </c>
      <c r="MY14" s="1">
        <v>6912.4</v>
      </c>
      <c r="MZ14" s="1">
        <v>6966.2</v>
      </c>
      <c r="NA14" s="1">
        <v>7020.2</v>
      </c>
      <c r="NB14" s="1">
        <v>7073.4</v>
      </c>
      <c r="NC14" s="1">
        <v>7127.4</v>
      </c>
      <c r="ND14" s="1">
        <v>7181.5</v>
      </c>
      <c r="NE14" s="1">
        <v>7235.2</v>
      </c>
      <c r="NF14" s="1">
        <v>7288.9</v>
      </c>
      <c r="NG14" s="1">
        <v>7343.3</v>
      </c>
      <c r="NH14" s="1">
        <v>7396.8</v>
      </c>
      <c r="NI14" s="1">
        <v>7450.1</v>
      </c>
      <c r="NJ14" s="1">
        <v>7501.1</v>
      </c>
      <c r="NK14" s="1">
        <v>7551.1</v>
      </c>
      <c r="NL14" s="1">
        <v>7600.2</v>
      </c>
      <c r="NM14" s="1">
        <v>7645.4</v>
      </c>
      <c r="NN14" s="1">
        <v>7691.6</v>
      </c>
      <c r="NO14" s="1">
        <v>7738.1</v>
      </c>
      <c r="NP14" s="1">
        <v>7785.6</v>
      </c>
      <c r="NQ14" s="1">
        <v>7834.4</v>
      </c>
      <c r="NR14" s="1">
        <v>7887.6</v>
      </c>
      <c r="NS14" s="1">
        <v>7940.2</v>
      </c>
      <c r="NT14" s="1">
        <v>7992.3</v>
      </c>
      <c r="NU14" s="1">
        <v>8045</v>
      </c>
      <c r="NV14" s="1">
        <v>8100.2</v>
      </c>
      <c r="NW14" s="1">
        <v>8155</v>
      </c>
      <c r="NX14" s="1">
        <v>8209.1</v>
      </c>
      <c r="NY14" s="1">
        <v>8262.4</v>
      </c>
      <c r="NZ14" s="1">
        <v>8315.2000000000007</v>
      </c>
      <c r="OA14" s="1">
        <v>8369.2000000000007</v>
      </c>
      <c r="OB14" s="1">
        <v>8423.2999999999993</v>
      </c>
      <c r="OC14" s="1">
        <v>8476.4</v>
      </c>
      <c r="OD14" s="1">
        <v>8530.1</v>
      </c>
      <c r="OE14" s="1">
        <v>8583.5</v>
      </c>
      <c r="OF14" s="1">
        <v>8637.6</v>
      </c>
      <c r="OG14" s="1">
        <v>8690.9</v>
      </c>
      <c r="OH14" s="1">
        <v>8740.2999999999993</v>
      </c>
      <c r="OI14" s="1">
        <v>8790.2000000000007</v>
      </c>
      <c r="OJ14" s="1">
        <v>8837.5</v>
      </c>
      <c r="OK14" s="1">
        <v>8886.7999999999993</v>
      </c>
      <c r="OL14" s="1">
        <v>8934</v>
      </c>
      <c r="OM14" s="1">
        <v>8978.2999999999993</v>
      </c>
      <c r="ON14" s="1">
        <v>9026.6</v>
      </c>
      <c r="OO14" s="1">
        <v>9076.9</v>
      </c>
      <c r="OP14" s="1">
        <v>9129</v>
      </c>
      <c r="OQ14" s="1">
        <v>9185</v>
      </c>
      <c r="OR14" s="1">
        <v>9243.2000000000007</v>
      </c>
      <c r="OS14" s="1">
        <v>9299.6</v>
      </c>
      <c r="OT14" s="1">
        <v>9355.4</v>
      </c>
      <c r="OU14" s="1">
        <v>9410.7999999999993</v>
      </c>
      <c r="OV14" s="1">
        <v>9466.2000000000007</v>
      </c>
      <c r="OW14" s="1">
        <v>9521.2999999999993</v>
      </c>
      <c r="OX14" s="1">
        <v>9576</v>
      </c>
      <c r="OY14" s="1">
        <v>9630.7000000000007</v>
      </c>
      <c r="OZ14" s="1">
        <v>9685</v>
      </c>
      <c r="PA14" s="1">
        <v>9739.2999999999993</v>
      </c>
      <c r="PB14" s="1">
        <v>9794</v>
      </c>
      <c r="PC14" s="1">
        <v>9849.2000000000007</v>
      </c>
      <c r="PD14" s="1">
        <v>9904.1</v>
      </c>
      <c r="PE14" s="1">
        <v>9958.4</v>
      </c>
      <c r="PF14" s="1">
        <v>10010</v>
      </c>
      <c r="PG14" s="1">
        <v>10060</v>
      </c>
      <c r="PH14" s="1">
        <v>10108.5</v>
      </c>
      <c r="PI14" s="1">
        <v>10154.6</v>
      </c>
      <c r="PJ14" s="1">
        <v>10199.4</v>
      </c>
      <c r="PK14" s="1">
        <v>10248.9</v>
      </c>
      <c r="PL14" s="1">
        <v>10302.9</v>
      </c>
      <c r="PM14" s="1">
        <v>10355.6</v>
      </c>
      <c r="PN14" s="1">
        <v>10409.4</v>
      </c>
      <c r="PO14" s="1">
        <v>10467</v>
      </c>
      <c r="PP14" s="1">
        <v>10523.7</v>
      </c>
      <c r="PQ14" s="1">
        <v>10579</v>
      </c>
      <c r="PR14" s="1">
        <v>10633.5</v>
      </c>
      <c r="PS14" s="1">
        <v>10688.3</v>
      </c>
      <c r="PT14" s="1">
        <v>10743</v>
      </c>
      <c r="PU14" s="1">
        <v>10796.7</v>
      </c>
      <c r="PV14" s="1">
        <v>10851</v>
      </c>
      <c r="PW14" s="1">
        <v>10904.4</v>
      </c>
      <c r="PX14" s="1">
        <v>10958</v>
      </c>
      <c r="PY14" s="1">
        <v>11011.6</v>
      </c>
      <c r="PZ14" s="1">
        <v>11066</v>
      </c>
      <c r="QA14" s="1">
        <v>11121</v>
      </c>
      <c r="QB14" s="1">
        <v>11175</v>
      </c>
      <c r="QC14" s="1">
        <v>11227.7</v>
      </c>
      <c r="QD14" s="1">
        <v>11280.3</v>
      </c>
      <c r="QE14" s="1">
        <v>11333</v>
      </c>
      <c r="QF14" s="1">
        <v>11387.2</v>
      </c>
      <c r="QG14" s="1">
        <v>11440.4</v>
      </c>
      <c r="QH14" s="1">
        <v>11490.1</v>
      </c>
      <c r="QI14" s="1">
        <v>11542.3</v>
      </c>
      <c r="QJ14" s="1">
        <v>11590.4</v>
      </c>
      <c r="QK14" s="1">
        <v>11641.5</v>
      </c>
      <c r="QL14" s="1">
        <v>11697.3</v>
      </c>
      <c r="QM14" s="1">
        <v>11751.9</v>
      </c>
      <c r="QN14" s="1">
        <v>11807.3</v>
      </c>
      <c r="QO14" s="1">
        <v>11861.4</v>
      </c>
      <c r="QP14" s="1">
        <v>11914</v>
      </c>
      <c r="QQ14" s="1">
        <v>11968.2</v>
      </c>
      <c r="QR14" s="1">
        <v>12020.4</v>
      </c>
      <c r="QS14" s="1">
        <v>12073.7</v>
      </c>
      <c r="QT14" s="1">
        <v>12125.3</v>
      </c>
      <c r="QU14" s="1">
        <v>12177.2</v>
      </c>
      <c r="QV14" s="1">
        <v>12228.9</v>
      </c>
      <c r="QW14" s="1">
        <v>12280.3</v>
      </c>
      <c r="QX14" s="1">
        <v>12332.9</v>
      </c>
      <c r="QY14" s="1">
        <v>12385.5</v>
      </c>
      <c r="QZ14" s="1">
        <v>12437.2</v>
      </c>
      <c r="RA14" s="1">
        <v>12488.6</v>
      </c>
      <c r="RB14" s="1">
        <v>12538.7</v>
      </c>
      <c r="RC14" s="1">
        <v>12584.8</v>
      </c>
      <c r="RD14" s="1">
        <v>12632.2</v>
      </c>
      <c r="RE14" s="1">
        <v>12678.6</v>
      </c>
      <c r="RF14" s="1">
        <v>12722.3</v>
      </c>
      <c r="RG14" s="1">
        <v>12763.6</v>
      </c>
      <c r="RH14" s="1">
        <v>12805</v>
      </c>
      <c r="RI14" s="1">
        <v>12861.4</v>
      </c>
      <c r="RJ14" s="1">
        <v>12919.1</v>
      </c>
      <c r="RK14" s="1">
        <v>12976.4</v>
      </c>
      <c r="RL14" s="1">
        <v>13031.6</v>
      </c>
      <c r="RM14" s="1">
        <v>13085.6</v>
      </c>
      <c r="RN14" s="1">
        <v>13139.7</v>
      </c>
      <c r="RO14" s="1">
        <v>13193.3</v>
      </c>
      <c r="RP14" s="1">
        <v>13246.6</v>
      </c>
      <c r="RQ14" s="1">
        <v>13300.8</v>
      </c>
      <c r="RR14" s="1">
        <v>13354.8</v>
      </c>
      <c r="RS14" s="1">
        <v>13407.6</v>
      </c>
      <c r="RT14" s="1">
        <v>13461.5</v>
      </c>
      <c r="RU14" s="1">
        <v>13514.8</v>
      </c>
      <c r="RV14" s="1">
        <v>13568.1</v>
      </c>
      <c r="RW14" s="1">
        <v>13621.3</v>
      </c>
      <c r="RX14" s="1">
        <v>13674.2</v>
      </c>
      <c r="RY14" s="1">
        <v>13726.9</v>
      </c>
      <c r="RZ14" s="1">
        <v>13779.9</v>
      </c>
      <c r="SA14" s="1">
        <v>13833</v>
      </c>
      <c r="SB14" s="1">
        <v>13886.5</v>
      </c>
      <c r="SC14" s="1">
        <v>13940.5</v>
      </c>
      <c r="SD14" s="1">
        <v>13994.2</v>
      </c>
      <c r="SE14" s="1">
        <v>14047.4</v>
      </c>
      <c r="SF14" s="1">
        <v>14100.1</v>
      </c>
      <c r="SG14" s="1">
        <v>14152.3</v>
      </c>
      <c r="SH14" s="1">
        <v>14205.8</v>
      </c>
      <c r="SI14" s="1">
        <v>14259.2</v>
      </c>
      <c r="SJ14" s="1">
        <v>14312.1</v>
      </c>
      <c r="SK14" s="1">
        <v>14364.9</v>
      </c>
      <c r="SL14" s="1">
        <v>14417.1</v>
      </c>
      <c r="SM14" s="1">
        <v>14467.7</v>
      </c>
      <c r="SN14" s="1">
        <v>14518.3</v>
      </c>
      <c r="SO14" s="1">
        <v>14568.7</v>
      </c>
      <c r="SP14" s="1">
        <v>14619.1</v>
      </c>
      <c r="SQ14" s="1">
        <v>14668.8</v>
      </c>
      <c r="SR14" s="1">
        <v>14718.2</v>
      </c>
      <c r="SS14" s="1">
        <v>14767.6</v>
      </c>
      <c r="ST14" s="1">
        <v>14817.4</v>
      </c>
      <c r="SU14" s="1">
        <v>14866.7</v>
      </c>
      <c r="SV14" s="1">
        <v>14916.1</v>
      </c>
      <c r="SW14" s="1">
        <v>14965.8</v>
      </c>
      <c r="SX14" s="1">
        <v>15015.4</v>
      </c>
      <c r="SY14" s="1">
        <v>15066.7</v>
      </c>
    </row>
    <row r="15" spans="1:750">
      <c r="A15" s="1">
        <v>14</v>
      </c>
      <c r="B15" s="1" t="s">
        <v>2</v>
      </c>
      <c r="C15" s="1" t="s">
        <v>3</v>
      </c>
      <c r="D15" s="1" t="s">
        <v>18</v>
      </c>
      <c r="E15" s="1" t="s">
        <v>5</v>
      </c>
      <c r="F15" s="1">
        <v>89364.9</v>
      </c>
      <c r="G15" s="1">
        <v>89383.2</v>
      </c>
      <c r="H15" s="1">
        <v>89402.2</v>
      </c>
      <c r="I15" s="1">
        <v>89422</v>
      </c>
      <c r="J15" s="1">
        <v>89441</v>
      </c>
      <c r="K15" s="1">
        <v>89460.5</v>
      </c>
      <c r="L15" s="1">
        <v>89479.5</v>
      </c>
      <c r="M15" s="1">
        <v>89495.7</v>
      </c>
      <c r="N15" s="1">
        <v>89514.6</v>
      </c>
      <c r="O15" s="1">
        <v>89533.5</v>
      </c>
      <c r="P15" s="1">
        <v>89551.5</v>
      </c>
      <c r="Q15" s="1">
        <v>89571.199999999997</v>
      </c>
      <c r="R15" s="1">
        <v>89590.7</v>
      </c>
      <c r="S15" s="1">
        <v>89608.4</v>
      </c>
      <c r="T15" s="1">
        <v>89627.199999999997</v>
      </c>
      <c r="U15" s="1">
        <v>89646.9</v>
      </c>
      <c r="V15" s="1">
        <v>89667.7</v>
      </c>
      <c r="W15" s="1">
        <v>89687</v>
      </c>
      <c r="X15" s="1">
        <v>89705.3</v>
      </c>
      <c r="Y15" s="1">
        <v>89721.600000000006</v>
      </c>
      <c r="Z15" s="1">
        <v>89741.3</v>
      </c>
      <c r="AA15" s="1">
        <v>89760.4</v>
      </c>
      <c r="AB15" s="1">
        <v>89779.3</v>
      </c>
      <c r="AC15" s="1">
        <v>89799.1</v>
      </c>
      <c r="AD15" s="1">
        <v>89818.4</v>
      </c>
      <c r="AE15" s="1">
        <v>89835.9</v>
      </c>
      <c r="AF15" s="1">
        <v>89856.3</v>
      </c>
      <c r="AG15" s="1">
        <v>89874.9</v>
      </c>
      <c r="AH15" s="1">
        <v>89894.399999999994</v>
      </c>
      <c r="AI15" s="1">
        <v>89913.9</v>
      </c>
      <c r="AJ15" s="1">
        <v>89934.2</v>
      </c>
      <c r="AK15" s="1">
        <v>89956.1</v>
      </c>
      <c r="AL15" s="1">
        <v>89981.1</v>
      </c>
      <c r="AM15" s="1">
        <v>90016.5</v>
      </c>
      <c r="AN15" s="1">
        <v>90068.5</v>
      </c>
      <c r="AO15" s="1">
        <v>90138</v>
      </c>
      <c r="AP15" s="1">
        <v>90205.4</v>
      </c>
      <c r="AQ15" s="1">
        <v>90274.9</v>
      </c>
      <c r="AR15" s="1">
        <v>90348.2</v>
      </c>
      <c r="AS15" s="1">
        <v>90405.1</v>
      </c>
      <c r="AT15" s="1">
        <v>90435.4</v>
      </c>
      <c r="AU15" s="1">
        <v>90463.6</v>
      </c>
      <c r="AV15" s="1">
        <v>90490.2</v>
      </c>
      <c r="AW15" s="1">
        <v>90512</v>
      </c>
      <c r="AX15" s="1">
        <v>90535.3</v>
      </c>
      <c r="AY15" s="1">
        <v>90559.1</v>
      </c>
      <c r="AZ15" s="1">
        <v>90582.3</v>
      </c>
      <c r="BA15" s="1">
        <v>90602</v>
      </c>
      <c r="BB15" s="1">
        <v>90621.1</v>
      </c>
      <c r="BC15" s="1">
        <v>90640.3</v>
      </c>
      <c r="BD15" s="1">
        <v>90659.4</v>
      </c>
      <c r="BE15" s="1">
        <v>90678.9</v>
      </c>
      <c r="BF15" s="1">
        <v>90697.4</v>
      </c>
      <c r="BG15" s="1">
        <v>90716.7</v>
      </c>
      <c r="BH15" s="1">
        <v>90738.5</v>
      </c>
      <c r="BI15" s="1">
        <v>90759.7</v>
      </c>
      <c r="BJ15" s="1">
        <v>90784.1</v>
      </c>
      <c r="BK15" s="1">
        <v>90820.4</v>
      </c>
      <c r="BL15" s="1">
        <v>90874.8</v>
      </c>
      <c r="BM15" s="1">
        <v>90943</v>
      </c>
      <c r="BN15" s="1">
        <v>91007</v>
      </c>
      <c r="BO15" s="1">
        <v>91075.4</v>
      </c>
      <c r="BP15" s="1">
        <v>91152.3</v>
      </c>
      <c r="BQ15" s="1">
        <v>91207</v>
      </c>
      <c r="BR15" s="1">
        <v>91240.5</v>
      </c>
      <c r="BS15" s="1">
        <v>91271.4</v>
      </c>
      <c r="BT15" s="1">
        <v>91298.2</v>
      </c>
      <c r="BU15" s="1">
        <v>91319</v>
      </c>
      <c r="BV15" s="1">
        <v>91341.7</v>
      </c>
      <c r="BW15" s="1">
        <v>91364.9</v>
      </c>
      <c r="BX15" s="1">
        <v>91386.9</v>
      </c>
      <c r="BY15" s="1">
        <v>91406.8</v>
      </c>
      <c r="BZ15" s="1">
        <v>91426.6</v>
      </c>
      <c r="CA15" s="1">
        <v>91444.4</v>
      </c>
      <c r="CB15" s="1">
        <v>91463.1</v>
      </c>
      <c r="CC15" s="1">
        <v>91481.2</v>
      </c>
      <c r="CD15" s="1">
        <v>91500.2</v>
      </c>
      <c r="CE15" s="1">
        <v>91519.8</v>
      </c>
      <c r="CF15" s="1">
        <v>91540.4</v>
      </c>
      <c r="CG15" s="1">
        <v>91561.8</v>
      </c>
      <c r="CH15" s="1">
        <v>91587.9</v>
      </c>
      <c r="CI15" s="1">
        <v>91628</v>
      </c>
      <c r="CJ15" s="1">
        <v>91685.8</v>
      </c>
      <c r="CK15" s="1">
        <v>91755.199999999997</v>
      </c>
      <c r="CL15" s="1">
        <v>91820</v>
      </c>
      <c r="CM15" s="1">
        <v>91891.6</v>
      </c>
      <c r="CN15" s="1">
        <v>91968.3</v>
      </c>
      <c r="CO15" s="1">
        <v>92024.3</v>
      </c>
      <c r="CP15" s="1">
        <v>92057.9</v>
      </c>
      <c r="CQ15" s="1">
        <v>92092.3</v>
      </c>
      <c r="CR15" s="1">
        <v>92122.4</v>
      </c>
      <c r="CS15" s="1">
        <v>92148.3</v>
      </c>
      <c r="CT15" s="1">
        <v>92176</v>
      </c>
      <c r="CU15" s="1">
        <v>92205.6</v>
      </c>
      <c r="CV15" s="1">
        <v>92233.1</v>
      </c>
      <c r="CW15" s="1">
        <v>92258.9</v>
      </c>
      <c r="CX15" s="1">
        <v>92284</v>
      </c>
      <c r="CY15" s="1">
        <v>92307.5</v>
      </c>
      <c r="CZ15" s="1">
        <v>92333.4</v>
      </c>
      <c r="DA15" s="1">
        <v>92358.7</v>
      </c>
      <c r="DB15" s="1">
        <v>92383.3</v>
      </c>
      <c r="DC15" s="1">
        <v>92408.9</v>
      </c>
      <c r="DD15" s="1">
        <v>92436.6</v>
      </c>
      <c r="DE15" s="1">
        <v>92463.1</v>
      </c>
      <c r="DF15" s="1">
        <v>92493.3</v>
      </c>
      <c r="DG15" s="1">
        <v>92532.9</v>
      </c>
      <c r="DH15" s="1">
        <v>92586.1</v>
      </c>
      <c r="DI15" s="1">
        <v>92661</v>
      </c>
      <c r="DJ15" s="1">
        <v>92732.7</v>
      </c>
      <c r="DK15" s="1">
        <v>92802.8</v>
      </c>
      <c r="DL15" s="1">
        <v>92877.9</v>
      </c>
      <c r="DM15" s="1">
        <v>92935.2</v>
      </c>
      <c r="DN15" s="1">
        <v>92964.6</v>
      </c>
      <c r="DO15" s="1">
        <v>92992.5</v>
      </c>
      <c r="DP15" s="1">
        <v>93016.8</v>
      </c>
      <c r="DQ15" s="1">
        <v>93037.7</v>
      </c>
      <c r="DR15" s="1">
        <v>93060.6</v>
      </c>
      <c r="DS15" s="1">
        <v>93084.3</v>
      </c>
      <c r="DT15" s="1">
        <v>93106.6</v>
      </c>
      <c r="DU15" s="1">
        <v>93127.7</v>
      </c>
      <c r="DV15" s="1">
        <v>93148.3</v>
      </c>
      <c r="DW15" s="1">
        <v>93167.2</v>
      </c>
      <c r="DX15" s="1">
        <v>93187.8</v>
      </c>
      <c r="DY15" s="1">
        <v>93208.1</v>
      </c>
      <c r="DZ15" s="1">
        <v>93227.9</v>
      </c>
      <c r="EA15" s="1">
        <v>93248.4</v>
      </c>
      <c r="EB15" s="1">
        <v>93271.5</v>
      </c>
      <c r="EC15" s="1">
        <v>93293.4</v>
      </c>
      <c r="ED15" s="1">
        <v>93321</v>
      </c>
      <c r="EE15" s="1">
        <v>93358.399999999994</v>
      </c>
      <c r="EF15" s="1">
        <v>93409.9</v>
      </c>
      <c r="EG15" s="1">
        <v>93484.800000000003</v>
      </c>
      <c r="EH15" s="1">
        <v>93552</v>
      </c>
      <c r="EI15" s="1">
        <v>93622.8</v>
      </c>
      <c r="EJ15" s="1">
        <v>93699.5</v>
      </c>
      <c r="EK15" s="1">
        <v>93758.8</v>
      </c>
      <c r="EL15" s="1">
        <v>93786.7</v>
      </c>
      <c r="EM15" s="1">
        <v>93813.2</v>
      </c>
      <c r="EN15" s="1">
        <v>93838.6</v>
      </c>
      <c r="EO15" s="1">
        <v>93859.9</v>
      </c>
      <c r="EP15" s="1">
        <v>93883.4</v>
      </c>
      <c r="EQ15" s="1">
        <v>93908.4</v>
      </c>
      <c r="ER15" s="1">
        <v>93933.1</v>
      </c>
      <c r="ES15" s="1">
        <v>93952.5</v>
      </c>
      <c r="ET15" s="1">
        <v>93970.7</v>
      </c>
      <c r="EU15" s="1">
        <v>93987.5</v>
      </c>
      <c r="EV15" s="1">
        <v>94004.7</v>
      </c>
      <c r="EW15" s="1">
        <v>94022.1</v>
      </c>
      <c r="EX15" s="1">
        <v>94038.9</v>
      </c>
      <c r="EY15" s="1">
        <v>94057.2</v>
      </c>
      <c r="EZ15" s="1">
        <v>94074.1</v>
      </c>
      <c r="FA15" s="1">
        <v>94089.9</v>
      </c>
      <c r="FB15" s="1">
        <v>94106.5</v>
      </c>
      <c r="FC15" s="1">
        <v>94124.9</v>
      </c>
      <c r="FD15" s="1">
        <v>94142.9</v>
      </c>
      <c r="FE15" s="1">
        <v>94161.600000000006</v>
      </c>
      <c r="FF15" s="1">
        <v>94180.9</v>
      </c>
      <c r="FG15" s="1">
        <v>94200.1</v>
      </c>
      <c r="FH15" s="1">
        <v>94221.6</v>
      </c>
      <c r="FI15" s="1">
        <v>94244</v>
      </c>
      <c r="FJ15" s="1">
        <v>94265.2</v>
      </c>
      <c r="FK15" s="1">
        <v>94287</v>
      </c>
      <c r="FL15" s="1">
        <v>94308.4</v>
      </c>
      <c r="FM15" s="1">
        <v>94324.7</v>
      </c>
      <c r="FN15" s="1">
        <v>94343</v>
      </c>
      <c r="FO15" s="1">
        <v>94362.2</v>
      </c>
      <c r="FP15" s="1">
        <v>94381.3</v>
      </c>
      <c r="FQ15" s="1">
        <v>94399.9</v>
      </c>
      <c r="FR15" s="1">
        <v>94418.3</v>
      </c>
      <c r="FS15" s="1">
        <v>94434.9</v>
      </c>
      <c r="FT15" s="1">
        <v>94452.800000000003</v>
      </c>
      <c r="FU15" s="1">
        <v>94470.8</v>
      </c>
      <c r="FV15" s="1">
        <v>94489.2</v>
      </c>
      <c r="FW15" s="1">
        <v>94507.7</v>
      </c>
      <c r="FX15" s="1">
        <v>94525.3</v>
      </c>
      <c r="FY15" s="1">
        <v>94541.9</v>
      </c>
      <c r="FZ15" s="1">
        <v>94559.9</v>
      </c>
      <c r="GA15" s="1">
        <v>94579.3</v>
      </c>
      <c r="GB15" s="1">
        <v>94597.5</v>
      </c>
      <c r="GC15" s="1">
        <v>94616.1</v>
      </c>
      <c r="GD15" s="1">
        <v>94634.8</v>
      </c>
      <c r="GE15" s="1">
        <v>94652.5</v>
      </c>
      <c r="GF15" s="1">
        <v>94672</v>
      </c>
      <c r="GG15" s="1">
        <v>94691.9</v>
      </c>
      <c r="GH15" s="1">
        <v>94711.1</v>
      </c>
      <c r="GI15" s="1">
        <v>94731.1</v>
      </c>
      <c r="GJ15" s="1">
        <v>94750.8</v>
      </c>
      <c r="GK15" s="1">
        <v>94767.6</v>
      </c>
      <c r="GL15" s="1">
        <v>94787.4</v>
      </c>
      <c r="GM15" s="1">
        <v>94807.9</v>
      </c>
      <c r="GN15" s="1">
        <v>94828.9</v>
      </c>
      <c r="GO15" s="1">
        <v>94847.4</v>
      </c>
      <c r="GP15" s="1">
        <v>94867</v>
      </c>
      <c r="GQ15" s="1">
        <v>94884.1</v>
      </c>
      <c r="GR15" s="1">
        <v>94904.1</v>
      </c>
      <c r="GS15" s="1">
        <v>94922.8</v>
      </c>
      <c r="GT15" s="1">
        <v>94941</v>
      </c>
      <c r="GU15" s="1">
        <v>94960.7</v>
      </c>
      <c r="GV15" s="1">
        <v>94981.9</v>
      </c>
      <c r="GW15" s="1">
        <v>95003.5</v>
      </c>
      <c r="GX15" s="1">
        <v>95030.8</v>
      </c>
      <c r="GY15" s="1">
        <v>95067.6</v>
      </c>
      <c r="GZ15" s="1">
        <v>95125.2</v>
      </c>
      <c r="HA15" s="1">
        <v>95195.3</v>
      </c>
      <c r="HB15" s="1">
        <v>95261.5</v>
      </c>
      <c r="HC15" s="1">
        <v>95330.9</v>
      </c>
      <c r="HD15" s="1">
        <v>95406.8</v>
      </c>
      <c r="HE15" s="1">
        <v>95463.4</v>
      </c>
      <c r="HF15" s="1">
        <v>95496.7</v>
      </c>
      <c r="HG15" s="1">
        <v>95527.1</v>
      </c>
      <c r="HH15" s="1">
        <v>95552.2</v>
      </c>
      <c r="HI15" s="1">
        <v>95574.6</v>
      </c>
      <c r="HJ15" s="1">
        <v>95596.4</v>
      </c>
      <c r="HK15" s="1">
        <v>95619.6</v>
      </c>
      <c r="HL15" s="1">
        <v>95641.3</v>
      </c>
      <c r="HM15" s="1">
        <v>95659.3</v>
      </c>
      <c r="HN15" s="1">
        <v>95677.2</v>
      </c>
      <c r="HO15" s="1">
        <v>95694.399999999994</v>
      </c>
      <c r="HP15" s="1">
        <v>95712</v>
      </c>
      <c r="HQ15" s="1">
        <v>95729.600000000006</v>
      </c>
      <c r="HR15" s="1">
        <v>95746.6</v>
      </c>
      <c r="HS15" s="1">
        <v>95764.4</v>
      </c>
      <c r="HT15" s="1">
        <v>95784.3</v>
      </c>
      <c r="HU15" s="1">
        <v>95804.1</v>
      </c>
      <c r="HV15" s="1">
        <v>95826</v>
      </c>
      <c r="HW15" s="1">
        <v>95859.3</v>
      </c>
      <c r="HX15" s="1">
        <v>95915.3</v>
      </c>
      <c r="HY15" s="1">
        <v>95986.2</v>
      </c>
      <c r="HZ15" s="1">
        <v>96055.2</v>
      </c>
      <c r="IA15" s="1">
        <v>96122.4</v>
      </c>
      <c r="IB15" s="1">
        <v>96196.7</v>
      </c>
      <c r="IC15" s="1">
        <v>96247.4</v>
      </c>
      <c r="ID15" s="1">
        <v>96274.7</v>
      </c>
      <c r="IE15" s="1">
        <v>96300.7</v>
      </c>
      <c r="IF15" s="1">
        <v>96324.2</v>
      </c>
      <c r="IG15" s="1">
        <v>96345</v>
      </c>
      <c r="IH15" s="1">
        <v>96366.6</v>
      </c>
      <c r="II15" s="1">
        <v>96388.7</v>
      </c>
      <c r="IJ15" s="1">
        <v>96411.199999999997</v>
      </c>
      <c r="IK15" s="1">
        <v>96429.5</v>
      </c>
      <c r="IL15" s="1">
        <v>96448.4</v>
      </c>
      <c r="IM15" s="1">
        <v>96465.7</v>
      </c>
      <c r="IN15" s="1">
        <v>96483.1</v>
      </c>
      <c r="IO15" s="1">
        <v>96501.1</v>
      </c>
      <c r="IP15" s="1">
        <v>96518.3</v>
      </c>
      <c r="IQ15" s="1">
        <v>96536.4</v>
      </c>
      <c r="IR15" s="1">
        <v>96556.2</v>
      </c>
      <c r="IS15" s="1">
        <v>96575.3</v>
      </c>
      <c r="IT15" s="1">
        <v>96598.1</v>
      </c>
      <c r="IU15" s="1">
        <v>96633.3</v>
      </c>
      <c r="IV15" s="1">
        <v>96683.7</v>
      </c>
      <c r="IW15" s="1">
        <v>96752.6</v>
      </c>
      <c r="IX15" s="1">
        <v>96816.8</v>
      </c>
      <c r="IY15" s="1">
        <v>96880.8</v>
      </c>
      <c r="IZ15" s="1">
        <v>96956.2</v>
      </c>
      <c r="JA15" s="1">
        <v>97006.6</v>
      </c>
      <c r="JB15" s="1">
        <v>97032</v>
      </c>
      <c r="JC15" s="1">
        <v>97056.2</v>
      </c>
      <c r="JD15" s="1">
        <v>97079.1</v>
      </c>
      <c r="JE15" s="1">
        <v>97099.4</v>
      </c>
      <c r="JF15" s="1">
        <v>97121.3</v>
      </c>
      <c r="JG15" s="1">
        <v>97144</v>
      </c>
      <c r="JH15" s="1">
        <v>97164.7</v>
      </c>
      <c r="JI15" s="1">
        <v>97182.2</v>
      </c>
      <c r="JJ15" s="1">
        <v>97200.9</v>
      </c>
      <c r="JK15" s="1">
        <v>97216.9</v>
      </c>
      <c r="JL15" s="1">
        <v>97234.1</v>
      </c>
      <c r="JM15" s="1">
        <v>97251.1</v>
      </c>
      <c r="JN15" s="1">
        <v>97268.5</v>
      </c>
      <c r="JO15" s="1">
        <v>97286.2</v>
      </c>
      <c r="JP15" s="1">
        <v>97305.2</v>
      </c>
      <c r="JQ15" s="1">
        <v>97324.9</v>
      </c>
      <c r="JR15" s="1">
        <v>97347.7</v>
      </c>
      <c r="JS15" s="1">
        <v>97384.1</v>
      </c>
      <c r="JT15" s="1">
        <v>97441.4</v>
      </c>
      <c r="JU15" s="1">
        <v>97507</v>
      </c>
      <c r="JV15" s="1">
        <v>97572.5</v>
      </c>
      <c r="JW15" s="1">
        <v>97637.7</v>
      </c>
      <c r="JX15" s="1">
        <v>97710.1</v>
      </c>
      <c r="JY15" s="1">
        <v>97765.5</v>
      </c>
      <c r="JZ15" s="1">
        <v>97802.5</v>
      </c>
      <c r="KA15" s="1">
        <v>97837.1</v>
      </c>
      <c r="KB15" s="1">
        <v>97863.1</v>
      </c>
      <c r="KC15" s="1">
        <v>97885.7</v>
      </c>
      <c r="KD15" s="1">
        <v>97908.7</v>
      </c>
      <c r="KE15" s="1">
        <v>97933.2</v>
      </c>
      <c r="KF15" s="1">
        <v>97955.1</v>
      </c>
      <c r="KG15" s="1">
        <v>97972.800000000003</v>
      </c>
      <c r="KH15" s="1">
        <v>97990.2</v>
      </c>
      <c r="KI15" s="1">
        <v>98006.3</v>
      </c>
      <c r="KJ15" s="1">
        <v>98023.5</v>
      </c>
      <c r="KK15" s="1">
        <v>98041.3</v>
      </c>
      <c r="KL15" s="1">
        <v>98058.4</v>
      </c>
      <c r="KM15" s="1">
        <v>98075.9</v>
      </c>
      <c r="KN15" s="1">
        <v>98095.9</v>
      </c>
      <c r="KO15" s="1">
        <v>98115.5</v>
      </c>
      <c r="KP15" s="1">
        <v>98140.4</v>
      </c>
      <c r="KQ15" s="1">
        <v>98178.8</v>
      </c>
      <c r="KR15" s="1">
        <v>98230.6</v>
      </c>
      <c r="KS15" s="1">
        <v>98302.5</v>
      </c>
      <c r="KT15" s="1">
        <v>98371.5</v>
      </c>
      <c r="KU15" s="1">
        <v>98443.1</v>
      </c>
      <c r="KV15" s="1">
        <v>98520.6</v>
      </c>
      <c r="KW15" s="1">
        <v>98576</v>
      </c>
      <c r="KX15" s="1">
        <v>98610.4</v>
      </c>
      <c r="KY15" s="1">
        <v>98643.199999999997</v>
      </c>
      <c r="KZ15" s="1">
        <v>98668.3</v>
      </c>
      <c r="LA15" s="1">
        <v>98686.399999999994</v>
      </c>
      <c r="LB15" s="1">
        <v>98708.9</v>
      </c>
      <c r="LC15" s="1">
        <v>98732.4</v>
      </c>
      <c r="LD15" s="1">
        <v>98754.4</v>
      </c>
      <c r="LE15" s="1">
        <v>98773.4</v>
      </c>
      <c r="LF15" s="1">
        <v>98791.8</v>
      </c>
      <c r="LG15" s="1">
        <v>98808.2</v>
      </c>
      <c r="LH15" s="1">
        <v>98826.2</v>
      </c>
      <c r="LI15" s="1">
        <v>98844.4</v>
      </c>
      <c r="LJ15" s="1">
        <v>98862.3</v>
      </c>
      <c r="LK15" s="1">
        <v>98880.8</v>
      </c>
      <c r="LL15" s="1">
        <v>98898.8</v>
      </c>
      <c r="LM15" s="1">
        <v>98914</v>
      </c>
      <c r="LN15" s="1">
        <v>98932.2</v>
      </c>
      <c r="LO15" s="1">
        <v>98953</v>
      </c>
      <c r="LP15" s="1">
        <v>98977.4</v>
      </c>
      <c r="LQ15" s="1">
        <v>99003.1</v>
      </c>
      <c r="LR15" s="1">
        <v>99028.9</v>
      </c>
      <c r="LS15" s="1">
        <v>99053.3</v>
      </c>
      <c r="LT15" s="1">
        <v>99080.2</v>
      </c>
      <c r="LU15" s="1">
        <v>99106</v>
      </c>
      <c r="LV15" s="1">
        <v>99131.1</v>
      </c>
      <c r="LW15" s="1">
        <v>99156.1</v>
      </c>
      <c r="LX15" s="1">
        <v>99175.9</v>
      </c>
      <c r="LY15" s="1">
        <v>99194.4</v>
      </c>
      <c r="LZ15" s="1">
        <v>99215.1</v>
      </c>
      <c r="MA15" s="1">
        <v>99237.2</v>
      </c>
      <c r="MB15" s="1">
        <v>99257.4</v>
      </c>
      <c r="MC15" s="1">
        <v>99276.3</v>
      </c>
      <c r="MD15" s="1">
        <v>99294.3</v>
      </c>
      <c r="ME15" s="1">
        <v>99310.2</v>
      </c>
      <c r="MF15" s="1">
        <v>99328.4</v>
      </c>
      <c r="MG15" s="1">
        <v>99346.5</v>
      </c>
      <c r="MH15" s="1">
        <v>99365</v>
      </c>
      <c r="MI15" s="1">
        <v>99383.6</v>
      </c>
      <c r="MJ15" s="1">
        <v>99401.4</v>
      </c>
      <c r="MK15" s="1">
        <v>99417</v>
      </c>
      <c r="ML15" s="1">
        <v>99434.1</v>
      </c>
      <c r="MM15" s="1">
        <v>99451.7</v>
      </c>
      <c r="MN15" s="1">
        <v>99469.4</v>
      </c>
      <c r="MO15" s="1">
        <v>99487.9</v>
      </c>
      <c r="MP15" s="1">
        <v>99505.7</v>
      </c>
      <c r="MQ15" s="1">
        <v>99521.600000000006</v>
      </c>
      <c r="MR15" s="1">
        <v>99539.6</v>
      </c>
      <c r="MS15" s="1">
        <v>99557.8</v>
      </c>
      <c r="MT15" s="1">
        <v>99576</v>
      </c>
      <c r="MU15" s="1">
        <v>99595.9</v>
      </c>
      <c r="MV15" s="1">
        <v>99615.1</v>
      </c>
      <c r="MW15" s="1">
        <v>99630.399999999994</v>
      </c>
      <c r="MX15" s="1">
        <v>99648.9</v>
      </c>
      <c r="MY15" s="1">
        <v>99668.4</v>
      </c>
      <c r="MZ15" s="1">
        <v>99687.7</v>
      </c>
      <c r="NA15" s="1">
        <v>99706.4</v>
      </c>
      <c r="NB15" s="1">
        <v>99724.7</v>
      </c>
      <c r="NC15" s="1">
        <v>99740.800000000003</v>
      </c>
      <c r="ND15" s="1">
        <v>99759.7</v>
      </c>
      <c r="NE15" s="1">
        <v>99777.7</v>
      </c>
      <c r="NF15" s="1">
        <v>99795.9</v>
      </c>
      <c r="NG15" s="1">
        <v>99815</v>
      </c>
      <c r="NH15" s="1">
        <v>99833</v>
      </c>
      <c r="NI15" s="1">
        <v>99850.4</v>
      </c>
      <c r="NJ15" s="1">
        <v>99867.8</v>
      </c>
      <c r="NK15" s="1">
        <v>99887.3</v>
      </c>
      <c r="NL15" s="1">
        <v>99906.6</v>
      </c>
      <c r="NM15" s="1">
        <v>99926</v>
      </c>
      <c r="NN15" s="1">
        <v>99945.7</v>
      </c>
      <c r="NO15" s="1">
        <v>99963.199999999997</v>
      </c>
      <c r="NP15" s="1">
        <v>99983</v>
      </c>
      <c r="NQ15" s="1">
        <v>3.4</v>
      </c>
      <c r="NR15" s="1">
        <v>23.1</v>
      </c>
      <c r="NS15" s="1">
        <v>43.1</v>
      </c>
      <c r="NT15" s="1">
        <v>62.5</v>
      </c>
      <c r="NU15" s="1">
        <v>81.2</v>
      </c>
      <c r="NV15" s="1">
        <v>100.9</v>
      </c>
      <c r="NW15" s="1">
        <v>121.3</v>
      </c>
      <c r="NX15" s="1">
        <v>142.5</v>
      </c>
      <c r="NY15" s="1">
        <v>161.9</v>
      </c>
      <c r="NZ15" s="1">
        <v>180.8</v>
      </c>
      <c r="OA15" s="1">
        <v>197.8</v>
      </c>
      <c r="OB15" s="1">
        <v>216.3</v>
      </c>
      <c r="OC15" s="1">
        <v>234.3</v>
      </c>
      <c r="OD15" s="1">
        <v>252.6</v>
      </c>
      <c r="OE15" s="1">
        <v>272.10000000000002</v>
      </c>
      <c r="OF15" s="1">
        <v>293.5</v>
      </c>
      <c r="OG15" s="1">
        <v>312.39999999999998</v>
      </c>
      <c r="OH15" s="1">
        <v>336.5</v>
      </c>
      <c r="OI15" s="1">
        <v>375.6</v>
      </c>
      <c r="OJ15" s="1">
        <v>437.3</v>
      </c>
      <c r="OK15" s="1">
        <v>512.1</v>
      </c>
      <c r="OL15" s="1">
        <v>580.79999999999995</v>
      </c>
      <c r="OM15" s="1">
        <v>650.6</v>
      </c>
      <c r="ON15" s="1">
        <v>730.2</v>
      </c>
      <c r="OO15" s="1">
        <v>785</v>
      </c>
      <c r="OP15" s="1">
        <v>813.6</v>
      </c>
      <c r="OQ15" s="1">
        <v>839</v>
      </c>
      <c r="OR15" s="1">
        <v>862.8</v>
      </c>
      <c r="OS15" s="1">
        <v>882.1</v>
      </c>
      <c r="OT15" s="1">
        <v>906.3</v>
      </c>
      <c r="OU15" s="1">
        <v>929.4</v>
      </c>
      <c r="OV15" s="1">
        <v>951.2</v>
      </c>
      <c r="OW15" s="1">
        <v>970</v>
      </c>
      <c r="OX15" s="1">
        <v>988.2</v>
      </c>
      <c r="OY15" s="1">
        <v>1006.3</v>
      </c>
      <c r="OZ15" s="1">
        <v>1024</v>
      </c>
      <c r="PA15" s="1">
        <v>1041.4000000000001</v>
      </c>
      <c r="PB15" s="1">
        <v>1058.7</v>
      </c>
      <c r="PC15" s="1">
        <v>1076.0999999999999</v>
      </c>
      <c r="PD15" s="1">
        <v>1096.5</v>
      </c>
      <c r="PE15" s="1">
        <v>1115.7</v>
      </c>
      <c r="PF15" s="1">
        <v>1142.4000000000001</v>
      </c>
      <c r="PG15" s="1">
        <v>1181.0999999999999</v>
      </c>
      <c r="PH15" s="1">
        <v>1240.5</v>
      </c>
      <c r="PI15" s="1">
        <v>1308.5999999999999</v>
      </c>
      <c r="PJ15" s="1">
        <v>1376.7</v>
      </c>
      <c r="PK15" s="1">
        <v>1442.8</v>
      </c>
      <c r="PL15" s="1">
        <v>1519.6</v>
      </c>
      <c r="PM15" s="1">
        <v>1577.6</v>
      </c>
      <c r="PN15" s="1">
        <v>1609.8</v>
      </c>
      <c r="PO15" s="1">
        <v>1640.7</v>
      </c>
      <c r="PP15" s="1">
        <v>1665.1</v>
      </c>
      <c r="PQ15" s="1">
        <v>1686.7</v>
      </c>
      <c r="PR15" s="1">
        <v>1707.8</v>
      </c>
      <c r="PS15" s="1">
        <v>1730.8</v>
      </c>
      <c r="PT15" s="1">
        <v>1751.5</v>
      </c>
      <c r="PU15" s="1">
        <v>1770</v>
      </c>
      <c r="PV15" s="1">
        <v>1788.7</v>
      </c>
      <c r="PW15" s="1">
        <v>1805.9</v>
      </c>
      <c r="PX15" s="1">
        <v>1823.8</v>
      </c>
      <c r="PY15" s="1">
        <v>1842.3</v>
      </c>
      <c r="PZ15" s="1">
        <v>1860.4</v>
      </c>
      <c r="QA15" s="1">
        <v>1878.9</v>
      </c>
      <c r="QB15" s="1">
        <v>1899.2</v>
      </c>
      <c r="QC15" s="1">
        <v>1920</v>
      </c>
      <c r="QD15" s="1">
        <v>1945</v>
      </c>
      <c r="QE15" s="1">
        <v>1984.3</v>
      </c>
      <c r="QF15" s="1">
        <v>2036.1</v>
      </c>
      <c r="QG15" s="1">
        <v>2100.5</v>
      </c>
      <c r="QH15" s="1">
        <v>2169</v>
      </c>
      <c r="QI15" s="1">
        <v>2234.8000000000002</v>
      </c>
      <c r="QJ15" s="1">
        <v>2310.3000000000002</v>
      </c>
      <c r="QK15" s="1">
        <v>2362.8000000000002</v>
      </c>
      <c r="QL15" s="1">
        <v>2390.9</v>
      </c>
      <c r="QM15" s="1">
        <v>2417.4</v>
      </c>
      <c r="QN15" s="1">
        <v>2440.4</v>
      </c>
      <c r="QO15" s="1">
        <v>2461.6999999999998</v>
      </c>
      <c r="QP15" s="1">
        <v>2483</v>
      </c>
      <c r="QQ15" s="1">
        <v>2504.9</v>
      </c>
      <c r="QR15" s="1">
        <v>2526.6</v>
      </c>
      <c r="QS15" s="1">
        <v>2545.1</v>
      </c>
      <c r="QT15" s="1">
        <v>2563.1</v>
      </c>
      <c r="QU15" s="1">
        <v>2580.5</v>
      </c>
      <c r="QV15" s="1">
        <v>2598.1999999999998</v>
      </c>
      <c r="QW15" s="1">
        <v>2616.6</v>
      </c>
      <c r="QX15" s="1">
        <v>2634.1</v>
      </c>
      <c r="QY15" s="1">
        <v>2651.9</v>
      </c>
      <c r="QZ15" s="1">
        <v>2671.5</v>
      </c>
      <c r="RA15" s="1">
        <v>2691.8</v>
      </c>
      <c r="RB15" s="1">
        <v>2719.3</v>
      </c>
      <c r="RC15" s="1">
        <v>2755.2</v>
      </c>
      <c r="RD15" s="1">
        <v>2805.9</v>
      </c>
      <c r="RE15" s="1">
        <v>2873.3</v>
      </c>
      <c r="RF15" s="1">
        <v>2935.6</v>
      </c>
      <c r="RG15" s="1">
        <v>3001.4</v>
      </c>
      <c r="RH15" s="1">
        <v>3074.8</v>
      </c>
      <c r="RI15" s="1">
        <v>3130.8</v>
      </c>
      <c r="RJ15" s="1">
        <v>3159.4</v>
      </c>
      <c r="RK15" s="1">
        <v>3184</v>
      </c>
      <c r="RL15" s="1">
        <v>3204.1</v>
      </c>
      <c r="RM15" s="1">
        <v>3222.7</v>
      </c>
      <c r="RN15" s="1">
        <v>3242.6</v>
      </c>
      <c r="RO15" s="1">
        <v>3263.1</v>
      </c>
      <c r="RP15" s="1">
        <v>3283.6</v>
      </c>
      <c r="RQ15" s="1">
        <v>3300.5</v>
      </c>
      <c r="RR15" s="1">
        <v>3316.7</v>
      </c>
      <c r="RS15" s="1">
        <v>3332.5</v>
      </c>
      <c r="RT15" s="1">
        <v>3349.7</v>
      </c>
      <c r="RU15" s="1">
        <v>3366</v>
      </c>
      <c r="RV15" s="1">
        <v>3382.6</v>
      </c>
      <c r="RW15" s="1">
        <v>3399.9</v>
      </c>
      <c r="RX15" s="1">
        <v>3416.2</v>
      </c>
      <c r="RY15" s="1">
        <v>3430.6</v>
      </c>
      <c r="RZ15" s="1">
        <v>3447.4</v>
      </c>
      <c r="SA15" s="1">
        <v>3464.9</v>
      </c>
      <c r="SB15" s="1">
        <v>3482.1</v>
      </c>
      <c r="SC15" s="1">
        <v>3500.4</v>
      </c>
      <c r="SD15" s="1">
        <v>3518.3</v>
      </c>
      <c r="SE15" s="1">
        <v>3535.1</v>
      </c>
      <c r="SF15" s="1">
        <v>3552.1</v>
      </c>
      <c r="SG15" s="1">
        <v>3569.3</v>
      </c>
      <c r="SH15" s="1">
        <v>3586.9</v>
      </c>
      <c r="SI15" s="1">
        <v>3605.1</v>
      </c>
      <c r="SJ15" s="1">
        <v>3624.2</v>
      </c>
      <c r="SK15" s="1">
        <v>3642</v>
      </c>
      <c r="SL15" s="1">
        <v>3659.8</v>
      </c>
      <c r="SM15" s="1">
        <v>3679.4</v>
      </c>
      <c r="SN15" s="1">
        <v>3697.8</v>
      </c>
      <c r="SO15" s="1">
        <v>3714.8</v>
      </c>
      <c r="SP15" s="1">
        <v>3731.6</v>
      </c>
      <c r="SQ15" s="1">
        <v>3747.2</v>
      </c>
      <c r="SR15" s="1">
        <v>3763.7</v>
      </c>
      <c r="SS15" s="1">
        <v>3780</v>
      </c>
      <c r="ST15" s="1">
        <v>3796.5</v>
      </c>
      <c r="SU15" s="1">
        <v>3813.3</v>
      </c>
      <c r="SV15" s="1">
        <v>3830.1</v>
      </c>
      <c r="SW15" s="1">
        <v>3844.9</v>
      </c>
      <c r="SX15" s="1">
        <v>3861.1</v>
      </c>
      <c r="SY15" s="1">
        <v>3870.9</v>
      </c>
    </row>
    <row r="16" spans="1:750">
      <c r="A16" s="1">
        <v>15</v>
      </c>
      <c r="B16" s="1" t="s">
        <v>2</v>
      </c>
      <c r="C16" s="1" t="s">
        <v>3</v>
      </c>
      <c r="D16" s="1" t="s">
        <v>19</v>
      </c>
      <c r="E16" s="1" t="s">
        <v>5</v>
      </c>
      <c r="F16" s="1">
        <v>52946</v>
      </c>
      <c r="G16" s="1">
        <v>52946</v>
      </c>
      <c r="H16" s="1">
        <v>52946</v>
      </c>
      <c r="I16" s="1">
        <v>52946</v>
      </c>
      <c r="J16" s="1">
        <v>52946</v>
      </c>
      <c r="K16" s="1">
        <v>52946</v>
      </c>
      <c r="L16" s="1">
        <v>52946</v>
      </c>
      <c r="M16" s="1">
        <v>52946</v>
      </c>
      <c r="N16" s="1">
        <v>52947</v>
      </c>
      <c r="O16" s="1">
        <v>52952</v>
      </c>
      <c r="P16" s="1">
        <v>52962</v>
      </c>
      <c r="Q16" s="1">
        <v>52975</v>
      </c>
      <c r="R16" s="1">
        <v>52990</v>
      </c>
      <c r="S16" s="1">
        <v>53006</v>
      </c>
      <c r="T16" s="1">
        <v>53021</v>
      </c>
      <c r="U16" s="1">
        <v>53029</v>
      </c>
      <c r="V16" s="1">
        <v>53035</v>
      </c>
      <c r="W16" s="1">
        <v>53041</v>
      </c>
      <c r="X16" s="1">
        <v>53042</v>
      </c>
      <c r="Y16" s="1">
        <v>53042</v>
      </c>
      <c r="Z16" s="1">
        <v>53042</v>
      </c>
      <c r="AA16" s="1">
        <v>53042</v>
      </c>
      <c r="AB16" s="1">
        <v>53042</v>
      </c>
      <c r="AC16" s="1">
        <v>53042</v>
      </c>
      <c r="AD16" s="1">
        <v>53042</v>
      </c>
      <c r="AE16" s="1">
        <v>53042</v>
      </c>
      <c r="AF16" s="1">
        <v>53042</v>
      </c>
      <c r="AG16" s="1">
        <v>53042</v>
      </c>
      <c r="AH16" s="1">
        <v>53042</v>
      </c>
      <c r="AI16" s="1">
        <v>53042</v>
      </c>
      <c r="AJ16" s="1">
        <v>53042</v>
      </c>
      <c r="AK16" s="1">
        <v>53042</v>
      </c>
      <c r="AL16" s="1">
        <v>53043</v>
      </c>
      <c r="AM16" s="1">
        <v>53049</v>
      </c>
      <c r="AN16" s="1">
        <v>53059</v>
      </c>
      <c r="AO16" s="1">
        <v>53072</v>
      </c>
      <c r="AP16" s="1">
        <v>53087</v>
      </c>
      <c r="AQ16" s="1">
        <v>53103</v>
      </c>
      <c r="AR16" s="1">
        <v>53120</v>
      </c>
      <c r="AS16" s="1">
        <v>53133</v>
      </c>
      <c r="AT16" s="1">
        <v>53145</v>
      </c>
      <c r="AU16" s="1">
        <v>53154</v>
      </c>
      <c r="AV16" s="1">
        <v>53158</v>
      </c>
      <c r="AW16" s="1">
        <v>53158</v>
      </c>
      <c r="AX16" s="1">
        <v>53158</v>
      </c>
      <c r="AY16" s="1">
        <v>53158</v>
      </c>
      <c r="AZ16" s="1">
        <v>53158</v>
      </c>
      <c r="BA16" s="1">
        <v>53158</v>
      </c>
      <c r="BB16" s="1">
        <v>53158</v>
      </c>
      <c r="BC16" s="1">
        <v>53158</v>
      </c>
      <c r="BD16" s="1">
        <v>53158</v>
      </c>
      <c r="BE16" s="1">
        <v>53158</v>
      </c>
      <c r="BF16" s="1">
        <v>53158</v>
      </c>
      <c r="BG16" s="1">
        <v>53158</v>
      </c>
      <c r="BH16" s="1">
        <v>53158</v>
      </c>
      <c r="BI16" s="1">
        <v>53159</v>
      </c>
      <c r="BJ16" s="1">
        <v>53162</v>
      </c>
      <c r="BK16" s="1">
        <v>53168</v>
      </c>
      <c r="BL16" s="1">
        <v>53175</v>
      </c>
      <c r="BM16" s="1">
        <v>53185</v>
      </c>
      <c r="BN16" s="1">
        <v>53194</v>
      </c>
      <c r="BO16" s="1">
        <v>53204</v>
      </c>
      <c r="BP16" s="1">
        <v>53213</v>
      </c>
      <c r="BQ16" s="1">
        <v>53220</v>
      </c>
      <c r="BR16" s="1">
        <v>53229</v>
      </c>
      <c r="BS16" s="1">
        <v>53237</v>
      </c>
      <c r="BT16" s="1">
        <v>53241</v>
      </c>
      <c r="BU16" s="1">
        <v>53241</v>
      </c>
      <c r="BV16" s="1">
        <v>53241</v>
      </c>
      <c r="BW16" s="1">
        <v>53241</v>
      </c>
      <c r="BX16" s="1">
        <v>53241</v>
      </c>
      <c r="BY16" s="1">
        <v>53241</v>
      </c>
      <c r="BZ16" s="1">
        <v>53241</v>
      </c>
      <c r="CA16" s="1">
        <v>53241</v>
      </c>
      <c r="CB16" s="1">
        <v>53241</v>
      </c>
      <c r="CC16" s="1">
        <v>53241</v>
      </c>
      <c r="CD16" s="1">
        <v>53241</v>
      </c>
      <c r="CE16" s="1">
        <v>53241</v>
      </c>
      <c r="CF16" s="1">
        <v>53241</v>
      </c>
      <c r="CG16" s="1">
        <v>53241</v>
      </c>
      <c r="CH16" s="1">
        <v>53242</v>
      </c>
      <c r="CI16" s="1">
        <v>53248</v>
      </c>
      <c r="CJ16" s="1">
        <v>53258</v>
      </c>
      <c r="CK16" s="1">
        <v>53271</v>
      </c>
      <c r="CL16" s="1">
        <v>53287</v>
      </c>
      <c r="CM16" s="1">
        <v>53303</v>
      </c>
      <c r="CN16" s="1">
        <v>53317</v>
      </c>
      <c r="CO16" s="1">
        <v>53327</v>
      </c>
      <c r="CP16" s="1">
        <v>53338</v>
      </c>
      <c r="CQ16" s="1">
        <v>53345</v>
      </c>
      <c r="CR16" s="1">
        <v>53349</v>
      </c>
      <c r="CS16" s="1">
        <v>53349</v>
      </c>
      <c r="CT16" s="1">
        <v>53349</v>
      </c>
      <c r="CU16" s="1">
        <v>53349</v>
      </c>
      <c r="CV16" s="1">
        <v>53349</v>
      </c>
      <c r="CW16" s="1">
        <v>53349</v>
      </c>
      <c r="CX16" s="1">
        <v>53349</v>
      </c>
      <c r="CY16" s="1">
        <v>53349</v>
      </c>
      <c r="CZ16" s="1">
        <v>53349</v>
      </c>
      <c r="DA16" s="1">
        <v>53349</v>
      </c>
      <c r="DB16" s="1">
        <v>53349</v>
      </c>
      <c r="DC16" s="1">
        <v>53349</v>
      </c>
      <c r="DD16" s="1">
        <v>53349</v>
      </c>
      <c r="DE16" s="1">
        <v>53350</v>
      </c>
      <c r="DF16" s="1">
        <v>53351</v>
      </c>
      <c r="DG16" s="1">
        <v>53354</v>
      </c>
      <c r="DH16" s="1">
        <v>53358</v>
      </c>
      <c r="DI16" s="1">
        <v>53364</v>
      </c>
      <c r="DJ16" s="1">
        <v>53371</v>
      </c>
      <c r="DK16" s="1">
        <v>53376</v>
      </c>
      <c r="DL16" s="1">
        <v>53380</v>
      </c>
      <c r="DM16" s="1">
        <v>53382</v>
      </c>
      <c r="DN16" s="1">
        <v>53382</v>
      </c>
      <c r="DO16" s="1">
        <v>53383</v>
      </c>
      <c r="DP16" s="1">
        <v>53383</v>
      </c>
      <c r="DQ16" s="1">
        <v>53383</v>
      </c>
      <c r="DR16" s="1">
        <v>53383</v>
      </c>
      <c r="DS16" s="1">
        <v>53383</v>
      </c>
      <c r="DT16" s="1">
        <v>53383</v>
      </c>
      <c r="DU16" s="1">
        <v>53383</v>
      </c>
      <c r="DV16" s="1">
        <v>53383</v>
      </c>
      <c r="DW16" s="1">
        <v>53383</v>
      </c>
      <c r="DX16" s="1">
        <v>53383</v>
      </c>
      <c r="DY16" s="1">
        <v>53383</v>
      </c>
      <c r="DZ16" s="1">
        <v>53383</v>
      </c>
      <c r="EA16" s="1">
        <v>53383</v>
      </c>
      <c r="EB16" s="1">
        <v>53383</v>
      </c>
      <c r="EC16" s="1">
        <v>53383</v>
      </c>
      <c r="ED16" s="1">
        <v>53384</v>
      </c>
      <c r="EE16" s="1">
        <v>53390</v>
      </c>
      <c r="EF16" s="1">
        <v>53397</v>
      </c>
      <c r="EG16" s="1">
        <v>53403</v>
      </c>
      <c r="EH16" s="1">
        <v>53419</v>
      </c>
      <c r="EI16" s="1">
        <v>53432</v>
      </c>
      <c r="EJ16" s="1">
        <v>53445</v>
      </c>
      <c r="EK16" s="1">
        <v>53456</v>
      </c>
      <c r="EL16" s="1">
        <v>53468</v>
      </c>
      <c r="EM16" s="1">
        <v>53474</v>
      </c>
      <c r="EN16" s="1">
        <v>53479</v>
      </c>
      <c r="EO16" s="1">
        <v>53479</v>
      </c>
      <c r="EP16" s="1">
        <v>53479</v>
      </c>
      <c r="EQ16" s="1">
        <v>53479</v>
      </c>
      <c r="ER16" s="1">
        <v>53479</v>
      </c>
      <c r="ES16" s="1">
        <v>53479</v>
      </c>
      <c r="ET16" s="1">
        <v>53479</v>
      </c>
      <c r="EU16" s="1">
        <v>53479</v>
      </c>
      <c r="EV16" s="1">
        <v>53479</v>
      </c>
      <c r="EW16" s="1">
        <v>53479</v>
      </c>
      <c r="EX16" s="1">
        <v>53479</v>
      </c>
      <c r="EY16" s="1">
        <v>53479</v>
      </c>
      <c r="EZ16" s="1">
        <v>53479</v>
      </c>
      <c r="FA16" s="1">
        <v>53479</v>
      </c>
      <c r="FB16" s="1">
        <v>53480</v>
      </c>
      <c r="FC16" s="1">
        <v>53486</v>
      </c>
      <c r="FD16" s="1">
        <v>53496</v>
      </c>
      <c r="FE16" s="1">
        <v>53508</v>
      </c>
      <c r="FF16" s="1">
        <v>53523</v>
      </c>
      <c r="FG16" s="1">
        <v>53538</v>
      </c>
      <c r="FH16" s="1">
        <v>53554</v>
      </c>
      <c r="FI16" s="1">
        <v>53568</v>
      </c>
      <c r="FJ16" s="1">
        <v>53580</v>
      </c>
      <c r="FK16" s="1">
        <v>53588</v>
      </c>
      <c r="FL16" s="1">
        <v>53590</v>
      </c>
      <c r="FM16" s="1">
        <v>53590</v>
      </c>
      <c r="FN16" s="1">
        <v>53590</v>
      </c>
      <c r="FO16" s="1">
        <v>53590</v>
      </c>
      <c r="FP16" s="1">
        <v>53590</v>
      </c>
      <c r="FQ16" s="1">
        <v>53590</v>
      </c>
      <c r="FR16" s="1">
        <v>53590</v>
      </c>
      <c r="FS16" s="1">
        <v>53590</v>
      </c>
      <c r="FT16" s="1">
        <v>53590</v>
      </c>
      <c r="FU16" s="1">
        <v>53590</v>
      </c>
      <c r="FV16" s="1">
        <v>53590</v>
      </c>
      <c r="FW16" s="1">
        <v>53590</v>
      </c>
      <c r="FX16" s="1">
        <v>53590</v>
      </c>
      <c r="FY16" s="1">
        <v>53591</v>
      </c>
      <c r="FZ16" s="1">
        <v>53592</v>
      </c>
      <c r="GA16" s="1">
        <v>53598</v>
      </c>
      <c r="GB16" s="1">
        <v>53607</v>
      </c>
      <c r="GC16" s="1">
        <v>53619</v>
      </c>
      <c r="GD16" s="1">
        <v>53633</v>
      </c>
      <c r="GE16" s="1">
        <v>53649</v>
      </c>
      <c r="GF16" s="1">
        <v>53662</v>
      </c>
      <c r="GG16" s="1">
        <v>53672</v>
      </c>
      <c r="GH16" s="1">
        <v>53676</v>
      </c>
      <c r="GI16" s="1">
        <v>53680</v>
      </c>
      <c r="GJ16" s="1">
        <v>53681</v>
      </c>
      <c r="GK16" s="1">
        <v>53681</v>
      </c>
      <c r="GL16" s="1">
        <v>53681</v>
      </c>
      <c r="GM16" s="1">
        <v>53681</v>
      </c>
      <c r="GN16" s="1">
        <v>53681</v>
      </c>
      <c r="GO16" s="1">
        <v>53681</v>
      </c>
      <c r="GP16" s="1">
        <v>53681</v>
      </c>
      <c r="GQ16" s="1">
        <v>53681</v>
      </c>
      <c r="GR16" s="1">
        <v>53681</v>
      </c>
      <c r="GS16" s="1">
        <v>53681</v>
      </c>
      <c r="GT16" s="1">
        <v>53681</v>
      </c>
      <c r="GU16" s="1">
        <v>53681</v>
      </c>
      <c r="GV16" s="1">
        <v>53681</v>
      </c>
      <c r="GW16" s="1">
        <v>53681</v>
      </c>
      <c r="GX16" s="1">
        <v>53682</v>
      </c>
      <c r="GY16" s="1">
        <v>53683</v>
      </c>
      <c r="GZ16" s="1">
        <v>53686</v>
      </c>
      <c r="HA16" s="1">
        <v>53689</v>
      </c>
      <c r="HB16" s="1">
        <v>53700</v>
      </c>
      <c r="HC16" s="1">
        <v>53712</v>
      </c>
      <c r="HD16" s="1">
        <v>53727</v>
      </c>
      <c r="HE16" s="1">
        <v>53735</v>
      </c>
      <c r="HF16" s="1">
        <v>53746</v>
      </c>
      <c r="HG16" s="1">
        <v>53752</v>
      </c>
      <c r="HH16" s="1">
        <v>53755</v>
      </c>
      <c r="HI16" s="1">
        <v>53755</v>
      </c>
      <c r="HJ16" s="1">
        <v>53755</v>
      </c>
      <c r="HK16" s="1">
        <v>53755</v>
      </c>
      <c r="HL16" s="1">
        <v>53755</v>
      </c>
      <c r="HM16" s="1">
        <v>53755</v>
      </c>
      <c r="HN16" s="1">
        <v>53755</v>
      </c>
      <c r="HO16" s="1">
        <v>53755</v>
      </c>
      <c r="HP16" s="1">
        <v>53755</v>
      </c>
      <c r="HQ16" s="1">
        <v>53755</v>
      </c>
      <c r="HR16" s="1">
        <v>53755</v>
      </c>
      <c r="HS16" s="1">
        <v>53755</v>
      </c>
      <c r="HT16" s="1">
        <v>53755</v>
      </c>
      <c r="HU16" s="1">
        <v>53756</v>
      </c>
      <c r="HV16" s="1">
        <v>53757</v>
      </c>
      <c r="HW16" s="1">
        <v>53762</v>
      </c>
      <c r="HX16" s="1">
        <v>53772</v>
      </c>
      <c r="HY16" s="1">
        <v>53785</v>
      </c>
      <c r="HZ16" s="1">
        <v>53796</v>
      </c>
      <c r="IA16" s="1">
        <v>53811</v>
      </c>
      <c r="IB16" s="1">
        <v>53827</v>
      </c>
      <c r="IC16" s="1">
        <v>53842</v>
      </c>
      <c r="ID16" s="1">
        <v>53845</v>
      </c>
      <c r="IE16" s="1">
        <v>53847</v>
      </c>
      <c r="IF16" s="1">
        <v>53849</v>
      </c>
      <c r="IG16" s="1">
        <v>53849</v>
      </c>
      <c r="IH16" s="1">
        <v>53849</v>
      </c>
      <c r="II16" s="1">
        <v>53849</v>
      </c>
      <c r="IJ16" s="1">
        <v>53849</v>
      </c>
      <c r="IK16" s="1">
        <v>53849</v>
      </c>
      <c r="IL16" s="1">
        <v>53849</v>
      </c>
      <c r="IM16" s="1">
        <v>53849</v>
      </c>
      <c r="IN16" s="1">
        <v>53849</v>
      </c>
      <c r="IO16" s="1">
        <v>53849</v>
      </c>
      <c r="IP16" s="1">
        <v>53849</v>
      </c>
      <c r="IQ16" s="1">
        <v>53849</v>
      </c>
      <c r="IR16" s="1">
        <v>53849</v>
      </c>
      <c r="IS16" s="1">
        <v>53849</v>
      </c>
      <c r="IT16" s="1">
        <v>53850</v>
      </c>
      <c r="IU16" s="1">
        <v>53850</v>
      </c>
      <c r="IV16" s="1">
        <v>53851</v>
      </c>
      <c r="IW16" s="1">
        <v>53851</v>
      </c>
      <c r="IX16" s="1">
        <v>53853</v>
      </c>
      <c r="IY16" s="1">
        <v>53859</v>
      </c>
      <c r="IZ16" s="1">
        <v>53867</v>
      </c>
      <c r="JA16" s="1">
        <v>53877</v>
      </c>
      <c r="JB16" s="1">
        <v>53884</v>
      </c>
      <c r="JC16" s="1">
        <v>53890</v>
      </c>
      <c r="JD16" s="1">
        <v>53891</v>
      </c>
      <c r="JE16" s="1">
        <v>53891</v>
      </c>
      <c r="JF16" s="1">
        <v>53891</v>
      </c>
      <c r="JG16" s="1">
        <v>53891</v>
      </c>
      <c r="JH16" s="1">
        <v>53891</v>
      </c>
      <c r="JI16" s="1">
        <v>53891</v>
      </c>
      <c r="JJ16" s="1">
        <v>53891</v>
      </c>
      <c r="JK16" s="1">
        <v>53891</v>
      </c>
      <c r="JL16" s="1">
        <v>53891</v>
      </c>
      <c r="JM16" s="1">
        <v>53891</v>
      </c>
      <c r="JN16" s="1">
        <v>53891</v>
      </c>
      <c r="JO16" s="1">
        <v>53891</v>
      </c>
      <c r="JP16" s="1">
        <v>53891</v>
      </c>
      <c r="JQ16" s="1">
        <v>53892</v>
      </c>
      <c r="JR16" s="1">
        <v>53893</v>
      </c>
      <c r="JS16" s="1">
        <v>53897</v>
      </c>
      <c r="JT16" s="1">
        <v>53908</v>
      </c>
      <c r="JU16" s="1">
        <v>53915</v>
      </c>
      <c r="JV16" s="1">
        <v>53929</v>
      </c>
      <c r="JW16" s="1">
        <v>53945</v>
      </c>
      <c r="JX16" s="1">
        <v>53961</v>
      </c>
      <c r="JY16" s="1">
        <v>53974</v>
      </c>
      <c r="JZ16" s="1">
        <v>53985</v>
      </c>
      <c r="KA16" s="1">
        <v>53986</v>
      </c>
      <c r="KB16" s="1">
        <v>53987</v>
      </c>
      <c r="KC16" s="1">
        <v>53987</v>
      </c>
      <c r="KD16" s="1">
        <v>53987</v>
      </c>
      <c r="KE16" s="1">
        <v>53987</v>
      </c>
      <c r="KF16" s="1">
        <v>53987</v>
      </c>
      <c r="KG16" s="1">
        <v>53987</v>
      </c>
      <c r="KH16" s="1">
        <v>53987</v>
      </c>
      <c r="KI16" s="1">
        <v>53987</v>
      </c>
      <c r="KJ16" s="1">
        <v>53987</v>
      </c>
      <c r="KK16" s="1">
        <v>53987</v>
      </c>
      <c r="KL16" s="1">
        <v>53987</v>
      </c>
      <c r="KM16" s="1">
        <v>53987</v>
      </c>
      <c r="KN16" s="1">
        <v>53987</v>
      </c>
      <c r="KO16" s="1">
        <v>53987</v>
      </c>
      <c r="KP16" s="1">
        <v>53989</v>
      </c>
      <c r="KQ16" s="1">
        <v>53993</v>
      </c>
      <c r="KR16" s="1">
        <v>54000</v>
      </c>
      <c r="KS16" s="1">
        <v>54008</v>
      </c>
      <c r="KT16" s="1">
        <v>54022</v>
      </c>
      <c r="KU16" s="1">
        <v>54032</v>
      </c>
      <c r="KV16" s="1">
        <v>54036</v>
      </c>
      <c r="KW16" s="1">
        <v>54038</v>
      </c>
      <c r="KX16" s="1">
        <v>54043</v>
      </c>
      <c r="KY16" s="1">
        <v>54045</v>
      </c>
      <c r="KZ16" s="1">
        <v>54045</v>
      </c>
      <c r="LA16" s="1">
        <v>54045</v>
      </c>
      <c r="LB16" s="1">
        <v>54045</v>
      </c>
      <c r="LC16" s="1">
        <v>54045</v>
      </c>
      <c r="LD16" s="1">
        <v>54045</v>
      </c>
      <c r="LE16" s="1">
        <v>54045</v>
      </c>
      <c r="LF16" s="1">
        <v>54045</v>
      </c>
      <c r="LG16" s="1">
        <v>54045</v>
      </c>
      <c r="LH16" s="1">
        <v>54045</v>
      </c>
      <c r="LI16" s="1">
        <v>54045</v>
      </c>
      <c r="LJ16" s="1">
        <v>54045</v>
      </c>
      <c r="LK16" s="1">
        <v>54045</v>
      </c>
      <c r="LL16" s="1">
        <v>54045</v>
      </c>
      <c r="LM16" s="1">
        <v>54045</v>
      </c>
      <c r="LN16" s="1">
        <v>54047</v>
      </c>
      <c r="LO16" s="1">
        <v>54051</v>
      </c>
      <c r="LP16" s="1">
        <v>54055</v>
      </c>
      <c r="LQ16" s="1">
        <v>54058</v>
      </c>
      <c r="LR16" s="1">
        <v>54060</v>
      </c>
      <c r="LS16" s="1">
        <v>54068</v>
      </c>
      <c r="LT16" s="1">
        <v>54075</v>
      </c>
      <c r="LU16" s="1">
        <v>54076</v>
      </c>
      <c r="LV16" s="1">
        <v>54077</v>
      </c>
      <c r="LW16" s="1">
        <v>54077</v>
      </c>
      <c r="LX16" s="1">
        <v>54077</v>
      </c>
      <c r="LY16" s="1">
        <v>54077</v>
      </c>
      <c r="LZ16" s="1">
        <v>54077</v>
      </c>
      <c r="MA16" s="1">
        <v>54077</v>
      </c>
      <c r="MB16" s="1">
        <v>54077</v>
      </c>
      <c r="MC16" s="1">
        <v>54077</v>
      </c>
      <c r="MD16" s="1">
        <v>54077</v>
      </c>
      <c r="ME16" s="1">
        <v>54077</v>
      </c>
      <c r="MF16" s="1">
        <v>54077</v>
      </c>
      <c r="MG16" s="1">
        <v>54077</v>
      </c>
      <c r="MH16" s="1">
        <v>54077</v>
      </c>
      <c r="MI16" s="1">
        <v>54077</v>
      </c>
      <c r="MJ16" s="1">
        <v>54077</v>
      </c>
      <c r="MK16" s="1">
        <v>54077</v>
      </c>
      <c r="ML16" s="1">
        <v>54078</v>
      </c>
      <c r="MM16" s="1">
        <v>54079</v>
      </c>
      <c r="MN16" s="1">
        <v>54080</v>
      </c>
      <c r="MO16" s="1">
        <v>54083</v>
      </c>
      <c r="MP16" s="1">
        <v>54089</v>
      </c>
      <c r="MQ16" s="1">
        <v>54100</v>
      </c>
      <c r="MR16" s="1">
        <v>54112</v>
      </c>
      <c r="MS16" s="1">
        <v>54122</v>
      </c>
      <c r="MT16" s="1">
        <v>54127</v>
      </c>
      <c r="MU16" s="1">
        <v>54130</v>
      </c>
      <c r="MV16" s="1">
        <v>54132</v>
      </c>
      <c r="MW16" s="1">
        <v>54132</v>
      </c>
      <c r="MX16" s="1">
        <v>54132</v>
      </c>
      <c r="MY16" s="1">
        <v>54132</v>
      </c>
      <c r="MZ16" s="1">
        <v>54132</v>
      </c>
      <c r="NA16" s="1">
        <v>54132</v>
      </c>
      <c r="NB16" s="1">
        <v>54132</v>
      </c>
      <c r="NC16" s="1">
        <v>54132</v>
      </c>
      <c r="ND16" s="1">
        <v>54132</v>
      </c>
      <c r="NE16" s="1">
        <v>54132</v>
      </c>
      <c r="NF16" s="1">
        <v>54132</v>
      </c>
      <c r="NG16" s="1">
        <v>54132</v>
      </c>
      <c r="NH16" s="1">
        <v>54132</v>
      </c>
      <c r="NI16" s="1">
        <v>54132</v>
      </c>
      <c r="NJ16" s="1">
        <v>54134</v>
      </c>
      <c r="NK16" s="1">
        <v>54137</v>
      </c>
      <c r="NL16" s="1">
        <v>54142</v>
      </c>
      <c r="NM16" s="1">
        <v>54151</v>
      </c>
      <c r="NN16" s="1">
        <v>54163</v>
      </c>
      <c r="NO16" s="1">
        <v>54173</v>
      </c>
      <c r="NP16" s="1">
        <v>54185</v>
      </c>
      <c r="NQ16" s="1">
        <v>54189</v>
      </c>
      <c r="NR16" s="1">
        <v>54190</v>
      </c>
      <c r="NS16" s="1">
        <v>54193</v>
      </c>
      <c r="NT16" s="1">
        <v>54195</v>
      </c>
      <c r="NU16" s="1">
        <v>54195</v>
      </c>
      <c r="NV16" s="1">
        <v>54195</v>
      </c>
      <c r="NW16" s="1">
        <v>54195</v>
      </c>
      <c r="NX16" s="1">
        <v>54195</v>
      </c>
      <c r="NY16" s="1">
        <v>54195</v>
      </c>
      <c r="NZ16" s="1">
        <v>54195</v>
      </c>
      <c r="OA16" s="1">
        <v>54195</v>
      </c>
      <c r="OB16" s="1">
        <v>54195</v>
      </c>
      <c r="OC16" s="1">
        <v>54195</v>
      </c>
      <c r="OD16" s="1">
        <v>54195</v>
      </c>
      <c r="OE16" s="1">
        <v>54195</v>
      </c>
      <c r="OF16" s="1">
        <v>54195</v>
      </c>
      <c r="OG16" s="1">
        <v>54195</v>
      </c>
      <c r="OH16" s="1">
        <v>54197</v>
      </c>
      <c r="OI16" s="1">
        <v>54202</v>
      </c>
      <c r="OJ16" s="1">
        <v>54212</v>
      </c>
      <c r="OK16" s="1">
        <v>54225</v>
      </c>
      <c r="OL16" s="1">
        <v>54239</v>
      </c>
      <c r="OM16" s="1">
        <v>54255</v>
      </c>
      <c r="ON16" s="1">
        <v>54270</v>
      </c>
      <c r="OO16" s="1">
        <v>54284</v>
      </c>
      <c r="OP16" s="1">
        <v>54295</v>
      </c>
      <c r="OQ16" s="1">
        <v>54302</v>
      </c>
      <c r="OR16" s="1">
        <v>54304</v>
      </c>
      <c r="OS16" s="1">
        <v>54304</v>
      </c>
      <c r="OT16" s="1">
        <v>54304</v>
      </c>
      <c r="OU16" s="1">
        <v>54304</v>
      </c>
      <c r="OV16" s="1">
        <v>54304</v>
      </c>
      <c r="OW16" s="1">
        <v>54304</v>
      </c>
      <c r="OX16" s="1">
        <v>54304</v>
      </c>
      <c r="OY16" s="1">
        <v>54304</v>
      </c>
      <c r="OZ16" s="1">
        <v>54304</v>
      </c>
      <c r="PA16" s="1">
        <v>54304</v>
      </c>
      <c r="PB16" s="1">
        <v>54304</v>
      </c>
      <c r="PC16" s="1">
        <v>54304</v>
      </c>
      <c r="PD16" s="1">
        <v>54304</v>
      </c>
      <c r="PE16" s="1">
        <v>54304</v>
      </c>
      <c r="PF16" s="1">
        <v>54306</v>
      </c>
      <c r="PG16" s="1">
        <v>54311</v>
      </c>
      <c r="PH16" s="1">
        <v>54320</v>
      </c>
      <c r="PI16" s="1">
        <v>54331</v>
      </c>
      <c r="PJ16" s="1">
        <v>54344</v>
      </c>
      <c r="PK16" s="1">
        <v>54354</v>
      </c>
      <c r="PL16" s="1">
        <v>54367</v>
      </c>
      <c r="PM16" s="1">
        <v>54380</v>
      </c>
      <c r="PN16" s="1">
        <v>54387</v>
      </c>
      <c r="PO16" s="1">
        <v>54387</v>
      </c>
      <c r="PP16" s="1">
        <v>54387</v>
      </c>
      <c r="PQ16" s="1">
        <v>54387</v>
      </c>
      <c r="PR16" s="1">
        <v>54387</v>
      </c>
      <c r="PS16" s="1">
        <v>54387</v>
      </c>
      <c r="PT16" s="1">
        <v>54387</v>
      </c>
      <c r="PU16" s="1">
        <v>54387</v>
      </c>
      <c r="PV16" s="1">
        <v>54387</v>
      </c>
      <c r="PW16" s="1">
        <v>54387</v>
      </c>
      <c r="PX16" s="1">
        <v>54387</v>
      </c>
      <c r="PY16" s="1">
        <v>54387</v>
      </c>
      <c r="PZ16" s="1">
        <v>54387</v>
      </c>
      <c r="QA16" s="1">
        <v>54387</v>
      </c>
      <c r="QB16" s="1">
        <v>54387</v>
      </c>
      <c r="QC16" s="1">
        <v>54387</v>
      </c>
      <c r="QD16" s="1">
        <v>54387</v>
      </c>
      <c r="QE16" s="1">
        <v>54387</v>
      </c>
      <c r="QF16" s="1">
        <v>54389</v>
      </c>
      <c r="QG16" s="1">
        <v>54391</v>
      </c>
      <c r="QH16" s="1">
        <v>54396</v>
      </c>
      <c r="QI16" s="1">
        <v>54401</v>
      </c>
      <c r="QJ16" s="1">
        <v>54407</v>
      </c>
      <c r="QK16" s="1">
        <v>54412</v>
      </c>
      <c r="QL16" s="1">
        <v>54413</v>
      </c>
      <c r="QM16" s="1">
        <v>54413</v>
      </c>
      <c r="QN16" s="1">
        <v>54413</v>
      </c>
      <c r="QO16" s="1">
        <v>54413</v>
      </c>
      <c r="QP16" s="1">
        <v>54413</v>
      </c>
      <c r="QQ16" s="1">
        <v>54413</v>
      </c>
      <c r="QR16" s="1">
        <v>54413</v>
      </c>
      <c r="QS16" s="1">
        <v>54413</v>
      </c>
      <c r="QT16" s="1">
        <v>54413</v>
      </c>
      <c r="QU16" s="1">
        <v>54413</v>
      </c>
      <c r="QV16" s="1">
        <v>54413</v>
      </c>
      <c r="QW16" s="1">
        <v>54413</v>
      </c>
      <c r="QX16" s="1">
        <v>54413</v>
      </c>
      <c r="QY16" s="1">
        <v>54413</v>
      </c>
      <c r="QZ16" s="1">
        <v>54413</v>
      </c>
      <c r="RA16" s="1">
        <v>54413</v>
      </c>
      <c r="RB16" s="1">
        <v>54415</v>
      </c>
      <c r="RC16" s="1">
        <v>54421</v>
      </c>
      <c r="RD16" s="1">
        <v>54430</v>
      </c>
      <c r="RE16" s="1">
        <v>54443</v>
      </c>
      <c r="RF16" s="1">
        <v>54458</v>
      </c>
      <c r="RG16" s="1">
        <v>54474</v>
      </c>
      <c r="RH16" s="1">
        <v>54490</v>
      </c>
      <c r="RI16" s="1">
        <v>54491</v>
      </c>
      <c r="RJ16" s="1">
        <v>54491</v>
      </c>
      <c r="RK16" s="1">
        <v>54491</v>
      </c>
      <c r="RL16" s="1">
        <v>54491</v>
      </c>
      <c r="RM16" s="1">
        <v>54491</v>
      </c>
      <c r="RN16" s="1">
        <v>54491</v>
      </c>
      <c r="RO16" s="1">
        <v>54491</v>
      </c>
      <c r="RP16" s="1">
        <v>54491</v>
      </c>
      <c r="RQ16" s="1">
        <v>54491</v>
      </c>
      <c r="RR16" s="1">
        <v>54491</v>
      </c>
      <c r="RS16" s="1">
        <v>54491</v>
      </c>
      <c r="RT16" s="1">
        <v>54491</v>
      </c>
      <c r="RU16" s="1">
        <v>54491</v>
      </c>
      <c r="RV16" s="1">
        <v>54491</v>
      </c>
      <c r="RW16" s="1">
        <v>54491</v>
      </c>
      <c r="RX16" s="1">
        <v>54491</v>
      </c>
      <c r="RY16" s="1">
        <v>54491</v>
      </c>
      <c r="RZ16" s="1">
        <v>54491</v>
      </c>
      <c r="SA16" s="1">
        <v>54491</v>
      </c>
      <c r="SB16" s="1">
        <v>54491</v>
      </c>
      <c r="SC16" s="1">
        <v>54491</v>
      </c>
      <c r="SD16" s="1">
        <v>54491</v>
      </c>
      <c r="SE16" s="1">
        <v>54491</v>
      </c>
      <c r="SF16" s="1">
        <v>54491</v>
      </c>
      <c r="SG16" s="1">
        <v>54491</v>
      </c>
      <c r="SH16" s="1">
        <v>54491</v>
      </c>
      <c r="SI16" s="1">
        <v>54491</v>
      </c>
      <c r="SJ16" s="1">
        <v>54491</v>
      </c>
      <c r="SK16" s="1">
        <v>54491</v>
      </c>
      <c r="SL16" s="1">
        <v>54491</v>
      </c>
      <c r="SM16" s="1">
        <v>54491</v>
      </c>
      <c r="SN16" s="1">
        <v>54491</v>
      </c>
      <c r="SO16" s="1">
        <v>54491</v>
      </c>
      <c r="SP16" s="1">
        <v>54491</v>
      </c>
      <c r="SQ16" s="1">
        <v>54491</v>
      </c>
      <c r="SR16" s="1">
        <v>54491</v>
      </c>
      <c r="SS16" s="1">
        <v>54491</v>
      </c>
      <c r="ST16" s="1">
        <v>54491</v>
      </c>
      <c r="SU16" s="1">
        <v>54491</v>
      </c>
      <c r="SV16" s="1">
        <v>54491</v>
      </c>
      <c r="SW16" s="1">
        <v>54491</v>
      </c>
      <c r="SX16" s="1">
        <v>54491</v>
      </c>
      <c r="SY16" s="1">
        <v>54491</v>
      </c>
    </row>
    <row r="17" spans="1:519">
      <c r="A17" s="1">
        <v>16</v>
      </c>
      <c r="B17" s="1" t="s">
        <v>2</v>
      </c>
      <c r="C17" s="1" t="s">
        <v>3</v>
      </c>
      <c r="D17" s="1" t="s">
        <v>20</v>
      </c>
      <c r="E17" s="1" t="s">
        <v>5</v>
      </c>
      <c r="F17" s="1">
        <v>82430</v>
      </c>
      <c r="G17" s="1">
        <v>82430</v>
      </c>
      <c r="H17" s="1">
        <v>82430</v>
      </c>
      <c r="I17" s="1">
        <v>82430</v>
      </c>
      <c r="J17" s="1">
        <v>82430</v>
      </c>
      <c r="K17" s="1">
        <v>82430</v>
      </c>
      <c r="L17" s="1">
        <v>82430</v>
      </c>
      <c r="M17" s="1">
        <v>82431</v>
      </c>
      <c r="N17" s="1">
        <v>82434</v>
      </c>
      <c r="O17" s="1">
        <v>82442</v>
      </c>
      <c r="P17" s="1">
        <v>82457</v>
      </c>
      <c r="Q17" s="1">
        <v>82476</v>
      </c>
      <c r="R17" s="1">
        <v>82500</v>
      </c>
      <c r="S17" s="1">
        <v>82524</v>
      </c>
      <c r="T17" s="1">
        <v>82547</v>
      </c>
      <c r="U17" s="1">
        <v>82559</v>
      </c>
      <c r="V17" s="1">
        <v>82569</v>
      </c>
      <c r="W17" s="1">
        <v>82579</v>
      </c>
      <c r="X17" s="1">
        <v>82579</v>
      </c>
      <c r="Y17" s="1">
        <v>82579</v>
      </c>
      <c r="Z17" s="1">
        <v>82579</v>
      </c>
      <c r="AA17" s="1">
        <v>82579</v>
      </c>
      <c r="AB17" s="1">
        <v>82579</v>
      </c>
      <c r="AC17" s="1">
        <v>82579</v>
      </c>
      <c r="AD17" s="1">
        <v>82579</v>
      </c>
      <c r="AE17" s="1">
        <v>82579</v>
      </c>
      <c r="AF17" s="1">
        <v>82579</v>
      </c>
      <c r="AG17" s="1">
        <v>82579</v>
      </c>
      <c r="AH17" s="1">
        <v>82579</v>
      </c>
      <c r="AI17" s="1">
        <v>82579</v>
      </c>
      <c r="AJ17" s="1">
        <v>82579</v>
      </c>
      <c r="AK17" s="1">
        <v>82580</v>
      </c>
      <c r="AL17" s="1">
        <v>82583</v>
      </c>
      <c r="AM17" s="1">
        <v>82593</v>
      </c>
      <c r="AN17" s="1">
        <v>82608</v>
      </c>
      <c r="AO17" s="1">
        <v>82628</v>
      </c>
      <c r="AP17" s="1">
        <v>82651</v>
      </c>
      <c r="AQ17" s="1">
        <v>82676</v>
      </c>
      <c r="AR17" s="1">
        <v>82700</v>
      </c>
      <c r="AS17" s="1">
        <v>82721</v>
      </c>
      <c r="AT17" s="1">
        <v>82739</v>
      </c>
      <c r="AU17" s="1">
        <v>82752</v>
      </c>
      <c r="AV17" s="1">
        <v>82759</v>
      </c>
      <c r="AW17" s="1">
        <v>82759</v>
      </c>
      <c r="AX17" s="1">
        <v>82759</v>
      </c>
      <c r="AY17" s="1">
        <v>82759</v>
      </c>
      <c r="AZ17" s="1">
        <v>82759</v>
      </c>
      <c r="BA17" s="1">
        <v>82759</v>
      </c>
      <c r="BB17" s="1">
        <v>82759</v>
      </c>
      <c r="BC17" s="1">
        <v>82759</v>
      </c>
      <c r="BD17" s="1">
        <v>82759</v>
      </c>
      <c r="BE17" s="1">
        <v>82759</v>
      </c>
      <c r="BF17" s="1">
        <v>82759</v>
      </c>
      <c r="BG17" s="1">
        <v>82759</v>
      </c>
      <c r="BH17" s="1">
        <v>82759</v>
      </c>
      <c r="BI17" s="1">
        <v>82760</v>
      </c>
      <c r="BJ17" s="1">
        <v>82766</v>
      </c>
      <c r="BK17" s="1">
        <v>82775</v>
      </c>
      <c r="BL17" s="1">
        <v>82787</v>
      </c>
      <c r="BM17" s="1">
        <v>82802</v>
      </c>
      <c r="BN17" s="1">
        <v>82815</v>
      </c>
      <c r="BO17" s="1">
        <v>82832</v>
      </c>
      <c r="BP17" s="1">
        <v>82845</v>
      </c>
      <c r="BQ17" s="1">
        <v>82857</v>
      </c>
      <c r="BR17" s="1">
        <v>82870</v>
      </c>
      <c r="BS17" s="1">
        <v>82882</v>
      </c>
      <c r="BT17" s="1">
        <v>82889</v>
      </c>
      <c r="BU17" s="1">
        <v>82889</v>
      </c>
      <c r="BV17" s="1">
        <v>82889</v>
      </c>
      <c r="BW17" s="1">
        <v>82889</v>
      </c>
      <c r="BX17" s="1">
        <v>82889</v>
      </c>
      <c r="BY17" s="1">
        <v>82889</v>
      </c>
      <c r="BZ17" s="1">
        <v>82889</v>
      </c>
      <c r="CA17" s="1">
        <v>82889</v>
      </c>
      <c r="CB17" s="1">
        <v>82889</v>
      </c>
      <c r="CC17" s="1">
        <v>82889</v>
      </c>
      <c r="CD17" s="1">
        <v>82889</v>
      </c>
      <c r="CE17" s="1">
        <v>82889</v>
      </c>
      <c r="CF17" s="1">
        <v>82889</v>
      </c>
      <c r="CG17" s="1">
        <v>82889</v>
      </c>
      <c r="CH17" s="1">
        <v>82892</v>
      </c>
      <c r="CI17" s="1">
        <v>82901</v>
      </c>
      <c r="CJ17" s="1">
        <v>82917</v>
      </c>
      <c r="CK17" s="1">
        <v>82937</v>
      </c>
      <c r="CL17" s="1">
        <v>82961</v>
      </c>
      <c r="CM17" s="1">
        <v>82985</v>
      </c>
      <c r="CN17" s="1">
        <v>83007</v>
      </c>
      <c r="CO17" s="1">
        <v>83022</v>
      </c>
      <c r="CP17" s="1">
        <v>83038</v>
      </c>
      <c r="CQ17" s="1">
        <v>83050</v>
      </c>
      <c r="CR17" s="1">
        <v>83056</v>
      </c>
      <c r="CS17" s="1">
        <v>83056</v>
      </c>
      <c r="CT17" s="1">
        <v>83056</v>
      </c>
      <c r="CU17" s="1">
        <v>83056</v>
      </c>
      <c r="CV17" s="1">
        <v>83056</v>
      </c>
      <c r="CW17" s="1">
        <v>83056</v>
      </c>
      <c r="CX17" s="1">
        <v>83056</v>
      </c>
      <c r="CY17" s="1">
        <v>83056</v>
      </c>
      <c r="CZ17" s="1">
        <v>83056</v>
      </c>
      <c r="DA17" s="1">
        <v>83056</v>
      </c>
      <c r="DB17" s="1">
        <v>83056</v>
      </c>
      <c r="DC17" s="1">
        <v>83056</v>
      </c>
      <c r="DD17" s="1">
        <v>83056</v>
      </c>
      <c r="DE17" s="1">
        <v>83057</v>
      </c>
      <c r="DF17" s="1">
        <v>83059</v>
      </c>
      <c r="DG17" s="1">
        <v>83064</v>
      </c>
      <c r="DH17" s="1">
        <v>83071</v>
      </c>
      <c r="DI17" s="1">
        <v>83080</v>
      </c>
      <c r="DJ17" s="1">
        <v>83091</v>
      </c>
      <c r="DK17" s="1">
        <v>83099</v>
      </c>
      <c r="DL17" s="1">
        <v>83104</v>
      </c>
      <c r="DM17" s="1">
        <v>83108</v>
      </c>
      <c r="DN17" s="1">
        <v>83109</v>
      </c>
      <c r="DO17" s="1">
        <v>83109</v>
      </c>
      <c r="DP17" s="1">
        <v>83110</v>
      </c>
      <c r="DQ17" s="1">
        <v>83110</v>
      </c>
      <c r="DR17" s="1">
        <v>83110</v>
      </c>
      <c r="DS17" s="1">
        <v>83110</v>
      </c>
      <c r="DT17" s="1">
        <v>83110</v>
      </c>
      <c r="DU17" s="1">
        <v>83110</v>
      </c>
      <c r="DV17" s="1">
        <v>83110</v>
      </c>
      <c r="DW17" s="1">
        <v>83110</v>
      </c>
      <c r="DX17" s="1">
        <v>83110</v>
      </c>
      <c r="DY17" s="1">
        <v>83110</v>
      </c>
      <c r="DZ17" s="1">
        <v>83110</v>
      </c>
      <c r="EA17" s="1">
        <v>83110</v>
      </c>
      <c r="EB17" s="1">
        <v>83110</v>
      </c>
      <c r="EC17" s="1">
        <v>83110</v>
      </c>
      <c r="ED17" s="1">
        <v>83112</v>
      </c>
      <c r="EE17" s="1">
        <v>83121</v>
      </c>
      <c r="EF17" s="1">
        <v>83132</v>
      </c>
      <c r="EG17" s="1">
        <v>83142</v>
      </c>
      <c r="EH17" s="1">
        <v>83165</v>
      </c>
      <c r="EI17" s="1">
        <v>83185</v>
      </c>
      <c r="EJ17" s="1">
        <v>83205</v>
      </c>
      <c r="EK17" s="1">
        <v>83221</v>
      </c>
      <c r="EL17" s="1">
        <v>83239</v>
      </c>
      <c r="EM17" s="1">
        <v>83248</v>
      </c>
      <c r="EN17" s="1">
        <v>83256</v>
      </c>
      <c r="EO17" s="1">
        <v>83256</v>
      </c>
      <c r="EP17" s="1">
        <v>83256</v>
      </c>
      <c r="EQ17" s="1">
        <v>83256</v>
      </c>
      <c r="ER17" s="1">
        <v>83256</v>
      </c>
      <c r="ES17" s="1">
        <v>83256</v>
      </c>
      <c r="ET17" s="1">
        <v>83256</v>
      </c>
      <c r="EU17" s="1">
        <v>83256</v>
      </c>
      <c r="EV17" s="1">
        <v>83256</v>
      </c>
      <c r="EW17" s="1">
        <v>83256</v>
      </c>
      <c r="EX17" s="1">
        <v>83256</v>
      </c>
      <c r="EY17" s="1">
        <v>83256</v>
      </c>
      <c r="EZ17" s="1">
        <v>83256</v>
      </c>
      <c r="FA17" s="1">
        <v>83256</v>
      </c>
      <c r="FB17" s="1">
        <v>83259</v>
      </c>
      <c r="FC17" s="1">
        <v>83269</v>
      </c>
      <c r="FD17" s="1">
        <v>83283</v>
      </c>
      <c r="FE17" s="1">
        <v>83302</v>
      </c>
      <c r="FF17" s="1">
        <v>83325</v>
      </c>
      <c r="FG17" s="1">
        <v>83348</v>
      </c>
      <c r="FH17" s="1">
        <v>83371</v>
      </c>
      <c r="FI17" s="1">
        <v>83393</v>
      </c>
      <c r="FJ17" s="1">
        <v>83411</v>
      </c>
      <c r="FK17" s="1">
        <v>83423</v>
      </c>
      <c r="FL17" s="1">
        <v>83427</v>
      </c>
      <c r="FM17" s="1">
        <v>83427</v>
      </c>
      <c r="FN17" s="1">
        <v>83427</v>
      </c>
      <c r="FO17" s="1">
        <v>83427</v>
      </c>
      <c r="FP17" s="1">
        <v>83427</v>
      </c>
      <c r="FQ17" s="1">
        <v>83427</v>
      </c>
      <c r="FR17" s="1">
        <v>83427</v>
      </c>
      <c r="FS17" s="1">
        <v>83427</v>
      </c>
      <c r="FT17" s="1">
        <v>83427</v>
      </c>
      <c r="FU17" s="1">
        <v>83427</v>
      </c>
      <c r="FV17" s="1">
        <v>83427</v>
      </c>
      <c r="FW17" s="1">
        <v>83427</v>
      </c>
      <c r="FX17" s="1">
        <v>83427</v>
      </c>
      <c r="FY17" s="1">
        <v>83427</v>
      </c>
      <c r="FZ17" s="1">
        <v>83431</v>
      </c>
      <c r="GA17" s="1">
        <v>83440</v>
      </c>
      <c r="GB17" s="1">
        <v>83455</v>
      </c>
      <c r="GC17" s="1">
        <v>83472</v>
      </c>
      <c r="GD17" s="1">
        <v>83494</v>
      </c>
      <c r="GE17" s="1">
        <v>83518</v>
      </c>
      <c r="GF17" s="1">
        <v>83538</v>
      </c>
      <c r="GG17" s="1">
        <v>83553</v>
      </c>
      <c r="GH17" s="1">
        <v>83559</v>
      </c>
      <c r="GI17" s="1">
        <v>83566</v>
      </c>
      <c r="GJ17" s="1">
        <v>83568</v>
      </c>
      <c r="GK17" s="1">
        <v>83568</v>
      </c>
      <c r="GL17" s="1">
        <v>83568</v>
      </c>
      <c r="GM17" s="1">
        <v>83568</v>
      </c>
      <c r="GN17" s="1">
        <v>83568</v>
      </c>
      <c r="GO17" s="1">
        <v>83568</v>
      </c>
      <c r="GP17" s="1">
        <v>83568</v>
      </c>
      <c r="GQ17" s="1">
        <v>83568</v>
      </c>
      <c r="GR17" s="1">
        <v>83568</v>
      </c>
      <c r="GS17" s="1">
        <v>83568</v>
      </c>
      <c r="GT17" s="1">
        <v>83568</v>
      </c>
      <c r="GU17" s="1">
        <v>83568</v>
      </c>
      <c r="GV17" s="1">
        <v>83568</v>
      </c>
      <c r="GW17" s="1">
        <v>83568</v>
      </c>
      <c r="GX17" s="1">
        <v>83568</v>
      </c>
      <c r="GY17" s="1">
        <v>83571</v>
      </c>
      <c r="GZ17" s="1">
        <v>83575</v>
      </c>
      <c r="HA17" s="1">
        <v>83580</v>
      </c>
      <c r="HB17" s="1">
        <v>83597</v>
      </c>
      <c r="HC17" s="1">
        <v>83615</v>
      </c>
      <c r="HD17" s="1">
        <v>83638</v>
      </c>
      <c r="HE17" s="1">
        <v>83650</v>
      </c>
      <c r="HF17" s="1">
        <v>83666</v>
      </c>
      <c r="HG17" s="1">
        <v>83677</v>
      </c>
      <c r="HH17" s="1">
        <v>83681</v>
      </c>
      <c r="HI17" s="1">
        <v>83681</v>
      </c>
      <c r="HJ17" s="1">
        <v>83681</v>
      </c>
      <c r="HK17" s="1">
        <v>83681</v>
      </c>
      <c r="HL17" s="1">
        <v>83681</v>
      </c>
      <c r="HM17" s="1">
        <v>83681</v>
      </c>
      <c r="HN17" s="1">
        <v>83681</v>
      </c>
      <c r="HO17" s="1">
        <v>83681</v>
      </c>
      <c r="HP17" s="1">
        <v>83681</v>
      </c>
      <c r="HQ17" s="1">
        <v>83681</v>
      </c>
      <c r="HR17" s="1">
        <v>83681</v>
      </c>
      <c r="HS17" s="1">
        <v>83681</v>
      </c>
      <c r="HT17" s="1">
        <v>83681</v>
      </c>
      <c r="HU17" s="1">
        <v>83682</v>
      </c>
      <c r="HV17" s="1">
        <v>83685</v>
      </c>
      <c r="HW17" s="1">
        <v>83692</v>
      </c>
      <c r="HX17" s="1">
        <v>83708</v>
      </c>
      <c r="HY17" s="1">
        <v>83727</v>
      </c>
      <c r="HZ17" s="1">
        <v>83745</v>
      </c>
      <c r="IA17" s="1">
        <v>83767</v>
      </c>
      <c r="IB17" s="1">
        <v>83791</v>
      </c>
      <c r="IC17" s="1">
        <v>83813</v>
      </c>
      <c r="ID17" s="1">
        <v>83818</v>
      </c>
      <c r="IE17" s="1">
        <v>83822</v>
      </c>
      <c r="IF17" s="1">
        <v>83824</v>
      </c>
      <c r="IG17" s="1">
        <v>83824</v>
      </c>
      <c r="IH17" s="1">
        <v>83824</v>
      </c>
      <c r="II17" s="1">
        <v>83824</v>
      </c>
      <c r="IJ17" s="1">
        <v>83824</v>
      </c>
      <c r="IK17" s="1">
        <v>83824</v>
      </c>
      <c r="IL17" s="1">
        <v>83824</v>
      </c>
      <c r="IM17" s="1">
        <v>83824</v>
      </c>
      <c r="IN17" s="1">
        <v>83824</v>
      </c>
      <c r="IO17" s="1">
        <v>83824</v>
      </c>
      <c r="IP17" s="1">
        <v>83824</v>
      </c>
      <c r="IQ17" s="1">
        <v>83824</v>
      </c>
      <c r="IR17" s="1">
        <v>83824</v>
      </c>
      <c r="IS17" s="1">
        <v>83824</v>
      </c>
      <c r="IT17" s="1">
        <v>83826</v>
      </c>
      <c r="IU17" s="1">
        <v>83826</v>
      </c>
      <c r="IV17" s="1">
        <v>83827</v>
      </c>
      <c r="IW17" s="1">
        <v>83828</v>
      </c>
      <c r="IX17" s="1">
        <v>83832</v>
      </c>
      <c r="IY17" s="1">
        <v>83840</v>
      </c>
      <c r="IZ17" s="1">
        <v>83852</v>
      </c>
      <c r="JA17" s="1">
        <v>83868</v>
      </c>
      <c r="JB17" s="1">
        <v>83880</v>
      </c>
      <c r="JC17" s="1">
        <v>83889</v>
      </c>
      <c r="JD17" s="1">
        <v>83891</v>
      </c>
      <c r="JE17" s="1">
        <v>83891</v>
      </c>
      <c r="JF17" s="1">
        <v>83891</v>
      </c>
      <c r="JG17" s="1">
        <v>83891</v>
      </c>
      <c r="JH17" s="1">
        <v>83891</v>
      </c>
      <c r="JI17" s="1">
        <v>83891</v>
      </c>
      <c r="JJ17" s="1">
        <v>83891</v>
      </c>
      <c r="JK17" s="1">
        <v>83891</v>
      </c>
      <c r="JL17" s="1">
        <v>83891</v>
      </c>
      <c r="JM17" s="1">
        <v>83891</v>
      </c>
      <c r="JN17" s="1">
        <v>83891</v>
      </c>
      <c r="JO17" s="1">
        <v>83891</v>
      </c>
      <c r="JP17" s="1">
        <v>83891</v>
      </c>
      <c r="JQ17" s="1">
        <v>83891</v>
      </c>
      <c r="JR17" s="1">
        <v>83893</v>
      </c>
      <c r="JS17" s="1">
        <v>83900</v>
      </c>
      <c r="JT17" s="1">
        <v>83917</v>
      </c>
      <c r="JU17" s="1">
        <v>83927</v>
      </c>
      <c r="JV17" s="1">
        <v>83950</v>
      </c>
      <c r="JW17" s="1">
        <v>83973</v>
      </c>
      <c r="JX17" s="1">
        <v>83997</v>
      </c>
      <c r="JY17" s="1">
        <v>84017</v>
      </c>
      <c r="JZ17" s="1">
        <v>84033</v>
      </c>
      <c r="KA17" s="1">
        <v>84036</v>
      </c>
      <c r="KB17" s="1">
        <v>84037</v>
      </c>
      <c r="KC17" s="1">
        <v>84037</v>
      </c>
      <c r="KD17" s="1">
        <v>84037</v>
      </c>
      <c r="KE17" s="1">
        <v>84037</v>
      </c>
      <c r="KF17" s="1">
        <v>84037</v>
      </c>
      <c r="KG17" s="1">
        <v>84037</v>
      </c>
      <c r="KH17" s="1">
        <v>84037</v>
      </c>
      <c r="KI17" s="1">
        <v>84037</v>
      </c>
      <c r="KJ17" s="1">
        <v>84037</v>
      </c>
      <c r="KK17" s="1">
        <v>84037</v>
      </c>
      <c r="KL17" s="1">
        <v>84037</v>
      </c>
      <c r="KM17" s="1">
        <v>84037</v>
      </c>
      <c r="KN17" s="1">
        <v>84037</v>
      </c>
      <c r="KO17" s="1">
        <v>84037</v>
      </c>
      <c r="KP17" s="1">
        <v>84041</v>
      </c>
      <c r="KQ17" s="1">
        <v>84047</v>
      </c>
      <c r="KR17" s="1">
        <v>84059</v>
      </c>
      <c r="KS17" s="1">
        <v>84071</v>
      </c>
      <c r="KT17" s="1">
        <v>84093</v>
      </c>
      <c r="KU17" s="1">
        <v>84107</v>
      </c>
      <c r="KV17" s="1">
        <v>84115</v>
      </c>
      <c r="KW17" s="1">
        <v>84118</v>
      </c>
      <c r="KX17" s="1">
        <v>84124</v>
      </c>
      <c r="KY17" s="1">
        <v>84128</v>
      </c>
      <c r="KZ17" s="1">
        <v>84129</v>
      </c>
      <c r="LA17" s="1">
        <v>84129</v>
      </c>
      <c r="LB17" s="1">
        <v>84129</v>
      </c>
      <c r="LC17" s="1">
        <v>84129</v>
      </c>
      <c r="LD17" s="1">
        <v>84129</v>
      </c>
      <c r="LE17" s="1">
        <v>84129</v>
      </c>
      <c r="LF17" s="1">
        <v>84129</v>
      </c>
      <c r="LG17" s="1">
        <v>84129</v>
      </c>
      <c r="LH17" s="1">
        <v>84129</v>
      </c>
      <c r="LI17" s="1">
        <v>84129</v>
      </c>
      <c r="LJ17" s="1">
        <v>84129</v>
      </c>
      <c r="LK17" s="1">
        <v>84129</v>
      </c>
      <c r="LL17" s="1">
        <v>84129</v>
      </c>
      <c r="LM17" s="1">
        <v>84129</v>
      </c>
      <c r="LN17" s="1">
        <v>84132</v>
      </c>
      <c r="LO17" s="1">
        <v>84139</v>
      </c>
      <c r="LP17" s="1">
        <v>84145</v>
      </c>
      <c r="LQ17" s="1">
        <v>84150</v>
      </c>
      <c r="LR17" s="1">
        <v>84153</v>
      </c>
      <c r="LS17" s="1">
        <v>84165</v>
      </c>
      <c r="LT17" s="1">
        <v>84176</v>
      </c>
      <c r="LU17" s="1">
        <v>84178</v>
      </c>
      <c r="LV17" s="1">
        <v>84179</v>
      </c>
      <c r="LW17" s="1">
        <v>84180</v>
      </c>
      <c r="LX17" s="1">
        <v>84180</v>
      </c>
      <c r="LY17" s="1">
        <v>84180</v>
      </c>
      <c r="LZ17" s="1">
        <v>84180</v>
      </c>
      <c r="MA17" s="1">
        <v>84180</v>
      </c>
      <c r="MB17" s="1">
        <v>84180</v>
      </c>
      <c r="MC17" s="1">
        <v>84180</v>
      </c>
      <c r="MD17" s="1">
        <v>84180</v>
      </c>
      <c r="ME17" s="1">
        <v>84180</v>
      </c>
      <c r="MF17" s="1">
        <v>84180</v>
      </c>
      <c r="MG17" s="1">
        <v>84180</v>
      </c>
      <c r="MH17" s="1">
        <v>84180</v>
      </c>
      <c r="MI17" s="1">
        <v>84180</v>
      </c>
      <c r="MJ17" s="1">
        <v>84180</v>
      </c>
      <c r="MK17" s="1">
        <v>84180</v>
      </c>
      <c r="ML17" s="1">
        <v>84180</v>
      </c>
      <c r="MM17" s="1">
        <v>84182</v>
      </c>
      <c r="MN17" s="1">
        <v>84184</v>
      </c>
      <c r="MO17" s="1">
        <v>84188</v>
      </c>
      <c r="MP17" s="1">
        <v>84199</v>
      </c>
      <c r="MQ17" s="1">
        <v>84215</v>
      </c>
      <c r="MR17" s="1">
        <v>84233</v>
      </c>
      <c r="MS17" s="1">
        <v>84249</v>
      </c>
      <c r="MT17" s="1">
        <v>84256</v>
      </c>
      <c r="MU17" s="1">
        <v>84261</v>
      </c>
      <c r="MV17" s="1">
        <v>84264</v>
      </c>
      <c r="MW17" s="1">
        <v>84264</v>
      </c>
      <c r="MX17" s="1">
        <v>84264</v>
      </c>
      <c r="MY17" s="1">
        <v>84264</v>
      </c>
      <c r="MZ17" s="1">
        <v>84264</v>
      </c>
      <c r="NA17" s="1">
        <v>84264</v>
      </c>
      <c r="NB17" s="1">
        <v>84264</v>
      </c>
      <c r="NC17" s="1">
        <v>84264</v>
      </c>
      <c r="ND17" s="1">
        <v>84264</v>
      </c>
      <c r="NE17" s="1">
        <v>84264</v>
      </c>
      <c r="NF17" s="1">
        <v>84264</v>
      </c>
      <c r="NG17" s="1">
        <v>84264</v>
      </c>
      <c r="NH17" s="1">
        <v>84264</v>
      </c>
      <c r="NI17" s="1">
        <v>84265</v>
      </c>
      <c r="NJ17" s="1">
        <v>84267</v>
      </c>
      <c r="NK17" s="1">
        <v>84273</v>
      </c>
      <c r="NL17" s="1">
        <v>84281</v>
      </c>
      <c r="NM17" s="1">
        <v>84294</v>
      </c>
      <c r="NN17" s="1">
        <v>84313</v>
      </c>
      <c r="NO17" s="1">
        <v>84328</v>
      </c>
      <c r="NP17" s="1">
        <v>84347</v>
      </c>
      <c r="NQ17" s="1">
        <v>84353</v>
      </c>
      <c r="NR17" s="1">
        <v>84355</v>
      </c>
      <c r="NS17" s="1">
        <v>84358</v>
      </c>
      <c r="NT17" s="1">
        <v>84362</v>
      </c>
      <c r="NU17" s="1">
        <v>84362</v>
      </c>
      <c r="NV17" s="1">
        <v>84362</v>
      </c>
      <c r="NW17" s="1">
        <v>84362</v>
      </c>
      <c r="NX17" s="1">
        <v>84362</v>
      </c>
      <c r="NY17" s="1">
        <v>84362</v>
      </c>
      <c r="NZ17" s="1">
        <v>84362</v>
      </c>
      <c r="OA17" s="1">
        <v>84362</v>
      </c>
      <c r="OB17" s="1">
        <v>84362</v>
      </c>
      <c r="OC17" s="1">
        <v>84362</v>
      </c>
      <c r="OD17" s="1">
        <v>84362</v>
      </c>
      <c r="OE17" s="1">
        <v>84362</v>
      </c>
      <c r="OF17" s="1">
        <v>84362</v>
      </c>
      <c r="OG17" s="1">
        <v>84363</v>
      </c>
      <c r="OH17" s="1">
        <v>84366</v>
      </c>
      <c r="OI17" s="1">
        <v>84374</v>
      </c>
      <c r="OJ17" s="1">
        <v>84389</v>
      </c>
      <c r="OK17" s="1">
        <v>84408</v>
      </c>
      <c r="OL17" s="1">
        <v>84430</v>
      </c>
      <c r="OM17" s="1">
        <v>84454</v>
      </c>
      <c r="ON17" s="1">
        <v>84477</v>
      </c>
      <c r="OO17" s="1">
        <v>84498</v>
      </c>
      <c r="OP17" s="1">
        <v>84515</v>
      </c>
      <c r="OQ17" s="1">
        <v>84526</v>
      </c>
      <c r="OR17" s="1">
        <v>84529</v>
      </c>
      <c r="OS17" s="1">
        <v>84529</v>
      </c>
      <c r="OT17" s="1">
        <v>84529</v>
      </c>
      <c r="OU17" s="1">
        <v>84529</v>
      </c>
      <c r="OV17" s="1">
        <v>84529</v>
      </c>
      <c r="OW17" s="1">
        <v>84529</v>
      </c>
      <c r="OX17" s="1">
        <v>84529</v>
      </c>
      <c r="OY17" s="1">
        <v>84529</v>
      </c>
      <c r="OZ17" s="1">
        <v>84529</v>
      </c>
      <c r="PA17" s="1">
        <v>84529</v>
      </c>
      <c r="PB17" s="1">
        <v>84529</v>
      </c>
      <c r="PC17" s="1">
        <v>84529</v>
      </c>
      <c r="PD17" s="1">
        <v>84529</v>
      </c>
      <c r="PE17" s="1">
        <v>84529</v>
      </c>
      <c r="PF17" s="1">
        <v>84532</v>
      </c>
      <c r="PG17" s="1">
        <v>84541</v>
      </c>
      <c r="PH17" s="1">
        <v>84554</v>
      </c>
      <c r="PI17" s="1">
        <v>84571</v>
      </c>
      <c r="PJ17" s="1">
        <v>84591</v>
      </c>
      <c r="PK17" s="1">
        <v>84606</v>
      </c>
      <c r="PL17" s="1">
        <v>84625</v>
      </c>
      <c r="PM17" s="1">
        <v>84645</v>
      </c>
      <c r="PN17" s="1">
        <v>84655</v>
      </c>
      <c r="PO17" s="1">
        <v>84656</v>
      </c>
      <c r="PP17" s="1">
        <v>84656</v>
      </c>
      <c r="PQ17" s="1">
        <v>84656</v>
      </c>
      <c r="PR17" s="1">
        <v>84656</v>
      </c>
      <c r="PS17" s="1">
        <v>84656</v>
      </c>
      <c r="PT17" s="1">
        <v>84656</v>
      </c>
      <c r="PU17" s="1">
        <v>84656</v>
      </c>
      <c r="PV17" s="1">
        <v>84656</v>
      </c>
      <c r="PW17" s="1">
        <v>84656</v>
      </c>
      <c r="PX17" s="1">
        <v>84656</v>
      </c>
      <c r="PY17" s="1">
        <v>84656</v>
      </c>
      <c r="PZ17" s="1">
        <v>84656</v>
      </c>
      <c r="QA17" s="1">
        <v>84656</v>
      </c>
      <c r="QB17" s="1">
        <v>84656</v>
      </c>
      <c r="QC17" s="1">
        <v>84656</v>
      </c>
      <c r="QD17" s="1">
        <v>84656</v>
      </c>
      <c r="QE17" s="1">
        <v>84656</v>
      </c>
      <c r="QF17" s="1">
        <v>84659</v>
      </c>
      <c r="QG17" s="1">
        <v>84663</v>
      </c>
      <c r="QH17" s="1">
        <v>84671</v>
      </c>
      <c r="QI17" s="1">
        <v>84678</v>
      </c>
      <c r="QJ17" s="1">
        <v>84688</v>
      </c>
      <c r="QK17" s="1">
        <v>84695</v>
      </c>
      <c r="QL17" s="1">
        <v>84696</v>
      </c>
      <c r="QM17" s="1">
        <v>84697</v>
      </c>
      <c r="QN17" s="1">
        <v>84697</v>
      </c>
      <c r="QO17" s="1">
        <v>84697</v>
      </c>
      <c r="QP17" s="1">
        <v>84697</v>
      </c>
      <c r="QQ17" s="1">
        <v>84697</v>
      </c>
      <c r="QR17" s="1">
        <v>84697</v>
      </c>
      <c r="QS17" s="1">
        <v>84697</v>
      </c>
      <c r="QT17" s="1">
        <v>84697</v>
      </c>
      <c r="QU17" s="1">
        <v>84697</v>
      </c>
      <c r="QV17" s="1">
        <v>84697</v>
      </c>
      <c r="QW17" s="1">
        <v>84697</v>
      </c>
      <c r="QX17" s="1">
        <v>84697</v>
      </c>
      <c r="QY17" s="1">
        <v>84697</v>
      </c>
      <c r="QZ17" s="1">
        <v>84697</v>
      </c>
      <c r="RA17" s="1">
        <v>84697</v>
      </c>
      <c r="RB17" s="1">
        <v>84700</v>
      </c>
      <c r="RC17" s="1">
        <v>84709</v>
      </c>
      <c r="RD17" s="1">
        <v>84724</v>
      </c>
      <c r="RE17" s="1">
        <v>84744</v>
      </c>
      <c r="RF17" s="1">
        <v>84766</v>
      </c>
      <c r="RG17" s="1">
        <v>84791</v>
      </c>
      <c r="RH17" s="1">
        <v>84814</v>
      </c>
      <c r="RI17" s="1">
        <v>84816</v>
      </c>
      <c r="RJ17" s="1">
        <v>84816</v>
      </c>
      <c r="RK17" s="1">
        <v>84816</v>
      </c>
      <c r="RL17" s="1">
        <v>84816</v>
      </c>
      <c r="RM17" s="1">
        <v>84816</v>
      </c>
      <c r="RN17" s="1">
        <v>84816</v>
      </c>
      <c r="RO17" s="1">
        <v>84816</v>
      </c>
      <c r="RP17" s="1">
        <v>84816</v>
      </c>
      <c r="RQ17" s="1">
        <v>84816</v>
      </c>
      <c r="RR17" s="1">
        <v>84816</v>
      </c>
      <c r="RS17" s="1">
        <v>84816</v>
      </c>
      <c r="RT17" s="1">
        <v>84816</v>
      </c>
      <c r="RU17" s="1">
        <v>84816</v>
      </c>
      <c r="RV17" s="1">
        <v>84816</v>
      </c>
      <c r="RW17" s="1">
        <v>84816</v>
      </c>
      <c r="RX17" s="1">
        <v>84816</v>
      </c>
      <c r="RY17" s="1">
        <v>84816</v>
      </c>
      <c r="RZ17" s="1">
        <v>84816</v>
      </c>
      <c r="SA17" s="1">
        <v>84816</v>
      </c>
      <c r="SB17" s="1">
        <v>84816</v>
      </c>
      <c r="SC17" s="1">
        <v>84816</v>
      </c>
      <c r="SD17" s="1">
        <v>84816</v>
      </c>
      <c r="SE17" s="1">
        <v>84816</v>
      </c>
      <c r="SF17" s="1">
        <v>84816</v>
      </c>
      <c r="SG17" s="1">
        <v>84816</v>
      </c>
      <c r="SH17" s="1">
        <v>84816</v>
      </c>
      <c r="SI17" s="1">
        <v>84816</v>
      </c>
      <c r="SJ17" s="1">
        <v>84816</v>
      </c>
      <c r="SK17" s="1">
        <v>84816</v>
      </c>
      <c r="SL17" s="1">
        <v>84816</v>
      </c>
      <c r="SM17" s="1">
        <v>84816</v>
      </c>
      <c r="SN17" s="1">
        <v>84816</v>
      </c>
      <c r="SO17" s="1">
        <v>84816</v>
      </c>
      <c r="SP17" s="1">
        <v>84816</v>
      </c>
      <c r="SQ17" s="1">
        <v>84816</v>
      </c>
      <c r="SR17" s="1">
        <v>84816</v>
      </c>
      <c r="SS17" s="1">
        <v>84816</v>
      </c>
      <c r="ST17" s="1">
        <v>84816</v>
      </c>
      <c r="SU17" s="1">
        <v>84816</v>
      </c>
      <c r="SV17" s="1">
        <v>84816</v>
      </c>
      <c r="SW17" s="1">
        <v>84816</v>
      </c>
      <c r="SX17" s="1">
        <v>84816</v>
      </c>
      <c r="SY17" s="1">
        <v>84816</v>
      </c>
    </row>
    <row r="18" spans="1:519">
      <c r="A18" s="1">
        <v>25</v>
      </c>
      <c r="B18" s="1" t="s">
        <v>21</v>
      </c>
      <c r="C18" s="1" t="s">
        <v>3</v>
      </c>
      <c r="D18" s="1" t="s">
        <v>22</v>
      </c>
      <c r="E18" s="1" t="s">
        <v>5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">
        <v>0</v>
      </c>
      <c r="EF18" s="1">
        <v>0</v>
      </c>
      <c r="EG18" s="1">
        <v>0</v>
      </c>
      <c r="EH18" s="1">
        <v>0</v>
      </c>
      <c r="EI18" s="1">
        <v>0</v>
      </c>
      <c r="EJ18" s="1">
        <v>0</v>
      </c>
      <c r="EK18" s="1">
        <v>0</v>
      </c>
      <c r="EL18" s="1">
        <v>0</v>
      </c>
      <c r="EM18" s="1">
        <v>0</v>
      </c>
      <c r="EN18" s="1">
        <v>0</v>
      </c>
      <c r="EO18" s="1">
        <v>0</v>
      </c>
      <c r="EP18" s="1">
        <v>0</v>
      </c>
      <c r="EQ18" s="1">
        <v>0</v>
      </c>
      <c r="ER18" s="1">
        <v>0</v>
      </c>
      <c r="ES18" s="1">
        <v>0</v>
      </c>
      <c r="ET18" s="1">
        <v>0</v>
      </c>
      <c r="EU18" s="1">
        <v>0</v>
      </c>
      <c r="EV18" s="1">
        <v>0</v>
      </c>
      <c r="EW18" s="1">
        <v>0</v>
      </c>
      <c r="EX18" s="1">
        <v>0</v>
      </c>
      <c r="EY18" s="1">
        <v>0</v>
      </c>
      <c r="EZ18" s="1">
        <v>0</v>
      </c>
      <c r="FA18" s="1">
        <v>0</v>
      </c>
      <c r="FB18" s="1">
        <v>0</v>
      </c>
      <c r="FC18" s="1">
        <v>0</v>
      </c>
      <c r="FD18" s="1">
        <v>0</v>
      </c>
      <c r="FE18" s="1">
        <v>0</v>
      </c>
      <c r="FF18" s="1">
        <v>0</v>
      </c>
      <c r="FG18" s="1">
        <v>0</v>
      </c>
      <c r="FH18" s="1">
        <v>0</v>
      </c>
      <c r="FI18" s="1">
        <v>0</v>
      </c>
      <c r="FJ18" s="1">
        <v>0</v>
      </c>
      <c r="FK18" s="1">
        <v>0</v>
      </c>
      <c r="FL18" s="1">
        <v>0</v>
      </c>
      <c r="FM18" s="1">
        <v>0</v>
      </c>
      <c r="FN18" s="1">
        <v>0</v>
      </c>
      <c r="FO18" s="1">
        <v>0</v>
      </c>
      <c r="FP18" s="1">
        <v>0</v>
      </c>
      <c r="FQ18" s="1">
        <v>0</v>
      </c>
      <c r="FR18" s="1">
        <v>0</v>
      </c>
      <c r="FS18" s="1">
        <v>0</v>
      </c>
      <c r="FT18" s="1">
        <v>0</v>
      </c>
      <c r="FU18" s="1">
        <v>0</v>
      </c>
      <c r="FV18" s="1">
        <v>0</v>
      </c>
      <c r="FW18" s="1">
        <v>0</v>
      </c>
      <c r="FX18" s="1">
        <v>0</v>
      </c>
      <c r="FY18" s="1">
        <v>0</v>
      </c>
      <c r="FZ18" s="1">
        <v>0</v>
      </c>
      <c r="GA18" s="1">
        <v>0</v>
      </c>
      <c r="GB18" s="1">
        <v>0</v>
      </c>
      <c r="GC18" s="1">
        <v>0</v>
      </c>
      <c r="GD18" s="1">
        <v>0</v>
      </c>
      <c r="GE18" s="1">
        <v>0</v>
      </c>
      <c r="GF18" s="1">
        <v>0</v>
      </c>
      <c r="GG18" s="1">
        <v>0</v>
      </c>
      <c r="GH18" s="1">
        <v>0</v>
      </c>
      <c r="GI18" s="1">
        <v>0</v>
      </c>
      <c r="GJ18" s="1">
        <v>0</v>
      </c>
      <c r="GK18" s="1">
        <v>0</v>
      </c>
      <c r="GL18" s="1">
        <v>0</v>
      </c>
      <c r="GM18" s="1">
        <v>0</v>
      </c>
      <c r="GN18" s="1">
        <v>0</v>
      </c>
      <c r="GO18" s="1">
        <v>0</v>
      </c>
      <c r="GP18" s="1">
        <v>0</v>
      </c>
      <c r="GQ18" s="1">
        <v>0</v>
      </c>
      <c r="GR18" s="1">
        <v>0</v>
      </c>
      <c r="GS18" s="1">
        <v>0</v>
      </c>
      <c r="GT18" s="1">
        <v>0</v>
      </c>
      <c r="GU18" s="1">
        <v>0</v>
      </c>
      <c r="GV18" s="1">
        <v>0</v>
      </c>
      <c r="GW18" s="1">
        <v>0</v>
      </c>
      <c r="GX18" s="1">
        <v>0</v>
      </c>
      <c r="GY18" s="1">
        <v>0</v>
      </c>
      <c r="GZ18" s="1">
        <v>0</v>
      </c>
      <c r="HA18" s="1">
        <v>0</v>
      </c>
      <c r="HB18" s="1">
        <v>0</v>
      </c>
      <c r="HC18" s="1">
        <v>0</v>
      </c>
      <c r="HD18" s="1">
        <v>0</v>
      </c>
      <c r="HE18" s="1">
        <v>0</v>
      </c>
      <c r="HF18" s="1">
        <v>0</v>
      </c>
      <c r="HG18" s="1">
        <v>0</v>
      </c>
      <c r="HH18" s="1">
        <v>0</v>
      </c>
      <c r="HI18" s="1">
        <v>0</v>
      </c>
      <c r="HJ18" s="1">
        <v>0</v>
      </c>
      <c r="HK18" s="1">
        <v>0</v>
      </c>
      <c r="HL18" s="1">
        <v>0</v>
      </c>
      <c r="HM18" s="1">
        <v>0</v>
      </c>
      <c r="HN18" s="1">
        <v>0</v>
      </c>
      <c r="HO18" s="1">
        <v>0</v>
      </c>
      <c r="HP18" s="1">
        <v>0</v>
      </c>
      <c r="HQ18" s="1">
        <v>0</v>
      </c>
      <c r="HR18" s="1">
        <v>0</v>
      </c>
      <c r="HS18" s="1">
        <v>0</v>
      </c>
      <c r="HT18" s="1">
        <v>0</v>
      </c>
      <c r="HU18" s="1">
        <v>0</v>
      </c>
      <c r="HV18" s="1">
        <v>0</v>
      </c>
      <c r="HW18" s="1">
        <v>0</v>
      </c>
      <c r="HX18" s="1">
        <v>0</v>
      </c>
      <c r="HY18" s="1">
        <v>0</v>
      </c>
      <c r="HZ18" s="1">
        <v>0</v>
      </c>
      <c r="IA18" s="1">
        <v>0</v>
      </c>
      <c r="IB18" s="1">
        <v>0</v>
      </c>
      <c r="IC18" s="1">
        <v>0</v>
      </c>
      <c r="ID18" s="1">
        <v>0</v>
      </c>
      <c r="IE18" s="1">
        <v>0</v>
      </c>
      <c r="IF18" s="1">
        <v>0</v>
      </c>
      <c r="IG18" s="1">
        <v>0</v>
      </c>
      <c r="IH18" s="1">
        <v>0</v>
      </c>
      <c r="II18" s="1">
        <v>0</v>
      </c>
      <c r="IJ18" s="1">
        <v>0</v>
      </c>
      <c r="IK18" s="1">
        <v>0</v>
      </c>
      <c r="IL18" s="1">
        <v>0</v>
      </c>
      <c r="IM18" s="1">
        <v>0</v>
      </c>
      <c r="IN18" s="1">
        <v>0</v>
      </c>
      <c r="IO18" s="1">
        <v>0</v>
      </c>
      <c r="IP18" s="1">
        <v>0</v>
      </c>
      <c r="IQ18" s="1">
        <v>0</v>
      </c>
      <c r="IR18" s="1">
        <v>0</v>
      </c>
      <c r="IS18" s="1">
        <v>0</v>
      </c>
      <c r="IT18" s="1">
        <v>0</v>
      </c>
      <c r="IU18" s="1">
        <v>0</v>
      </c>
      <c r="IV18" s="1">
        <v>0</v>
      </c>
      <c r="IW18" s="1">
        <v>0</v>
      </c>
      <c r="IX18" s="1">
        <v>0</v>
      </c>
      <c r="IY18" s="1">
        <v>0</v>
      </c>
      <c r="IZ18" s="1">
        <v>0</v>
      </c>
      <c r="JA18" s="1">
        <v>0</v>
      </c>
      <c r="JB18" s="1">
        <v>0</v>
      </c>
      <c r="JC18" s="1">
        <v>0</v>
      </c>
      <c r="JD18" s="1">
        <v>0</v>
      </c>
      <c r="JE18" s="1">
        <v>0</v>
      </c>
      <c r="JF18" s="1">
        <v>0</v>
      </c>
      <c r="JG18" s="1">
        <v>0</v>
      </c>
      <c r="JH18" s="1">
        <v>0</v>
      </c>
      <c r="JI18" s="1">
        <v>0</v>
      </c>
      <c r="JJ18" s="1">
        <v>0</v>
      </c>
      <c r="JK18" s="1">
        <v>0</v>
      </c>
      <c r="JL18" s="1">
        <v>0</v>
      </c>
      <c r="JM18" s="1">
        <v>0</v>
      </c>
      <c r="JN18" s="1">
        <v>0</v>
      </c>
      <c r="JO18" s="1">
        <v>0</v>
      </c>
      <c r="JP18" s="1">
        <v>0</v>
      </c>
      <c r="JQ18" s="1">
        <v>0</v>
      </c>
      <c r="JR18" s="1">
        <v>0</v>
      </c>
      <c r="JS18" s="1">
        <v>0</v>
      </c>
      <c r="JT18" s="1">
        <v>0</v>
      </c>
      <c r="JU18" s="1">
        <v>0</v>
      </c>
      <c r="JV18" s="1">
        <v>0</v>
      </c>
      <c r="JW18" s="1">
        <v>0</v>
      </c>
      <c r="JX18" s="1">
        <v>0</v>
      </c>
      <c r="JY18" s="1">
        <v>0</v>
      </c>
      <c r="JZ18" s="1">
        <v>0</v>
      </c>
      <c r="KA18" s="1">
        <v>0</v>
      </c>
      <c r="KB18" s="1">
        <v>0</v>
      </c>
      <c r="KC18" s="1">
        <v>0</v>
      </c>
      <c r="KD18" s="1">
        <v>0</v>
      </c>
      <c r="KE18" s="1">
        <v>0</v>
      </c>
      <c r="KF18" s="1">
        <v>0</v>
      </c>
      <c r="KG18" s="1">
        <v>0</v>
      </c>
      <c r="KH18" s="1">
        <v>0</v>
      </c>
      <c r="KI18" s="1">
        <v>0</v>
      </c>
      <c r="KJ18" s="1">
        <v>0</v>
      </c>
      <c r="KK18" s="1">
        <v>0</v>
      </c>
      <c r="KL18" s="1">
        <v>0</v>
      </c>
      <c r="KM18" s="1">
        <v>0</v>
      </c>
      <c r="KN18" s="1">
        <v>0</v>
      </c>
      <c r="KO18" s="1">
        <v>0</v>
      </c>
      <c r="KP18" s="1">
        <v>0</v>
      </c>
      <c r="KQ18" s="1">
        <v>0</v>
      </c>
      <c r="KR18" s="1">
        <v>0</v>
      </c>
      <c r="KS18" s="1">
        <v>0</v>
      </c>
      <c r="KT18" s="1">
        <v>0</v>
      </c>
      <c r="KU18" s="1">
        <v>0</v>
      </c>
      <c r="KV18" s="1">
        <v>0</v>
      </c>
      <c r="KW18" s="1">
        <v>0</v>
      </c>
      <c r="KX18" s="1">
        <v>0</v>
      </c>
      <c r="KY18" s="1">
        <v>0</v>
      </c>
      <c r="KZ18" s="1">
        <v>0</v>
      </c>
      <c r="LA18" s="1">
        <v>0</v>
      </c>
      <c r="LB18" s="1">
        <v>0</v>
      </c>
      <c r="LC18" s="1">
        <v>0</v>
      </c>
      <c r="LD18" s="1">
        <v>0</v>
      </c>
      <c r="LE18" s="1">
        <v>0</v>
      </c>
      <c r="LF18" s="1">
        <v>0</v>
      </c>
      <c r="LG18" s="1">
        <v>0</v>
      </c>
      <c r="LH18" s="1">
        <v>0</v>
      </c>
      <c r="LI18" s="1">
        <v>0</v>
      </c>
      <c r="LJ18" s="1">
        <v>0</v>
      </c>
      <c r="LK18" s="1">
        <v>0</v>
      </c>
      <c r="LL18" s="1">
        <v>0</v>
      </c>
      <c r="LM18" s="1">
        <v>0</v>
      </c>
      <c r="LN18" s="1">
        <v>0</v>
      </c>
      <c r="LO18" s="1">
        <v>0</v>
      </c>
      <c r="LP18" s="1">
        <v>0</v>
      </c>
      <c r="LQ18" s="1">
        <v>0</v>
      </c>
      <c r="LR18" s="1">
        <v>0</v>
      </c>
      <c r="LS18" s="1">
        <v>0</v>
      </c>
      <c r="LT18" s="1">
        <v>0</v>
      </c>
      <c r="LU18" s="1">
        <v>0</v>
      </c>
      <c r="LV18" s="1">
        <v>0</v>
      </c>
      <c r="LW18" s="1">
        <v>0</v>
      </c>
      <c r="LX18" s="1">
        <v>0</v>
      </c>
      <c r="LY18" s="1">
        <v>0</v>
      </c>
      <c r="LZ18" s="1">
        <v>0</v>
      </c>
      <c r="MA18" s="1">
        <v>0</v>
      </c>
      <c r="MB18" s="1">
        <v>0</v>
      </c>
      <c r="MC18" s="1">
        <v>0</v>
      </c>
      <c r="MD18" s="1">
        <v>0</v>
      </c>
      <c r="ME18" s="1">
        <v>0</v>
      </c>
      <c r="MF18" s="1">
        <v>0</v>
      </c>
      <c r="MG18" s="1">
        <v>0</v>
      </c>
      <c r="MH18" s="1">
        <v>0</v>
      </c>
      <c r="MI18" s="1">
        <v>0</v>
      </c>
      <c r="MJ18" s="1">
        <v>0</v>
      </c>
      <c r="MK18" s="1">
        <v>0</v>
      </c>
      <c r="ML18" s="1">
        <v>0</v>
      </c>
      <c r="MM18" s="1">
        <v>0</v>
      </c>
      <c r="MN18" s="1">
        <v>0</v>
      </c>
      <c r="MO18" s="1">
        <v>0</v>
      </c>
      <c r="MP18" s="1">
        <v>0</v>
      </c>
      <c r="MQ18" s="1">
        <v>0</v>
      </c>
      <c r="MR18" s="1">
        <v>0</v>
      </c>
      <c r="MS18" s="1">
        <v>0</v>
      </c>
      <c r="MT18" s="1">
        <v>0</v>
      </c>
      <c r="MU18" s="1">
        <v>0</v>
      </c>
      <c r="MV18" s="1">
        <v>0</v>
      </c>
      <c r="MW18" s="1">
        <v>0</v>
      </c>
      <c r="MX18" s="1">
        <v>0</v>
      </c>
      <c r="MY18" s="1">
        <v>0</v>
      </c>
      <c r="MZ18" s="1">
        <v>0</v>
      </c>
      <c r="NA18" s="1">
        <v>0</v>
      </c>
      <c r="NB18" s="1">
        <v>0</v>
      </c>
      <c r="NC18" s="1">
        <v>0</v>
      </c>
      <c r="ND18" s="1">
        <v>0</v>
      </c>
      <c r="NE18" s="1">
        <v>0</v>
      </c>
      <c r="NF18" s="1">
        <v>0</v>
      </c>
      <c r="NG18" s="1">
        <v>0</v>
      </c>
      <c r="NH18" s="1">
        <v>0</v>
      </c>
      <c r="NI18" s="1">
        <v>0</v>
      </c>
      <c r="NJ18" s="1">
        <v>0</v>
      </c>
      <c r="NK18" s="1">
        <v>0</v>
      </c>
      <c r="NL18" s="1">
        <v>0</v>
      </c>
      <c r="NM18" s="1">
        <v>0</v>
      </c>
      <c r="NN18" s="1">
        <v>0</v>
      </c>
      <c r="NO18" s="1">
        <v>0</v>
      </c>
      <c r="NP18" s="1">
        <v>0</v>
      </c>
      <c r="NQ18" s="1">
        <v>0</v>
      </c>
      <c r="NR18" s="1">
        <v>0</v>
      </c>
      <c r="NS18" s="1">
        <v>0</v>
      </c>
      <c r="NT18" s="1">
        <v>0</v>
      </c>
      <c r="NU18" s="1">
        <v>0</v>
      </c>
      <c r="NV18" s="1">
        <v>0</v>
      </c>
      <c r="NW18" s="1">
        <v>0</v>
      </c>
      <c r="NX18" s="1">
        <v>0</v>
      </c>
      <c r="NY18" s="1">
        <v>0</v>
      </c>
      <c r="NZ18" s="1">
        <v>0</v>
      </c>
      <c r="OA18" s="1">
        <v>0</v>
      </c>
      <c r="OB18" s="1">
        <v>0</v>
      </c>
      <c r="OC18" s="1">
        <v>0</v>
      </c>
      <c r="OD18" s="1">
        <v>0</v>
      </c>
      <c r="OE18" s="1">
        <v>0</v>
      </c>
      <c r="OF18" s="1">
        <v>0</v>
      </c>
      <c r="OG18" s="1">
        <v>0</v>
      </c>
      <c r="OH18" s="1">
        <v>0</v>
      </c>
      <c r="OI18" s="1">
        <v>0</v>
      </c>
      <c r="OJ18" s="1">
        <v>0</v>
      </c>
      <c r="OK18" s="1">
        <v>0</v>
      </c>
      <c r="OL18" s="1">
        <v>0</v>
      </c>
      <c r="OM18" s="1">
        <v>0</v>
      </c>
      <c r="ON18" s="1">
        <v>0</v>
      </c>
      <c r="OO18" s="1">
        <v>0</v>
      </c>
      <c r="OP18" s="1">
        <v>0</v>
      </c>
      <c r="OQ18" s="1">
        <v>0</v>
      </c>
      <c r="OR18" s="1">
        <v>0</v>
      </c>
      <c r="OS18" s="1">
        <v>0</v>
      </c>
      <c r="OT18" s="1">
        <v>0</v>
      </c>
      <c r="OU18" s="1">
        <v>0</v>
      </c>
      <c r="OV18" s="1">
        <v>0</v>
      </c>
      <c r="OW18" s="1">
        <v>0</v>
      </c>
      <c r="OX18" s="1">
        <v>0</v>
      </c>
      <c r="OY18" s="1">
        <v>0</v>
      </c>
      <c r="OZ18" s="1">
        <v>0</v>
      </c>
      <c r="PA18" s="1">
        <v>0</v>
      </c>
      <c r="PB18" s="1">
        <v>0</v>
      </c>
      <c r="PC18" s="1">
        <v>0</v>
      </c>
      <c r="PD18" s="1">
        <v>0</v>
      </c>
      <c r="PE18" s="1">
        <v>0</v>
      </c>
      <c r="PF18" s="1">
        <v>0</v>
      </c>
      <c r="PG18" s="1">
        <v>0</v>
      </c>
      <c r="PH18" s="1">
        <v>0</v>
      </c>
      <c r="PI18" s="1">
        <v>0</v>
      </c>
      <c r="PJ18" s="1">
        <v>0</v>
      </c>
      <c r="PK18" s="1">
        <v>0</v>
      </c>
      <c r="PL18" s="1">
        <v>0</v>
      </c>
      <c r="PM18" s="1">
        <v>0</v>
      </c>
      <c r="PN18" s="1">
        <v>0</v>
      </c>
      <c r="PO18" s="1">
        <v>0</v>
      </c>
      <c r="PP18" s="1">
        <v>0</v>
      </c>
      <c r="PQ18" s="1">
        <v>0</v>
      </c>
      <c r="PR18" s="1">
        <v>0</v>
      </c>
      <c r="PS18" s="1">
        <v>0</v>
      </c>
      <c r="PT18" s="1">
        <v>0</v>
      </c>
      <c r="PU18" s="1">
        <v>0</v>
      </c>
      <c r="PV18" s="1">
        <v>0</v>
      </c>
      <c r="PW18" s="1">
        <v>0</v>
      </c>
      <c r="PX18" s="1">
        <v>0</v>
      </c>
      <c r="PY18" s="1">
        <v>0</v>
      </c>
      <c r="PZ18" s="1">
        <v>0</v>
      </c>
      <c r="QA18" s="1">
        <v>0</v>
      </c>
      <c r="QB18" s="1">
        <v>0</v>
      </c>
      <c r="QC18" s="1">
        <v>0</v>
      </c>
      <c r="QD18" s="1">
        <v>0</v>
      </c>
      <c r="QE18" s="1">
        <v>0</v>
      </c>
      <c r="QF18" s="1">
        <v>0</v>
      </c>
      <c r="QG18" s="1">
        <v>0</v>
      </c>
      <c r="QH18" s="1">
        <v>0</v>
      </c>
      <c r="QI18" s="1">
        <v>0</v>
      </c>
      <c r="QJ18" s="1">
        <v>0</v>
      </c>
      <c r="QK18" s="1">
        <v>0</v>
      </c>
      <c r="QL18" s="1">
        <v>0</v>
      </c>
      <c r="QM18" s="1">
        <v>0</v>
      </c>
      <c r="QN18" s="1">
        <v>0</v>
      </c>
      <c r="QO18" s="1">
        <v>0</v>
      </c>
      <c r="QP18" s="1">
        <v>0</v>
      </c>
      <c r="QQ18" s="1">
        <v>0</v>
      </c>
      <c r="QR18" s="1">
        <v>0</v>
      </c>
      <c r="QS18" s="1">
        <v>0</v>
      </c>
      <c r="QT18" s="1">
        <v>0</v>
      </c>
      <c r="QU18" s="1">
        <v>0</v>
      </c>
      <c r="QV18" s="1">
        <v>0</v>
      </c>
      <c r="QW18" s="1">
        <v>0</v>
      </c>
      <c r="QX18" s="1">
        <v>0</v>
      </c>
      <c r="QY18" s="1">
        <v>0</v>
      </c>
      <c r="QZ18" s="1">
        <v>0</v>
      </c>
      <c r="RA18" s="1">
        <v>0</v>
      </c>
      <c r="RB18" s="1">
        <v>0</v>
      </c>
      <c r="RC18" s="1">
        <v>0</v>
      </c>
      <c r="RD18" s="1">
        <v>0</v>
      </c>
      <c r="RE18" s="1">
        <v>0</v>
      </c>
      <c r="RF18" s="1">
        <v>0</v>
      </c>
      <c r="RG18" s="1">
        <v>0</v>
      </c>
      <c r="RH18" s="1">
        <v>0</v>
      </c>
      <c r="RI18" s="1">
        <v>0</v>
      </c>
      <c r="RJ18" s="1">
        <v>0</v>
      </c>
      <c r="RK18" s="1">
        <v>0</v>
      </c>
      <c r="RL18" s="1">
        <v>0</v>
      </c>
      <c r="RM18" s="1">
        <v>0</v>
      </c>
      <c r="RN18" s="1">
        <v>0</v>
      </c>
      <c r="RO18" s="1">
        <v>0</v>
      </c>
      <c r="RP18" s="1">
        <v>0</v>
      </c>
      <c r="RQ18" s="1">
        <v>0</v>
      </c>
      <c r="RR18" s="1">
        <v>0</v>
      </c>
      <c r="RS18" s="1">
        <v>0</v>
      </c>
      <c r="RT18" s="1">
        <v>0</v>
      </c>
      <c r="RU18" s="1">
        <v>0</v>
      </c>
      <c r="RV18" s="1">
        <v>0</v>
      </c>
      <c r="RW18" s="1">
        <v>0</v>
      </c>
      <c r="RX18" s="1">
        <v>0</v>
      </c>
      <c r="RY18" s="1">
        <v>0</v>
      </c>
      <c r="RZ18" s="1">
        <v>0</v>
      </c>
      <c r="SA18" s="1">
        <v>0</v>
      </c>
      <c r="SB18" s="1">
        <v>0</v>
      </c>
      <c r="SC18" s="1">
        <v>0</v>
      </c>
      <c r="SD18" s="1">
        <v>0</v>
      </c>
      <c r="SE18" s="1">
        <v>0</v>
      </c>
      <c r="SF18" s="1">
        <v>0</v>
      </c>
      <c r="SG18" s="1">
        <v>0</v>
      </c>
      <c r="SH18" s="1">
        <v>0</v>
      </c>
      <c r="SI18" s="1">
        <v>0</v>
      </c>
      <c r="SJ18" s="1">
        <v>0</v>
      </c>
      <c r="SK18" s="1">
        <v>0</v>
      </c>
      <c r="SL18" s="1">
        <v>0</v>
      </c>
      <c r="SM18" s="1">
        <v>0</v>
      </c>
      <c r="SN18" s="1">
        <v>0</v>
      </c>
      <c r="SO18" s="1">
        <v>0</v>
      </c>
      <c r="SP18" s="1">
        <v>0</v>
      </c>
      <c r="SQ18" s="1">
        <v>0</v>
      </c>
      <c r="SR18" s="1">
        <v>0</v>
      </c>
      <c r="SS18" s="1">
        <v>0</v>
      </c>
      <c r="ST18" s="1">
        <v>0</v>
      </c>
      <c r="SU18" s="1">
        <v>0</v>
      </c>
      <c r="SV18" s="1">
        <v>0</v>
      </c>
      <c r="SW18" s="1">
        <v>0</v>
      </c>
      <c r="SX18" s="1">
        <v>0</v>
      </c>
      <c r="SY18" s="1">
        <v>0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7AF0B-9207-4706-8D00-26C59118112E}">
  <dimension ref="A1:R775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6" sqref="B6:R519"/>
    </sheetView>
  </sheetViews>
  <sheetFormatPr defaultRowHeight="18.75"/>
  <sheetData>
    <row r="1" spans="1:18">
      <c r="A1" s="1" t="s">
        <v>0</v>
      </c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25</v>
      </c>
    </row>
    <row r="2" spans="1:18">
      <c r="A2" s="1" t="s">
        <v>1</v>
      </c>
      <c r="B2" s="1" t="s">
        <v>2</v>
      </c>
      <c r="C2" s="1" t="s">
        <v>2</v>
      </c>
      <c r="D2" s="1" t="s">
        <v>2</v>
      </c>
      <c r="E2" s="1" t="s">
        <v>2</v>
      </c>
      <c r="F2" s="1" t="s">
        <v>2</v>
      </c>
      <c r="G2" s="1" t="s">
        <v>2</v>
      </c>
      <c r="H2" s="1" t="s">
        <v>2</v>
      </c>
      <c r="I2" s="1" t="s">
        <v>2</v>
      </c>
      <c r="J2" s="1" t="s">
        <v>2</v>
      </c>
      <c r="K2" s="1" t="s">
        <v>2</v>
      </c>
      <c r="L2" s="1" t="s">
        <v>2</v>
      </c>
      <c r="M2" s="1" t="s">
        <v>2</v>
      </c>
      <c r="N2" s="1" t="s">
        <v>2</v>
      </c>
      <c r="O2" s="1" t="s">
        <v>2</v>
      </c>
      <c r="P2" s="1" t="s">
        <v>2</v>
      </c>
      <c r="Q2" s="1" t="s">
        <v>2</v>
      </c>
      <c r="R2" s="1" t="s">
        <v>21</v>
      </c>
    </row>
    <row r="3" spans="1:18">
      <c r="A3" s="1"/>
      <c r="B3" s="1" t="s">
        <v>3</v>
      </c>
      <c r="C3" s="1" t="s">
        <v>3</v>
      </c>
      <c r="D3" s="1" t="s">
        <v>3</v>
      </c>
      <c r="E3" s="1" t="s">
        <v>3</v>
      </c>
      <c r="F3" s="1" t="s">
        <v>3</v>
      </c>
      <c r="G3" s="1" t="s">
        <v>3</v>
      </c>
      <c r="H3" s="1" t="s">
        <v>3</v>
      </c>
      <c r="I3" s="1" t="s">
        <v>3</v>
      </c>
      <c r="J3" s="1" t="s">
        <v>3</v>
      </c>
      <c r="K3" s="1" t="s">
        <v>3</v>
      </c>
      <c r="L3" s="1" t="s">
        <v>3</v>
      </c>
      <c r="M3" s="1" t="s">
        <v>3</v>
      </c>
      <c r="N3" s="1" t="s">
        <v>3</v>
      </c>
      <c r="O3" s="1" t="s">
        <v>3</v>
      </c>
      <c r="P3" s="1" t="s">
        <v>3</v>
      </c>
      <c r="Q3" s="1" t="s">
        <v>3</v>
      </c>
      <c r="R3" s="1" t="s">
        <v>3</v>
      </c>
    </row>
    <row r="4" spans="1:18">
      <c r="A4" s="1"/>
      <c r="B4" s="1" t="s">
        <v>4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 t="s">
        <v>16</v>
      </c>
      <c r="N4" s="1" t="s">
        <v>17</v>
      </c>
      <c r="O4" s="1" t="s">
        <v>18</v>
      </c>
      <c r="P4" s="1" t="s">
        <v>19</v>
      </c>
      <c r="Q4" s="1" t="s">
        <v>20</v>
      </c>
      <c r="R4" s="1" t="s">
        <v>22</v>
      </c>
    </row>
    <row r="5" spans="1:18">
      <c r="A5" s="1"/>
      <c r="B5" s="1" t="s">
        <v>5</v>
      </c>
      <c r="C5" s="1" t="s">
        <v>5</v>
      </c>
      <c r="D5" s="1" t="s">
        <v>5</v>
      </c>
      <c r="E5" s="1" t="s">
        <v>5</v>
      </c>
      <c r="F5" s="1" t="s">
        <v>5</v>
      </c>
      <c r="G5" s="1" t="s">
        <v>5</v>
      </c>
      <c r="H5" s="1" t="s">
        <v>5</v>
      </c>
      <c r="I5" s="1" t="s">
        <v>5</v>
      </c>
      <c r="J5" s="1" t="s">
        <v>5</v>
      </c>
      <c r="K5" s="1" t="s">
        <v>5</v>
      </c>
      <c r="L5" s="1" t="s">
        <v>5</v>
      </c>
      <c r="M5" s="1" t="s">
        <v>5</v>
      </c>
      <c r="N5" s="1" t="s">
        <v>5</v>
      </c>
      <c r="O5" s="1" t="s">
        <v>5</v>
      </c>
      <c r="P5" s="1" t="s">
        <v>5</v>
      </c>
      <c r="Q5" s="1" t="s">
        <v>5</v>
      </c>
      <c r="R5" s="1" t="s">
        <v>5</v>
      </c>
    </row>
    <row r="6" spans="1:18">
      <c r="A6" s="2">
        <v>0</v>
      </c>
      <c r="B6" s="1">
        <v>532760</v>
      </c>
      <c r="C6" s="1">
        <v>107287</v>
      </c>
      <c r="D6" s="1">
        <v>42241</v>
      </c>
      <c r="E6" s="1">
        <v>0</v>
      </c>
      <c r="F6" s="1">
        <v>406834</v>
      </c>
      <c r="G6" s="1">
        <v>62643.5</v>
      </c>
      <c r="H6" s="1">
        <v>371761</v>
      </c>
      <c r="I6" s="1">
        <v>622420</v>
      </c>
      <c r="J6" s="1">
        <v>50484</v>
      </c>
      <c r="K6" s="1">
        <v>88565</v>
      </c>
      <c r="L6" s="1">
        <v>96349.8</v>
      </c>
      <c r="M6" s="1">
        <v>70125.399999999994</v>
      </c>
      <c r="N6" s="1">
        <v>88175.5</v>
      </c>
      <c r="O6" s="1">
        <v>89364.9</v>
      </c>
      <c r="P6" s="1">
        <v>52946</v>
      </c>
      <c r="Q6" s="1">
        <v>82430</v>
      </c>
      <c r="R6" s="1">
        <v>0</v>
      </c>
    </row>
    <row r="7" spans="1:18">
      <c r="A7" s="2">
        <v>4.1666666666666664E-2</v>
      </c>
      <c r="B7" s="1">
        <v>533479</v>
      </c>
      <c r="C7" s="1">
        <v>107477</v>
      </c>
      <c r="D7" s="1">
        <v>42256.1</v>
      </c>
      <c r="E7" s="1">
        <v>0</v>
      </c>
      <c r="F7" s="1">
        <v>406856</v>
      </c>
      <c r="G7" s="1">
        <v>62698.5</v>
      </c>
      <c r="H7" s="1">
        <v>371773</v>
      </c>
      <c r="I7" s="1">
        <v>622648</v>
      </c>
      <c r="J7" s="1">
        <v>50490.8</v>
      </c>
      <c r="K7" s="1">
        <v>88568.6</v>
      </c>
      <c r="L7" s="1">
        <v>96371.8</v>
      </c>
      <c r="M7" s="1">
        <v>70164.100000000006</v>
      </c>
      <c r="N7" s="1">
        <v>88231.2</v>
      </c>
      <c r="O7" s="1">
        <v>89383.2</v>
      </c>
      <c r="P7" s="1">
        <v>52946</v>
      </c>
      <c r="Q7" s="1">
        <v>82430</v>
      </c>
      <c r="R7" s="1">
        <v>0</v>
      </c>
    </row>
    <row r="8" spans="1:18">
      <c r="A8" s="2">
        <v>8.3333333333333329E-2</v>
      </c>
      <c r="B8" s="1">
        <v>534179</v>
      </c>
      <c r="C8" s="1">
        <v>107663</v>
      </c>
      <c r="D8" s="1">
        <v>42270.7</v>
      </c>
      <c r="E8" s="1">
        <v>0</v>
      </c>
      <c r="F8" s="1">
        <v>406877</v>
      </c>
      <c r="G8" s="1">
        <v>62751.6</v>
      </c>
      <c r="H8" s="1">
        <v>371785</v>
      </c>
      <c r="I8" s="1">
        <v>622866</v>
      </c>
      <c r="J8" s="1">
        <v>50497.3</v>
      </c>
      <c r="K8" s="1">
        <v>88572.2</v>
      </c>
      <c r="L8" s="1">
        <v>96393.600000000006</v>
      </c>
      <c r="M8" s="1">
        <v>70202.7</v>
      </c>
      <c r="N8" s="1">
        <v>88286.5</v>
      </c>
      <c r="O8" s="1">
        <v>89402.2</v>
      </c>
      <c r="P8" s="1">
        <v>52946</v>
      </c>
      <c r="Q8" s="1">
        <v>82430</v>
      </c>
      <c r="R8" s="1">
        <v>0</v>
      </c>
    </row>
    <row r="9" spans="1:18">
      <c r="A9" s="2">
        <v>0.125</v>
      </c>
      <c r="B9" s="1">
        <v>534877</v>
      </c>
      <c r="C9" s="1">
        <v>107844</v>
      </c>
      <c r="D9" s="1">
        <v>42287.199999999997</v>
      </c>
      <c r="E9" s="1">
        <v>0</v>
      </c>
      <c r="F9" s="1">
        <v>406898</v>
      </c>
      <c r="G9" s="1">
        <v>62803.5</v>
      </c>
      <c r="H9" s="1">
        <v>371797</v>
      </c>
      <c r="I9" s="1">
        <v>623081</v>
      </c>
      <c r="J9" s="1">
        <v>50503.6</v>
      </c>
      <c r="K9" s="1">
        <v>88575.7</v>
      </c>
      <c r="L9" s="1">
        <v>96418</v>
      </c>
      <c r="M9" s="1">
        <v>70242.7</v>
      </c>
      <c r="N9" s="1">
        <v>88341.5</v>
      </c>
      <c r="O9" s="1">
        <v>89422</v>
      </c>
      <c r="P9" s="1">
        <v>52946</v>
      </c>
      <c r="Q9" s="1">
        <v>82430</v>
      </c>
      <c r="R9" s="1">
        <v>0</v>
      </c>
    </row>
    <row r="10" spans="1:18">
      <c r="A10" s="2">
        <v>0.16666666666666666</v>
      </c>
      <c r="B10" s="1">
        <v>535561</v>
      </c>
      <c r="C10" s="1">
        <v>108018</v>
      </c>
      <c r="D10" s="1">
        <v>42301.7</v>
      </c>
      <c r="E10" s="1">
        <v>0</v>
      </c>
      <c r="F10" s="1">
        <v>406919</v>
      </c>
      <c r="G10" s="1">
        <v>62854.9</v>
      </c>
      <c r="H10" s="1">
        <v>371810</v>
      </c>
      <c r="I10" s="1">
        <v>623294</v>
      </c>
      <c r="J10" s="1">
        <v>50510.2</v>
      </c>
      <c r="K10" s="1">
        <v>88579.199999999997</v>
      </c>
      <c r="L10" s="1">
        <v>96443.7</v>
      </c>
      <c r="M10" s="1">
        <v>70282.5</v>
      </c>
      <c r="N10" s="1">
        <v>88396.7</v>
      </c>
      <c r="O10" s="1">
        <v>89441</v>
      </c>
      <c r="P10" s="1">
        <v>52946</v>
      </c>
      <c r="Q10" s="1">
        <v>82430</v>
      </c>
      <c r="R10" s="1">
        <v>0</v>
      </c>
    </row>
    <row r="11" spans="1:18">
      <c r="A11" s="2">
        <v>0.20833333333333334</v>
      </c>
      <c r="B11" s="1">
        <v>536233</v>
      </c>
      <c r="C11" s="1">
        <v>108186</v>
      </c>
      <c r="D11" s="1">
        <v>42315.9</v>
      </c>
      <c r="E11" s="1">
        <v>0</v>
      </c>
      <c r="F11" s="1">
        <v>406939</v>
      </c>
      <c r="G11" s="1">
        <v>62906</v>
      </c>
      <c r="H11" s="1">
        <v>371821</v>
      </c>
      <c r="I11" s="1">
        <v>623509</v>
      </c>
      <c r="J11" s="1">
        <v>50516.2</v>
      </c>
      <c r="K11" s="1">
        <v>88582.6</v>
      </c>
      <c r="L11" s="1">
        <v>96464.9</v>
      </c>
      <c r="M11" s="1">
        <v>70319.7</v>
      </c>
      <c r="N11" s="1">
        <v>88451.8</v>
      </c>
      <c r="O11" s="1">
        <v>89460.5</v>
      </c>
      <c r="P11" s="1">
        <v>52946</v>
      </c>
      <c r="Q11" s="1">
        <v>82430</v>
      </c>
      <c r="R11" s="1">
        <v>0</v>
      </c>
    </row>
    <row r="12" spans="1:18">
      <c r="A12" s="2">
        <v>0.25</v>
      </c>
      <c r="B12" s="1">
        <v>536898</v>
      </c>
      <c r="C12" s="1">
        <v>108354</v>
      </c>
      <c r="D12" s="1">
        <v>42330.1</v>
      </c>
      <c r="E12" s="1">
        <v>0</v>
      </c>
      <c r="F12" s="1">
        <v>406959</v>
      </c>
      <c r="G12" s="1">
        <v>62956.2</v>
      </c>
      <c r="H12" s="1">
        <v>371834</v>
      </c>
      <c r="I12" s="1">
        <v>623722</v>
      </c>
      <c r="J12" s="1">
        <v>50522.400000000001</v>
      </c>
      <c r="K12" s="1">
        <v>88585.9</v>
      </c>
      <c r="L12" s="1">
        <v>96485.8</v>
      </c>
      <c r="M12" s="1">
        <v>70356.3</v>
      </c>
      <c r="N12" s="1">
        <v>88506.8</v>
      </c>
      <c r="O12" s="1">
        <v>89479.5</v>
      </c>
      <c r="P12" s="1">
        <v>52946</v>
      </c>
      <c r="Q12" s="1">
        <v>82430</v>
      </c>
      <c r="R12" s="1">
        <v>0</v>
      </c>
    </row>
    <row r="13" spans="1:18">
      <c r="A13" s="2">
        <v>0.29166666666666669</v>
      </c>
      <c r="B13" s="1">
        <v>537552</v>
      </c>
      <c r="C13" s="1">
        <v>108521</v>
      </c>
      <c r="D13" s="1">
        <v>42344.9</v>
      </c>
      <c r="E13" s="1">
        <v>0</v>
      </c>
      <c r="F13" s="1">
        <v>406980</v>
      </c>
      <c r="G13" s="1">
        <v>63005.2</v>
      </c>
      <c r="H13" s="1">
        <v>371846</v>
      </c>
      <c r="I13" s="1">
        <v>623928</v>
      </c>
      <c r="J13" s="1">
        <v>50528.4</v>
      </c>
      <c r="K13" s="1">
        <v>88588.800000000003</v>
      </c>
      <c r="L13" s="1">
        <v>96506.9</v>
      </c>
      <c r="M13" s="1">
        <v>70392.399999999994</v>
      </c>
      <c r="N13" s="1">
        <v>88560.9</v>
      </c>
      <c r="O13" s="1">
        <v>89495.7</v>
      </c>
      <c r="P13" s="1">
        <v>52946</v>
      </c>
      <c r="Q13" s="1">
        <v>82431</v>
      </c>
      <c r="R13" s="1">
        <v>0</v>
      </c>
    </row>
    <row r="14" spans="1:18">
      <c r="A14" s="2">
        <v>0.33333333333333331</v>
      </c>
      <c r="B14" s="1">
        <v>538229</v>
      </c>
      <c r="C14" s="1">
        <v>108696</v>
      </c>
      <c r="D14" s="1">
        <v>42358.5</v>
      </c>
      <c r="E14" s="1">
        <v>0</v>
      </c>
      <c r="F14" s="1">
        <v>407001</v>
      </c>
      <c r="G14" s="1">
        <v>63052.4</v>
      </c>
      <c r="H14" s="1">
        <v>371858</v>
      </c>
      <c r="I14" s="1">
        <v>624150</v>
      </c>
      <c r="J14" s="1">
        <v>50535</v>
      </c>
      <c r="K14" s="1">
        <v>88589.5</v>
      </c>
      <c r="L14" s="1">
        <v>96528</v>
      </c>
      <c r="M14" s="1">
        <v>70429.100000000006</v>
      </c>
      <c r="N14" s="1">
        <v>88612.5</v>
      </c>
      <c r="O14" s="1">
        <v>89514.6</v>
      </c>
      <c r="P14" s="1">
        <v>52947</v>
      </c>
      <c r="Q14" s="1">
        <v>82434</v>
      </c>
      <c r="R14" s="1">
        <v>0</v>
      </c>
    </row>
    <row r="15" spans="1:18">
      <c r="A15" s="2">
        <v>0.375</v>
      </c>
      <c r="B15" s="1">
        <v>538909</v>
      </c>
      <c r="C15" s="1">
        <v>108872</v>
      </c>
      <c r="D15" s="1">
        <v>42372.1</v>
      </c>
      <c r="E15" s="1">
        <v>0</v>
      </c>
      <c r="F15" s="1">
        <v>407023</v>
      </c>
      <c r="G15" s="1">
        <v>63091.6</v>
      </c>
      <c r="H15" s="1">
        <v>371870</v>
      </c>
      <c r="I15" s="1">
        <v>624378</v>
      </c>
      <c r="J15" s="1">
        <v>50541.599999999999</v>
      </c>
      <c r="K15" s="1">
        <v>88589.5</v>
      </c>
      <c r="L15" s="1">
        <v>96549</v>
      </c>
      <c r="M15" s="1">
        <v>70468.100000000006</v>
      </c>
      <c r="N15" s="1">
        <v>88661.7</v>
      </c>
      <c r="O15" s="1">
        <v>89533.5</v>
      </c>
      <c r="P15" s="1">
        <v>52952</v>
      </c>
      <c r="Q15" s="1">
        <v>82442</v>
      </c>
      <c r="R15" s="1">
        <v>0</v>
      </c>
    </row>
    <row r="16" spans="1:18">
      <c r="A16" s="2">
        <v>0.41666666666666669</v>
      </c>
      <c r="B16" s="1">
        <v>539590</v>
      </c>
      <c r="C16" s="1">
        <v>109053</v>
      </c>
      <c r="D16" s="1">
        <v>42386.1</v>
      </c>
      <c r="E16" s="1">
        <v>0</v>
      </c>
      <c r="F16" s="1">
        <v>407046</v>
      </c>
      <c r="G16" s="1">
        <v>63121.8</v>
      </c>
      <c r="H16" s="1">
        <v>371882</v>
      </c>
      <c r="I16" s="1">
        <v>624622</v>
      </c>
      <c r="J16" s="1">
        <v>50548.6</v>
      </c>
      <c r="K16" s="1">
        <v>88589.5</v>
      </c>
      <c r="L16" s="1">
        <v>96570.1</v>
      </c>
      <c r="M16" s="1">
        <v>70508.899999999994</v>
      </c>
      <c r="N16" s="1">
        <v>88707.4</v>
      </c>
      <c r="O16" s="1">
        <v>89551.5</v>
      </c>
      <c r="P16" s="1">
        <v>52962</v>
      </c>
      <c r="Q16" s="1">
        <v>82457</v>
      </c>
      <c r="R16" s="1">
        <v>0</v>
      </c>
    </row>
    <row r="17" spans="1:18">
      <c r="A17" s="2">
        <v>0.45833333333333331</v>
      </c>
      <c r="B17" s="1">
        <v>540280</v>
      </c>
      <c r="C17" s="1">
        <v>109235</v>
      </c>
      <c r="D17" s="1">
        <v>42403.4</v>
      </c>
      <c r="E17" s="1">
        <v>0</v>
      </c>
      <c r="F17" s="1">
        <v>407070</v>
      </c>
      <c r="G17" s="1">
        <v>63146.9</v>
      </c>
      <c r="H17" s="1">
        <v>371894</v>
      </c>
      <c r="I17" s="1">
        <v>624872</v>
      </c>
      <c r="J17" s="1">
        <v>50555.7</v>
      </c>
      <c r="K17" s="1">
        <v>88589.5</v>
      </c>
      <c r="L17" s="1">
        <v>96597</v>
      </c>
      <c r="M17" s="1">
        <v>70549.600000000006</v>
      </c>
      <c r="N17" s="1">
        <v>88750.1</v>
      </c>
      <c r="O17" s="1">
        <v>89571.199999999997</v>
      </c>
      <c r="P17" s="1">
        <v>52975</v>
      </c>
      <c r="Q17" s="1">
        <v>82476</v>
      </c>
      <c r="R17" s="1">
        <v>0</v>
      </c>
    </row>
    <row r="18" spans="1:18">
      <c r="A18" s="2">
        <v>0.5</v>
      </c>
      <c r="B18" s="1">
        <v>540973</v>
      </c>
      <c r="C18" s="1">
        <v>109420</v>
      </c>
      <c r="D18" s="1">
        <v>42422.6</v>
      </c>
      <c r="E18" s="1">
        <v>0</v>
      </c>
      <c r="F18" s="1">
        <v>407097</v>
      </c>
      <c r="G18" s="1">
        <v>63168.3</v>
      </c>
      <c r="H18" s="1">
        <v>371907</v>
      </c>
      <c r="I18" s="1">
        <v>625127</v>
      </c>
      <c r="J18" s="1">
        <v>50562.9</v>
      </c>
      <c r="K18" s="1">
        <v>88589.5</v>
      </c>
      <c r="L18" s="1">
        <v>96622.1</v>
      </c>
      <c r="M18" s="1">
        <v>70590.899999999994</v>
      </c>
      <c r="N18" s="1">
        <v>88791.5</v>
      </c>
      <c r="O18" s="1">
        <v>89590.7</v>
      </c>
      <c r="P18" s="1">
        <v>52990</v>
      </c>
      <c r="Q18" s="1">
        <v>82500</v>
      </c>
      <c r="R18" s="1">
        <v>0</v>
      </c>
    </row>
    <row r="19" spans="1:18">
      <c r="A19" s="2">
        <v>0.54166666666666663</v>
      </c>
      <c r="B19" s="1">
        <v>541700</v>
      </c>
      <c r="C19" s="1">
        <v>109614</v>
      </c>
      <c r="D19" s="1">
        <v>42443.7</v>
      </c>
      <c r="E19" s="1">
        <v>0</v>
      </c>
      <c r="F19" s="1">
        <v>407124</v>
      </c>
      <c r="G19" s="1">
        <v>63188.9</v>
      </c>
      <c r="H19" s="1">
        <v>371919</v>
      </c>
      <c r="I19" s="1">
        <v>625402</v>
      </c>
      <c r="J19" s="1">
        <v>50570.6</v>
      </c>
      <c r="K19" s="1">
        <v>88589.5</v>
      </c>
      <c r="L19" s="1">
        <v>96651</v>
      </c>
      <c r="M19" s="1">
        <v>70633.7</v>
      </c>
      <c r="N19" s="1">
        <v>88831.5</v>
      </c>
      <c r="O19" s="1">
        <v>89608.4</v>
      </c>
      <c r="P19" s="1">
        <v>53006</v>
      </c>
      <c r="Q19" s="1">
        <v>82524</v>
      </c>
      <c r="R19" s="1">
        <v>0</v>
      </c>
    </row>
    <row r="20" spans="1:18">
      <c r="A20" s="2">
        <v>0.58333333333333337</v>
      </c>
      <c r="B20" s="1">
        <v>542478</v>
      </c>
      <c r="C20" s="1">
        <v>109819</v>
      </c>
      <c r="D20" s="1">
        <v>42466.8</v>
      </c>
      <c r="E20" s="1">
        <v>0</v>
      </c>
      <c r="F20" s="1">
        <v>407155</v>
      </c>
      <c r="G20" s="1">
        <v>63215.6</v>
      </c>
      <c r="H20" s="1">
        <v>371932</v>
      </c>
      <c r="I20" s="1">
        <v>625695</v>
      </c>
      <c r="J20" s="1">
        <v>50578.7</v>
      </c>
      <c r="K20" s="1">
        <v>88589.5</v>
      </c>
      <c r="L20" s="1">
        <v>96683.6</v>
      </c>
      <c r="M20" s="1">
        <v>70675.600000000006</v>
      </c>
      <c r="N20" s="1">
        <v>88872.1</v>
      </c>
      <c r="O20" s="1">
        <v>89627.199999999997</v>
      </c>
      <c r="P20" s="1">
        <v>53021</v>
      </c>
      <c r="Q20" s="1">
        <v>82547</v>
      </c>
      <c r="R20" s="1">
        <v>0</v>
      </c>
    </row>
    <row r="21" spans="1:18">
      <c r="A21" s="2">
        <v>0.625</v>
      </c>
      <c r="B21" s="1">
        <v>543301</v>
      </c>
      <c r="C21" s="1">
        <v>110044</v>
      </c>
      <c r="D21" s="1">
        <v>42489</v>
      </c>
      <c r="E21" s="1">
        <v>0</v>
      </c>
      <c r="F21" s="1">
        <v>407187</v>
      </c>
      <c r="G21" s="1">
        <v>63259.1</v>
      </c>
      <c r="H21" s="1">
        <v>371949</v>
      </c>
      <c r="I21" s="1">
        <v>625980</v>
      </c>
      <c r="J21" s="1">
        <v>50586.9</v>
      </c>
      <c r="K21" s="1">
        <v>88589.5</v>
      </c>
      <c r="L21" s="1">
        <v>96710.8</v>
      </c>
      <c r="M21" s="1">
        <v>70718.8</v>
      </c>
      <c r="N21" s="1">
        <v>88919</v>
      </c>
      <c r="O21" s="1">
        <v>89646.9</v>
      </c>
      <c r="P21" s="1">
        <v>53029</v>
      </c>
      <c r="Q21" s="1">
        <v>82559</v>
      </c>
      <c r="R21" s="1">
        <v>0</v>
      </c>
    </row>
    <row r="22" spans="1:18">
      <c r="A22" s="2">
        <v>0.66666666666666663</v>
      </c>
      <c r="B22" s="1">
        <v>544152</v>
      </c>
      <c r="C22" s="1">
        <v>110270</v>
      </c>
      <c r="D22" s="1">
        <v>42516.1</v>
      </c>
      <c r="E22" s="1">
        <v>0</v>
      </c>
      <c r="F22" s="1">
        <v>407217</v>
      </c>
      <c r="G22" s="1">
        <v>63309.2</v>
      </c>
      <c r="H22" s="1">
        <v>371966</v>
      </c>
      <c r="I22" s="1">
        <v>626270</v>
      </c>
      <c r="J22" s="1">
        <v>50594.7</v>
      </c>
      <c r="K22" s="1">
        <v>88589.5</v>
      </c>
      <c r="L22" s="1">
        <v>96739.5</v>
      </c>
      <c r="M22" s="1">
        <v>70764.600000000006</v>
      </c>
      <c r="N22" s="1">
        <v>88967.4</v>
      </c>
      <c r="O22" s="1">
        <v>89667.7</v>
      </c>
      <c r="P22" s="1">
        <v>53035</v>
      </c>
      <c r="Q22" s="1">
        <v>82569</v>
      </c>
      <c r="R22" s="1">
        <v>0</v>
      </c>
    </row>
    <row r="23" spans="1:18">
      <c r="A23" s="2">
        <v>0.70833333333333337</v>
      </c>
      <c r="B23" s="1">
        <v>544974</v>
      </c>
      <c r="C23" s="1">
        <v>110486</v>
      </c>
      <c r="D23" s="1">
        <v>42538.1</v>
      </c>
      <c r="E23" s="1">
        <v>0</v>
      </c>
      <c r="F23" s="1">
        <v>407245</v>
      </c>
      <c r="G23" s="1">
        <v>63356.5</v>
      </c>
      <c r="H23" s="1">
        <v>371981</v>
      </c>
      <c r="I23" s="1">
        <v>626553</v>
      </c>
      <c r="J23" s="1">
        <v>50602.3</v>
      </c>
      <c r="K23" s="1">
        <v>88589.9</v>
      </c>
      <c r="L23" s="1">
        <v>96768.7</v>
      </c>
      <c r="M23" s="1">
        <v>70810.2</v>
      </c>
      <c r="N23" s="1">
        <v>89016.7</v>
      </c>
      <c r="O23" s="1">
        <v>89687</v>
      </c>
      <c r="P23" s="1">
        <v>53041</v>
      </c>
      <c r="Q23" s="1">
        <v>82579</v>
      </c>
      <c r="R23" s="1">
        <v>0</v>
      </c>
    </row>
    <row r="24" spans="1:18">
      <c r="A24" s="2">
        <v>0.75</v>
      </c>
      <c r="B24" s="1">
        <v>545759</v>
      </c>
      <c r="C24" s="1">
        <v>110683</v>
      </c>
      <c r="D24" s="1">
        <v>42555.1</v>
      </c>
      <c r="E24" s="1">
        <v>0</v>
      </c>
      <c r="F24" s="1">
        <v>407268</v>
      </c>
      <c r="G24" s="1">
        <v>63414.3</v>
      </c>
      <c r="H24" s="1">
        <v>371998</v>
      </c>
      <c r="I24" s="1">
        <v>626819</v>
      </c>
      <c r="J24" s="1">
        <v>50609.3</v>
      </c>
      <c r="K24" s="1">
        <v>88593.1</v>
      </c>
      <c r="L24" s="1">
        <v>96792.7</v>
      </c>
      <c r="M24" s="1">
        <v>70853.2</v>
      </c>
      <c r="N24" s="1">
        <v>89070.7</v>
      </c>
      <c r="O24" s="1">
        <v>89705.3</v>
      </c>
      <c r="P24" s="1">
        <v>53042</v>
      </c>
      <c r="Q24" s="1">
        <v>82579</v>
      </c>
      <c r="R24" s="1">
        <v>0</v>
      </c>
    </row>
    <row r="25" spans="1:18">
      <c r="A25" s="2">
        <v>0.79166666666666663</v>
      </c>
      <c r="B25" s="1">
        <v>546511</v>
      </c>
      <c r="C25" s="1">
        <v>110873</v>
      </c>
      <c r="D25" s="1">
        <v>42571.199999999997</v>
      </c>
      <c r="E25" s="1">
        <v>0</v>
      </c>
      <c r="F25" s="1">
        <v>407291</v>
      </c>
      <c r="G25" s="1">
        <v>63468.5</v>
      </c>
      <c r="H25" s="1">
        <v>372011</v>
      </c>
      <c r="I25" s="1">
        <v>627075</v>
      </c>
      <c r="J25" s="1">
        <v>50616</v>
      </c>
      <c r="K25" s="1">
        <v>88596.800000000003</v>
      </c>
      <c r="L25" s="1">
        <v>96814.399999999994</v>
      </c>
      <c r="M25" s="1">
        <v>70894</v>
      </c>
      <c r="N25" s="1">
        <v>89125.2</v>
      </c>
      <c r="O25" s="1">
        <v>89721.600000000006</v>
      </c>
      <c r="P25" s="1">
        <v>53042</v>
      </c>
      <c r="Q25" s="1">
        <v>82579</v>
      </c>
      <c r="R25" s="1">
        <v>0</v>
      </c>
    </row>
    <row r="26" spans="1:18">
      <c r="A26" s="2">
        <v>0.83333333333333337</v>
      </c>
      <c r="B26" s="1">
        <v>547248</v>
      </c>
      <c r="C26" s="1">
        <v>111059</v>
      </c>
      <c r="D26" s="1">
        <v>42587</v>
      </c>
      <c r="E26" s="1">
        <v>0</v>
      </c>
      <c r="F26" s="1">
        <v>407314</v>
      </c>
      <c r="G26" s="1">
        <v>63524.4</v>
      </c>
      <c r="H26" s="1">
        <v>372024</v>
      </c>
      <c r="I26" s="1">
        <v>627321</v>
      </c>
      <c r="J26" s="1">
        <v>50622.7</v>
      </c>
      <c r="K26" s="1">
        <v>88600.3</v>
      </c>
      <c r="L26" s="1">
        <v>96836.5</v>
      </c>
      <c r="M26" s="1">
        <v>70932.7</v>
      </c>
      <c r="N26" s="1">
        <v>89180</v>
      </c>
      <c r="O26" s="1">
        <v>89741.3</v>
      </c>
      <c r="P26" s="1">
        <v>53042</v>
      </c>
      <c r="Q26" s="1">
        <v>82579</v>
      </c>
      <c r="R26" s="1">
        <v>0</v>
      </c>
    </row>
    <row r="27" spans="1:18">
      <c r="A27" s="2">
        <v>0.875</v>
      </c>
      <c r="B27" s="1">
        <v>547976</v>
      </c>
      <c r="C27" s="1">
        <v>111242</v>
      </c>
      <c r="D27" s="1">
        <v>42604.4</v>
      </c>
      <c r="E27" s="1">
        <v>0</v>
      </c>
      <c r="F27" s="1">
        <v>407339</v>
      </c>
      <c r="G27" s="1">
        <v>63579.9</v>
      </c>
      <c r="H27" s="1">
        <v>372036</v>
      </c>
      <c r="I27" s="1">
        <v>627560</v>
      </c>
      <c r="J27" s="1">
        <v>50629.2</v>
      </c>
      <c r="K27" s="1">
        <v>88603.8</v>
      </c>
      <c r="L27" s="1">
        <v>96858.8</v>
      </c>
      <c r="M27" s="1">
        <v>70969.3</v>
      </c>
      <c r="N27" s="1">
        <v>89234.7</v>
      </c>
      <c r="O27" s="1">
        <v>89760.4</v>
      </c>
      <c r="P27" s="1">
        <v>53042</v>
      </c>
      <c r="Q27" s="1">
        <v>82579</v>
      </c>
      <c r="R27" s="1">
        <v>0</v>
      </c>
    </row>
    <row r="28" spans="1:18">
      <c r="A28" s="2">
        <v>0.91666666666666663</v>
      </c>
      <c r="B28" s="1">
        <v>548705</v>
      </c>
      <c r="C28" s="1">
        <v>111429</v>
      </c>
      <c r="D28" s="1">
        <v>42623.5</v>
      </c>
      <c r="E28" s="1">
        <v>0</v>
      </c>
      <c r="F28" s="1">
        <v>407366</v>
      </c>
      <c r="G28" s="1">
        <v>63635.1</v>
      </c>
      <c r="H28" s="1">
        <v>372049</v>
      </c>
      <c r="I28" s="1">
        <v>627791</v>
      </c>
      <c r="J28" s="1">
        <v>50635.6</v>
      </c>
      <c r="K28" s="1">
        <v>88607.5</v>
      </c>
      <c r="L28" s="1">
        <v>96881.600000000006</v>
      </c>
      <c r="M28" s="1">
        <v>71007</v>
      </c>
      <c r="N28" s="1">
        <v>89290</v>
      </c>
      <c r="O28" s="1">
        <v>89779.3</v>
      </c>
      <c r="P28" s="1">
        <v>53042</v>
      </c>
      <c r="Q28" s="1">
        <v>82579</v>
      </c>
      <c r="R28" s="1">
        <v>0</v>
      </c>
    </row>
    <row r="29" spans="1:18">
      <c r="A29" s="2">
        <v>0.95833333333333337</v>
      </c>
      <c r="B29" s="1">
        <v>549427</v>
      </c>
      <c r="C29" s="1">
        <v>111610</v>
      </c>
      <c r="D29" s="1">
        <v>42640.5</v>
      </c>
      <c r="E29" s="1">
        <v>0</v>
      </c>
      <c r="F29" s="1">
        <v>407390</v>
      </c>
      <c r="G29" s="1">
        <v>63690.8</v>
      </c>
      <c r="H29" s="1">
        <v>372061</v>
      </c>
      <c r="I29" s="1">
        <v>628021</v>
      </c>
      <c r="J29" s="1">
        <v>50642.400000000001</v>
      </c>
      <c r="K29" s="1">
        <v>88611.1</v>
      </c>
      <c r="L29" s="1">
        <v>96905.1</v>
      </c>
      <c r="M29" s="1">
        <v>71045.399999999994</v>
      </c>
      <c r="N29" s="1">
        <v>89345</v>
      </c>
      <c r="O29" s="1">
        <v>89799.1</v>
      </c>
      <c r="P29" s="1">
        <v>53042</v>
      </c>
      <c r="Q29" s="1">
        <v>82579</v>
      </c>
      <c r="R29" s="1">
        <v>0</v>
      </c>
    </row>
    <row r="30" spans="1:18">
      <c r="A30" s="2">
        <v>0</v>
      </c>
      <c r="B30" s="1">
        <v>550147</v>
      </c>
      <c r="C30" s="1">
        <v>111792</v>
      </c>
      <c r="D30" s="1">
        <v>42657</v>
      </c>
      <c r="E30" s="1">
        <v>0</v>
      </c>
      <c r="F30" s="1">
        <v>407414</v>
      </c>
      <c r="G30" s="1">
        <v>63747.1</v>
      </c>
      <c r="H30" s="1">
        <v>372074</v>
      </c>
      <c r="I30" s="1">
        <v>628249</v>
      </c>
      <c r="J30" s="1">
        <v>50648.800000000003</v>
      </c>
      <c r="K30" s="1">
        <v>88615.2</v>
      </c>
      <c r="L30" s="1">
        <v>96928.9</v>
      </c>
      <c r="M30" s="1">
        <v>71086</v>
      </c>
      <c r="N30" s="1">
        <v>89399.3</v>
      </c>
      <c r="O30" s="1">
        <v>89818.4</v>
      </c>
      <c r="P30" s="1">
        <v>53042</v>
      </c>
      <c r="Q30" s="1">
        <v>82579</v>
      </c>
      <c r="R30" s="1">
        <v>0</v>
      </c>
    </row>
    <row r="31" spans="1:18">
      <c r="A31" s="2">
        <v>4.1666666666666664E-2</v>
      </c>
      <c r="B31" s="1">
        <v>550856</v>
      </c>
      <c r="C31" s="1">
        <v>111969</v>
      </c>
      <c r="D31" s="1">
        <v>42675.9</v>
      </c>
      <c r="E31" s="1">
        <v>0</v>
      </c>
      <c r="F31" s="1">
        <v>407438</v>
      </c>
      <c r="G31" s="1">
        <v>63801.8</v>
      </c>
      <c r="H31" s="1">
        <v>372087</v>
      </c>
      <c r="I31" s="1">
        <v>628474</v>
      </c>
      <c r="J31" s="1">
        <v>50655.5</v>
      </c>
      <c r="K31" s="1">
        <v>88618.7</v>
      </c>
      <c r="L31" s="1">
        <v>96952.6</v>
      </c>
      <c r="M31" s="1">
        <v>71124.600000000006</v>
      </c>
      <c r="N31" s="1">
        <v>89454.399999999994</v>
      </c>
      <c r="O31" s="1">
        <v>89835.9</v>
      </c>
      <c r="P31" s="1">
        <v>53042</v>
      </c>
      <c r="Q31" s="1">
        <v>82579</v>
      </c>
      <c r="R31" s="1">
        <v>0</v>
      </c>
    </row>
    <row r="32" spans="1:18">
      <c r="A32" s="2">
        <v>8.3333333333333329E-2</v>
      </c>
      <c r="B32" s="1">
        <v>551532</v>
      </c>
      <c r="C32" s="1">
        <v>112129</v>
      </c>
      <c r="D32" s="1">
        <v>42691.4</v>
      </c>
      <c r="E32" s="1">
        <v>0</v>
      </c>
      <c r="F32" s="1">
        <v>407460</v>
      </c>
      <c r="G32" s="1">
        <v>63855.8</v>
      </c>
      <c r="H32" s="1">
        <v>372099</v>
      </c>
      <c r="I32" s="1">
        <v>628690</v>
      </c>
      <c r="J32" s="1">
        <v>50661.9</v>
      </c>
      <c r="K32" s="1">
        <v>88622.3</v>
      </c>
      <c r="L32" s="1">
        <v>96976.1</v>
      </c>
      <c r="M32" s="1">
        <v>71161.8</v>
      </c>
      <c r="N32" s="1">
        <v>89508.9</v>
      </c>
      <c r="O32" s="1">
        <v>89856.3</v>
      </c>
      <c r="P32" s="1">
        <v>53042</v>
      </c>
      <c r="Q32" s="1">
        <v>82579</v>
      </c>
      <c r="R32" s="1">
        <v>0</v>
      </c>
    </row>
    <row r="33" spans="1:18">
      <c r="A33" s="2">
        <v>0.125</v>
      </c>
      <c r="B33" s="1">
        <v>552210</v>
      </c>
      <c r="C33" s="1">
        <v>112303</v>
      </c>
      <c r="D33" s="1">
        <v>42705.2</v>
      </c>
      <c r="E33" s="1">
        <v>0</v>
      </c>
      <c r="F33" s="1">
        <v>407482</v>
      </c>
      <c r="G33" s="1">
        <v>63906.400000000001</v>
      </c>
      <c r="H33" s="1">
        <v>372111</v>
      </c>
      <c r="I33" s="1">
        <v>628903</v>
      </c>
      <c r="J33" s="1">
        <v>50668</v>
      </c>
      <c r="K33" s="1">
        <v>88625.7</v>
      </c>
      <c r="L33" s="1">
        <v>96999</v>
      </c>
      <c r="M33" s="1">
        <v>71199.399999999994</v>
      </c>
      <c r="N33" s="1">
        <v>89563.5</v>
      </c>
      <c r="O33" s="1">
        <v>89874.9</v>
      </c>
      <c r="P33" s="1">
        <v>53042</v>
      </c>
      <c r="Q33" s="1">
        <v>82579</v>
      </c>
      <c r="R33" s="1">
        <v>0</v>
      </c>
    </row>
    <row r="34" spans="1:18">
      <c r="A34" s="2">
        <v>0.16666666666666666</v>
      </c>
      <c r="B34" s="1">
        <v>552891</v>
      </c>
      <c r="C34" s="1">
        <v>112480</v>
      </c>
      <c r="D34" s="1">
        <v>42719.8</v>
      </c>
      <c r="E34" s="1">
        <v>0</v>
      </c>
      <c r="F34" s="1">
        <v>407503</v>
      </c>
      <c r="G34" s="1">
        <v>63957.9</v>
      </c>
      <c r="H34" s="1">
        <v>372124</v>
      </c>
      <c r="I34" s="1">
        <v>629116</v>
      </c>
      <c r="J34" s="1">
        <v>50674.400000000001</v>
      </c>
      <c r="K34" s="1">
        <v>88629.2</v>
      </c>
      <c r="L34" s="1">
        <v>97020.7</v>
      </c>
      <c r="M34" s="1">
        <v>71236.399999999994</v>
      </c>
      <c r="N34" s="1">
        <v>89618.4</v>
      </c>
      <c r="O34" s="1">
        <v>89894.399999999994</v>
      </c>
      <c r="P34" s="1">
        <v>53042</v>
      </c>
      <c r="Q34" s="1">
        <v>82579</v>
      </c>
      <c r="R34" s="1">
        <v>0</v>
      </c>
    </row>
    <row r="35" spans="1:18">
      <c r="A35" s="2">
        <v>0.20833333333333334</v>
      </c>
      <c r="B35" s="1">
        <v>553566</v>
      </c>
      <c r="C35" s="1">
        <v>112657</v>
      </c>
      <c r="D35" s="1">
        <v>42734.2</v>
      </c>
      <c r="E35" s="1">
        <v>0</v>
      </c>
      <c r="F35" s="1">
        <v>407523</v>
      </c>
      <c r="G35" s="1">
        <v>64008.7</v>
      </c>
      <c r="H35" s="1">
        <v>372136</v>
      </c>
      <c r="I35" s="1">
        <v>629324</v>
      </c>
      <c r="J35" s="1">
        <v>50680.3</v>
      </c>
      <c r="K35" s="1">
        <v>88632.6</v>
      </c>
      <c r="L35" s="1">
        <v>97040.4</v>
      </c>
      <c r="M35" s="1">
        <v>71274.3</v>
      </c>
      <c r="N35" s="1">
        <v>89673.2</v>
      </c>
      <c r="O35" s="1">
        <v>89913.9</v>
      </c>
      <c r="P35" s="1">
        <v>53042</v>
      </c>
      <c r="Q35" s="1">
        <v>82579</v>
      </c>
      <c r="R35" s="1">
        <v>0</v>
      </c>
    </row>
    <row r="36" spans="1:18">
      <c r="A36" s="2">
        <v>0.25</v>
      </c>
      <c r="B36" s="1">
        <v>554244</v>
      </c>
      <c r="C36" s="1">
        <v>112834</v>
      </c>
      <c r="D36" s="1">
        <v>42750.7</v>
      </c>
      <c r="E36" s="1">
        <v>0</v>
      </c>
      <c r="F36" s="1">
        <v>407544</v>
      </c>
      <c r="G36" s="1">
        <v>64059.4</v>
      </c>
      <c r="H36" s="1">
        <v>372148</v>
      </c>
      <c r="I36" s="1">
        <v>629535</v>
      </c>
      <c r="J36" s="1">
        <v>50686.400000000001</v>
      </c>
      <c r="K36" s="1">
        <v>88636.1</v>
      </c>
      <c r="L36" s="1">
        <v>97059.5</v>
      </c>
      <c r="M36" s="1">
        <v>71312.800000000003</v>
      </c>
      <c r="N36" s="1">
        <v>89727.7</v>
      </c>
      <c r="O36" s="1">
        <v>89934.2</v>
      </c>
      <c r="P36" s="1">
        <v>53042</v>
      </c>
      <c r="Q36" s="1">
        <v>82579</v>
      </c>
      <c r="R36" s="1">
        <v>0</v>
      </c>
    </row>
    <row r="37" spans="1:18">
      <c r="A37" s="2">
        <v>0.29166666666666669</v>
      </c>
      <c r="B37" s="1">
        <v>554934</v>
      </c>
      <c r="C37" s="1">
        <v>113015</v>
      </c>
      <c r="D37" s="1">
        <v>42767</v>
      </c>
      <c r="E37" s="1">
        <v>0</v>
      </c>
      <c r="F37" s="1">
        <v>407564</v>
      </c>
      <c r="G37" s="1">
        <v>64109.2</v>
      </c>
      <c r="H37" s="1">
        <v>372161</v>
      </c>
      <c r="I37" s="1">
        <v>629749</v>
      </c>
      <c r="J37" s="1">
        <v>50692.4</v>
      </c>
      <c r="K37" s="1">
        <v>88639.1</v>
      </c>
      <c r="L37" s="1">
        <v>97081.3</v>
      </c>
      <c r="M37" s="1">
        <v>71349.2</v>
      </c>
      <c r="N37" s="1">
        <v>89782.2</v>
      </c>
      <c r="O37" s="1">
        <v>89956.1</v>
      </c>
      <c r="P37" s="1">
        <v>53042</v>
      </c>
      <c r="Q37" s="1">
        <v>82580</v>
      </c>
      <c r="R37" s="1">
        <v>0</v>
      </c>
    </row>
    <row r="38" spans="1:18">
      <c r="A38" s="2">
        <v>0.33333333333333331</v>
      </c>
      <c r="B38" s="1">
        <v>555664</v>
      </c>
      <c r="C38" s="1">
        <v>113208</v>
      </c>
      <c r="D38" s="1">
        <v>42784.7</v>
      </c>
      <c r="E38" s="1">
        <v>0</v>
      </c>
      <c r="F38" s="1">
        <v>407585</v>
      </c>
      <c r="G38" s="1">
        <v>64158.7</v>
      </c>
      <c r="H38" s="1">
        <v>372173</v>
      </c>
      <c r="I38" s="1">
        <v>629979</v>
      </c>
      <c r="J38" s="1">
        <v>50698.7</v>
      </c>
      <c r="K38" s="1">
        <v>88640.3</v>
      </c>
      <c r="L38" s="1">
        <v>97105.4</v>
      </c>
      <c r="M38" s="1">
        <v>71386.3</v>
      </c>
      <c r="N38" s="1">
        <v>89833.600000000006</v>
      </c>
      <c r="O38" s="1">
        <v>89981.1</v>
      </c>
      <c r="P38" s="1">
        <v>53043</v>
      </c>
      <c r="Q38" s="1">
        <v>82583</v>
      </c>
      <c r="R38" s="1">
        <v>0</v>
      </c>
    </row>
    <row r="39" spans="1:18">
      <c r="A39" s="2">
        <v>0.375</v>
      </c>
      <c r="B39" s="1">
        <v>556539</v>
      </c>
      <c r="C39" s="1">
        <v>113451</v>
      </c>
      <c r="D39" s="1">
        <v>42804.4</v>
      </c>
      <c r="E39" s="1">
        <v>0</v>
      </c>
      <c r="F39" s="1">
        <v>407613</v>
      </c>
      <c r="G39" s="1">
        <v>64208.2</v>
      </c>
      <c r="H39" s="1">
        <v>372185</v>
      </c>
      <c r="I39" s="1">
        <v>630257</v>
      </c>
      <c r="J39" s="1">
        <v>50705.5</v>
      </c>
      <c r="K39" s="1">
        <v>88640.6</v>
      </c>
      <c r="L39" s="1">
        <v>97136.5</v>
      </c>
      <c r="M39" s="1">
        <v>71435.8</v>
      </c>
      <c r="N39" s="1">
        <v>89883.8</v>
      </c>
      <c r="O39" s="1">
        <v>90016.5</v>
      </c>
      <c r="P39" s="1">
        <v>53049</v>
      </c>
      <c r="Q39" s="1">
        <v>82593</v>
      </c>
      <c r="R39" s="1">
        <v>0</v>
      </c>
    </row>
    <row r="40" spans="1:18">
      <c r="A40" s="2">
        <v>0.41666666666666669</v>
      </c>
      <c r="B40" s="1">
        <v>557664</v>
      </c>
      <c r="C40" s="1">
        <v>113790</v>
      </c>
      <c r="D40" s="1">
        <v>42831.6</v>
      </c>
      <c r="E40" s="1">
        <v>0</v>
      </c>
      <c r="F40" s="1">
        <v>407647</v>
      </c>
      <c r="G40" s="1">
        <v>64268</v>
      </c>
      <c r="H40" s="1">
        <v>372200</v>
      </c>
      <c r="I40" s="1">
        <v>630611</v>
      </c>
      <c r="J40" s="1">
        <v>50712.6</v>
      </c>
      <c r="K40" s="1">
        <v>88641.1</v>
      </c>
      <c r="L40" s="1">
        <v>97178.2</v>
      </c>
      <c r="M40" s="1">
        <v>71492</v>
      </c>
      <c r="N40" s="1">
        <v>89935.4</v>
      </c>
      <c r="O40" s="1">
        <v>90068.5</v>
      </c>
      <c r="P40" s="1">
        <v>53059</v>
      </c>
      <c r="Q40" s="1">
        <v>82608</v>
      </c>
      <c r="R40" s="1">
        <v>0</v>
      </c>
    </row>
    <row r="41" spans="1:18">
      <c r="A41" s="2">
        <v>0.45833333333333331</v>
      </c>
      <c r="B41" s="1">
        <v>558982</v>
      </c>
      <c r="C41" s="1">
        <v>114163</v>
      </c>
      <c r="D41" s="1">
        <v>42863.3</v>
      </c>
      <c r="E41" s="1">
        <v>0</v>
      </c>
      <c r="F41" s="1">
        <v>407702</v>
      </c>
      <c r="G41" s="1">
        <v>64344.7</v>
      </c>
      <c r="H41" s="1">
        <v>372217</v>
      </c>
      <c r="I41" s="1">
        <v>631041</v>
      </c>
      <c r="J41" s="1">
        <v>50724.6</v>
      </c>
      <c r="K41" s="1">
        <v>88641.1</v>
      </c>
      <c r="L41" s="1">
        <v>97227.7</v>
      </c>
      <c r="M41" s="1">
        <v>71555.3</v>
      </c>
      <c r="N41" s="1">
        <v>89985.600000000006</v>
      </c>
      <c r="O41" s="1">
        <v>90138</v>
      </c>
      <c r="P41" s="1">
        <v>53072</v>
      </c>
      <c r="Q41" s="1">
        <v>82628</v>
      </c>
      <c r="R41" s="1">
        <v>0</v>
      </c>
    </row>
    <row r="42" spans="1:18">
      <c r="A42" s="2">
        <v>0.5</v>
      </c>
      <c r="B42" s="1">
        <v>560331</v>
      </c>
      <c r="C42" s="1">
        <v>114540</v>
      </c>
      <c r="D42" s="1">
        <v>42901.9</v>
      </c>
      <c r="E42" s="1">
        <v>0</v>
      </c>
      <c r="F42" s="1">
        <v>407755</v>
      </c>
      <c r="G42" s="1">
        <v>64426.3</v>
      </c>
      <c r="H42" s="1">
        <v>372234</v>
      </c>
      <c r="I42" s="1">
        <v>631501</v>
      </c>
      <c r="J42" s="1">
        <v>50737.9</v>
      </c>
      <c r="K42" s="1">
        <v>88641.1</v>
      </c>
      <c r="L42" s="1">
        <v>97272.1</v>
      </c>
      <c r="M42" s="1">
        <v>71618.100000000006</v>
      </c>
      <c r="N42" s="1">
        <v>90036.2</v>
      </c>
      <c r="O42" s="1">
        <v>90205.4</v>
      </c>
      <c r="P42" s="1">
        <v>53087</v>
      </c>
      <c r="Q42" s="1">
        <v>82651</v>
      </c>
      <c r="R42" s="1">
        <v>0</v>
      </c>
    </row>
    <row r="43" spans="1:18">
      <c r="A43" s="2">
        <v>0.54166666666666663</v>
      </c>
      <c r="B43" s="1">
        <v>561717</v>
      </c>
      <c r="C43" s="1">
        <v>114921</v>
      </c>
      <c r="D43" s="1">
        <v>42946.8</v>
      </c>
      <c r="E43" s="1">
        <v>0</v>
      </c>
      <c r="F43" s="1">
        <v>407811</v>
      </c>
      <c r="G43" s="1">
        <v>64507</v>
      </c>
      <c r="H43" s="1">
        <v>372248</v>
      </c>
      <c r="I43" s="1">
        <v>631984</v>
      </c>
      <c r="J43" s="1">
        <v>50749.599999999999</v>
      </c>
      <c r="K43" s="1">
        <v>88641.3</v>
      </c>
      <c r="L43" s="1">
        <v>97318.5</v>
      </c>
      <c r="M43" s="1">
        <v>71682.100000000006</v>
      </c>
      <c r="N43" s="1">
        <v>90085.9</v>
      </c>
      <c r="O43" s="1">
        <v>90274.9</v>
      </c>
      <c r="P43" s="1">
        <v>53103</v>
      </c>
      <c r="Q43" s="1">
        <v>82676</v>
      </c>
      <c r="R43" s="1">
        <v>0</v>
      </c>
    </row>
    <row r="44" spans="1:18">
      <c r="A44" s="2">
        <v>0.58333333333333337</v>
      </c>
      <c r="B44" s="1">
        <v>563175</v>
      </c>
      <c r="C44" s="1">
        <v>115312</v>
      </c>
      <c r="D44" s="1">
        <v>42991.9</v>
      </c>
      <c r="E44" s="1">
        <v>0</v>
      </c>
      <c r="F44" s="1">
        <v>407864</v>
      </c>
      <c r="G44" s="1">
        <v>64601</v>
      </c>
      <c r="H44" s="1">
        <v>372294</v>
      </c>
      <c r="I44" s="1">
        <v>632465</v>
      </c>
      <c r="J44" s="1">
        <v>50760.800000000003</v>
      </c>
      <c r="K44" s="1">
        <v>88641.3</v>
      </c>
      <c r="L44" s="1">
        <v>97371.1</v>
      </c>
      <c r="M44" s="1">
        <v>71755.399999999994</v>
      </c>
      <c r="N44" s="1">
        <v>90130.6</v>
      </c>
      <c r="O44" s="1">
        <v>90348.2</v>
      </c>
      <c r="P44" s="1">
        <v>53120</v>
      </c>
      <c r="Q44" s="1">
        <v>82700</v>
      </c>
      <c r="R44" s="1">
        <v>0</v>
      </c>
    </row>
    <row r="45" spans="1:18">
      <c r="A45" s="2">
        <v>0.625</v>
      </c>
      <c r="B45" s="1">
        <v>564639</v>
      </c>
      <c r="C45" s="1">
        <v>115729</v>
      </c>
      <c r="D45" s="1">
        <v>43029.3</v>
      </c>
      <c r="E45" s="1">
        <v>0</v>
      </c>
      <c r="F45" s="1">
        <v>407917</v>
      </c>
      <c r="G45" s="1">
        <v>64706.8</v>
      </c>
      <c r="H45" s="1">
        <v>372317</v>
      </c>
      <c r="I45" s="1">
        <v>632947</v>
      </c>
      <c r="J45" s="1">
        <v>50775.6</v>
      </c>
      <c r="K45" s="1">
        <v>88642.4</v>
      </c>
      <c r="L45" s="1">
        <v>97423.1</v>
      </c>
      <c r="M45" s="1">
        <v>71835.199999999997</v>
      </c>
      <c r="N45" s="1">
        <v>90179.5</v>
      </c>
      <c r="O45" s="1">
        <v>90405.1</v>
      </c>
      <c r="P45" s="1">
        <v>53133</v>
      </c>
      <c r="Q45" s="1">
        <v>82721</v>
      </c>
      <c r="R45" s="1">
        <v>0</v>
      </c>
    </row>
    <row r="46" spans="1:18">
      <c r="A46" s="2">
        <v>0.66666666666666663</v>
      </c>
      <c r="B46" s="1">
        <v>566055</v>
      </c>
      <c r="C46" s="1">
        <v>116141</v>
      </c>
      <c r="D46" s="1">
        <v>43064.800000000003</v>
      </c>
      <c r="E46" s="1">
        <v>0</v>
      </c>
      <c r="F46" s="1">
        <v>407968</v>
      </c>
      <c r="G46" s="1">
        <v>64807.1</v>
      </c>
      <c r="H46" s="1">
        <v>372332</v>
      </c>
      <c r="I46" s="1">
        <v>633438</v>
      </c>
      <c r="J46" s="1">
        <v>50792</v>
      </c>
      <c r="K46" s="1">
        <v>88642.4</v>
      </c>
      <c r="L46" s="1">
        <v>97472.9</v>
      </c>
      <c r="M46" s="1">
        <v>71904.899999999994</v>
      </c>
      <c r="N46" s="1">
        <v>90229.8</v>
      </c>
      <c r="O46" s="1">
        <v>90435.4</v>
      </c>
      <c r="P46" s="1">
        <v>53145</v>
      </c>
      <c r="Q46" s="1">
        <v>82739</v>
      </c>
      <c r="R46" s="1">
        <v>0</v>
      </c>
    </row>
    <row r="47" spans="1:18">
      <c r="A47" s="2">
        <v>0.70833333333333337</v>
      </c>
      <c r="B47" s="1">
        <v>567393</v>
      </c>
      <c r="C47" s="1">
        <v>116525</v>
      </c>
      <c r="D47" s="1">
        <v>43097.3</v>
      </c>
      <c r="E47" s="1">
        <v>0</v>
      </c>
      <c r="F47" s="1">
        <v>408015</v>
      </c>
      <c r="G47" s="1">
        <v>64909.3</v>
      </c>
      <c r="H47" s="1">
        <v>372345</v>
      </c>
      <c r="I47" s="1">
        <v>633910</v>
      </c>
      <c r="J47" s="1">
        <v>50803.199999999997</v>
      </c>
      <c r="K47" s="1">
        <v>88646.2</v>
      </c>
      <c r="L47" s="1">
        <v>97523.9</v>
      </c>
      <c r="M47" s="1">
        <v>71961.2</v>
      </c>
      <c r="N47" s="1">
        <v>90281.9</v>
      </c>
      <c r="O47" s="1">
        <v>90463.6</v>
      </c>
      <c r="P47" s="1">
        <v>53154</v>
      </c>
      <c r="Q47" s="1">
        <v>82752</v>
      </c>
      <c r="R47" s="1">
        <v>0</v>
      </c>
    </row>
    <row r="48" spans="1:18">
      <c r="A48" s="2">
        <v>0.75</v>
      </c>
      <c r="B48" s="1">
        <v>568588</v>
      </c>
      <c r="C48" s="1">
        <v>116867</v>
      </c>
      <c r="D48" s="1">
        <v>43123.4</v>
      </c>
      <c r="E48" s="1">
        <v>0</v>
      </c>
      <c r="F48" s="1">
        <v>408057</v>
      </c>
      <c r="G48" s="1">
        <v>64999</v>
      </c>
      <c r="H48" s="1">
        <v>372359</v>
      </c>
      <c r="I48" s="1">
        <v>634323</v>
      </c>
      <c r="J48" s="1">
        <v>50811.1</v>
      </c>
      <c r="K48" s="1">
        <v>88651.3</v>
      </c>
      <c r="L48" s="1">
        <v>97567.1</v>
      </c>
      <c r="M48" s="1">
        <v>72011.3</v>
      </c>
      <c r="N48" s="1">
        <v>90337.5</v>
      </c>
      <c r="O48" s="1">
        <v>90490.2</v>
      </c>
      <c r="P48" s="1">
        <v>53158</v>
      </c>
      <c r="Q48" s="1">
        <v>82759</v>
      </c>
      <c r="R48" s="1">
        <v>0</v>
      </c>
    </row>
    <row r="49" spans="1:18">
      <c r="A49" s="2">
        <v>0.79166666666666663</v>
      </c>
      <c r="B49" s="1">
        <v>569623</v>
      </c>
      <c r="C49" s="1">
        <v>117160</v>
      </c>
      <c r="D49" s="1">
        <v>43144.5</v>
      </c>
      <c r="E49" s="1">
        <v>0</v>
      </c>
      <c r="F49" s="1">
        <v>408091</v>
      </c>
      <c r="G49" s="1">
        <v>65079.5</v>
      </c>
      <c r="H49" s="1">
        <v>372378</v>
      </c>
      <c r="I49" s="1">
        <v>634676</v>
      </c>
      <c r="J49" s="1">
        <v>50818.8</v>
      </c>
      <c r="K49" s="1">
        <v>88656.5</v>
      </c>
      <c r="L49" s="1">
        <v>97598.5</v>
      </c>
      <c r="M49" s="1">
        <v>72057.5</v>
      </c>
      <c r="N49" s="1">
        <v>90394.1</v>
      </c>
      <c r="O49" s="1">
        <v>90512</v>
      </c>
      <c r="P49" s="1">
        <v>53158</v>
      </c>
      <c r="Q49" s="1">
        <v>82759</v>
      </c>
      <c r="R49" s="1">
        <v>0</v>
      </c>
    </row>
    <row r="50" spans="1:18">
      <c r="A50" s="2">
        <v>0.83333333333333337</v>
      </c>
      <c r="B50" s="1">
        <v>570571</v>
      </c>
      <c r="C50" s="1">
        <v>117414</v>
      </c>
      <c r="D50" s="1">
        <v>43165.7</v>
      </c>
      <c r="E50" s="1">
        <v>0</v>
      </c>
      <c r="F50" s="1">
        <v>408121</v>
      </c>
      <c r="G50" s="1">
        <v>65160.7</v>
      </c>
      <c r="H50" s="1">
        <v>372395</v>
      </c>
      <c r="I50" s="1">
        <v>634993</v>
      </c>
      <c r="J50" s="1">
        <v>50825.7</v>
      </c>
      <c r="K50" s="1">
        <v>88661.7</v>
      </c>
      <c r="L50" s="1">
        <v>97627.8</v>
      </c>
      <c r="M50" s="1">
        <v>72100.2</v>
      </c>
      <c r="N50" s="1">
        <v>90451.1</v>
      </c>
      <c r="O50" s="1">
        <v>90535.3</v>
      </c>
      <c r="P50" s="1">
        <v>53158</v>
      </c>
      <c r="Q50" s="1">
        <v>82759</v>
      </c>
      <c r="R50" s="1">
        <v>0</v>
      </c>
    </row>
    <row r="51" spans="1:18">
      <c r="A51" s="2">
        <v>0.875</v>
      </c>
      <c r="B51" s="1">
        <v>571459</v>
      </c>
      <c r="C51" s="1">
        <v>117644</v>
      </c>
      <c r="D51" s="1">
        <v>43187.1</v>
      </c>
      <c r="E51" s="1">
        <v>0</v>
      </c>
      <c r="F51" s="1">
        <v>408147</v>
      </c>
      <c r="G51" s="1">
        <v>65235.1</v>
      </c>
      <c r="H51" s="1">
        <v>372412</v>
      </c>
      <c r="I51" s="1">
        <v>635282</v>
      </c>
      <c r="J51" s="1">
        <v>50833.2</v>
      </c>
      <c r="K51" s="1">
        <v>88667</v>
      </c>
      <c r="L51" s="1">
        <v>97661.3</v>
      </c>
      <c r="M51" s="1">
        <v>72141.7</v>
      </c>
      <c r="N51" s="1">
        <v>90507.5</v>
      </c>
      <c r="O51" s="1">
        <v>90559.1</v>
      </c>
      <c r="P51" s="1">
        <v>53158</v>
      </c>
      <c r="Q51" s="1">
        <v>82759</v>
      </c>
      <c r="R51" s="1">
        <v>0</v>
      </c>
    </row>
    <row r="52" spans="1:18">
      <c r="A52" s="2">
        <v>0.91666666666666663</v>
      </c>
      <c r="B52" s="1">
        <v>572307</v>
      </c>
      <c r="C52" s="1">
        <v>117872</v>
      </c>
      <c r="D52" s="1">
        <v>43208.5</v>
      </c>
      <c r="E52" s="1">
        <v>0</v>
      </c>
      <c r="F52" s="1">
        <v>408172</v>
      </c>
      <c r="G52" s="1">
        <v>65304.6</v>
      </c>
      <c r="H52" s="1">
        <v>372429</v>
      </c>
      <c r="I52" s="1">
        <v>635550</v>
      </c>
      <c r="J52" s="1">
        <v>50840.6</v>
      </c>
      <c r="K52" s="1">
        <v>88671.9</v>
      </c>
      <c r="L52" s="1">
        <v>97690.4</v>
      </c>
      <c r="M52" s="1">
        <v>72181.2</v>
      </c>
      <c r="N52" s="1">
        <v>90563.9</v>
      </c>
      <c r="O52" s="1">
        <v>90582.3</v>
      </c>
      <c r="P52" s="1">
        <v>53158</v>
      </c>
      <c r="Q52" s="1">
        <v>82759</v>
      </c>
      <c r="R52" s="1">
        <v>0</v>
      </c>
    </row>
    <row r="53" spans="1:18">
      <c r="A53" s="2">
        <v>0.95833333333333337</v>
      </c>
      <c r="B53" s="1">
        <v>573127</v>
      </c>
      <c r="C53" s="1">
        <v>118093</v>
      </c>
      <c r="D53" s="1">
        <v>43227.9</v>
      </c>
      <c r="E53" s="1">
        <v>0</v>
      </c>
      <c r="F53" s="1">
        <v>408196</v>
      </c>
      <c r="G53" s="1">
        <v>65369.7</v>
      </c>
      <c r="H53" s="1">
        <v>372445</v>
      </c>
      <c r="I53" s="1">
        <v>635813</v>
      </c>
      <c r="J53" s="1">
        <v>50847.4</v>
      </c>
      <c r="K53" s="1">
        <v>88676.5</v>
      </c>
      <c r="L53" s="1">
        <v>97717.4</v>
      </c>
      <c r="M53" s="1">
        <v>72223.399999999994</v>
      </c>
      <c r="N53" s="1">
        <v>90619.9</v>
      </c>
      <c r="O53" s="1">
        <v>90602</v>
      </c>
      <c r="P53" s="1">
        <v>53158</v>
      </c>
      <c r="Q53" s="1">
        <v>82759</v>
      </c>
      <c r="R53" s="1">
        <v>0</v>
      </c>
    </row>
    <row r="54" spans="1:18">
      <c r="A54" s="2">
        <v>0</v>
      </c>
      <c r="B54" s="1">
        <v>573911</v>
      </c>
      <c r="C54" s="1">
        <v>118299</v>
      </c>
      <c r="D54" s="1">
        <v>43246.400000000001</v>
      </c>
      <c r="E54" s="1">
        <v>0</v>
      </c>
      <c r="F54" s="1">
        <v>408219</v>
      </c>
      <c r="G54" s="1">
        <v>65429.7</v>
      </c>
      <c r="H54" s="1">
        <v>372458</v>
      </c>
      <c r="I54" s="1">
        <v>636070</v>
      </c>
      <c r="J54" s="1">
        <v>50854.400000000001</v>
      </c>
      <c r="K54" s="1">
        <v>88681</v>
      </c>
      <c r="L54" s="1">
        <v>97744.2</v>
      </c>
      <c r="M54" s="1">
        <v>72263.3</v>
      </c>
      <c r="N54" s="1">
        <v>90675.1</v>
      </c>
      <c r="O54" s="1">
        <v>90621.1</v>
      </c>
      <c r="P54" s="1">
        <v>53158</v>
      </c>
      <c r="Q54" s="1">
        <v>82759</v>
      </c>
      <c r="R54" s="1">
        <v>0</v>
      </c>
    </row>
    <row r="55" spans="1:18">
      <c r="A55" s="2">
        <v>4.1666666666666664E-2</v>
      </c>
      <c r="B55" s="1">
        <v>574655</v>
      </c>
      <c r="C55" s="1">
        <v>118493</v>
      </c>
      <c r="D55" s="1">
        <v>43263.3</v>
      </c>
      <c r="E55" s="1">
        <v>0</v>
      </c>
      <c r="F55" s="1">
        <v>408240</v>
      </c>
      <c r="G55" s="1">
        <v>65487.5</v>
      </c>
      <c r="H55" s="1">
        <v>372470</v>
      </c>
      <c r="I55" s="1">
        <v>636313</v>
      </c>
      <c r="J55" s="1">
        <v>50860.9</v>
      </c>
      <c r="K55" s="1">
        <v>88685.6</v>
      </c>
      <c r="L55" s="1">
        <v>97770.2</v>
      </c>
      <c r="M55" s="1">
        <v>72301.3</v>
      </c>
      <c r="N55" s="1">
        <v>90730.5</v>
      </c>
      <c r="O55" s="1">
        <v>90640.3</v>
      </c>
      <c r="P55" s="1">
        <v>53158</v>
      </c>
      <c r="Q55" s="1">
        <v>82759</v>
      </c>
      <c r="R55" s="1">
        <v>0</v>
      </c>
    </row>
    <row r="56" spans="1:18">
      <c r="A56" s="2">
        <v>8.3333333333333329E-2</v>
      </c>
      <c r="B56" s="1">
        <v>575375</v>
      </c>
      <c r="C56" s="1">
        <v>118678</v>
      </c>
      <c r="D56" s="1">
        <v>43279.5</v>
      </c>
      <c r="E56" s="1">
        <v>0</v>
      </c>
      <c r="F56" s="1">
        <v>408261</v>
      </c>
      <c r="G56" s="1">
        <v>65544</v>
      </c>
      <c r="H56" s="1">
        <v>372484</v>
      </c>
      <c r="I56" s="1">
        <v>636540</v>
      </c>
      <c r="J56" s="1">
        <v>50867.6</v>
      </c>
      <c r="K56" s="1">
        <v>88690.1</v>
      </c>
      <c r="L56" s="1">
        <v>97796.4</v>
      </c>
      <c r="M56" s="1">
        <v>72339.5</v>
      </c>
      <c r="N56" s="1">
        <v>90785.8</v>
      </c>
      <c r="O56" s="1">
        <v>90659.4</v>
      </c>
      <c r="P56" s="1">
        <v>53158</v>
      </c>
      <c r="Q56" s="1">
        <v>82759</v>
      </c>
      <c r="R56" s="1">
        <v>0</v>
      </c>
    </row>
    <row r="57" spans="1:18">
      <c r="A57" s="2">
        <v>0.125</v>
      </c>
      <c r="B57" s="1">
        <v>576093</v>
      </c>
      <c r="C57" s="1">
        <v>118867</v>
      </c>
      <c r="D57" s="1">
        <v>43296</v>
      </c>
      <c r="E57" s="1">
        <v>0</v>
      </c>
      <c r="F57" s="1">
        <v>408281</v>
      </c>
      <c r="G57" s="1">
        <v>65600.399999999994</v>
      </c>
      <c r="H57" s="1">
        <v>372496</v>
      </c>
      <c r="I57" s="1">
        <v>636763</v>
      </c>
      <c r="J57" s="1">
        <v>50874.2</v>
      </c>
      <c r="K57" s="1">
        <v>88694.7</v>
      </c>
      <c r="L57" s="1">
        <v>97822.2</v>
      </c>
      <c r="M57" s="1">
        <v>72377.8</v>
      </c>
      <c r="N57" s="1">
        <v>90840.9</v>
      </c>
      <c r="O57" s="1">
        <v>90678.9</v>
      </c>
      <c r="P57" s="1">
        <v>53158</v>
      </c>
      <c r="Q57" s="1">
        <v>82759</v>
      </c>
      <c r="R57" s="1">
        <v>0</v>
      </c>
    </row>
    <row r="58" spans="1:18">
      <c r="A58" s="2">
        <v>0.16666666666666666</v>
      </c>
      <c r="B58" s="1">
        <v>576813</v>
      </c>
      <c r="C58" s="1">
        <v>119056</v>
      </c>
      <c r="D58" s="1">
        <v>43311.5</v>
      </c>
      <c r="E58" s="1">
        <v>0</v>
      </c>
      <c r="F58" s="1">
        <v>408302</v>
      </c>
      <c r="G58" s="1">
        <v>65656.3</v>
      </c>
      <c r="H58" s="1">
        <v>372508</v>
      </c>
      <c r="I58" s="1">
        <v>636988</v>
      </c>
      <c r="J58" s="1">
        <v>50880.9</v>
      </c>
      <c r="K58" s="1">
        <v>88699.1</v>
      </c>
      <c r="L58" s="1">
        <v>97847.5</v>
      </c>
      <c r="M58" s="1">
        <v>72418.899999999994</v>
      </c>
      <c r="N58" s="1">
        <v>90897.2</v>
      </c>
      <c r="O58" s="1">
        <v>90697.4</v>
      </c>
      <c r="P58" s="1">
        <v>53158</v>
      </c>
      <c r="Q58" s="1">
        <v>82759</v>
      </c>
      <c r="R58" s="1">
        <v>0</v>
      </c>
    </row>
    <row r="59" spans="1:18">
      <c r="A59" s="2">
        <v>0.20833333333333334</v>
      </c>
      <c r="B59" s="1">
        <v>577523</v>
      </c>
      <c r="C59" s="1">
        <v>119240</v>
      </c>
      <c r="D59" s="1">
        <v>43325.1</v>
      </c>
      <c r="E59" s="1">
        <v>0</v>
      </c>
      <c r="F59" s="1">
        <v>408322</v>
      </c>
      <c r="G59" s="1">
        <v>65711.5</v>
      </c>
      <c r="H59" s="1">
        <v>372521</v>
      </c>
      <c r="I59" s="1">
        <v>637215</v>
      </c>
      <c r="J59" s="1">
        <v>50887.4</v>
      </c>
      <c r="K59" s="1">
        <v>88703.5</v>
      </c>
      <c r="L59" s="1">
        <v>97871.4</v>
      </c>
      <c r="M59" s="1">
        <v>72457.7</v>
      </c>
      <c r="N59" s="1">
        <v>90953.4</v>
      </c>
      <c r="O59" s="1">
        <v>90716.7</v>
      </c>
      <c r="P59" s="1">
        <v>53158</v>
      </c>
      <c r="Q59" s="1">
        <v>82759</v>
      </c>
      <c r="R59" s="1">
        <v>0</v>
      </c>
    </row>
    <row r="60" spans="1:18">
      <c r="A60" s="2">
        <v>0.25</v>
      </c>
      <c r="B60" s="1">
        <v>578214</v>
      </c>
      <c r="C60" s="1">
        <v>119424</v>
      </c>
      <c r="D60" s="1">
        <v>43338.5</v>
      </c>
      <c r="E60" s="1">
        <v>0</v>
      </c>
      <c r="F60" s="1">
        <v>408341</v>
      </c>
      <c r="G60" s="1">
        <v>65764</v>
      </c>
      <c r="H60" s="1">
        <v>372533</v>
      </c>
      <c r="I60" s="1">
        <v>637429</v>
      </c>
      <c r="J60" s="1">
        <v>50893.599999999999</v>
      </c>
      <c r="K60" s="1">
        <v>88707.9</v>
      </c>
      <c r="L60" s="1">
        <v>97892.7</v>
      </c>
      <c r="M60" s="1">
        <v>72494.899999999994</v>
      </c>
      <c r="N60" s="1">
        <v>91008.4</v>
      </c>
      <c r="O60" s="1">
        <v>90738.5</v>
      </c>
      <c r="P60" s="1">
        <v>53158</v>
      </c>
      <c r="Q60" s="1">
        <v>82759</v>
      </c>
      <c r="R60" s="1">
        <v>0</v>
      </c>
    </row>
    <row r="61" spans="1:18">
      <c r="A61" s="2">
        <v>0.29166666666666669</v>
      </c>
      <c r="B61" s="1">
        <v>578909</v>
      </c>
      <c r="C61" s="1">
        <v>119608</v>
      </c>
      <c r="D61" s="1">
        <v>43353</v>
      </c>
      <c r="E61" s="1">
        <v>0</v>
      </c>
      <c r="F61" s="1">
        <v>408362</v>
      </c>
      <c r="G61" s="1">
        <v>65815</v>
      </c>
      <c r="H61" s="1">
        <v>372545</v>
      </c>
      <c r="I61" s="1">
        <v>637651</v>
      </c>
      <c r="J61" s="1">
        <v>50899.8</v>
      </c>
      <c r="K61" s="1">
        <v>88711.1</v>
      </c>
      <c r="L61" s="1">
        <v>97914.5</v>
      </c>
      <c r="M61" s="1">
        <v>72531.8</v>
      </c>
      <c r="N61" s="1">
        <v>91062.2</v>
      </c>
      <c r="O61" s="1">
        <v>90759.7</v>
      </c>
      <c r="P61" s="1">
        <v>53159</v>
      </c>
      <c r="Q61" s="1">
        <v>82760</v>
      </c>
      <c r="R61" s="1">
        <v>0</v>
      </c>
    </row>
    <row r="62" spans="1:18">
      <c r="A62" s="2">
        <v>0.33333333333333331</v>
      </c>
      <c r="B62" s="1">
        <v>579638</v>
      </c>
      <c r="C62" s="1">
        <v>119806</v>
      </c>
      <c r="D62" s="1">
        <v>43367</v>
      </c>
      <c r="E62" s="1">
        <v>0</v>
      </c>
      <c r="F62" s="1">
        <v>408382</v>
      </c>
      <c r="G62" s="1">
        <v>65860.7</v>
      </c>
      <c r="H62" s="1">
        <v>372557</v>
      </c>
      <c r="I62" s="1">
        <v>637887</v>
      </c>
      <c r="J62" s="1">
        <v>50906.7</v>
      </c>
      <c r="K62" s="1">
        <v>88711.6</v>
      </c>
      <c r="L62" s="1">
        <v>97937.600000000006</v>
      </c>
      <c r="M62" s="1">
        <v>72571.600000000006</v>
      </c>
      <c r="N62" s="1">
        <v>91112</v>
      </c>
      <c r="O62" s="1">
        <v>90784.1</v>
      </c>
      <c r="P62" s="1">
        <v>53162</v>
      </c>
      <c r="Q62" s="1">
        <v>82766</v>
      </c>
      <c r="R62" s="1">
        <v>0</v>
      </c>
    </row>
    <row r="63" spans="1:18">
      <c r="A63" s="2">
        <v>0.375</v>
      </c>
      <c r="B63" s="1">
        <v>580514</v>
      </c>
      <c r="C63" s="1">
        <v>120030</v>
      </c>
      <c r="D63" s="1">
        <v>43383.199999999997</v>
      </c>
      <c r="E63" s="1">
        <v>0</v>
      </c>
      <c r="F63" s="1">
        <v>408408</v>
      </c>
      <c r="G63" s="1">
        <v>65909.399999999994</v>
      </c>
      <c r="H63" s="1">
        <v>372586</v>
      </c>
      <c r="I63" s="1">
        <v>638172</v>
      </c>
      <c r="J63" s="1">
        <v>50913.8</v>
      </c>
      <c r="K63" s="1">
        <v>88711.6</v>
      </c>
      <c r="L63" s="1">
        <v>97967.1</v>
      </c>
      <c r="M63" s="1">
        <v>72619.3</v>
      </c>
      <c r="N63" s="1">
        <v>91161.600000000006</v>
      </c>
      <c r="O63" s="1">
        <v>90820.4</v>
      </c>
      <c r="P63" s="1">
        <v>53168</v>
      </c>
      <c r="Q63" s="1">
        <v>82775</v>
      </c>
      <c r="R63" s="1">
        <v>0</v>
      </c>
    </row>
    <row r="64" spans="1:18">
      <c r="A64" s="2">
        <v>0.41666666666666669</v>
      </c>
      <c r="B64" s="1">
        <v>581651</v>
      </c>
      <c r="C64" s="1">
        <v>120348</v>
      </c>
      <c r="D64" s="1">
        <v>43409.5</v>
      </c>
      <c r="E64" s="1">
        <v>0</v>
      </c>
      <c r="F64" s="1">
        <v>408447</v>
      </c>
      <c r="G64" s="1">
        <v>65968.5</v>
      </c>
      <c r="H64" s="1">
        <v>372625</v>
      </c>
      <c r="I64" s="1">
        <v>638521</v>
      </c>
      <c r="J64" s="1">
        <v>50921.1</v>
      </c>
      <c r="K64" s="1">
        <v>88711.8</v>
      </c>
      <c r="L64" s="1">
        <v>98003.9</v>
      </c>
      <c r="M64" s="1">
        <v>72671.100000000006</v>
      </c>
      <c r="N64" s="1">
        <v>91211.1</v>
      </c>
      <c r="O64" s="1">
        <v>90874.8</v>
      </c>
      <c r="P64" s="1">
        <v>53175</v>
      </c>
      <c r="Q64" s="1">
        <v>82787</v>
      </c>
      <c r="R64" s="1">
        <v>0</v>
      </c>
    </row>
    <row r="65" spans="1:18">
      <c r="A65" s="2">
        <v>0.45833333333333331</v>
      </c>
      <c r="B65" s="1">
        <v>582928</v>
      </c>
      <c r="C65" s="1">
        <v>120696</v>
      </c>
      <c r="D65" s="1">
        <v>43440.2</v>
      </c>
      <c r="E65" s="1">
        <v>0</v>
      </c>
      <c r="F65" s="1">
        <v>408507</v>
      </c>
      <c r="G65" s="1">
        <v>66031</v>
      </c>
      <c r="H65" s="1">
        <v>372668</v>
      </c>
      <c r="I65" s="1">
        <v>638930</v>
      </c>
      <c r="J65" s="1">
        <v>50934.9</v>
      </c>
      <c r="K65" s="1">
        <v>88713.7</v>
      </c>
      <c r="L65" s="1">
        <v>98038.8</v>
      </c>
      <c r="M65" s="1">
        <v>72719.899999999994</v>
      </c>
      <c r="N65" s="1">
        <v>91261.8</v>
      </c>
      <c r="O65" s="1">
        <v>90943</v>
      </c>
      <c r="P65" s="1">
        <v>53185</v>
      </c>
      <c r="Q65" s="1">
        <v>82802</v>
      </c>
      <c r="R65" s="1">
        <v>0</v>
      </c>
    </row>
    <row r="66" spans="1:18">
      <c r="A66" s="2">
        <v>0.5</v>
      </c>
      <c r="B66" s="1">
        <v>584261</v>
      </c>
      <c r="C66" s="1">
        <v>121073</v>
      </c>
      <c r="D66" s="1">
        <v>43467.7</v>
      </c>
      <c r="E66" s="1">
        <v>0</v>
      </c>
      <c r="F66" s="1">
        <v>408559</v>
      </c>
      <c r="G66" s="1">
        <v>66106.5</v>
      </c>
      <c r="H66" s="1">
        <v>372705</v>
      </c>
      <c r="I66" s="1">
        <v>639368</v>
      </c>
      <c r="J66" s="1">
        <v>50946.2</v>
      </c>
      <c r="K66" s="1">
        <v>88716.1</v>
      </c>
      <c r="L66" s="1">
        <v>98078.399999999994</v>
      </c>
      <c r="M66" s="1">
        <v>72773.2</v>
      </c>
      <c r="N66" s="1">
        <v>91311.7</v>
      </c>
      <c r="O66" s="1">
        <v>91007</v>
      </c>
      <c r="P66" s="1">
        <v>53194</v>
      </c>
      <c r="Q66" s="1">
        <v>82815</v>
      </c>
      <c r="R66" s="1">
        <v>0</v>
      </c>
    </row>
    <row r="67" spans="1:18">
      <c r="A67" s="2">
        <v>0.54166666666666663</v>
      </c>
      <c r="B67" s="1">
        <v>585605</v>
      </c>
      <c r="C67" s="1">
        <v>121449</v>
      </c>
      <c r="D67" s="1">
        <v>43498.2</v>
      </c>
      <c r="E67" s="1">
        <v>0</v>
      </c>
      <c r="F67" s="1">
        <v>408605</v>
      </c>
      <c r="G67" s="1">
        <v>66185.5</v>
      </c>
      <c r="H67" s="1">
        <v>372743</v>
      </c>
      <c r="I67" s="1">
        <v>639814</v>
      </c>
      <c r="J67" s="1">
        <v>50958.5</v>
      </c>
      <c r="K67" s="1">
        <v>88716.3</v>
      </c>
      <c r="L67" s="1">
        <v>98118.8</v>
      </c>
      <c r="M67" s="1">
        <v>72824.5</v>
      </c>
      <c r="N67" s="1">
        <v>91359.3</v>
      </c>
      <c r="O67" s="1">
        <v>91075.4</v>
      </c>
      <c r="P67" s="1">
        <v>53204</v>
      </c>
      <c r="Q67" s="1">
        <v>82832</v>
      </c>
      <c r="R67" s="1">
        <v>0</v>
      </c>
    </row>
    <row r="68" spans="1:18">
      <c r="A68" s="2">
        <v>0.58333333333333337</v>
      </c>
      <c r="B68" s="1">
        <v>587050</v>
      </c>
      <c r="C68" s="1">
        <v>121842</v>
      </c>
      <c r="D68" s="1">
        <v>43543.1</v>
      </c>
      <c r="E68" s="1">
        <v>0</v>
      </c>
      <c r="F68" s="1">
        <v>408664</v>
      </c>
      <c r="G68" s="1">
        <v>66275.100000000006</v>
      </c>
      <c r="H68" s="1">
        <v>372781</v>
      </c>
      <c r="I68" s="1">
        <v>640280</v>
      </c>
      <c r="J68" s="1">
        <v>50973.9</v>
      </c>
      <c r="K68" s="1">
        <v>88718.2</v>
      </c>
      <c r="L68" s="1">
        <v>98159.6</v>
      </c>
      <c r="M68" s="1">
        <v>72876</v>
      </c>
      <c r="N68" s="1">
        <v>91412</v>
      </c>
      <c r="O68" s="1">
        <v>91152.3</v>
      </c>
      <c r="P68" s="1">
        <v>53213</v>
      </c>
      <c r="Q68" s="1">
        <v>82845</v>
      </c>
      <c r="R68" s="1">
        <v>0</v>
      </c>
    </row>
    <row r="69" spans="1:18">
      <c r="A69" s="2">
        <v>0.625</v>
      </c>
      <c r="B69" s="1">
        <v>588467</v>
      </c>
      <c r="C69" s="1">
        <v>122239</v>
      </c>
      <c r="D69" s="1">
        <v>43582.7</v>
      </c>
      <c r="E69" s="1">
        <v>0</v>
      </c>
      <c r="F69" s="1">
        <v>408729</v>
      </c>
      <c r="G69" s="1">
        <v>66364</v>
      </c>
      <c r="H69" s="1">
        <v>372815</v>
      </c>
      <c r="I69" s="1">
        <v>640733</v>
      </c>
      <c r="J69" s="1">
        <v>50988.2</v>
      </c>
      <c r="K69" s="1">
        <v>88722.6</v>
      </c>
      <c r="L69" s="1">
        <v>98207.4</v>
      </c>
      <c r="M69" s="1">
        <v>72928.399999999994</v>
      </c>
      <c r="N69" s="1">
        <v>91461.5</v>
      </c>
      <c r="O69" s="1">
        <v>91207</v>
      </c>
      <c r="P69" s="1">
        <v>53220</v>
      </c>
      <c r="Q69" s="1">
        <v>82857</v>
      </c>
      <c r="R69" s="1">
        <v>0</v>
      </c>
    </row>
    <row r="70" spans="1:18">
      <c r="A70" s="2">
        <v>0.66666666666666663</v>
      </c>
      <c r="B70" s="1">
        <v>589894</v>
      </c>
      <c r="C70" s="1">
        <v>122646</v>
      </c>
      <c r="D70" s="1">
        <v>43621.599999999999</v>
      </c>
      <c r="E70" s="1">
        <v>0</v>
      </c>
      <c r="F70" s="1">
        <v>408793</v>
      </c>
      <c r="G70" s="1">
        <v>66453.899999999994</v>
      </c>
      <c r="H70" s="1">
        <v>372848</v>
      </c>
      <c r="I70" s="1">
        <v>641210</v>
      </c>
      <c r="J70" s="1">
        <v>51000.5</v>
      </c>
      <c r="K70" s="1">
        <v>88726</v>
      </c>
      <c r="L70" s="1">
        <v>98253.5</v>
      </c>
      <c r="M70" s="1">
        <v>72988.800000000003</v>
      </c>
      <c r="N70" s="1">
        <v>91514.3</v>
      </c>
      <c r="O70" s="1">
        <v>91240.5</v>
      </c>
      <c r="P70" s="1">
        <v>53229</v>
      </c>
      <c r="Q70" s="1">
        <v>82870</v>
      </c>
      <c r="R70" s="1">
        <v>0</v>
      </c>
    </row>
    <row r="71" spans="1:18">
      <c r="A71" s="2">
        <v>0.70833333333333337</v>
      </c>
      <c r="B71" s="1">
        <v>591224</v>
      </c>
      <c r="C71" s="1">
        <v>123017</v>
      </c>
      <c r="D71" s="1">
        <v>43656.3</v>
      </c>
      <c r="E71" s="1">
        <v>0</v>
      </c>
      <c r="F71" s="1">
        <v>408845</v>
      </c>
      <c r="G71" s="1">
        <v>66547.3</v>
      </c>
      <c r="H71" s="1">
        <v>372881</v>
      </c>
      <c r="I71" s="1">
        <v>641645</v>
      </c>
      <c r="J71" s="1">
        <v>51010.5</v>
      </c>
      <c r="K71" s="1">
        <v>88732.6</v>
      </c>
      <c r="L71" s="1">
        <v>98301.6</v>
      </c>
      <c r="M71" s="1">
        <v>73044.3</v>
      </c>
      <c r="N71" s="1">
        <v>91568.7</v>
      </c>
      <c r="O71" s="1">
        <v>91271.4</v>
      </c>
      <c r="P71" s="1">
        <v>53237</v>
      </c>
      <c r="Q71" s="1">
        <v>82882</v>
      </c>
      <c r="R71" s="1">
        <v>0</v>
      </c>
    </row>
    <row r="72" spans="1:18">
      <c r="A72" s="2">
        <v>0.75</v>
      </c>
      <c r="B72" s="1">
        <v>592437</v>
      </c>
      <c r="C72" s="1">
        <v>123339</v>
      </c>
      <c r="D72" s="1">
        <v>43685.1</v>
      </c>
      <c r="E72" s="1">
        <v>0</v>
      </c>
      <c r="F72" s="1">
        <v>408891</v>
      </c>
      <c r="G72" s="1">
        <v>66635.399999999994</v>
      </c>
      <c r="H72" s="1">
        <v>372922</v>
      </c>
      <c r="I72" s="1">
        <v>642052</v>
      </c>
      <c r="J72" s="1">
        <v>51020.7</v>
      </c>
      <c r="K72" s="1">
        <v>88736.9</v>
      </c>
      <c r="L72" s="1">
        <v>98344.1</v>
      </c>
      <c r="M72" s="1">
        <v>73092.399999999994</v>
      </c>
      <c r="N72" s="1">
        <v>91625.1</v>
      </c>
      <c r="O72" s="1">
        <v>91298.2</v>
      </c>
      <c r="P72" s="1">
        <v>53241</v>
      </c>
      <c r="Q72" s="1">
        <v>82889</v>
      </c>
      <c r="R72" s="1">
        <v>0</v>
      </c>
    </row>
    <row r="73" spans="1:18">
      <c r="A73" s="2">
        <v>0.79166666666666663</v>
      </c>
      <c r="B73" s="1">
        <v>593485</v>
      </c>
      <c r="C73" s="1">
        <v>123615</v>
      </c>
      <c r="D73" s="1">
        <v>43712.3</v>
      </c>
      <c r="E73" s="1">
        <v>0</v>
      </c>
      <c r="F73" s="1">
        <v>408928</v>
      </c>
      <c r="G73" s="1">
        <v>66720.5</v>
      </c>
      <c r="H73" s="1">
        <v>372947</v>
      </c>
      <c r="I73" s="1">
        <v>642408</v>
      </c>
      <c r="J73" s="1">
        <v>51029.7</v>
      </c>
      <c r="K73" s="1">
        <v>88741.4</v>
      </c>
      <c r="L73" s="1">
        <v>98372.1</v>
      </c>
      <c r="M73" s="1">
        <v>73137.600000000006</v>
      </c>
      <c r="N73" s="1">
        <v>91679.9</v>
      </c>
      <c r="O73" s="1">
        <v>91319</v>
      </c>
      <c r="P73" s="1">
        <v>53241</v>
      </c>
      <c r="Q73" s="1">
        <v>82889</v>
      </c>
      <c r="R73" s="1">
        <v>0</v>
      </c>
    </row>
    <row r="74" spans="1:18">
      <c r="A74" s="2">
        <v>0.83333333333333337</v>
      </c>
      <c r="B74" s="1">
        <v>594381</v>
      </c>
      <c r="C74" s="1">
        <v>123859</v>
      </c>
      <c r="D74" s="1">
        <v>43731.8</v>
      </c>
      <c r="E74" s="1">
        <v>0</v>
      </c>
      <c r="F74" s="1">
        <v>408955</v>
      </c>
      <c r="G74" s="1">
        <v>66794.3</v>
      </c>
      <c r="H74" s="1">
        <v>372960</v>
      </c>
      <c r="I74" s="1">
        <v>642700</v>
      </c>
      <c r="J74" s="1">
        <v>51038.1</v>
      </c>
      <c r="K74" s="1">
        <v>88745.8</v>
      </c>
      <c r="L74" s="1">
        <v>98397.7</v>
      </c>
      <c r="M74" s="1">
        <v>73182.5</v>
      </c>
      <c r="N74" s="1">
        <v>91736.2</v>
      </c>
      <c r="O74" s="1">
        <v>91341.7</v>
      </c>
      <c r="P74" s="1">
        <v>53241</v>
      </c>
      <c r="Q74" s="1">
        <v>82889</v>
      </c>
      <c r="R74" s="1">
        <v>0</v>
      </c>
    </row>
    <row r="75" spans="1:18">
      <c r="A75" s="2">
        <v>0.875</v>
      </c>
      <c r="B75" s="1">
        <v>595192</v>
      </c>
      <c r="C75" s="1">
        <v>124074</v>
      </c>
      <c r="D75" s="1">
        <v>43749.7</v>
      </c>
      <c r="E75" s="1">
        <v>0</v>
      </c>
      <c r="F75" s="1">
        <v>408978</v>
      </c>
      <c r="G75" s="1">
        <v>66856.600000000006</v>
      </c>
      <c r="H75" s="1">
        <v>372973</v>
      </c>
      <c r="I75" s="1">
        <v>642965</v>
      </c>
      <c r="J75" s="1">
        <v>51046.6</v>
      </c>
      <c r="K75" s="1">
        <v>88750.2</v>
      </c>
      <c r="L75" s="1">
        <v>98424.3</v>
      </c>
      <c r="M75" s="1">
        <v>73224.600000000006</v>
      </c>
      <c r="N75" s="1">
        <v>91789.9</v>
      </c>
      <c r="O75" s="1">
        <v>91364.9</v>
      </c>
      <c r="P75" s="1">
        <v>53241</v>
      </c>
      <c r="Q75" s="1">
        <v>82889</v>
      </c>
      <c r="R75" s="1">
        <v>0</v>
      </c>
    </row>
    <row r="76" spans="1:18">
      <c r="A76" s="2">
        <v>0.91666666666666663</v>
      </c>
      <c r="B76" s="1">
        <v>595964</v>
      </c>
      <c r="C76" s="1">
        <v>124279</v>
      </c>
      <c r="D76" s="1">
        <v>43765.8</v>
      </c>
      <c r="E76" s="1">
        <v>0</v>
      </c>
      <c r="F76" s="1">
        <v>409000</v>
      </c>
      <c r="G76" s="1">
        <v>66916.3</v>
      </c>
      <c r="H76" s="1">
        <v>372986</v>
      </c>
      <c r="I76" s="1">
        <v>643205</v>
      </c>
      <c r="J76" s="1">
        <v>51054.5</v>
      </c>
      <c r="K76" s="1">
        <v>88754.1</v>
      </c>
      <c r="L76" s="1">
        <v>98452.1</v>
      </c>
      <c r="M76" s="1">
        <v>73266.899999999994</v>
      </c>
      <c r="N76" s="1">
        <v>91847.3</v>
      </c>
      <c r="O76" s="1">
        <v>91386.9</v>
      </c>
      <c r="P76" s="1">
        <v>53241</v>
      </c>
      <c r="Q76" s="1">
        <v>82889</v>
      </c>
      <c r="R76" s="1">
        <v>0</v>
      </c>
    </row>
    <row r="77" spans="1:18">
      <c r="A77" s="2">
        <v>0.95833333333333337</v>
      </c>
      <c r="B77" s="1">
        <v>596709</v>
      </c>
      <c r="C77" s="1">
        <v>124474</v>
      </c>
      <c r="D77" s="1">
        <v>43782.6</v>
      </c>
      <c r="E77" s="1">
        <v>0</v>
      </c>
      <c r="F77" s="1">
        <v>409022</v>
      </c>
      <c r="G77" s="1">
        <v>66973.7</v>
      </c>
      <c r="H77" s="1">
        <v>372998</v>
      </c>
      <c r="I77" s="1">
        <v>643443</v>
      </c>
      <c r="J77" s="1">
        <v>51061</v>
      </c>
      <c r="K77" s="1">
        <v>88757.6</v>
      </c>
      <c r="L77" s="1">
        <v>98479</v>
      </c>
      <c r="M77" s="1">
        <v>73308.800000000003</v>
      </c>
      <c r="N77" s="1">
        <v>91900.9</v>
      </c>
      <c r="O77" s="1">
        <v>91406.8</v>
      </c>
      <c r="P77" s="1">
        <v>53241</v>
      </c>
      <c r="Q77" s="1">
        <v>82889</v>
      </c>
      <c r="R77" s="1">
        <v>0</v>
      </c>
    </row>
    <row r="78" spans="1:18">
      <c r="A78" s="2">
        <v>0</v>
      </c>
      <c r="B78" s="1">
        <v>597451</v>
      </c>
      <c r="C78" s="1">
        <v>124659</v>
      </c>
      <c r="D78" s="1">
        <v>43797.7</v>
      </c>
      <c r="E78" s="1">
        <v>0</v>
      </c>
      <c r="F78" s="1">
        <v>409048</v>
      </c>
      <c r="G78" s="1">
        <v>67030.100000000006</v>
      </c>
      <c r="H78" s="1">
        <v>373010</v>
      </c>
      <c r="I78" s="1">
        <v>643686</v>
      </c>
      <c r="J78" s="1">
        <v>51067.4</v>
      </c>
      <c r="K78" s="1">
        <v>88761</v>
      </c>
      <c r="L78" s="1">
        <v>98505.4</v>
      </c>
      <c r="M78" s="1">
        <v>73350.8</v>
      </c>
      <c r="N78" s="1">
        <v>91954.5</v>
      </c>
      <c r="O78" s="1">
        <v>91426.6</v>
      </c>
      <c r="P78" s="1">
        <v>53241</v>
      </c>
      <c r="Q78" s="1">
        <v>82889</v>
      </c>
      <c r="R78" s="1">
        <v>0</v>
      </c>
    </row>
    <row r="79" spans="1:18">
      <c r="A79" s="2">
        <v>4.1666666666666664E-2</v>
      </c>
      <c r="B79" s="1">
        <v>598156</v>
      </c>
      <c r="C79" s="1">
        <v>124837</v>
      </c>
      <c r="D79" s="1">
        <v>43813</v>
      </c>
      <c r="E79" s="1">
        <v>0</v>
      </c>
      <c r="F79" s="1">
        <v>409073</v>
      </c>
      <c r="G79" s="1">
        <v>67086.5</v>
      </c>
      <c r="H79" s="1">
        <v>373022</v>
      </c>
      <c r="I79" s="1">
        <v>643910</v>
      </c>
      <c r="J79" s="1">
        <v>51073.8</v>
      </c>
      <c r="K79" s="1">
        <v>88764.7</v>
      </c>
      <c r="L79" s="1">
        <v>98531.199999999997</v>
      </c>
      <c r="M79" s="1">
        <v>73389.5</v>
      </c>
      <c r="N79" s="1">
        <v>92008.5</v>
      </c>
      <c r="O79" s="1">
        <v>91444.4</v>
      </c>
      <c r="P79" s="1">
        <v>53241</v>
      </c>
      <c r="Q79" s="1">
        <v>82889</v>
      </c>
      <c r="R79" s="1">
        <v>0</v>
      </c>
    </row>
    <row r="80" spans="1:18">
      <c r="A80" s="2">
        <v>8.3333333333333329E-2</v>
      </c>
      <c r="B80" s="1">
        <v>598847</v>
      </c>
      <c r="C80" s="1">
        <v>125010</v>
      </c>
      <c r="D80" s="1">
        <v>43829.8</v>
      </c>
      <c r="E80" s="1">
        <v>0</v>
      </c>
      <c r="F80" s="1">
        <v>409097</v>
      </c>
      <c r="G80" s="1">
        <v>67142.600000000006</v>
      </c>
      <c r="H80" s="1">
        <v>373034</v>
      </c>
      <c r="I80" s="1">
        <v>644127</v>
      </c>
      <c r="J80" s="1">
        <v>51079.9</v>
      </c>
      <c r="K80" s="1">
        <v>88768.3</v>
      </c>
      <c r="L80" s="1">
        <v>98556.9</v>
      </c>
      <c r="M80" s="1">
        <v>73424.800000000003</v>
      </c>
      <c r="N80" s="1">
        <v>92062.2</v>
      </c>
      <c r="O80" s="1">
        <v>91463.1</v>
      </c>
      <c r="P80" s="1">
        <v>53241</v>
      </c>
      <c r="Q80" s="1">
        <v>82889</v>
      </c>
      <c r="R80" s="1">
        <v>0</v>
      </c>
    </row>
    <row r="81" spans="1:18">
      <c r="A81" s="2">
        <v>0.125</v>
      </c>
      <c r="B81" s="1">
        <v>599520</v>
      </c>
      <c r="C81" s="1">
        <v>125179</v>
      </c>
      <c r="D81" s="1">
        <v>43845.5</v>
      </c>
      <c r="E81" s="1">
        <v>0</v>
      </c>
      <c r="F81" s="1">
        <v>409120</v>
      </c>
      <c r="G81" s="1">
        <v>67197.7</v>
      </c>
      <c r="H81" s="1">
        <v>373045</v>
      </c>
      <c r="I81" s="1">
        <v>644336</v>
      </c>
      <c r="J81" s="1">
        <v>51086.2</v>
      </c>
      <c r="K81" s="1">
        <v>88771.7</v>
      </c>
      <c r="L81" s="1">
        <v>98581.3</v>
      </c>
      <c r="M81" s="1">
        <v>73460.3</v>
      </c>
      <c r="N81" s="1">
        <v>92115.6</v>
      </c>
      <c r="O81" s="1">
        <v>91481.2</v>
      </c>
      <c r="P81" s="1">
        <v>53241</v>
      </c>
      <c r="Q81" s="1">
        <v>82889</v>
      </c>
      <c r="R81" s="1">
        <v>0</v>
      </c>
    </row>
    <row r="82" spans="1:18">
      <c r="A82" s="2">
        <v>0.16666666666666666</v>
      </c>
      <c r="B82" s="1">
        <v>600190</v>
      </c>
      <c r="C82" s="1">
        <v>125348</v>
      </c>
      <c r="D82" s="1">
        <v>43861</v>
      </c>
      <c r="E82" s="1">
        <v>0</v>
      </c>
      <c r="F82" s="1">
        <v>409140</v>
      </c>
      <c r="G82" s="1">
        <v>67251.399999999994</v>
      </c>
      <c r="H82" s="1">
        <v>373058</v>
      </c>
      <c r="I82" s="1">
        <v>644546</v>
      </c>
      <c r="J82" s="1">
        <v>51092.5</v>
      </c>
      <c r="K82" s="1">
        <v>88775.1</v>
      </c>
      <c r="L82" s="1">
        <v>98604.4</v>
      </c>
      <c r="M82" s="1">
        <v>73496</v>
      </c>
      <c r="N82" s="1">
        <v>92168.9</v>
      </c>
      <c r="O82" s="1">
        <v>91500.2</v>
      </c>
      <c r="P82" s="1">
        <v>53241</v>
      </c>
      <c r="Q82" s="1">
        <v>82889</v>
      </c>
      <c r="R82" s="1">
        <v>0</v>
      </c>
    </row>
    <row r="83" spans="1:18">
      <c r="A83" s="2">
        <v>0.20833333333333334</v>
      </c>
      <c r="B83" s="1">
        <v>600862</v>
      </c>
      <c r="C83" s="1">
        <v>125519</v>
      </c>
      <c r="D83" s="1">
        <v>43876</v>
      </c>
      <c r="E83" s="1">
        <v>0</v>
      </c>
      <c r="F83" s="1">
        <v>409160</v>
      </c>
      <c r="G83" s="1">
        <v>67305.899999999994</v>
      </c>
      <c r="H83" s="1">
        <v>373070</v>
      </c>
      <c r="I83" s="1">
        <v>644754</v>
      </c>
      <c r="J83" s="1">
        <v>51098.6</v>
      </c>
      <c r="K83" s="1">
        <v>88778.4</v>
      </c>
      <c r="L83" s="1">
        <v>98626.9</v>
      </c>
      <c r="M83" s="1">
        <v>73531.899999999994</v>
      </c>
      <c r="N83" s="1">
        <v>92225.600000000006</v>
      </c>
      <c r="O83" s="1">
        <v>91519.8</v>
      </c>
      <c r="P83" s="1">
        <v>53241</v>
      </c>
      <c r="Q83" s="1">
        <v>82889</v>
      </c>
      <c r="R83" s="1">
        <v>0</v>
      </c>
    </row>
    <row r="84" spans="1:18">
      <c r="A84" s="2">
        <v>0.25</v>
      </c>
      <c r="B84" s="1">
        <v>601523</v>
      </c>
      <c r="C84" s="1">
        <v>125689</v>
      </c>
      <c r="D84" s="1">
        <v>43890.400000000001</v>
      </c>
      <c r="E84" s="1">
        <v>0</v>
      </c>
      <c r="F84" s="1">
        <v>409180</v>
      </c>
      <c r="G84" s="1">
        <v>67360.399999999994</v>
      </c>
      <c r="H84" s="1">
        <v>373082</v>
      </c>
      <c r="I84" s="1">
        <v>644958</v>
      </c>
      <c r="J84" s="1">
        <v>51104.6</v>
      </c>
      <c r="K84" s="1">
        <v>88781.7</v>
      </c>
      <c r="L84" s="1">
        <v>98647.8</v>
      </c>
      <c r="M84" s="1">
        <v>73566.7</v>
      </c>
      <c r="N84" s="1">
        <v>92279.1</v>
      </c>
      <c r="O84" s="1">
        <v>91540.4</v>
      </c>
      <c r="P84" s="1">
        <v>53241</v>
      </c>
      <c r="Q84" s="1">
        <v>82889</v>
      </c>
      <c r="R84" s="1">
        <v>0</v>
      </c>
    </row>
    <row r="85" spans="1:18">
      <c r="A85" s="2">
        <v>0.29166666666666669</v>
      </c>
      <c r="B85" s="1">
        <v>602200</v>
      </c>
      <c r="C85" s="1">
        <v>125864</v>
      </c>
      <c r="D85" s="1">
        <v>43904.4</v>
      </c>
      <c r="E85" s="1">
        <v>0</v>
      </c>
      <c r="F85" s="1">
        <v>409199</v>
      </c>
      <c r="G85" s="1">
        <v>67414.399999999994</v>
      </c>
      <c r="H85" s="1">
        <v>373094</v>
      </c>
      <c r="I85" s="1">
        <v>645170</v>
      </c>
      <c r="J85" s="1">
        <v>51110.6</v>
      </c>
      <c r="K85" s="1">
        <v>88784.8</v>
      </c>
      <c r="L85" s="1">
        <v>98668.4</v>
      </c>
      <c r="M85" s="1">
        <v>73602</v>
      </c>
      <c r="N85" s="1">
        <v>92332</v>
      </c>
      <c r="O85" s="1">
        <v>91561.8</v>
      </c>
      <c r="P85" s="1">
        <v>53241</v>
      </c>
      <c r="Q85" s="1">
        <v>82889</v>
      </c>
      <c r="R85" s="1">
        <v>0</v>
      </c>
    </row>
    <row r="86" spans="1:18">
      <c r="A86" s="2">
        <v>0.33333333333333331</v>
      </c>
      <c r="B86" s="1">
        <v>602914</v>
      </c>
      <c r="C86" s="1">
        <v>126047</v>
      </c>
      <c r="D86" s="1">
        <v>43918.400000000001</v>
      </c>
      <c r="E86" s="1">
        <v>0</v>
      </c>
      <c r="F86" s="1">
        <v>409220</v>
      </c>
      <c r="G86" s="1">
        <v>67468.7</v>
      </c>
      <c r="H86" s="1">
        <v>373105</v>
      </c>
      <c r="I86" s="1">
        <v>645397</v>
      </c>
      <c r="J86" s="1">
        <v>51117.5</v>
      </c>
      <c r="K86" s="1">
        <v>88786.1</v>
      </c>
      <c r="L86" s="1">
        <v>98690.8</v>
      </c>
      <c r="M86" s="1">
        <v>73639.8</v>
      </c>
      <c r="N86" s="1">
        <v>92383.1</v>
      </c>
      <c r="O86" s="1">
        <v>91587.9</v>
      </c>
      <c r="P86" s="1">
        <v>53242</v>
      </c>
      <c r="Q86" s="1">
        <v>82892</v>
      </c>
      <c r="R86" s="1">
        <v>0</v>
      </c>
    </row>
    <row r="87" spans="1:18">
      <c r="A87" s="2">
        <v>0.375</v>
      </c>
      <c r="B87" s="1">
        <v>603743</v>
      </c>
      <c r="C87" s="1">
        <v>126259</v>
      </c>
      <c r="D87" s="1">
        <v>43939.3</v>
      </c>
      <c r="E87" s="1">
        <v>0</v>
      </c>
      <c r="F87" s="1">
        <v>409247</v>
      </c>
      <c r="G87" s="1">
        <v>67520.2</v>
      </c>
      <c r="H87" s="1">
        <v>373117</v>
      </c>
      <c r="I87" s="1">
        <v>645673</v>
      </c>
      <c r="J87" s="1">
        <v>51124.5</v>
      </c>
      <c r="K87" s="1">
        <v>88786.8</v>
      </c>
      <c r="L87" s="1">
        <v>98718</v>
      </c>
      <c r="M87" s="1">
        <v>73678.899999999994</v>
      </c>
      <c r="N87" s="1">
        <v>92432.5</v>
      </c>
      <c r="O87" s="1">
        <v>91628</v>
      </c>
      <c r="P87" s="1">
        <v>53248</v>
      </c>
      <c r="Q87" s="1">
        <v>82901</v>
      </c>
      <c r="R87" s="1">
        <v>0</v>
      </c>
    </row>
    <row r="88" spans="1:18">
      <c r="A88" s="2">
        <v>0.41666666666666669</v>
      </c>
      <c r="B88" s="1">
        <v>604788</v>
      </c>
      <c r="C88" s="1">
        <v>126543</v>
      </c>
      <c r="D88" s="1">
        <v>43965.7</v>
      </c>
      <c r="E88" s="1">
        <v>0</v>
      </c>
      <c r="F88" s="1">
        <v>409287</v>
      </c>
      <c r="G88" s="1">
        <v>67575.399999999994</v>
      </c>
      <c r="H88" s="1">
        <v>373136</v>
      </c>
      <c r="I88" s="1">
        <v>646015</v>
      </c>
      <c r="J88" s="1">
        <v>51131.9</v>
      </c>
      <c r="K88" s="1">
        <v>88787</v>
      </c>
      <c r="L88" s="1">
        <v>98747.4</v>
      </c>
      <c r="M88" s="1">
        <v>73720.5</v>
      </c>
      <c r="N88" s="1">
        <v>92479.8</v>
      </c>
      <c r="O88" s="1">
        <v>91685.8</v>
      </c>
      <c r="P88" s="1">
        <v>53258</v>
      </c>
      <c r="Q88" s="1">
        <v>82917</v>
      </c>
      <c r="R88" s="1">
        <v>0</v>
      </c>
    </row>
    <row r="89" spans="1:18">
      <c r="A89" s="2">
        <v>0.45833333333333331</v>
      </c>
      <c r="B89" s="1">
        <v>606015</v>
      </c>
      <c r="C89" s="1">
        <v>126861</v>
      </c>
      <c r="D89" s="1">
        <v>43992.800000000003</v>
      </c>
      <c r="E89" s="1">
        <v>0</v>
      </c>
      <c r="F89" s="1">
        <v>409340</v>
      </c>
      <c r="G89" s="1">
        <v>67649</v>
      </c>
      <c r="H89" s="1">
        <v>373177</v>
      </c>
      <c r="I89" s="1">
        <v>646425</v>
      </c>
      <c r="J89" s="1">
        <v>51144.2</v>
      </c>
      <c r="K89" s="1">
        <v>88787.4</v>
      </c>
      <c r="L89" s="1">
        <v>98780.4</v>
      </c>
      <c r="M89" s="1">
        <v>73764.100000000006</v>
      </c>
      <c r="N89" s="1">
        <v>92525.7</v>
      </c>
      <c r="O89" s="1">
        <v>91755.199999999997</v>
      </c>
      <c r="P89" s="1">
        <v>53271</v>
      </c>
      <c r="Q89" s="1">
        <v>82937</v>
      </c>
      <c r="R89" s="1">
        <v>0</v>
      </c>
    </row>
    <row r="90" spans="1:18">
      <c r="A90" s="2">
        <v>0.5</v>
      </c>
      <c r="B90" s="1">
        <v>607283</v>
      </c>
      <c r="C90" s="1">
        <v>127189</v>
      </c>
      <c r="D90" s="1">
        <v>44020.4</v>
      </c>
      <c r="E90" s="1">
        <v>0</v>
      </c>
      <c r="F90" s="1">
        <v>409397</v>
      </c>
      <c r="G90" s="1">
        <v>67727.5</v>
      </c>
      <c r="H90" s="1">
        <v>373200</v>
      </c>
      <c r="I90" s="1">
        <v>646874</v>
      </c>
      <c r="J90" s="1">
        <v>51156.7</v>
      </c>
      <c r="K90" s="1">
        <v>88787.5</v>
      </c>
      <c r="L90" s="1">
        <v>98815.8</v>
      </c>
      <c r="M90" s="1">
        <v>73809.2</v>
      </c>
      <c r="N90" s="1">
        <v>92570.2</v>
      </c>
      <c r="O90" s="1">
        <v>91820</v>
      </c>
      <c r="P90" s="1">
        <v>53287</v>
      </c>
      <c r="Q90" s="1">
        <v>82961</v>
      </c>
      <c r="R90" s="1">
        <v>0</v>
      </c>
    </row>
    <row r="91" spans="1:18">
      <c r="A91" s="2">
        <v>0.54166666666666663</v>
      </c>
      <c r="B91" s="1">
        <v>608604</v>
      </c>
      <c r="C91" s="1">
        <v>127532</v>
      </c>
      <c r="D91" s="1">
        <v>44056.3</v>
      </c>
      <c r="E91" s="1">
        <v>0</v>
      </c>
      <c r="F91" s="1">
        <v>409463</v>
      </c>
      <c r="G91" s="1">
        <v>67800.5</v>
      </c>
      <c r="H91" s="1">
        <v>373235</v>
      </c>
      <c r="I91" s="1">
        <v>647325</v>
      </c>
      <c r="J91" s="1">
        <v>51168.1</v>
      </c>
      <c r="K91" s="1">
        <v>88787.5</v>
      </c>
      <c r="L91" s="1">
        <v>98857.3</v>
      </c>
      <c r="M91" s="1">
        <v>73858.600000000006</v>
      </c>
      <c r="N91" s="1">
        <v>92613.4</v>
      </c>
      <c r="O91" s="1">
        <v>91891.6</v>
      </c>
      <c r="P91" s="1">
        <v>53303</v>
      </c>
      <c r="Q91" s="1">
        <v>82985</v>
      </c>
      <c r="R91" s="1">
        <v>0</v>
      </c>
    </row>
    <row r="92" spans="1:18">
      <c r="A92" s="2">
        <v>0.58333333333333337</v>
      </c>
      <c r="B92" s="1">
        <v>610000</v>
      </c>
      <c r="C92" s="1">
        <v>127892</v>
      </c>
      <c r="D92" s="1">
        <v>44092.3</v>
      </c>
      <c r="E92" s="1">
        <v>0</v>
      </c>
      <c r="F92" s="1">
        <v>409526</v>
      </c>
      <c r="G92" s="1">
        <v>67885.899999999994</v>
      </c>
      <c r="H92" s="1">
        <v>373262</v>
      </c>
      <c r="I92" s="1">
        <v>647787</v>
      </c>
      <c r="J92" s="1">
        <v>51180.5</v>
      </c>
      <c r="K92" s="1">
        <v>88787.5</v>
      </c>
      <c r="L92" s="1">
        <v>98911.9</v>
      </c>
      <c r="M92" s="1">
        <v>73920.7</v>
      </c>
      <c r="N92" s="1">
        <v>92659.3</v>
      </c>
      <c r="O92" s="1">
        <v>91968.3</v>
      </c>
      <c r="P92" s="1">
        <v>53317</v>
      </c>
      <c r="Q92" s="1">
        <v>83007</v>
      </c>
      <c r="R92" s="1">
        <v>0</v>
      </c>
    </row>
    <row r="93" spans="1:18">
      <c r="A93" s="2">
        <v>0.625</v>
      </c>
      <c r="B93" s="1">
        <v>611476</v>
      </c>
      <c r="C93" s="1">
        <v>128260</v>
      </c>
      <c r="D93" s="1">
        <v>44125.7</v>
      </c>
      <c r="E93" s="1">
        <v>0</v>
      </c>
      <c r="F93" s="1">
        <v>409583</v>
      </c>
      <c r="G93" s="1">
        <v>67985.899999999994</v>
      </c>
      <c r="H93" s="1">
        <v>373347</v>
      </c>
      <c r="I93" s="1">
        <v>648257</v>
      </c>
      <c r="J93" s="1">
        <v>51192.6</v>
      </c>
      <c r="K93" s="1">
        <v>88790.3</v>
      </c>
      <c r="L93" s="1">
        <v>98967.2</v>
      </c>
      <c r="M93" s="1">
        <v>73978.600000000006</v>
      </c>
      <c r="N93" s="1">
        <v>92708.800000000003</v>
      </c>
      <c r="O93" s="1">
        <v>92024.3</v>
      </c>
      <c r="P93" s="1">
        <v>53327</v>
      </c>
      <c r="Q93" s="1">
        <v>83022</v>
      </c>
      <c r="R93" s="1">
        <v>0</v>
      </c>
    </row>
    <row r="94" spans="1:18">
      <c r="A94" s="2">
        <v>0.66666666666666663</v>
      </c>
      <c r="B94" s="1">
        <v>612887</v>
      </c>
      <c r="C94" s="1">
        <v>128624</v>
      </c>
      <c r="D94" s="1">
        <v>44162.1</v>
      </c>
      <c r="E94" s="1">
        <v>0</v>
      </c>
      <c r="F94" s="1">
        <v>409640</v>
      </c>
      <c r="G94" s="1">
        <v>68085.600000000006</v>
      </c>
      <c r="H94" s="1">
        <v>373426</v>
      </c>
      <c r="I94" s="1">
        <v>648708</v>
      </c>
      <c r="J94" s="1">
        <v>51204.5</v>
      </c>
      <c r="K94" s="1">
        <v>88790.9</v>
      </c>
      <c r="L94" s="1">
        <v>99014.3</v>
      </c>
      <c r="M94" s="1">
        <v>74034.100000000006</v>
      </c>
      <c r="N94" s="1">
        <v>92758.6</v>
      </c>
      <c r="O94" s="1">
        <v>92057.9</v>
      </c>
      <c r="P94" s="1">
        <v>53338</v>
      </c>
      <c r="Q94" s="1">
        <v>83038</v>
      </c>
      <c r="R94" s="1">
        <v>0</v>
      </c>
    </row>
    <row r="95" spans="1:18">
      <c r="A95" s="2">
        <v>0.70833333333333337</v>
      </c>
      <c r="B95" s="1">
        <v>614236</v>
      </c>
      <c r="C95" s="1">
        <v>128970</v>
      </c>
      <c r="D95" s="1">
        <v>44196.7</v>
      </c>
      <c r="E95" s="1">
        <v>0</v>
      </c>
      <c r="F95" s="1">
        <v>409693</v>
      </c>
      <c r="G95" s="1">
        <v>68182.399999999994</v>
      </c>
      <c r="H95" s="1">
        <v>373500</v>
      </c>
      <c r="I95" s="1">
        <v>649137</v>
      </c>
      <c r="J95" s="1">
        <v>51216.4</v>
      </c>
      <c r="K95" s="1">
        <v>88793.3</v>
      </c>
      <c r="L95" s="1">
        <v>99058.7</v>
      </c>
      <c r="M95" s="1">
        <v>74084.399999999994</v>
      </c>
      <c r="N95" s="1">
        <v>92812</v>
      </c>
      <c r="O95" s="1">
        <v>92092.3</v>
      </c>
      <c r="P95" s="1">
        <v>53345</v>
      </c>
      <c r="Q95" s="1">
        <v>83050</v>
      </c>
      <c r="R95" s="1">
        <v>0</v>
      </c>
    </row>
    <row r="96" spans="1:18">
      <c r="A96" s="2">
        <v>0.75</v>
      </c>
      <c r="B96" s="1">
        <v>615423</v>
      </c>
      <c r="C96" s="1">
        <v>129271</v>
      </c>
      <c r="D96" s="1">
        <v>44220.3</v>
      </c>
      <c r="E96" s="1">
        <v>0</v>
      </c>
      <c r="F96" s="1">
        <v>409733</v>
      </c>
      <c r="G96" s="1">
        <v>68265.600000000006</v>
      </c>
      <c r="H96" s="1">
        <v>373533</v>
      </c>
      <c r="I96" s="1">
        <v>649546</v>
      </c>
      <c r="J96" s="1">
        <v>51225</v>
      </c>
      <c r="K96" s="1">
        <v>88797.1</v>
      </c>
      <c r="L96" s="1">
        <v>99105</v>
      </c>
      <c r="M96" s="1">
        <v>74130.399999999994</v>
      </c>
      <c r="N96" s="1">
        <v>92869.1</v>
      </c>
      <c r="O96" s="1">
        <v>92122.4</v>
      </c>
      <c r="P96" s="1">
        <v>53349</v>
      </c>
      <c r="Q96" s="1">
        <v>83056</v>
      </c>
      <c r="R96" s="1">
        <v>0</v>
      </c>
    </row>
    <row r="97" spans="1:18">
      <c r="A97" s="2">
        <v>0.79166666666666663</v>
      </c>
      <c r="B97" s="1">
        <v>616438</v>
      </c>
      <c r="C97" s="1">
        <v>129512</v>
      </c>
      <c r="D97" s="1">
        <v>44239.5</v>
      </c>
      <c r="E97" s="1">
        <v>0</v>
      </c>
      <c r="F97" s="1">
        <v>409767</v>
      </c>
      <c r="G97" s="1">
        <v>68338.7</v>
      </c>
      <c r="H97" s="1">
        <v>373546</v>
      </c>
      <c r="I97" s="1">
        <v>649932</v>
      </c>
      <c r="J97" s="1">
        <v>51232.6</v>
      </c>
      <c r="K97" s="1">
        <v>88800.8</v>
      </c>
      <c r="L97" s="1">
        <v>99142.5</v>
      </c>
      <c r="M97" s="1">
        <v>74174.399999999994</v>
      </c>
      <c r="N97" s="1">
        <v>92925.5</v>
      </c>
      <c r="O97" s="1">
        <v>92148.3</v>
      </c>
      <c r="P97" s="1">
        <v>53349</v>
      </c>
      <c r="Q97" s="1">
        <v>83056</v>
      </c>
      <c r="R97" s="1">
        <v>0</v>
      </c>
    </row>
    <row r="98" spans="1:18">
      <c r="A98" s="2">
        <v>0.83333333333333337</v>
      </c>
      <c r="B98" s="1">
        <v>617325</v>
      </c>
      <c r="C98" s="1">
        <v>129729</v>
      </c>
      <c r="D98" s="1">
        <v>44257.2</v>
      </c>
      <c r="E98" s="1">
        <v>0</v>
      </c>
      <c r="F98" s="1">
        <v>409795</v>
      </c>
      <c r="G98" s="1">
        <v>68407.100000000006</v>
      </c>
      <c r="H98" s="1">
        <v>373559</v>
      </c>
      <c r="I98" s="1">
        <v>650248</v>
      </c>
      <c r="J98" s="1">
        <v>51240.1</v>
      </c>
      <c r="K98" s="1">
        <v>88804.4</v>
      </c>
      <c r="L98" s="1">
        <v>99173.6</v>
      </c>
      <c r="M98" s="1">
        <v>74214.3</v>
      </c>
      <c r="N98" s="1">
        <v>92981.8</v>
      </c>
      <c r="O98" s="1">
        <v>92176</v>
      </c>
      <c r="P98" s="1">
        <v>53349</v>
      </c>
      <c r="Q98" s="1">
        <v>83056</v>
      </c>
      <c r="R98" s="1">
        <v>0</v>
      </c>
    </row>
    <row r="99" spans="1:18">
      <c r="A99" s="2">
        <v>0.875</v>
      </c>
      <c r="B99" s="1">
        <v>618153</v>
      </c>
      <c r="C99" s="1">
        <v>129939</v>
      </c>
      <c r="D99" s="1">
        <v>44275</v>
      </c>
      <c r="E99" s="1">
        <v>0</v>
      </c>
      <c r="F99" s="1">
        <v>409819</v>
      </c>
      <c r="G99" s="1">
        <v>68472.399999999994</v>
      </c>
      <c r="H99" s="1">
        <v>373572</v>
      </c>
      <c r="I99" s="1">
        <v>650522</v>
      </c>
      <c r="J99" s="1">
        <v>51246.9</v>
      </c>
      <c r="K99" s="1">
        <v>88807.9</v>
      </c>
      <c r="L99" s="1">
        <v>99201</v>
      </c>
      <c r="M99" s="1">
        <v>74254</v>
      </c>
      <c r="N99" s="1">
        <v>93037.7</v>
      </c>
      <c r="O99" s="1">
        <v>92205.6</v>
      </c>
      <c r="P99" s="1">
        <v>53349</v>
      </c>
      <c r="Q99" s="1">
        <v>83056</v>
      </c>
      <c r="R99" s="1">
        <v>0</v>
      </c>
    </row>
    <row r="100" spans="1:18">
      <c r="A100" s="2">
        <v>0.91666666666666663</v>
      </c>
      <c r="B100" s="1">
        <v>618950</v>
      </c>
      <c r="C100" s="1">
        <v>130146</v>
      </c>
      <c r="D100" s="1">
        <v>44291.1</v>
      </c>
      <c r="E100" s="1">
        <v>0</v>
      </c>
      <c r="F100" s="1">
        <v>409842</v>
      </c>
      <c r="G100" s="1">
        <v>68538.5</v>
      </c>
      <c r="H100" s="1">
        <v>373585</v>
      </c>
      <c r="I100" s="1">
        <v>650773</v>
      </c>
      <c r="J100" s="1">
        <v>51254.1</v>
      </c>
      <c r="K100" s="1">
        <v>88811.3</v>
      </c>
      <c r="L100" s="1">
        <v>99232.2</v>
      </c>
      <c r="M100" s="1">
        <v>74295.100000000006</v>
      </c>
      <c r="N100" s="1">
        <v>93092.9</v>
      </c>
      <c r="O100" s="1">
        <v>92233.1</v>
      </c>
      <c r="P100" s="1">
        <v>53349</v>
      </c>
      <c r="Q100" s="1">
        <v>83056</v>
      </c>
      <c r="R100" s="1">
        <v>0</v>
      </c>
    </row>
    <row r="101" spans="1:18">
      <c r="A101" s="2">
        <v>0.95833333333333337</v>
      </c>
      <c r="B101" s="1">
        <v>619721</v>
      </c>
      <c r="C101" s="1">
        <v>130347</v>
      </c>
      <c r="D101" s="1">
        <v>44306.400000000001</v>
      </c>
      <c r="E101" s="1">
        <v>0</v>
      </c>
      <c r="F101" s="1">
        <v>409864</v>
      </c>
      <c r="G101" s="1">
        <v>68598.8</v>
      </c>
      <c r="H101" s="1">
        <v>373597</v>
      </c>
      <c r="I101" s="1">
        <v>651013</v>
      </c>
      <c r="J101" s="1">
        <v>51261.1</v>
      </c>
      <c r="K101" s="1">
        <v>88814.8</v>
      </c>
      <c r="L101" s="1">
        <v>99262.3</v>
      </c>
      <c r="M101" s="1">
        <v>74335.899999999994</v>
      </c>
      <c r="N101" s="1">
        <v>93148.9</v>
      </c>
      <c r="O101" s="1">
        <v>92258.9</v>
      </c>
      <c r="P101" s="1">
        <v>53349</v>
      </c>
      <c r="Q101" s="1">
        <v>83056</v>
      </c>
      <c r="R101" s="1">
        <v>0</v>
      </c>
    </row>
    <row r="102" spans="1:18">
      <c r="A102" s="2">
        <v>0</v>
      </c>
      <c r="B102" s="1">
        <v>620466</v>
      </c>
      <c r="C102" s="1">
        <v>130534</v>
      </c>
      <c r="D102" s="1">
        <v>44319.9</v>
      </c>
      <c r="E102" s="1">
        <v>0</v>
      </c>
      <c r="F102" s="1">
        <v>409887</v>
      </c>
      <c r="G102" s="1">
        <v>68658.899999999994</v>
      </c>
      <c r="H102" s="1">
        <v>373610</v>
      </c>
      <c r="I102" s="1">
        <v>651250</v>
      </c>
      <c r="J102" s="1">
        <v>51267.9</v>
      </c>
      <c r="K102" s="1">
        <v>88818.1</v>
      </c>
      <c r="L102" s="1">
        <v>99290.9</v>
      </c>
      <c r="M102" s="1">
        <v>74373.100000000006</v>
      </c>
      <c r="N102" s="1">
        <v>93204.3</v>
      </c>
      <c r="O102" s="1">
        <v>92284</v>
      </c>
      <c r="P102" s="1">
        <v>53349</v>
      </c>
      <c r="Q102" s="1">
        <v>83056</v>
      </c>
      <c r="R102" s="1">
        <v>0</v>
      </c>
    </row>
    <row r="103" spans="1:18">
      <c r="A103" s="2">
        <v>4.1666666666666664E-2</v>
      </c>
      <c r="B103" s="1">
        <v>621186</v>
      </c>
      <c r="C103" s="1">
        <v>130714</v>
      </c>
      <c r="D103" s="1">
        <v>44333</v>
      </c>
      <c r="E103" s="1">
        <v>0</v>
      </c>
      <c r="F103" s="1">
        <v>409909</v>
      </c>
      <c r="G103" s="1">
        <v>68719.7</v>
      </c>
      <c r="H103" s="1">
        <v>373622</v>
      </c>
      <c r="I103" s="1">
        <v>651476</v>
      </c>
      <c r="J103" s="1">
        <v>51274.5</v>
      </c>
      <c r="K103" s="1">
        <v>88821.4</v>
      </c>
      <c r="L103" s="1">
        <v>99318.9</v>
      </c>
      <c r="M103" s="1">
        <v>74410.3</v>
      </c>
      <c r="N103" s="1">
        <v>93259.7</v>
      </c>
      <c r="O103" s="1">
        <v>92307.5</v>
      </c>
      <c r="P103" s="1">
        <v>53349</v>
      </c>
      <c r="Q103" s="1">
        <v>83056</v>
      </c>
      <c r="R103" s="1">
        <v>0</v>
      </c>
    </row>
    <row r="104" spans="1:18">
      <c r="A104" s="2">
        <v>8.3333333333333329E-2</v>
      </c>
      <c r="B104" s="1">
        <v>621904</v>
      </c>
      <c r="C104" s="1">
        <v>130900</v>
      </c>
      <c r="D104" s="1">
        <v>44346.5</v>
      </c>
      <c r="E104" s="1">
        <v>0</v>
      </c>
      <c r="F104" s="1">
        <v>409930</v>
      </c>
      <c r="G104" s="1">
        <v>68778.100000000006</v>
      </c>
      <c r="H104" s="1">
        <v>373634</v>
      </c>
      <c r="I104" s="1">
        <v>651698</v>
      </c>
      <c r="J104" s="1">
        <v>51280.800000000003</v>
      </c>
      <c r="K104" s="1">
        <v>88824.6</v>
      </c>
      <c r="L104" s="1">
        <v>99345.8</v>
      </c>
      <c r="M104" s="1">
        <v>74447.100000000006</v>
      </c>
      <c r="N104" s="1">
        <v>93314.4</v>
      </c>
      <c r="O104" s="1">
        <v>92333.4</v>
      </c>
      <c r="P104" s="1">
        <v>53349</v>
      </c>
      <c r="Q104" s="1">
        <v>83056</v>
      </c>
      <c r="R104" s="1">
        <v>0</v>
      </c>
    </row>
    <row r="105" spans="1:18">
      <c r="A105" s="2">
        <v>0.125</v>
      </c>
      <c r="B105" s="1">
        <v>622600</v>
      </c>
      <c r="C105" s="1">
        <v>131077</v>
      </c>
      <c r="D105" s="1">
        <v>44359.6</v>
      </c>
      <c r="E105" s="1">
        <v>0</v>
      </c>
      <c r="F105" s="1">
        <v>409949</v>
      </c>
      <c r="G105" s="1">
        <v>68833.899999999994</v>
      </c>
      <c r="H105" s="1">
        <v>373646</v>
      </c>
      <c r="I105" s="1">
        <v>651914</v>
      </c>
      <c r="J105" s="1">
        <v>51287.3</v>
      </c>
      <c r="K105" s="1">
        <v>88827.9</v>
      </c>
      <c r="L105" s="1">
        <v>99370.9</v>
      </c>
      <c r="M105" s="1">
        <v>74483.7</v>
      </c>
      <c r="N105" s="1">
        <v>93368.8</v>
      </c>
      <c r="O105" s="1">
        <v>92358.7</v>
      </c>
      <c r="P105" s="1">
        <v>53349</v>
      </c>
      <c r="Q105" s="1">
        <v>83056</v>
      </c>
      <c r="R105" s="1">
        <v>0</v>
      </c>
    </row>
    <row r="106" spans="1:18">
      <c r="A106" s="2">
        <v>0.16666666666666666</v>
      </c>
      <c r="B106" s="1">
        <v>623296</v>
      </c>
      <c r="C106" s="1">
        <v>131258</v>
      </c>
      <c r="D106" s="1">
        <v>44372.9</v>
      </c>
      <c r="E106" s="1">
        <v>0</v>
      </c>
      <c r="F106" s="1">
        <v>409968</v>
      </c>
      <c r="G106" s="1">
        <v>68888.3</v>
      </c>
      <c r="H106" s="1">
        <v>373658</v>
      </c>
      <c r="I106" s="1">
        <v>652128</v>
      </c>
      <c r="J106" s="1">
        <v>51293.7</v>
      </c>
      <c r="K106" s="1">
        <v>88831.2</v>
      </c>
      <c r="L106" s="1">
        <v>99396.2</v>
      </c>
      <c r="M106" s="1">
        <v>74521.3</v>
      </c>
      <c r="N106" s="1">
        <v>93423.4</v>
      </c>
      <c r="O106" s="1">
        <v>92383.3</v>
      </c>
      <c r="P106" s="1">
        <v>53349</v>
      </c>
      <c r="Q106" s="1">
        <v>83056</v>
      </c>
      <c r="R106" s="1">
        <v>0</v>
      </c>
    </row>
    <row r="107" spans="1:18">
      <c r="A107" s="2">
        <v>0.20833333333333334</v>
      </c>
      <c r="B107" s="1">
        <v>623996</v>
      </c>
      <c r="C107" s="1">
        <v>131435</v>
      </c>
      <c r="D107" s="1">
        <v>44387.199999999997</v>
      </c>
      <c r="E107" s="1">
        <v>0</v>
      </c>
      <c r="F107" s="1">
        <v>409987</v>
      </c>
      <c r="G107" s="1">
        <v>68943.8</v>
      </c>
      <c r="H107" s="1">
        <v>373670</v>
      </c>
      <c r="I107" s="1">
        <v>652343</v>
      </c>
      <c r="J107" s="1">
        <v>51299.8</v>
      </c>
      <c r="K107" s="1">
        <v>88834.5</v>
      </c>
      <c r="L107" s="1">
        <v>99422.3</v>
      </c>
      <c r="M107" s="1">
        <v>74560.600000000006</v>
      </c>
      <c r="N107" s="1">
        <v>93478.399999999994</v>
      </c>
      <c r="O107" s="1">
        <v>92408.9</v>
      </c>
      <c r="P107" s="1">
        <v>53349</v>
      </c>
      <c r="Q107" s="1">
        <v>83056</v>
      </c>
      <c r="R107" s="1">
        <v>0</v>
      </c>
    </row>
    <row r="108" spans="1:18">
      <c r="A108" s="2">
        <v>0.25</v>
      </c>
      <c r="B108" s="1">
        <v>624702</v>
      </c>
      <c r="C108" s="1">
        <v>131614</v>
      </c>
      <c r="D108" s="1">
        <v>44403.3</v>
      </c>
      <c r="E108" s="1">
        <v>0</v>
      </c>
      <c r="F108" s="1">
        <v>410006</v>
      </c>
      <c r="G108" s="1">
        <v>68999</v>
      </c>
      <c r="H108" s="1">
        <v>373682</v>
      </c>
      <c r="I108" s="1">
        <v>652558</v>
      </c>
      <c r="J108" s="1">
        <v>51306</v>
      </c>
      <c r="K108" s="1">
        <v>88837.7</v>
      </c>
      <c r="L108" s="1">
        <v>99451.3</v>
      </c>
      <c r="M108" s="1">
        <v>74597.399999999994</v>
      </c>
      <c r="N108" s="1">
        <v>93533.2</v>
      </c>
      <c r="O108" s="1">
        <v>92436.6</v>
      </c>
      <c r="P108" s="1">
        <v>53349</v>
      </c>
      <c r="Q108" s="1">
        <v>83056</v>
      </c>
      <c r="R108" s="1">
        <v>0</v>
      </c>
    </row>
    <row r="109" spans="1:18">
      <c r="A109" s="2">
        <v>0.29166666666666669</v>
      </c>
      <c r="B109" s="1">
        <v>625412</v>
      </c>
      <c r="C109" s="1">
        <v>131795</v>
      </c>
      <c r="D109" s="1">
        <v>44418</v>
      </c>
      <c r="E109" s="1">
        <v>0</v>
      </c>
      <c r="F109" s="1">
        <v>410024</v>
      </c>
      <c r="G109" s="1">
        <v>69053.100000000006</v>
      </c>
      <c r="H109" s="1">
        <v>373695</v>
      </c>
      <c r="I109" s="1">
        <v>652780</v>
      </c>
      <c r="J109" s="1">
        <v>51312.4</v>
      </c>
      <c r="K109" s="1">
        <v>88841</v>
      </c>
      <c r="L109" s="1">
        <v>99476.3</v>
      </c>
      <c r="M109" s="1">
        <v>74633.5</v>
      </c>
      <c r="N109" s="1">
        <v>93587.6</v>
      </c>
      <c r="O109" s="1">
        <v>92463.1</v>
      </c>
      <c r="P109" s="1">
        <v>53350</v>
      </c>
      <c r="Q109" s="1">
        <v>83057</v>
      </c>
      <c r="R109" s="1">
        <v>0</v>
      </c>
    </row>
    <row r="110" spans="1:18">
      <c r="A110" s="2">
        <v>0.33333333333333331</v>
      </c>
      <c r="B110" s="1">
        <v>626150</v>
      </c>
      <c r="C110" s="1">
        <v>131983</v>
      </c>
      <c r="D110" s="1">
        <v>44435.3</v>
      </c>
      <c r="E110" s="1">
        <v>0</v>
      </c>
      <c r="F110" s="1">
        <v>410044</v>
      </c>
      <c r="G110" s="1">
        <v>69107.100000000006</v>
      </c>
      <c r="H110" s="1">
        <v>373725</v>
      </c>
      <c r="I110" s="1">
        <v>653003</v>
      </c>
      <c r="J110" s="1">
        <v>51318.9</v>
      </c>
      <c r="K110" s="1">
        <v>88842.7</v>
      </c>
      <c r="L110" s="1">
        <v>99501.5</v>
      </c>
      <c r="M110" s="1">
        <v>74669.7</v>
      </c>
      <c r="N110" s="1">
        <v>93639.7</v>
      </c>
      <c r="O110" s="1">
        <v>92493.3</v>
      </c>
      <c r="P110" s="1">
        <v>53351</v>
      </c>
      <c r="Q110" s="1">
        <v>83059</v>
      </c>
      <c r="R110" s="1">
        <v>0</v>
      </c>
    </row>
    <row r="111" spans="1:18">
      <c r="A111" s="2">
        <v>0.375</v>
      </c>
      <c r="B111" s="1">
        <v>627038</v>
      </c>
      <c r="C111" s="1">
        <v>132205</v>
      </c>
      <c r="D111" s="1">
        <v>44454.9</v>
      </c>
      <c r="E111" s="1">
        <v>0</v>
      </c>
      <c r="F111" s="1">
        <v>410067</v>
      </c>
      <c r="G111" s="1">
        <v>69158.7</v>
      </c>
      <c r="H111" s="1">
        <v>373782</v>
      </c>
      <c r="I111" s="1">
        <v>653261</v>
      </c>
      <c r="J111" s="1">
        <v>51325.5</v>
      </c>
      <c r="K111" s="1">
        <v>88845.9</v>
      </c>
      <c r="L111" s="1">
        <v>99540.4</v>
      </c>
      <c r="M111" s="1">
        <v>74713.8</v>
      </c>
      <c r="N111" s="1">
        <v>93691.1</v>
      </c>
      <c r="O111" s="1">
        <v>92532.9</v>
      </c>
      <c r="P111" s="1">
        <v>53354</v>
      </c>
      <c r="Q111" s="1">
        <v>83064</v>
      </c>
      <c r="R111" s="1">
        <v>0</v>
      </c>
    </row>
    <row r="112" spans="1:18">
      <c r="A112" s="2">
        <v>0.41666666666666669</v>
      </c>
      <c r="B112" s="1">
        <v>628124</v>
      </c>
      <c r="C112" s="1">
        <v>132480</v>
      </c>
      <c r="D112" s="1">
        <v>44482.2</v>
      </c>
      <c r="E112" s="1">
        <v>0</v>
      </c>
      <c r="F112" s="1">
        <v>410096</v>
      </c>
      <c r="G112" s="1">
        <v>69230.899999999994</v>
      </c>
      <c r="H112" s="1">
        <v>373832</v>
      </c>
      <c r="I112" s="1">
        <v>653591</v>
      </c>
      <c r="J112" s="1">
        <v>51332.1</v>
      </c>
      <c r="K112" s="1">
        <v>88848</v>
      </c>
      <c r="L112" s="1">
        <v>99578.7</v>
      </c>
      <c r="M112" s="1">
        <v>74760.100000000006</v>
      </c>
      <c r="N112" s="1">
        <v>93742.7</v>
      </c>
      <c r="O112" s="1">
        <v>92586.1</v>
      </c>
      <c r="P112" s="1">
        <v>53358</v>
      </c>
      <c r="Q112" s="1">
        <v>83071</v>
      </c>
      <c r="R112" s="1">
        <v>0</v>
      </c>
    </row>
    <row r="113" spans="1:18">
      <c r="A113" s="2">
        <v>0.45833333333333331</v>
      </c>
      <c r="B113" s="1">
        <v>629343</v>
      </c>
      <c r="C113" s="1">
        <v>132793</v>
      </c>
      <c r="D113" s="1">
        <v>44510.7</v>
      </c>
      <c r="E113" s="1">
        <v>0</v>
      </c>
      <c r="F113" s="1">
        <v>410139</v>
      </c>
      <c r="G113" s="1">
        <v>69308</v>
      </c>
      <c r="H113" s="1">
        <v>373880</v>
      </c>
      <c r="I113" s="1">
        <v>653960</v>
      </c>
      <c r="J113" s="1">
        <v>51342.3</v>
      </c>
      <c r="K113" s="1">
        <v>88850.8</v>
      </c>
      <c r="L113" s="1">
        <v>99619.5</v>
      </c>
      <c r="M113" s="1">
        <v>74810.100000000006</v>
      </c>
      <c r="N113" s="1">
        <v>93793.2</v>
      </c>
      <c r="O113" s="1">
        <v>92661</v>
      </c>
      <c r="P113" s="1">
        <v>53364</v>
      </c>
      <c r="Q113" s="1">
        <v>83080</v>
      </c>
      <c r="R113" s="1">
        <v>0</v>
      </c>
    </row>
    <row r="114" spans="1:18">
      <c r="A114" s="2">
        <v>0.5</v>
      </c>
      <c r="B114" s="1">
        <v>630643</v>
      </c>
      <c r="C114" s="1">
        <v>133135</v>
      </c>
      <c r="D114" s="1">
        <v>44539.9</v>
      </c>
      <c r="E114" s="1">
        <v>0</v>
      </c>
      <c r="F114" s="1">
        <v>410188</v>
      </c>
      <c r="G114" s="1">
        <v>69390.399999999994</v>
      </c>
      <c r="H114" s="1">
        <v>373935</v>
      </c>
      <c r="I114" s="1">
        <v>654354</v>
      </c>
      <c r="J114" s="1">
        <v>51352.800000000003</v>
      </c>
      <c r="K114" s="1">
        <v>88853</v>
      </c>
      <c r="L114" s="1">
        <v>99661.8</v>
      </c>
      <c r="M114" s="1">
        <v>74860.600000000006</v>
      </c>
      <c r="N114" s="1">
        <v>93841.9</v>
      </c>
      <c r="O114" s="1">
        <v>92732.7</v>
      </c>
      <c r="P114" s="1">
        <v>53371</v>
      </c>
      <c r="Q114" s="1">
        <v>83091</v>
      </c>
      <c r="R114" s="1">
        <v>0</v>
      </c>
    </row>
    <row r="115" spans="1:18">
      <c r="A115" s="2">
        <v>0.54166666666666663</v>
      </c>
      <c r="B115" s="1">
        <v>631969</v>
      </c>
      <c r="C115" s="1">
        <v>133472</v>
      </c>
      <c r="D115" s="1">
        <v>44572.5</v>
      </c>
      <c r="E115" s="1">
        <v>0</v>
      </c>
      <c r="F115" s="1">
        <v>410236</v>
      </c>
      <c r="G115" s="1">
        <v>69481.100000000006</v>
      </c>
      <c r="H115" s="1">
        <v>373988</v>
      </c>
      <c r="I115" s="1">
        <v>654768</v>
      </c>
      <c r="J115" s="1">
        <v>51362.5</v>
      </c>
      <c r="K115" s="1">
        <v>88857.2</v>
      </c>
      <c r="L115" s="1">
        <v>99707.5</v>
      </c>
      <c r="M115" s="1">
        <v>74907</v>
      </c>
      <c r="N115" s="1">
        <v>93893</v>
      </c>
      <c r="O115" s="1">
        <v>92802.8</v>
      </c>
      <c r="P115" s="1">
        <v>53376</v>
      </c>
      <c r="Q115" s="1">
        <v>83099</v>
      </c>
      <c r="R115" s="1">
        <v>0</v>
      </c>
    </row>
    <row r="116" spans="1:18">
      <c r="A116" s="2">
        <v>0.58333333333333337</v>
      </c>
      <c r="B116" s="1">
        <v>633343</v>
      </c>
      <c r="C116" s="1">
        <v>133811</v>
      </c>
      <c r="D116" s="1">
        <v>44604.9</v>
      </c>
      <c r="E116" s="1">
        <v>0</v>
      </c>
      <c r="F116" s="1">
        <v>410284</v>
      </c>
      <c r="G116" s="1">
        <v>69586.399999999994</v>
      </c>
      <c r="H116" s="1">
        <v>374046</v>
      </c>
      <c r="I116" s="1">
        <v>655182</v>
      </c>
      <c r="J116" s="1">
        <v>51371.7</v>
      </c>
      <c r="K116" s="1">
        <v>88862.7</v>
      </c>
      <c r="L116" s="1">
        <v>99764.1</v>
      </c>
      <c r="M116" s="1">
        <v>74957.600000000006</v>
      </c>
      <c r="N116" s="1">
        <v>93945.4</v>
      </c>
      <c r="O116" s="1">
        <v>92877.9</v>
      </c>
      <c r="P116" s="1">
        <v>53380</v>
      </c>
      <c r="Q116" s="1">
        <v>83104</v>
      </c>
      <c r="R116" s="1">
        <v>0</v>
      </c>
    </row>
    <row r="117" spans="1:18">
      <c r="A117" s="2">
        <v>0.625</v>
      </c>
      <c r="B117" s="1">
        <v>634724</v>
      </c>
      <c r="C117" s="1">
        <v>134158</v>
      </c>
      <c r="D117" s="1">
        <v>44635.4</v>
      </c>
      <c r="E117" s="1">
        <v>0</v>
      </c>
      <c r="F117" s="1">
        <v>410338</v>
      </c>
      <c r="G117" s="1">
        <v>69699.3</v>
      </c>
      <c r="H117" s="1">
        <v>374104</v>
      </c>
      <c r="I117" s="1">
        <v>655595</v>
      </c>
      <c r="J117" s="1">
        <v>51380</v>
      </c>
      <c r="K117" s="1">
        <v>88871</v>
      </c>
      <c r="L117" s="1">
        <v>99812.7</v>
      </c>
      <c r="M117" s="1">
        <v>75016.800000000003</v>
      </c>
      <c r="N117" s="1">
        <v>94000.7</v>
      </c>
      <c r="O117" s="1">
        <v>92935.2</v>
      </c>
      <c r="P117" s="1">
        <v>53382</v>
      </c>
      <c r="Q117" s="1">
        <v>83108</v>
      </c>
      <c r="R117" s="1">
        <v>0</v>
      </c>
    </row>
    <row r="118" spans="1:18">
      <c r="A118" s="2">
        <v>0.66666666666666663</v>
      </c>
      <c r="B118" s="1">
        <v>636019</v>
      </c>
      <c r="C118" s="1">
        <v>134491</v>
      </c>
      <c r="D118" s="1">
        <v>44662.7</v>
      </c>
      <c r="E118" s="1">
        <v>0</v>
      </c>
      <c r="F118" s="1">
        <v>410387</v>
      </c>
      <c r="G118" s="1">
        <v>69803.7</v>
      </c>
      <c r="H118" s="1">
        <v>374161</v>
      </c>
      <c r="I118" s="1">
        <v>656006</v>
      </c>
      <c r="J118" s="1">
        <v>51387.5</v>
      </c>
      <c r="K118" s="1">
        <v>88880.2</v>
      </c>
      <c r="L118" s="1">
        <v>99862.2</v>
      </c>
      <c r="M118" s="1">
        <v>75073.600000000006</v>
      </c>
      <c r="N118" s="1">
        <v>94055.9</v>
      </c>
      <c r="O118" s="1">
        <v>92964.6</v>
      </c>
      <c r="P118" s="1">
        <v>53382</v>
      </c>
      <c r="Q118" s="1">
        <v>83109</v>
      </c>
      <c r="R118" s="1">
        <v>0</v>
      </c>
    </row>
    <row r="119" spans="1:18">
      <c r="A119" s="2">
        <v>0.70833333333333337</v>
      </c>
      <c r="B119" s="1">
        <v>637211</v>
      </c>
      <c r="C119" s="1">
        <v>134802</v>
      </c>
      <c r="D119" s="1">
        <v>44687.7</v>
      </c>
      <c r="E119" s="1">
        <v>0</v>
      </c>
      <c r="F119" s="1">
        <v>410433</v>
      </c>
      <c r="G119" s="1">
        <v>69899</v>
      </c>
      <c r="H119" s="1">
        <v>374212</v>
      </c>
      <c r="I119" s="1">
        <v>656395</v>
      </c>
      <c r="J119" s="1">
        <v>51393.8</v>
      </c>
      <c r="K119" s="1">
        <v>88888.2</v>
      </c>
      <c r="L119" s="1">
        <v>99901.7</v>
      </c>
      <c r="M119" s="1">
        <v>75128.899999999994</v>
      </c>
      <c r="N119" s="1">
        <v>94111.3</v>
      </c>
      <c r="O119" s="1">
        <v>92992.5</v>
      </c>
      <c r="P119" s="1">
        <v>53383</v>
      </c>
      <c r="Q119" s="1">
        <v>83109</v>
      </c>
      <c r="R119" s="1">
        <v>0</v>
      </c>
    </row>
    <row r="120" spans="1:18">
      <c r="A120" s="2">
        <v>0.75</v>
      </c>
      <c r="B120" s="1">
        <v>638273</v>
      </c>
      <c r="C120" s="1">
        <v>135077</v>
      </c>
      <c r="D120" s="1">
        <v>44712.1</v>
      </c>
      <c r="E120" s="1">
        <v>0</v>
      </c>
      <c r="F120" s="1">
        <v>410473</v>
      </c>
      <c r="G120" s="1">
        <v>69983.899999999994</v>
      </c>
      <c r="H120" s="1">
        <v>374246</v>
      </c>
      <c r="I120" s="1">
        <v>656746</v>
      </c>
      <c r="J120" s="1">
        <v>51400.2</v>
      </c>
      <c r="K120" s="1">
        <v>88892.3</v>
      </c>
      <c r="L120" s="1">
        <v>99935.6</v>
      </c>
      <c r="M120" s="1">
        <v>75176.399999999994</v>
      </c>
      <c r="N120" s="1">
        <v>94167.1</v>
      </c>
      <c r="O120" s="1">
        <v>93016.8</v>
      </c>
      <c r="P120" s="1">
        <v>53383</v>
      </c>
      <c r="Q120" s="1">
        <v>83110</v>
      </c>
      <c r="R120" s="1">
        <v>0</v>
      </c>
    </row>
    <row r="121" spans="1:18">
      <c r="A121" s="2">
        <v>0.79166666666666663</v>
      </c>
      <c r="B121" s="1">
        <v>639209</v>
      </c>
      <c r="C121" s="1">
        <v>135314</v>
      </c>
      <c r="D121" s="1">
        <v>44735</v>
      </c>
      <c r="E121" s="1">
        <v>0</v>
      </c>
      <c r="F121" s="1">
        <v>410504</v>
      </c>
      <c r="G121" s="1">
        <v>70061.600000000006</v>
      </c>
      <c r="H121" s="1">
        <v>374264</v>
      </c>
      <c r="I121" s="1">
        <v>657063</v>
      </c>
      <c r="J121" s="1">
        <v>51406.1</v>
      </c>
      <c r="K121" s="1">
        <v>88895.2</v>
      </c>
      <c r="L121" s="1">
        <v>99963.7</v>
      </c>
      <c r="M121" s="1">
        <v>75222.100000000006</v>
      </c>
      <c r="N121" s="1">
        <v>94224.2</v>
      </c>
      <c r="O121" s="1">
        <v>93037.7</v>
      </c>
      <c r="P121" s="1">
        <v>53383</v>
      </c>
      <c r="Q121" s="1">
        <v>83110</v>
      </c>
      <c r="R121" s="1">
        <v>0</v>
      </c>
    </row>
    <row r="122" spans="1:18">
      <c r="A122" s="2">
        <v>0.83333333333333337</v>
      </c>
      <c r="B122" s="1">
        <v>640057</v>
      </c>
      <c r="C122" s="1">
        <v>135534</v>
      </c>
      <c r="D122" s="1">
        <v>44754.1</v>
      </c>
      <c r="E122" s="1">
        <v>0</v>
      </c>
      <c r="F122" s="1">
        <v>410530</v>
      </c>
      <c r="G122" s="1">
        <v>70130.2</v>
      </c>
      <c r="H122" s="1">
        <v>374277</v>
      </c>
      <c r="I122" s="1">
        <v>657340</v>
      </c>
      <c r="J122" s="1">
        <v>51413.8</v>
      </c>
      <c r="K122" s="1">
        <v>88898.2</v>
      </c>
      <c r="L122" s="1">
        <v>99989.2</v>
      </c>
      <c r="M122" s="1">
        <v>75266.899999999994</v>
      </c>
      <c r="N122" s="1">
        <v>94278.8</v>
      </c>
      <c r="O122" s="1">
        <v>93060.6</v>
      </c>
      <c r="P122" s="1">
        <v>53383</v>
      </c>
      <c r="Q122" s="1">
        <v>83110</v>
      </c>
      <c r="R122" s="1">
        <v>0</v>
      </c>
    </row>
    <row r="123" spans="1:18">
      <c r="A123" s="2">
        <v>0.875</v>
      </c>
      <c r="B123" s="1">
        <v>640855</v>
      </c>
      <c r="C123" s="1">
        <v>135732</v>
      </c>
      <c r="D123" s="1">
        <v>44777.8</v>
      </c>
      <c r="E123" s="1">
        <v>0</v>
      </c>
      <c r="F123" s="1">
        <v>410555</v>
      </c>
      <c r="G123" s="1">
        <v>70195.7</v>
      </c>
      <c r="H123" s="1">
        <v>374289</v>
      </c>
      <c r="I123" s="1">
        <v>657599</v>
      </c>
      <c r="J123" s="1">
        <v>51421.1</v>
      </c>
      <c r="K123" s="1">
        <v>88901.3</v>
      </c>
      <c r="L123" s="1">
        <v>13.3</v>
      </c>
      <c r="M123" s="1">
        <v>75311.899999999994</v>
      </c>
      <c r="N123" s="1">
        <v>94332.6</v>
      </c>
      <c r="O123" s="1">
        <v>93084.3</v>
      </c>
      <c r="P123" s="1">
        <v>53383</v>
      </c>
      <c r="Q123" s="1">
        <v>83110</v>
      </c>
      <c r="R123" s="1">
        <v>0</v>
      </c>
    </row>
    <row r="124" spans="1:18">
      <c r="A124" s="2">
        <v>0.91666666666666663</v>
      </c>
      <c r="B124" s="1">
        <v>641620</v>
      </c>
      <c r="C124" s="1">
        <v>135917</v>
      </c>
      <c r="D124" s="1">
        <v>44797.7</v>
      </c>
      <c r="E124" s="1">
        <v>0</v>
      </c>
      <c r="F124" s="1">
        <v>410578</v>
      </c>
      <c r="G124" s="1">
        <v>70260.600000000006</v>
      </c>
      <c r="H124" s="1">
        <v>374301</v>
      </c>
      <c r="I124" s="1">
        <v>657849</v>
      </c>
      <c r="J124" s="1">
        <v>51427.3</v>
      </c>
      <c r="K124" s="1">
        <v>88904.8</v>
      </c>
      <c r="L124" s="1">
        <v>36.299999999999997</v>
      </c>
      <c r="M124" s="1">
        <v>75356.600000000006</v>
      </c>
      <c r="N124" s="1">
        <v>94387.6</v>
      </c>
      <c r="O124" s="1">
        <v>93106.6</v>
      </c>
      <c r="P124" s="1">
        <v>53383</v>
      </c>
      <c r="Q124" s="1">
        <v>83110</v>
      </c>
      <c r="R124" s="1">
        <v>0</v>
      </c>
    </row>
    <row r="125" spans="1:18">
      <c r="A125" s="2">
        <v>0.95833333333333337</v>
      </c>
      <c r="B125" s="1">
        <v>642344</v>
      </c>
      <c r="C125" s="1">
        <v>136091</v>
      </c>
      <c r="D125" s="1">
        <v>44813.599999999999</v>
      </c>
      <c r="E125" s="1">
        <v>0</v>
      </c>
      <c r="F125" s="1">
        <v>410601</v>
      </c>
      <c r="G125" s="1">
        <v>70322.3</v>
      </c>
      <c r="H125" s="1">
        <v>374313</v>
      </c>
      <c r="I125" s="1">
        <v>658082</v>
      </c>
      <c r="J125" s="1">
        <v>51433.4</v>
      </c>
      <c r="K125" s="1">
        <v>88907.8</v>
      </c>
      <c r="L125" s="1">
        <v>57.8</v>
      </c>
      <c r="M125" s="1">
        <v>75401.3</v>
      </c>
      <c r="N125" s="1">
        <v>94441.9</v>
      </c>
      <c r="O125" s="1">
        <v>93127.7</v>
      </c>
      <c r="P125" s="1">
        <v>53383</v>
      </c>
      <c r="Q125" s="1">
        <v>83110</v>
      </c>
      <c r="R125" s="1">
        <v>0</v>
      </c>
    </row>
    <row r="126" spans="1:18">
      <c r="A126" s="2">
        <v>0</v>
      </c>
      <c r="B126" s="1">
        <v>643054</v>
      </c>
      <c r="C126" s="1">
        <v>136263</v>
      </c>
      <c r="D126" s="1">
        <v>44828.2</v>
      </c>
      <c r="E126" s="1">
        <v>0</v>
      </c>
      <c r="F126" s="1">
        <v>410625</v>
      </c>
      <c r="G126" s="1">
        <v>70380.3</v>
      </c>
      <c r="H126" s="1">
        <v>374325</v>
      </c>
      <c r="I126" s="1">
        <v>658310</v>
      </c>
      <c r="J126" s="1">
        <v>51439.3</v>
      </c>
      <c r="K126" s="1">
        <v>88910.9</v>
      </c>
      <c r="L126" s="1">
        <v>80.2</v>
      </c>
      <c r="M126" s="1">
        <v>75446.100000000006</v>
      </c>
      <c r="N126" s="1">
        <v>94495.5</v>
      </c>
      <c r="O126" s="1">
        <v>93148.3</v>
      </c>
      <c r="P126" s="1">
        <v>53383</v>
      </c>
      <c r="Q126" s="1">
        <v>83110</v>
      </c>
      <c r="R126" s="1">
        <v>0</v>
      </c>
    </row>
    <row r="127" spans="1:18">
      <c r="A127" s="2">
        <v>4.1666666666666664E-2</v>
      </c>
      <c r="B127" s="1">
        <v>643751</v>
      </c>
      <c r="C127" s="1">
        <v>136433</v>
      </c>
      <c r="D127" s="1">
        <v>44842.5</v>
      </c>
      <c r="E127" s="1">
        <v>0</v>
      </c>
      <c r="F127" s="1">
        <v>410647</v>
      </c>
      <c r="G127" s="1">
        <v>70436.2</v>
      </c>
      <c r="H127" s="1">
        <v>374337</v>
      </c>
      <c r="I127" s="1">
        <v>658534</v>
      </c>
      <c r="J127" s="1">
        <v>51445.2</v>
      </c>
      <c r="K127" s="1">
        <v>88913.9</v>
      </c>
      <c r="L127" s="1">
        <v>102</v>
      </c>
      <c r="M127" s="1">
        <v>75490.100000000006</v>
      </c>
      <c r="N127" s="1">
        <v>94549</v>
      </c>
      <c r="O127" s="1">
        <v>93167.2</v>
      </c>
      <c r="P127" s="1">
        <v>53383</v>
      </c>
      <c r="Q127" s="1">
        <v>83110</v>
      </c>
      <c r="R127" s="1">
        <v>0</v>
      </c>
    </row>
    <row r="128" spans="1:18">
      <c r="A128" s="2">
        <v>8.3333333333333329E-2</v>
      </c>
      <c r="B128" s="1">
        <v>644438</v>
      </c>
      <c r="C128" s="1">
        <v>136600</v>
      </c>
      <c r="D128" s="1">
        <v>44856.9</v>
      </c>
      <c r="E128" s="1">
        <v>0</v>
      </c>
      <c r="F128" s="1">
        <v>410669</v>
      </c>
      <c r="G128" s="1">
        <v>70492.399999999994</v>
      </c>
      <c r="H128" s="1">
        <v>374348</v>
      </c>
      <c r="I128" s="1">
        <v>658750</v>
      </c>
      <c r="J128" s="1">
        <v>51451.1</v>
      </c>
      <c r="K128" s="1">
        <v>88916.9</v>
      </c>
      <c r="L128" s="1">
        <v>123.5</v>
      </c>
      <c r="M128" s="1">
        <v>75534.399999999994</v>
      </c>
      <c r="N128" s="1">
        <v>94602.7</v>
      </c>
      <c r="O128" s="1">
        <v>93187.8</v>
      </c>
      <c r="P128" s="1">
        <v>53383</v>
      </c>
      <c r="Q128" s="1">
        <v>83110</v>
      </c>
      <c r="R128" s="1">
        <v>0</v>
      </c>
    </row>
    <row r="129" spans="1:18">
      <c r="A129" s="2">
        <v>0.125</v>
      </c>
      <c r="B129" s="1">
        <v>645113</v>
      </c>
      <c r="C129" s="1">
        <v>136765</v>
      </c>
      <c r="D129" s="1">
        <v>44871</v>
      </c>
      <c r="E129" s="1">
        <v>0</v>
      </c>
      <c r="F129" s="1">
        <v>410689</v>
      </c>
      <c r="G129" s="1">
        <v>70547.3</v>
      </c>
      <c r="H129" s="1">
        <v>374360</v>
      </c>
      <c r="I129" s="1">
        <v>658958</v>
      </c>
      <c r="J129" s="1">
        <v>51456.800000000003</v>
      </c>
      <c r="K129" s="1">
        <v>88920</v>
      </c>
      <c r="L129" s="1">
        <v>146</v>
      </c>
      <c r="M129" s="1">
        <v>75579.7</v>
      </c>
      <c r="N129" s="1">
        <v>94656.2</v>
      </c>
      <c r="O129" s="1">
        <v>93208.1</v>
      </c>
      <c r="P129" s="1">
        <v>53383</v>
      </c>
      <c r="Q129" s="1">
        <v>83110</v>
      </c>
      <c r="R129" s="1">
        <v>0</v>
      </c>
    </row>
    <row r="130" spans="1:18">
      <c r="A130" s="2">
        <v>0.16666666666666666</v>
      </c>
      <c r="B130" s="1">
        <v>645785</v>
      </c>
      <c r="C130" s="1">
        <v>136929</v>
      </c>
      <c r="D130" s="1">
        <v>44885.9</v>
      </c>
      <c r="E130" s="1">
        <v>0</v>
      </c>
      <c r="F130" s="1">
        <v>410708</v>
      </c>
      <c r="G130" s="1">
        <v>70600.7</v>
      </c>
      <c r="H130" s="1">
        <v>374373</v>
      </c>
      <c r="I130" s="1">
        <v>659167</v>
      </c>
      <c r="J130" s="1">
        <v>51462.7</v>
      </c>
      <c r="K130" s="1">
        <v>88923</v>
      </c>
      <c r="L130" s="1">
        <v>167.8</v>
      </c>
      <c r="M130" s="1">
        <v>75624.3</v>
      </c>
      <c r="N130" s="1">
        <v>94710.3</v>
      </c>
      <c r="O130" s="1">
        <v>93227.9</v>
      </c>
      <c r="P130" s="1">
        <v>53383</v>
      </c>
      <c r="Q130" s="1">
        <v>83110</v>
      </c>
      <c r="R130" s="1">
        <v>0</v>
      </c>
    </row>
    <row r="131" spans="1:18">
      <c r="A131" s="2">
        <v>0.20833333333333334</v>
      </c>
      <c r="B131" s="1">
        <v>646444</v>
      </c>
      <c r="C131" s="1">
        <v>137089</v>
      </c>
      <c r="D131" s="1">
        <v>44902.3</v>
      </c>
      <c r="E131" s="1">
        <v>0</v>
      </c>
      <c r="F131" s="1">
        <v>410726</v>
      </c>
      <c r="G131" s="1">
        <v>70652.800000000003</v>
      </c>
      <c r="H131" s="1">
        <v>374385</v>
      </c>
      <c r="I131" s="1">
        <v>659370</v>
      </c>
      <c r="J131" s="1">
        <v>51468.3</v>
      </c>
      <c r="K131" s="1">
        <v>88926</v>
      </c>
      <c r="L131" s="1">
        <v>188.3</v>
      </c>
      <c r="M131" s="1">
        <v>75667.600000000006</v>
      </c>
      <c r="N131" s="1">
        <v>94764.5</v>
      </c>
      <c r="O131" s="1">
        <v>93248.4</v>
      </c>
      <c r="P131" s="1">
        <v>53383</v>
      </c>
      <c r="Q131" s="1">
        <v>83110</v>
      </c>
      <c r="R131" s="1">
        <v>0</v>
      </c>
    </row>
    <row r="132" spans="1:18">
      <c r="A132" s="2">
        <v>0.25</v>
      </c>
      <c r="B132" s="1">
        <v>647107</v>
      </c>
      <c r="C132" s="1">
        <v>137256</v>
      </c>
      <c r="D132" s="1">
        <v>44917.7</v>
      </c>
      <c r="E132" s="1">
        <v>0</v>
      </c>
      <c r="F132" s="1">
        <v>410745</v>
      </c>
      <c r="G132" s="1">
        <v>70705.7</v>
      </c>
      <c r="H132" s="1">
        <v>374397</v>
      </c>
      <c r="I132" s="1">
        <v>659570</v>
      </c>
      <c r="J132" s="1">
        <v>51473.9</v>
      </c>
      <c r="K132" s="1">
        <v>88929</v>
      </c>
      <c r="L132" s="1">
        <v>208.2</v>
      </c>
      <c r="M132" s="1">
        <v>75709.100000000006</v>
      </c>
      <c r="N132" s="1">
        <v>94818.2</v>
      </c>
      <c r="O132" s="1">
        <v>93271.5</v>
      </c>
      <c r="P132" s="1">
        <v>53383</v>
      </c>
      <c r="Q132" s="1">
        <v>83110</v>
      </c>
      <c r="R132" s="1">
        <v>0</v>
      </c>
    </row>
    <row r="133" spans="1:18">
      <c r="A133" s="2">
        <v>0.29166666666666669</v>
      </c>
      <c r="B133" s="1">
        <v>647780</v>
      </c>
      <c r="C133" s="1">
        <v>137430</v>
      </c>
      <c r="D133" s="1">
        <v>44933</v>
      </c>
      <c r="E133" s="1">
        <v>0</v>
      </c>
      <c r="F133" s="1">
        <v>410764</v>
      </c>
      <c r="G133" s="1">
        <v>70760.7</v>
      </c>
      <c r="H133" s="1">
        <v>374409</v>
      </c>
      <c r="I133" s="1">
        <v>659774</v>
      </c>
      <c r="J133" s="1">
        <v>51479.8</v>
      </c>
      <c r="K133" s="1">
        <v>88931.6</v>
      </c>
      <c r="L133" s="1">
        <v>227.6</v>
      </c>
      <c r="M133" s="1">
        <v>75750.8</v>
      </c>
      <c r="N133" s="1">
        <v>94871.7</v>
      </c>
      <c r="O133" s="1">
        <v>93293.4</v>
      </c>
      <c r="P133" s="1">
        <v>53383</v>
      </c>
      <c r="Q133" s="1">
        <v>83110</v>
      </c>
      <c r="R133" s="1">
        <v>0</v>
      </c>
    </row>
    <row r="134" spans="1:18">
      <c r="A134" s="2">
        <v>0.33333333333333331</v>
      </c>
      <c r="B134" s="1">
        <v>648479</v>
      </c>
      <c r="C134" s="1">
        <v>137607</v>
      </c>
      <c r="D134" s="1">
        <v>44947.199999999997</v>
      </c>
      <c r="E134" s="1">
        <v>0</v>
      </c>
      <c r="F134" s="1">
        <v>410783</v>
      </c>
      <c r="G134" s="1">
        <v>70814.5</v>
      </c>
      <c r="H134" s="1">
        <v>374421</v>
      </c>
      <c r="I134" s="1">
        <v>659995</v>
      </c>
      <c r="J134" s="1">
        <v>51485.7</v>
      </c>
      <c r="K134" s="1">
        <v>88932.7</v>
      </c>
      <c r="L134" s="1">
        <v>247.6</v>
      </c>
      <c r="M134" s="1">
        <v>75792.899999999994</v>
      </c>
      <c r="N134" s="1">
        <v>94923.199999999997</v>
      </c>
      <c r="O134" s="1">
        <v>93321</v>
      </c>
      <c r="P134" s="1">
        <v>53384</v>
      </c>
      <c r="Q134" s="1">
        <v>83112</v>
      </c>
      <c r="R134" s="1">
        <v>0</v>
      </c>
    </row>
    <row r="135" spans="1:18">
      <c r="A135" s="2">
        <v>0.375</v>
      </c>
      <c r="B135" s="1">
        <v>649288</v>
      </c>
      <c r="C135" s="1">
        <v>137805</v>
      </c>
      <c r="D135" s="1">
        <v>44966.5</v>
      </c>
      <c r="E135" s="1">
        <v>0</v>
      </c>
      <c r="F135" s="1">
        <v>410808</v>
      </c>
      <c r="G135" s="1">
        <v>70865.3</v>
      </c>
      <c r="H135" s="1">
        <v>374433</v>
      </c>
      <c r="I135" s="1">
        <v>660253</v>
      </c>
      <c r="J135" s="1">
        <v>51492.1</v>
      </c>
      <c r="K135" s="1">
        <v>88934</v>
      </c>
      <c r="L135" s="1">
        <v>279.7</v>
      </c>
      <c r="M135" s="1">
        <v>75842.399999999994</v>
      </c>
      <c r="N135" s="1">
        <v>94972.7</v>
      </c>
      <c r="O135" s="1">
        <v>93358.399999999994</v>
      </c>
      <c r="P135" s="1">
        <v>53390</v>
      </c>
      <c r="Q135" s="1">
        <v>83121</v>
      </c>
      <c r="R135" s="1">
        <v>0</v>
      </c>
    </row>
    <row r="136" spans="1:18">
      <c r="A136" s="2">
        <v>0.41666666666666669</v>
      </c>
      <c r="B136" s="1">
        <v>650298</v>
      </c>
      <c r="C136" s="1">
        <v>138073</v>
      </c>
      <c r="D136" s="1">
        <v>44992.5</v>
      </c>
      <c r="E136" s="1">
        <v>0</v>
      </c>
      <c r="F136" s="1">
        <v>410837</v>
      </c>
      <c r="G136" s="1">
        <v>70929.399999999994</v>
      </c>
      <c r="H136" s="1">
        <v>374445</v>
      </c>
      <c r="I136" s="1">
        <v>660583</v>
      </c>
      <c r="J136" s="1">
        <v>51498.9</v>
      </c>
      <c r="K136" s="1">
        <v>88935.6</v>
      </c>
      <c r="L136" s="1">
        <v>312.3</v>
      </c>
      <c r="M136" s="1">
        <v>75895.100000000006</v>
      </c>
      <c r="N136" s="1">
        <v>95022.5</v>
      </c>
      <c r="O136" s="1">
        <v>93409.9</v>
      </c>
      <c r="P136" s="1">
        <v>53397</v>
      </c>
      <c r="Q136" s="1">
        <v>83132</v>
      </c>
      <c r="R136" s="1">
        <v>0</v>
      </c>
    </row>
    <row r="137" spans="1:18">
      <c r="A137" s="2">
        <v>0.45833333333333331</v>
      </c>
      <c r="B137" s="1">
        <v>651435</v>
      </c>
      <c r="C137" s="1">
        <v>138364</v>
      </c>
      <c r="D137" s="1">
        <v>45018.1</v>
      </c>
      <c r="E137" s="1">
        <v>0</v>
      </c>
      <c r="F137" s="1">
        <v>410876</v>
      </c>
      <c r="G137" s="1">
        <v>71016</v>
      </c>
      <c r="H137" s="1">
        <v>374458</v>
      </c>
      <c r="I137" s="1">
        <v>660959</v>
      </c>
      <c r="J137" s="1">
        <v>51506.7</v>
      </c>
      <c r="K137" s="1">
        <v>88939.7</v>
      </c>
      <c r="L137" s="1">
        <v>342.1</v>
      </c>
      <c r="M137" s="1">
        <v>75946</v>
      </c>
      <c r="N137" s="1">
        <v>95075.1</v>
      </c>
      <c r="O137" s="1">
        <v>93484.800000000003</v>
      </c>
      <c r="P137" s="1">
        <v>53403</v>
      </c>
      <c r="Q137" s="1">
        <v>83142</v>
      </c>
      <c r="R137" s="1">
        <v>0</v>
      </c>
    </row>
    <row r="138" spans="1:18">
      <c r="A138" s="2">
        <v>0.5</v>
      </c>
      <c r="B138" s="1">
        <v>652660</v>
      </c>
      <c r="C138" s="1">
        <v>138694</v>
      </c>
      <c r="D138" s="1">
        <v>45045.1</v>
      </c>
      <c r="E138" s="1">
        <v>0</v>
      </c>
      <c r="F138" s="1">
        <v>410918</v>
      </c>
      <c r="G138" s="1">
        <v>71092</v>
      </c>
      <c r="H138" s="1">
        <v>374470</v>
      </c>
      <c r="I138" s="1">
        <v>661389</v>
      </c>
      <c r="J138" s="1">
        <v>51514.6</v>
      </c>
      <c r="K138" s="1">
        <v>88940.1</v>
      </c>
      <c r="L138" s="1">
        <v>373.7</v>
      </c>
      <c r="M138" s="1">
        <v>76003</v>
      </c>
      <c r="N138" s="1">
        <v>95122.3</v>
      </c>
      <c r="O138" s="1">
        <v>93552</v>
      </c>
      <c r="P138" s="1">
        <v>53419</v>
      </c>
      <c r="Q138" s="1">
        <v>83165</v>
      </c>
      <c r="R138" s="1">
        <v>0</v>
      </c>
    </row>
    <row r="139" spans="1:18">
      <c r="A139" s="2">
        <v>0.54166666666666663</v>
      </c>
      <c r="B139" s="1">
        <v>653954</v>
      </c>
      <c r="C139" s="1">
        <v>139027</v>
      </c>
      <c r="D139" s="1">
        <v>45087.4</v>
      </c>
      <c r="E139" s="1">
        <v>0</v>
      </c>
      <c r="F139" s="1">
        <v>410965</v>
      </c>
      <c r="G139" s="1">
        <v>71187.3</v>
      </c>
      <c r="H139" s="1">
        <v>374483</v>
      </c>
      <c r="I139" s="1">
        <v>661832</v>
      </c>
      <c r="J139" s="1">
        <v>51521.2</v>
      </c>
      <c r="K139" s="1">
        <v>88941.1</v>
      </c>
      <c r="L139" s="1">
        <v>416</v>
      </c>
      <c r="M139" s="1">
        <v>76066.7</v>
      </c>
      <c r="N139" s="1">
        <v>95169.9</v>
      </c>
      <c r="O139" s="1">
        <v>93622.8</v>
      </c>
      <c r="P139" s="1">
        <v>53432</v>
      </c>
      <c r="Q139" s="1">
        <v>83185</v>
      </c>
      <c r="R139" s="1">
        <v>0</v>
      </c>
    </row>
    <row r="140" spans="1:18">
      <c r="A140" s="2">
        <v>0.58333333333333337</v>
      </c>
      <c r="B140" s="1">
        <v>655349</v>
      </c>
      <c r="C140" s="1">
        <v>139373</v>
      </c>
      <c r="D140" s="1">
        <v>45128.5</v>
      </c>
      <c r="E140" s="1">
        <v>0</v>
      </c>
      <c r="F140" s="1">
        <v>411020</v>
      </c>
      <c r="G140" s="1">
        <v>71281.8</v>
      </c>
      <c r="H140" s="1">
        <v>374520</v>
      </c>
      <c r="I140" s="1">
        <v>662290</v>
      </c>
      <c r="J140" s="1">
        <v>51526.7</v>
      </c>
      <c r="K140" s="1">
        <v>88942.7</v>
      </c>
      <c r="L140" s="1">
        <v>469.7</v>
      </c>
      <c r="M140" s="1">
        <v>76135.7</v>
      </c>
      <c r="N140" s="1">
        <v>95223</v>
      </c>
      <c r="O140" s="1">
        <v>93699.5</v>
      </c>
      <c r="P140" s="1">
        <v>53445</v>
      </c>
      <c r="Q140" s="1">
        <v>83205</v>
      </c>
      <c r="R140" s="1">
        <v>0</v>
      </c>
    </row>
    <row r="141" spans="1:18">
      <c r="A141" s="2">
        <v>0.625</v>
      </c>
      <c r="B141" s="1">
        <v>656707</v>
      </c>
      <c r="C141" s="1">
        <v>139720</v>
      </c>
      <c r="D141" s="1">
        <v>45167.6</v>
      </c>
      <c r="E141" s="1">
        <v>0</v>
      </c>
      <c r="F141" s="1">
        <v>411073</v>
      </c>
      <c r="G141" s="1">
        <v>71378.399999999994</v>
      </c>
      <c r="H141" s="1">
        <v>374554</v>
      </c>
      <c r="I141" s="1">
        <v>662747</v>
      </c>
      <c r="J141" s="1">
        <v>51532.9</v>
      </c>
      <c r="K141" s="1">
        <v>88944.6</v>
      </c>
      <c r="L141" s="1">
        <v>527.29999999999995</v>
      </c>
      <c r="M141" s="1">
        <v>76195.199999999997</v>
      </c>
      <c r="N141" s="1">
        <v>95269.6</v>
      </c>
      <c r="O141" s="1">
        <v>93758.8</v>
      </c>
      <c r="P141" s="1">
        <v>53456</v>
      </c>
      <c r="Q141" s="1">
        <v>83221</v>
      </c>
      <c r="R141" s="1">
        <v>0</v>
      </c>
    </row>
    <row r="142" spans="1:18">
      <c r="A142" s="2">
        <v>0.66666666666666663</v>
      </c>
      <c r="B142" s="1">
        <v>658001</v>
      </c>
      <c r="C142" s="1">
        <v>140075</v>
      </c>
      <c r="D142" s="1">
        <v>45204.1</v>
      </c>
      <c r="E142" s="1">
        <v>0</v>
      </c>
      <c r="F142" s="1">
        <v>411124</v>
      </c>
      <c r="G142" s="1">
        <v>71473.3</v>
      </c>
      <c r="H142" s="1">
        <v>374568</v>
      </c>
      <c r="I142" s="1">
        <v>663195</v>
      </c>
      <c r="J142" s="1">
        <v>51539.9</v>
      </c>
      <c r="K142" s="1">
        <v>88945.2</v>
      </c>
      <c r="L142" s="1">
        <v>584.29999999999995</v>
      </c>
      <c r="M142" s="1">
        <v>76254.8</v>
      </c>
      <c r="N142" s="1">
        <v>95316.9</v>
      </c>
      <c r="O142" s="1">
        <v>93786.7</v>
      </c>
      <c r="P142" s="1">
        <v>53468</v>
      </c>
      <c r="Q142" s="1">
        <v>83239</v>
      </c>
      <c r="R142" s="1">
        <v>0</v>
      </c>
    </row>
    <row r="143" spans="1:18">
      <c r="A143" s="2">
        <v>0.70833333333333337</v>
      </c>
      <c r="B143" s="1">
        <v>659242</v>
      </c>
      <c r="C143" s="1">
        <v>140408</v>
      </c>
      <c r="D143" s="1">
        <v>45236.7</v>
      </c>
      <c r="E143" s="1">
        <v>0</v>
      </c>
      <c r="F143" s="1">
        <v>411171</v>
      </c>
      <c r="G143" s="1">
        <v>71579.899999999994</v>
      </c>
      <c r="H143" s="1">
        <v>374586</v>
      </c>
      <c r="I143" s="1">
        <v>663620</v>
      </c>
      <c r="J143" s="1">
        <v>51545.5</v>
      </c>
      <c r="K143" s="1">
        <v>88949.4</v>
      </c>
      <c r="L143" s="1">
        <v>631.5</v>
      </c>
      <c r="M143" s="1">
        <v>76308.5</v>
      </c>
      <c r="N143" s="1">
        <v>95368.6</v>
      </c>
      <c r="O143" s="1">
        <v>93813.2</v>
      </c>
      <c r="P143" s="1">
        <v>53474</v>
      </c>
      <c r="Q143" s="1">
        <v>83248</v>
      </c>
      <c r="R143" s="1">
        <v>0</v>
      </c>
    </row>
    <row r="144" spans="1:18">
      <c r="A144" s="2">
        <v>0.75</v>
      </c>
      <c r="B144" s="1">
        <v>660381</v>
      </c>
      <c r="C144" s="1">
        <v>140723</v>
      </c>
      <c r="D144" s="1">
        <v>45262.5</v>
      </c>
      <c r="E144" s="1">
        <v>0</v>
      </c>
      <c r="F144" s="1">
        <v>411211</v>
      </c>
      <c r="G144" s="1">
        <v>71667.399999999994</v>
      </c>
      <c r="H144" s="1">
        <v>374600</v>
      </c>
      <c r="I144" s="1">
        <v>664022</v>
      </c>
      <c r="J144" s="1">
        <v>51550.9</v>
      </c>
      <c r="K144" s="1">
        <v>88951.3</v>
      </c>
      <c r="L144" s="1">
        <v>667.6</v>
      </c>
      <c r="M144" s="1">
        <v>76360.3</v>
      </c>
      <c r="N144" s="1">
        <v>95420.800000000003</v>
      </c>
      <c r="O144" s="1">
        <v>93838.6</v>
      </c>
      <c r="P144" s="1">
        <v>53479</v>
      </c>
      <c r="Q144" s="1">
        <v>83256</v>
      </c>
      <c r="R144" s="1">
        <v>0</v>
      </c>
    </row>
    <row r="145" spans="1:18">
      <c r="A145" s="2">
        <v>0.79166666666666663</v>
      </c>
      <c r="B145" s="1">
        <v>661383</v>
      </c>
      <c r="C145" s="1">
        <v>140993</v>
      </c>
      <c r="D145" s="1">
        <v>45283</v>
      </c>
      <c r="E145" s="1">
        <v>0</v>
      </c>
      <c r="F145" s="1">
        <v>411244</v>
      </c>
      <c r="G145" s="1">
        <v>71749</v>
      </c>
      <c r="H145" s="1">
        <v>374612</v>
      </c>
      <c r="I145" s="1">
        <v>664373</v>
      </c>
      <c r="J145" s="1">
        <v>51555.4</v>
      </c>
      <c r="K145" s="1">
        <v>88954.8</v>
      </c>
      <c r="L145" s="1">
        <v>695.9</v>
      </c>
      <c r="M145" s="1">
        <v>76409.399999999994</v>
      </c>
      <c r="N145" s="1">
        <v>95476.5</v>
      </c>
      <c r="O145" s="1">
        <v>93859.9</v>
      </c>
      <c r="P145" s="1">
        <v>53479</v>
      </c>
      <c r="Q145" s="1">
        <v>83256</v>
      </c>
      <c r="R145" s="1">
        <v>0</v>
      </c>
    </row>
    <row r="146" spans="1:18">
      <c r="A146" s="2">
        <v>0.83333333333333337</v>
      </c>
      <c r="B146" s="1">
        <v>662279</v>
      </c>
      <c r="C146" s="1">
        <v>141217</v>
      </c>
      <c r="D146" s="1">
        <v>45301.9</v>
      </c>
      <c r="E146" s="1">
        <v>0</v>
      </c>
      <c r="F146" s="1">
        <v>411274</v>
      </c>
      <c r="G146" s="1">
        <v>71825</v>
      </c>
      <c r="H146" s="1">
        <v>374624</v>
      </c>
      <c r="I146" s="1">
        <v>664686</v>
      </c>
      <c r="J146" s="1">
        <v>51560.2</v>
      </c>
      <c r="K146" s="1">
        <v>88958.2</v>
      </c>
      <c r="L146" s="1">
        <v>720.8</v>
      </c>
      <c r="M146" s="1">
        <v>76456.800000000003</v>
      </c>
      <c r="N146" s="1">
        <v>95532.2</v>
      </c>
      <c r="O146" s="1">
        <v>93883.4</v>
      </c>
      <c r="P146" s="1">
        <v>53479</v>
      </c>
      <c r="Q146" s="1">
        <v>83256</v>
      </c>
      <c r="R146" s="1">
        <v>0</v>
      </c>
    </row>
    <row r="147" spans="1:18">
      <c r="A147" s="2">
        <v>0.875</v>
      </c>
      <c r="B147" s="1">
        <v>663104</v>
      </c>
      <c r="C147" s="1">
        <v>141418</v>
      </c>
      <c r="D147" s="1">
        <v>45320.3</v>
      </c>
      <c r="E147" s="1">
        <v>0</v>
      </c>
      <c r="F147" s="1">
        <v>411299</v>
      </c>
      <c r="G147" s="1">
        <v>71891</v>
      </c>
      <c r="H147" s="1">
        <v>374637</v>
      </c>
      <c r="I147" s="1">
        <v>664972</v>
      </c>
      <c r="J147" s="1">
        <v>51565</v>
      </c>
      <c r="K147" s="1">
        <v>88961.5</v>
      </c>
      <c r="L147" s="1">
        <v>745.2</v>
      </c>
      <c r="M147" s="1">
        <v>76502.100000000006</v>
      </c>
      <c r="N147" s="1">
        <v>95586</v>
      </c>
      <c r="O147" s="1">
        <v>93908.4</v>
      </c>
      <c r="P147" s="1">
        <v>53479</v>
      </c>
      <c r="Q147" s="1">
        <v>83256</v>
      </c>
      <c r="R147" s="1">
        <v>0</v>
      </c>
    </row>
    <row r="148" spans="1:18">
      <c r="A148" s="2">
        <v>0.91666666666666663</v>
      </c>
      <c r="B148" s="1">
        <v>663896</v>
      </c>
      <c r="C148" s="1">
        <v>141609</v>
      </c>
      <c r="D148" s="1">
        <v>45337.7</v>
      </c>
      <c r="E148" s="1">
        <v>0</v>
      </c>
      <c r="F148" s="1">
        <v>411322</v>
      </c>
      <c r="G148" s="1">
        <v>71952.399999999994</v>
      </c>
      <c r="H148" s="1">
        <v>374649</v>
      </c>
      <c r="I148" s="1">
        <v>665249</v>
      </c>
      <c r="J148" s="1">
        <v>51569.1</v>
      </c>
      <c r="K148" s="1">
        <v>88964.7</v>
      </c>
      <c r="L148" s="1">
        <v>768.1</v>
      </c>
      <c r="M148" s="1">
        <v>76544.2</v>
      </c>
      <c r="N148" s="1">
        <v>95640.5</v>
      </c>
      <c r="O148" s="1">
        <v>93933.1</v>
      </c>
      <c r="P148" s="1">
        <v>53479</v>
      </c>
      <c r="Q148" s="1">
        <v>83256</v>
      </c>
      <c r="R148" s="1">
        <v>0</v>
      </c>
    </row>
    <row r="149" spans="1:18">
      <c r="A149" s="2">
        <v>0.95833333333333337</v>
      </c>
      <c r="B149" s="1">
        <v>664659</v>
      </c>
      <c r="C149" s="1">
        <v>141798</v>
      </c>
      <c r="D149" s="1">
        <v>45353.8</v>
      </c>
      <c r="E149" s="1">
        <v>0</v>
      </c>
      <c r="F149" s="1">
        <v>411346</v>
      </c>
      <c r="G149" s="1">
        <v>72011</v>
      </c>
      <c r="H149" s="1">
        <v>374661</v>
      </c>
      <c r="I149" s="1">
        <v>665510</v>
      </c>
      <c r="J149" s="1">
        <v>51573.1</v>
      </c>
      <c r="K149" s="1">
        <v>88967.8</v>
      </c>
      <c r="L149" s="1">
        <v>791.4</v>
      </c>
      <c r="M149" s="1">
        <v>76583.7</v>
      </c>
      <c r="N149" s="1">
        <v>95696</v>
      </c>
      <c r="O149" s="1">
        <v>93952.5</v>
      </c>
      <c r="P149" s="1">
        <v>53479</v>
      </c>
      <c r="Q149" s="1">
        <v>83256</v>
      </c>
      <c r="R149" s="1">
        <v>0</v>
      </c>
    </row>
    <row r="150" spans="1:18">
      <c r="A150" s="2">
        <v>0</v>
      </c>
      <c r="B150" s="1">
        <v>665398</v>
      </c>
      <c r="C150" s="1">
        <v>141979</v>
      </c>
      <c r="D150" s="1">
        <v>45368.6</v>
      </c>
      <c r="E150" s="1">
        <v>0</v>
      </c>
      <c r="F150" s="1">
        <v>411367</v>
      </c>
      <c r="G150" s="1">
        <v>72065.399999999994</v>
      </c>
      <c r="H150" s="1">
        <v>374674</v>
      </c>
      <c r="I150" s="1">
        <v>665766</v>
      </c>
      <c r="J150" s="1">
        <v>51576.800000000003</v>
      </c>
      <c r="K150" s="1">
        <v>88970.9</v>
      </c>
      <c r="L150" s="1">
        <v>815.7</v>
      </c>
      <c r="M150" s="1">
        <v>76623.199999999997</v>
      </c>
      <c r="N150" s="1">
        <v>95749.3</v>
      </c>
      <c r="O150" s="1">
        <v>93970.7</v>
      </c>
      <c r="P150" s="1">
        <v>53479</v>
      </c>
      <c r="Q150" s="1">
        <v>83256</v>
      </c>
      <c r="R150" s="1">
        <v>0</v>
      </c>
    </row>
    <row r="151" spans="1:18">
      <c r="A151" s="2">
        <v>4.1666666666666664E-2</v>
      </c>
      <c r="B151" s="1">
        <v>666120</v>
      </c>
      <c r="C151" s="1">
        <v>142151</v>
      </c>
      <c r="D151" s="1">
        <v>45382.8</v>
      </c>
      <c r="E151" s="1">
        <v>0</v>
      </c>
      <c r="F151" s="1">
        <v>411387</v>
      </c>
      <c r="G151" s="1">
        <v>72118.7</v>
      </c>
      <c r="H151" s="1">
        <v>374686</v>
      </c>
      <c r="I151" s="1">
        <v>666022</v>
      </c>
      <c r="J151" s="1">
        <v>51580.7</v>
      </c>
      <c r="K151" s="1">
        <v>88974</v>
      </c>
      <c r="L151" s="1">
        <v>840.2</v>
      </c>
      <c r="M151" s="1">
        <v>76661.399999999994</v>
      </c>
      <c r="N151" s="1">
        <v>95804.1</v>
      </c>
      <c r="O151" s="1">
        <v>93987.5</v>
      </c>
      <c r="P151" s="1">
        <v>53479</v>
      </c>
      <c r="Q151" s="1">
        <v>83256</v>
      </c>
      <c r="R151" s="1">
        <v>0</v>
      </c>
    </row>
    <row r="152" spans="1:18">
      <c r="A152" s="2">
        <v>8.3333333333333329E-2</v>
      </c>
      <c r="B152" s="1">
        <v>666835</v>
      </c>
      <c r="C152" s="1">
        <v>142317</v>
      </c>
      <c r="D152" s="1">
        <v>45396.800000000003</v>
      </c>
      <c r="E152" s="1">
        <v>0</v>
      </c>
      <c r="F152" s="1">
        <v>411409</v>
      </c>
      <c r="G152" s="1">
        <v>72172</v>
      </c>
      <c r="H152" s="1">
        <v>374697</v>
      </c>
      <c r="I152" s="1">
        <v>666276</v>
      </c>
      <c r="J152" s="1">
        <v>51584.3</v>
      </c>
      <c r="K152" s="1">
        <v>88977.1</v>
      </c>
      <c r="L152" s="1">
        <v>864.2</v>
      </c>
      <c r="M152" s="1">
        <v>76699.899999999994</v>
      </c>
      <c r="N152" s="1">
        <v>95858.5</v>
      </c>
      <c r="O152" s="1">
        <v>94004.7</v>
      </c>
      <c r="P152" s="1">
        <v>53479</v>
      </c>
      <c r="Q152" s="1">
        <v>83256</v>
      </c>
      <c r="R152" s="1">
        <v>0</v>
      </c>
    </row>
    <row r="153" spans="1:18">
      <c r="A153" s="2">
        <v>0.125</v>
      </c>
      <c r="B153" s="1">
        <v>667533</v>
      </c>
      <c r="C153" s="1">
        <v>142478</v>
      </c>
      <c r="D153" s="1">
        <v>45411.3</v>
      </c>
      <c r="E153" s="1">
        <v>0</v>
      </c>
      <c r="F153" s="1">
        <v>411430</v>
      </c>
      <c r="G153" s="1">
        <v>72226</v>
      </c>
      <c r="H153" s="1">
        <v>374709</v>
      </c>
      <c r="I153" s="1">
        <v>666522</v>
      </c>
      <c r="J153" s="1">
        <v>51588</v>
      </c>
      <c r="K153" s="1">
        <v>88980.2</v>
      </c>
      <c r="L153" s="1">
        <v>887.8</v>
      </c>
      <c r="M153" s="1">
        <v>76738</v>
      </c>
      <c r="N153" s="1">
        <v>95912.5</v>
      </c>
      <c r="O153" s="1">
        <v>94022.1</v>
      </c>
      <c r="P153" s="1">
        <v>53479</v>
      </c>
      <c r="Q153" s="1">
        <v>83256</v>
      </c>
      <c r="R153" s="1">
        <v>0</v>
      </c>
    </row>
    <row r="154" spans="1:18">
      <c r="A154" s="2">
        <v>0.16666666666666666</v>
      </c>
      <c r="B154" s="1">
        <v>668226</v>
      </c>
      <c r="C154" s="1">
        <v>142640</v>
      </c>
      <c r="D154" s="1">
        <v>45425.599999999999</v>
      </c>
      <c r="E154" s="1">
        <v>0</v>
      </c>
      <c r="F154" s="1">
        <v>411450</v>
      </c>
      <c r="G154" s="1">
        <v>72277.7</v>
      </c>
      <c r="H154" s="1">
        <v>374720</v>
      </c>
      <c r="I154" s="1">
        <v>666764</v>
      </c>
      <c r="J154" s="1">
        <v>51591.8</v>
      </c>
      <c r="K154" s="1">
        <v>88983.2</v>
      </c>
      <c r="L154" s="1">
        <v>910.7</v>
      </c>
      <c r="M154" s="1">
        <v>76775.7</v>
      </c>
      <c r="N154" s="1">
        <v>95966.6</v>
      </c>
      <c r="O154" s="1">
        <v>94038.9</v>
      </c>
      <c r="P154" s="1">
        <v>53479</v>
      </c>
      <c r="Q154" s="1">
        <v>83256</v>
      </c>
      <c r="R154" s="1">
        <v>0</v>
      </c>
    </row>
    <row r="155" spans="1:18">
      <c r="A155" s="2">
        <v>0.20833333333333334</v>
      </c>
      <c r="B155" s="1">
        <v>668905</v>
      </c>
      <c r="C155" s="1">
        <v>142795</v>
      </c>
      <c r="D155" s="1">
        <v>45439.9</v>
      </c>
      <c r="E155" s="1">
        <v>0</v>
      </c>
      <c r="F155" s="1">
        <v>411471</v>
      </c>
      <c r="G155" s="1">
        <v>72329.3</v>
      </c>
      <c r="H155" s="1">
        <v>374732</v>
      </c>
      <c r="I155" s="1">
        <v>667001</v>
      </c>
      <c r="J155" s="1">
        <v>51595.5</v>
      </c>
      <c r="K155" s="1">
        <v>88986.1</v>
      </c>
      <c r="L155" s="1">
        <v>932</v>
      </c>
      <c r="M155" s="1">
        <v>76813.8</v>
      </c>
      <c r="N155" s="1">
        <v>96020.9</v>
      </c>
      <c r="O155" s="1">
        <v>94057.2</v>
      </c>
      <c r="P155" s="1">
        <v>53479</v>
      </c>
      <c r="Q155" s="1">
        <v>83256</v>
      </c>
      <c r="R155" s="1">
        <v>0</v>
      </c>
    </row>
    <row r="156" spans="1:18">
      <c r="A156" s="2">
        <v>0.25</v>
      </c>
      <c r="B156" s="1">
        <v>669589</v>
      </c>
      <c r="C156" s="1">
        <v>142951</v>
      </c>
      <c r="D156" s="1">
        <v>45456.2</v>
      </c>
      <c r="E156" s="1">
        <v>0</v>
      </c>
      <c r="F156" s="1">
        <v>411493</v>
      </c>
      <c r="G156" s="1">
        <v>72381.3</v>
      </c>
      <c r="H156" s="1">
        <v>374743</v>
      </c>
      <c r="I156" s="1">
        <v>667239</v>
      </c>
      <c r="J156" s="1">
        <v>51599.5</v>
      </c>
      <c r="K156" s="1">
        <v>88989.1</v>
      </c>
      <c r="L156" s="1">
        <v>953.2</v>
      </c>
      <c r="M156" s="1">
        <v>76851.199999999997</v>
      </c>
      <c r="N156" s="1">
        <v>96075.1</v>
      </c>
      <c r="O156" s="1">
        <v>94074.1</v>
      </c>
      <c r="P156" s="1">
        <v>53479</v>
      </c>
      <c r="Q156" s="1">
        <v>83256</v>
      </c>
      <c r="R156" s="1">
        <v>0</v>
      </c>
    </row>
    <row r="157" spans="1:18">
      <c r="A157" s="2">
        <v>0.29166666666666669</v>
      </c>
      <c r="B157" s="1">
        <v>670275</v>
      </c>
      <c r="C157" s="1">
        <v>143111</v>
      </c>
      <c r="D157" s="1">
        <v>45471.5</v>
      </c>
      <c r="E157" s="1">
        <v>0</v>
      </c>
      <c r="F157" s="1">
        <v>411515</v>
      </c>
      <c r="G157" s="1">
        <v>72431.399999999994</v>
      </c>
      <c r="H157" s="1">
        <v>374754</v>
      </c>
      <c r="I157" s="1">
        <v>667481</v>
      </c>
      <c r="J157" s="1">
        <v>51603</v>
      </c>
      <c r="K157" s="1">
        <v>88991.9</v>
      </c>
      <c r="L157" s="1">
        <v>973.4</v>
      </c>
      <c r="M157" s="1">
        <v>76888.3</v>
      </c>
      <c r="N157" s="1">
        <v>96128.8</v>
      </c>
      <c r="O157" s="1">
        <v>94089.9</v>
      </c>
      <c r="P157" s="1">
        <v>53479</v>
      </c>
      <c r="Q157" s="1">
        <v>83256</v>
      </c>
      <c r="R157" s="1">
        <v>0</v>
      </c>
    </row>
    <row r="158" spans="1:18">
      <c r="A158" s="2">
        <v>0.33333333333333331</v>
      </c>
      <c r="B158" s="1">
        <v>670977</v>
      </c>
      <c r="C158" s="1">
        <v>143281</v>
      </c>
      <c r="D158" s="1">
        <v>45486.7</v>
      </c>
      <c r="E158" s="1">
        <v>0</v>
      </c>
      <c r="F158" s="1">
        <v>411537</v>
      </c>
      <c r="G158" s="1">
        <v>72482.5</v>
      </c>
      <c r="H158" s="1">
        <v>374767</v>
      </c>
      <c r="I158" s="1">
        <v>667726</v>
      </c>
      <c r="J158" s="1">
        <v>51606.8</v>
      </c>
      <c r="K158" s="1">
        <v>88993</v>
      </c>
      <c r="L158" s="1">
        <v>994.9</v>
      </c>
      <c r="M158" s="1">
        <v>76925.399999999994</v>
      </c>
      <c r="N158" s="1">
        <v>96179.5</v>
      </c>
      <c r="O158" s="1">
        <v>94106.5</v>
      </c>
      <c r="P158" s="1">
        <v>53480</v>
      </c>
      <c r="Q158" s="1">
        <v>83259</v>
      </c>
      <c r="R158" s="1">
        <v>0</v>
      </c>
    </row>
    <row r="159" spans="1:18">
      <c r="A159" s="2">
        <v>0.375</v>
      </c>
      <c r="B159" s="1">
        <v>671696</v>
      </c>
      <c r="C159" s="1">
        <v>143455</v>
      </c>
      <c r="D159" s="1">
        <v>45501.5</v>
      </c>
      <c r="E159" s="1">
        <v>0</v>
      </c>
      <c r="F159" s="1">
        <v>411560</v>
      </c>
      <c r="G159" s="1">
        <v>72523.100000000006</v>
      </c>
      <c r="H159" s="1">
        <v>374779</v>
      </c>
      <c r="I159" s="1">
        <v>667986</v>
      </c>
      <c r="J159" s="1">
        <v>51610.5</v>
      </c>
      <c r="K159" s="1">
        <v>88993</v>
      </c>
      <c r="L159" s="1">
        <v>1025</v>
      </c>
      <c r="M159" s="1">
        <v>76964.899999999994</v>
      </c>
      <c r="N159" s="1">
        <v>96226.4</v>
      </c>
      <c r="O159" s="1">
        <v>94124.9</v>
      </c>
      <c r="P159" s="1">
        <v>53486</v>
      </c>
      <c r="Q159" s="1">
        <v>83269</v>
      </c>
      <c r="R159" s="1">
        <v>0</v>
      </c>
    </row>
    <row r="160" spans="1:18">
      <c r="A160" s="2">
        <v>0.41666666666666669</v>
      </c>
      <c r="B160" s="1">
        <v>672417</v>
      </c>
      <c r="C160" s="1">
        <v>143636</v>
      </c>
      <c r="D160" s="1">
        <v>45517.1</v>
      </c>
      <c r="E160" s="1">
        <v>0</v>
      </c>
      <c r="F160" s="1">
        <v>411585</v>
      </c>
      <c r="G160" s="1">
        <v>72555.7</v>
      </c>
      <c r="H160" s="1">
        <v>374790</v>
      </c>
      <c r="I160" s="1">
        <v>668254</v>
      </c>
      <c r="J160" s="1">
        <v>51614.5</v>
      </c>
      <c r="K160" s="1">
        <v>88993</v>
      </c>
      <c r="L160" s="1">
        <v>1054.4000000000001</v>
      </c>
      <c r="M160" s="1">
        <v>77005.3</v>
      </c>
      <c r="N160" s="1">
        <v>96272.5</v>
      </c>
      <c r="O160" s="1">
        <v>94142.9</v>
      </c>
      <c r="P160" s="1">
        <v>53496</v>
      </c>
      <c r="Q160" s="1">
        <v>83283</v>
      </c>
      <c r="R160" s="1">
        <v>0</v>
      </c>
    </row>
    <row r="161" spans="1:18">
      <c r="A161" s="2">
        <v>0.45833333333333331</v>
      </c>
      <c r="B161" s="1">
        <v>673141</v>
      </c>
      <c r="C161" s="1">
        <v>143816</v>
      </c>
      <c r="D161" s="1">
        <v>45534.9</v>
      </c>
      <c r="E161" s="1">
        <v>0</v>
      </c>
      <c r="F161" s="1">
        <v>411612</v>
      </c>
      <c r="G161" s="1">
        <v>72586.600000000006</v>
      </c>
      <c r="H161" s="1">
        <v>374802</v>
      </c>
      <c r="I161" s="1">
        <v>668523</v>
      </c>
      <c r="J161" s="1">
        <v>51618.1</v>
      </c>
      <c r="K161" s="1">
        <v>88993</v>
      </c>
      <c r="L161" s="1">
        <v>1086.4000000000001</v>
      </c>
      <c r="M161" s="1">
        <v>77044.3</v>
      </c>
      <c r="N161" s="1">
        <v>96318.9</v>
      </c>
      <c r="O161" s="1">
        <v>94161.600000000006</v>
      </c>
      <c r="P161" s="1">
        <v>53508</v>
      </c>
      <c r="Q161" s="1">
        <v>83302</v>
      </c>
      <c r="R161" s="1">
        <v>0</v>
      </c>
    </row>
    <row r="162" spans="1:18">
      <c r="A162" s="2">
        <v>0.5</v>
      </c>
      <c r="B162" s="1">
        <v>673898</v>
      </c>
      <c r="C162" s="1">
        <v>144008</v>
      </c>
      <c r="D162" s="1">
        <v>45561.2</v>
      </c>
      <c r="E162" s="1">
        <v>0</v>
      </c>
      <c r="F162" s="1">
        <v>411640</v>
      </c>
      <c r="G162" s="1">
        <v>72621.2</v>
      </c>
      <c r="H162" s="1">
        <v>374814</v>
      </c>
      <c r="I162" s="1">
        <v>668800</v>
      </c>
      <c r="J162" s="1">
        <v>51622</v>
      </c>
      <c r="K162" s="1">
        <v>88993</v>
      </c>
      <c r="L162" s="1">
        <v>1117.3</v>
      </c>
      <c r="M162" s="1">
        <v>77085.600000000006</v>
      </c>
      <c r="N162" s="1">
        <v>96364.800000000003</v>
      </c>
      <c r="O162" s="1">
        <v>94180.9</v>
      </c>
      <c r="P162" s="1">
        <v>53523</v>
      </c>
      <c r="Q162" s="1">
        <v>83325</v>
      </c>
      <c r="R162" s="1">
        <v>0</v>
      </c>
    </row>
    <row r="163" spans="1:18">
      <c r="A163" s="2">
        <v>0.54166666666666663</v>
      </c>
      <c r="B163" s="1">
        <v>674688</v>
      </c>
      <c r="C163" s="1">
        <v>144212</v>
      </c>
      <c r="D163" s="1">
        <v>45589.9</v>
      </c>
      <c r="E163" s="1">
        <v>0</v>
      </c>
      <c r="F163" s="1">
        <v>411671</v>
      </c>
      <c r="G163" s="1">
        <v>72656.399999999994</v>
      </c>
      <c r="H163" s="1">
        <v>374826</v>
      </c>
      <c r="I163" s="1">
        <v>669085</v>
      </c>
      <c r="J163" s="1">
        <v>51626</v>
      </c>
      <c r="K163" s="1">
        <v>88993</v>
      </c>
      <c r="L163" s="1">
        <v>1149.8</v>
      </c>
      <c r="M163" s="1">
        <v>77130</v>
      </c>
      <c r="N163" s="1">
        <v>96411.4</v>
      </c>
      <c r="O163" s="1">
        <v>94200.1</v>
      </c>
      <c r="P163" s="1">
        <v>53538</v>
      </c>
      <c r="Q163" s="1">
        <v>83348</v>
      </c>
      <c r="R163" s="1">
        <v>0</v>
      </c>
    </row>
    <row r="164" spans="1:18">
      <c r="A164" s="2">
        <v>0.58333333333333337</v>
      </c>
      <c r="B164" s="1">
        <v>675521</v>
      </c>
      <c r="C164" s="1">
        <v>144429</v>
      </c>
      <c r="D164" s="1">
        <v>45615.9</v>
      </c>
      <c r="E164" s="1">
        <v>0</v>
      </c>
      <c r="F164" s="1">
        <v>411705</v>
      </c>
      <c r="G164" s="1">
        <v>72694</v>
      </c>
      <c r="H164" s="1">
        <v>374838</v>
      </c>
      <c r="I164" s="1">
        <v>669385</v>
      </c>
      <c r="J164" s="1">
        <v>51629.9</v>
      </c>
      <c r="K164" s="1">
        <v>88993</v>
      </c>
      <c r="L164" s="1">
        <v>1191.3</v>
      </c>
      <c r="M164" s="1">
        <v>77173.100000000006</v>
      </c>
      <c r="N164" s="1">
        <v>96458.1</v>
      </c>
      <c r="O164" s="1">
        <v>94221.6</v>
      </c>
      <c r="P164" s="1">
        <v>53554</v>
      </c>
      <c r="Q164" s="1">
        <v>83371</v>
      </c>
      <c r="R164" s="1">
        <v>0</v>
      </c>
    </row>
    <row r="165" spans="1:18">
      <c r="A165" s="2">
        <v>0.625</v>
      </c>
      <c r="B165" s="1">
        <v>676404</v>
      </c>
      <c r="C165" s="1">
        <v>144668</v>
      </c>
      <c r="D165" s="1">
        <v>45640.800000000003</v>
      </c>
      <c r="E165" s="1">
        <v>0</v>
      </c>
      <c r="F165" s="1">
        <v>411738</v>
      </c>
      <c r="G165" s="1">
        <v>72739.8</v>
      </c>
      <c r="H165" s="1">
        <v>374852</v>
      </c>
      <c r="I165" s="1">
        <v>669691</v>
      </c>
      <c r="J165" s="1">
        <v>51634.8</v>
      </c>
      <c r="K165" s="1">
        <v>88993</v>
      </c>
      <c r="L165" s="1">
        <v>1233.5</v>
      </c>
      <c r="M165" s="1">
        <v>77219.199999999997</v>
      </c>
      <c r="N165" s="1">
        <v>96505</v>
      </c>
      <c r="O165" s="1">
        <v>94244</v>
      </c>
      <c r="P165" s="1">
        <v>53568</v>
      </c>
      <c r="Q165" s="1">
        <v>83393</v>
      </c>
      <c r="R165" s="1">
        <v>0</v>
      </c>
    </row>
    <row r="166" spans="1:18">
      <c r="A166" s="2">
        <v>0.66666666666666663</v>
      </c>
      <c r="B166" s="1">
        <v>677303</v>
      </c>
      <c r="C166" s="1">
        <v>144909</v>
      </c>
      <c r="D166" s="1">
        <v>45667.6</v>
      </c>
      <c r="E166" s="1">
        <v>0</v>
      </c>
      <c r="F166" s="1">
        <v>411774</v>
      </c>
      <c r="G166" s="1">
        <v>72792.800000000003</v>
      </c>
      <c r="H166" s="1">
        <v>374864</v>
      </c>
      <c r="I166" s="1">
        <v>670001</v>
      </c>
      <c r="J166" s="1">
        <v>51639.6</v>
      </c>
      <c r="K166" s="1">
        <v>88993</v>
      </c>
      <c r="L166" s="1">
        <v>1274</v>
      </c>
      <c r="M166" s="1">
        <v>77264.899999999994</v>
      </c>
      <c r="N166" s="1">
        <v>96551.6</v>
      </c>
      <c r="O166" s="1">
        <v>94265.2</v>
      </c>
      <c r="P166" s="1">
        <v>53580</v>
      </c>
      <c r="Q166" s="1">
        <v>83411</v>
      </c>
      <c r="R166" s="1">
        <v>0</v>
      </c>
    </row>
    <row r="167" spans="1:18">
      <c r="A167" s="2">
        <v>0.70833333333333337</v>
      </c>
      <c r="B167" s="1">
        <v>678196</v>
      </c>
      <c r="C167" s="1">
        <v>145140</v>
      </c>
      <c r="D167" s="1">
        <v>45694.3</v>
      </c>
      <c r="E167" s="1">
        <v>0</v>
      </c>
      <c r="F167" s="1">
        <v>411802</v>
      </c>
      <c r="G167" s="1">
        <v>72852.7</v>
      </c>
      <c r="H167" s="1">
        <v>374877</v>
      </c>
      <c r="I167" s="1">
        <v>670311</v>
      </c>
      <c r="J167" s="1">
        <v>51644.3</v>
      </c>
      <c r="K167" s="1">
        <v>88993.3</v>
      </c>
      <c r="L167" s="1">
        <v>1303.9000000000001</v>
      </c>
      <c r="M167" s="1">
        <v>77309.3</v>
      </c>
      <c r="N167" s="1">
        <v>96600.6</v>
      </c>
      <c r="O167" s="1">
        <v>94287</v>
      </c>
      <c r="P167" s="1">
        <v>53588</v>
      </c>
      <c r="Q167" s="1">
        <v>83423</v>
      </c>
      <c r="R167" s="1">
        <v>0</v>
      </c>
    </row>
    <row r="168" spans="1:18">
      <c r="A168" s="2">
        <v>0.75</v>
      </c>
      <c r="B168" s="1">
        <v>679058</v>
      </c>
      <c r="C168" s="1">
        <v>145354</v>
      </c>
      <c r="D168" s="1">
        <v>45713.3</v>
      </c>
      <c r="E168" s="1">
        <v>0</v>
      </c>
      <c r="F168" s="1">
        <v>411827</v>
      </c>
      <c r="G168" s="1">
        <v>72918.8</v>
      </c>
      <c r="H168" s="1">
        <v>374889</v>
      </c>
      <c r="I168" s="1">
        <v>670619</v>
      </c>
      <c r="J168" s="1">
        <v>51648.3</v>
      </c>
      <c r="K168" s="1">
        <v>88996.2</v>
      </c>
      <c r="L168" s="1">
        <v>1326.4</v>
      </c>
      <c r="M168" s="1">
        <v>77354.2</v>
      </c>
      <c r="N168" s="1">
        <v>96654.5</v>
      </c>
      <c r="O168" s="1">
        <v>94308.4</v>
      </c>
      <c r="P168" s="1">
        <v>53590</v>
      </c>
      <c r="Q168" s="1">
        <v>83427</v>
      </c>
      <c r="R168" s="1">
        <v>0</v>
      </c>
    </row>
    <row r="169" spans="1:18">
      <c r="A169" s="2">
        <v>0.79166666666666663</v>
      </c>
      <c r="B169" s="1">
        <v>679863</v>
      </c>
      <c r="C169" s="1">
        <v>145548</v>
      </c>
      <c r="D169" s="1">
        <v>45730.9</v>
      </c>
      <c r="E169" s="1">
        <v>0</v>
      </c>
      <c r="F169" s="1">
        <v>411850</v>
      </c>
      <c r="G169" s="1">
        <v>72983.199999999997</v>
      </c>
      <c r="H169" s="1">
        <v>374901</v>
      </c>
      <c r="I169" s="1">
        <v>670911</v>
      </c>
      <c r="J169" s="1">
        <v>51651.9</v>
      </c>
      <c r="K169" s="1">
        <v>89000</v>
      </c>
      <c r="L169" s="1">
        <v>1347.9</v>
      </c>
      <c r="M169" s="1">
        <v>77395</v>
      </c>
      <c r="N169" s="1">
        <v>96709.5</v>
      </c>
      <c r="O169" s="1">
        <v>94324.7</v>
      </c>
      <c r="P169" s="1">
        <v>53590</v>
      </c>
      <c r="Q169" s="1">
        <v>83427</v>
      </c>
      <c r="R169" s="1">
        <v>0</v>
      </c>
    </row>
    <row r="170" spans="1:18">
      <c r="A170" s="2">
        <v>0.83333333333333337</v>
      </c>
      <c r="B170" s="1">
        <v>680652</v>
      </c>
      <c r="C170" s="1">
        <v>145730</v>
      </c>
      <c r="D170" s="1">
        <v>45752.5</v>
      </c>
      <c r="E170" s="1">
        <v>0</v>
      </c>
      <c r="F170" s="1">
        <v>411875</v>
      </c>
      <c r="G170" s="1">
        <v>73045.600000000006</v>
      </c>
      <c r="H170" s="1">
        <v>374913</v>
      </c>
      <c r="I170" s="1">
        <v>671192</v>
      </c>
      <c r="J170" s="1">
        <v>51656</v>
      </c>
      <c r="K170" s="1">
        <v>89003.7</v>
      </c>
      <c r="L170" s="1">
        <v>1368.5</v>
      </c>
      <c r="M170" s="1">
        <v>77436</v>
      </c>
      <c r="N170" s="1">
        <v>96765.9</v>
      </c>
      <c r="O170" s="1">
        <v>94343</v>
      </c>
      <c r="P170" s="1">
        <v>53590</v>
      </c>
      <c r="Q170" s="1">
        <v>83427</v>
      </c>
      <c r="R170" s="1">
        <v>0</v>
      </c>
    </row>
    <row r="171" spans="1:18">
      <c r="A171" s="2">
        <v>0.875</v>
      </c>
      <c r="B171" s="1">
        <v>681411</v>
      </c>
      <c r="C171" s="1">
        <v>145905</v>
      </c>
      <c r="D171" s="1">
        <v>45771.1</v>
      </c>
      <c r="E171" s="1">
        <v>0</v>
      </c>
      <c r="F171" s="1">
        <v>411897</v>
      </c>
      <c r="G171" s="1">
        <v>73103.199999999997</v>
      </c>
      <c r="H171" s="1">
        <v>374926</v>
      </c>
      <c r="I171" s="1">
        <v>671463</v>
      </c>
      <c r="J171" s="1">
        <v>51659.6</v>
      </c>
      <c r="K171" s="1">
        <v>89007.2</v>
      </c>
      <c r="L171" s="1">
        <v>1388.8</v>
      </c>
      <c r="M171" s="1">
        <v>77476.5</v>
      </c>
      <c r="N171" s="1">
        <v>96822</v>
      </c>
      <c r="O171" s="1">
        <v>94362.2</v>
      </c>
      <c r="P171" s="1">
        <v>53590</v>
      </c>
      <c r="Q171" s="1">
        <v>83427</v>
      </c>
      <c r="R171" s="1">
        <v>0</v>
      </c>
    </row>
    <row r="172" spans="1:18">
      <c r="A172" s="2">
        <v>0.91666666666666663</v>
      </c>
      <c r="B172" s="1">
        <v>682157</v>
      </c>
      <c r="C172" s="1">
        <v>146078</v>
      </c>
      <c r="D172" s="1">
        <v>45787.199999999997</v>
      </c>
      <c r="E172" s="1">
        <v>0</v>
      </c>
      <c r="F172" s="1">
        <v>411918</v>
      </c>
      <c r="G172" s="1">
        <v>73158.7</v>
      </c>
      <c r="H172" s="1">
        <v>374939</v>
      </c>
      <c r="I172" s="1">
        <v>671728</v>
      </c>
      <c r="J172" s="1">
        <v>51663.6</v>
      </c>
      <c r="K172" s="1">
        <v>89010.6</v>
      </c>
      <c r="L172" s="1">
        <v>1409.4</v>
      </c>
      <c r="M172" s="1">
        <v>77518.899999999994</v>
      </c>
      <c r="N172" s="1">
        <v>96876.7</v>
      </c>
      <c r="O172" s="1">
        <v>94381.3</v>
      </c>
      <c r="P172" s="1">
        <v>53590</v>
      </c>
      <c r="Q172" s="1">
        <v>83427</v>
      </c>
      <c r="R172" s="1">
        <v>0</v>
      </c>
    </row>
    <row r="173" spans="1:18">
      <c r="A173" s="2">
        <v>0.95833333333333337</v>
      </c>
      <c r="B173" s="1">
        <v>682900</v>
      </c>
      <c r="C173" s="1">
        <v>146250</v>
      </c>
      <c r="D173" s="1">
        <v>45802.8</v>
      </c>
      <c r="E173" s="1">
        <v>0</v>
      </c>
      <c r="F173" s="1">
        <v>411939</v>
      </c>
      <c r="G173" s="1">
        <v>73216.899999999994</v>
      </c>
      <c r="H173" s="1">
        <v>374951</v>
      </c>
      <c r="I173" s="1">
        <v>671994</v>
      </c>
      <c r="J173" s="1">
        <v>51667.4</v>
      </c>
      <c r="K173" s="1">
        <v>89014.1</v>
      </c>
      <c r="L173" s="1">
        <v>1431.4</v>
      </c>
      <c r="M173" s="1">
        <v>77558.899999999994</v>
      </c>
      <c r="N173" s="1">
        <v>96931.5</v>
      </c>
      <c r="O173" s="1">
        <v>94399.9</v>
      </c>
      <c r="P173" s="1">
        <v>53590</v>
      </c>
      <c r="Q173" s="1">
        <v>83427</v>
      </c>
      <c r="R173" s="1">
        <v>0</v>
      </c>
    </row>
    <row r="174" spans="1:18">
      <c r="A174" s="2">
        <v>0</v>
      </c>
      <c r="B174" s="1">
        <v>683638</v>
      </c>
      <c r="C174" s="1">
        <v>146424</v>
      </c>
      <c r="D174" s="1">
        <v>45818.3</v>
      </c>
      <c r="E174" s="1">
        <v>0</v>
      </c>
      <c r="F174" s="1">
        <v>411957</v>
      </c>
      <c r="G174" s="1">
        <v>73277.7</v>
      </c>
      <c r="H174" s="1">
        <v>374962</v>
      </c>
      <c r="I174" s="1">
        <v>672252</v>
      </c>
      <c r="J174" s="1">
        <v>51671.199999999997</v>
      </c>
      <c r="K174" s="1">
        <v>89017.4</v>
      </c>
      <c r="L174" s="1">
        <v>1454.1</v>
      </c>
      <c r="M174" s="1">
        <v>77598.2</v>
      </c>
      <c r="N174" s="1">
        <v>96986.9</v>
      </c>
      <c r="O174" s="1">
        <v>94418.3</v>
      </c>
      <c r="P174" s="1">
        <v>53590</v>
      </c>
      <c r="Q174" s="1">
        <v>83427</v>
      </c>
      <c r="R174" s="1">
        <v>0</v>
      </c>
    </row>
    <row r="175" spans="1:18">
      <c r="A175" s="2">
        <v>4.1666666666666664E-2</v>
      </c>
      <c r="B175" s="1">
        <v>684362</v>
      </c>
      <c r="C175" s="1">
        <v>146595</v>
      </c>
      <c r="D175" s="1">
        <v>45833.5</v>
      </c>
      <c r="E175" s="1">
        <v>0</v>
      </c>
      <c r="F175" s="1">
        <v>411976</v>
      </c>
      <c r="G175" s="1">
        <v>73336</v>
      </c>
      <c r="H175" s="1">
        <v>374974</v>
      </c>
      <c r="I175" s="1">
        <v>672507</v>
      </c>
      <c r="J175" s="1">
        <v>51675.1</v>
      </c>
      <c r="K175" s="1">
        <v>89020.7</v>
      </c>
      <c r="L175" s="1">
        <v>1476.9</v>
      </c>
      <c r="M175" s="1">
        <v>77637.100000000006</v>
      </c>
      <c r="N175" s="1">
        <v>97041.9</v>
      </c>
      <c r="O175" s="1">
        <v>94434.9</v>
      </c>
      <c r="P175" s="1">
        <v>53590</v>
      </c>
      <c r="Q175" s="1">
        <v>83427</v>
      </c>
      <c r="R175" s="1">
        <v>0</v>
      </c>
    </row>
    <row r="176" spans="1:18">
      <c r="A176" s="2">
        <v>8.3333333333333329E-2</v>
      </c>
      <c r="B176" s="1">
        <v>685087</v>
      </c>
      <c r="C176" s="1">
        <v>146767</v>
      </c>
      <c r="D176" s="1">
        <v>45851.6</v>
      </c>
      <c r="E176" s="1">
        <v>0</v>
      </c>
      <c r="F176" s="1">
        <v>411996</v>
      </c>
      <c r="G176" s="1">
        <v>73392.7</v>
      </c>
      <c r="H176" s="1">
        <v>374986</v>
      </c>
      <c r="I176" s="1">
        <v>672755</v>
      </c>
      <c r="J176" s="1">
        <v>51678.8</v>
      </c>
      <c r="K176" s="1">
        <v>89024</v>
      </c>
      <c r="L176" s="1">
        <v>1499.8</v>
      </c>
      <c r="M176" s="1">
        <v>77676.399999999994</v>
      </c>
      <c r="N176" s="1">
        <v>97096.7</v>
      </c>
      <c r="O176" s="1">
        <v>94452.800000000003</v>
      </c>
      <c r="P176" s="1">
        <v>53590</v>
      </c>
      <c r="Q176" s="1">
        <v>83427</v>
      </c>
      <c r="R176" s="1">
        <v>0</v>
      </c>
    </row>
    <row r="177" spans="1:18">
      <c r="A177" s="2">
        <v>0.125</v>
      </c>
      <c r="B177" s="1">
        <v>685811</v>
      </c>
      <c r="C177" s="1">
        <v>146941</v>
      </c>
      <c r="D177" s="1">
        <v>45867.3</v>
      </c>
      <c r="E177" s="1">
        <v>0</v>
      </c>
      <c r="F177" s="1">
        <v>412019</v>
      </c>
      <c r="G177" s="1">
        <v>73448.100000000006</v>
      </c>
      <c r="H177" s="1">
        <v>374998</v>
      </c>
      <c r="I177" s="1">
        <v>673002</v>
      </c>
      <c r="J177" s="1">
        <v>51682.8</v>
      </c>
      <c r="K177" s="1">
        <v>89027.5</v>
      </c>
      <c r="L177" s="1">
        <v>1521.1</v>
      </c>
      <c r="M177" s="1">
        <v>77716.899999999994</v>
      </c>
      <c r="N177" s="1">
        <v>97151.7</v>
      </c>
      <c r="O177" s="1">
        <v>94470.8</v>
      </c>
      <c r="P177" s="1">
        <v>53590</v>
      </c>
      <c r="Q177" s="1">
        <v>83427</v>
      </c>
      <c r="R177" s="1">
        <v>0</v>
      </c>
    </row>
    <row r="178" spans="1:18">
      <c r="A178" s="2">
        <v>0.16666666666666666</v>
      </c>
      <c r="B178" s="1">
        <v>686531</v>
      </c>
      <c r="C178" s="1">
        <v>147116</v>
      </c>
      <c r="D178" s="1">
        <v>45882.8</v>
      </c>
      <c r="E178" s="1">
        <v>0</v>
      </c>
      <c r="F178" s="1">
        <v>412040</v>
      </c>
      <c r="G178" s="1">
        <v>73500.7</v>
      </c>
      <c r="H178" s="1">
        <v>375011</v>
      </c>
      <c r="I178" s="1">
        <v>673249</v>
      </c>
      <c r="J178" s="1">
        <v>51686.7</v>
      </c>
      <c r="K178" s="1">
        <v>89031.2</v>
      </c>
      <c r="L178" s="1">
        <v>1541.4</v>
      </c>
      <c r="M178" s="1">
        <v>77758.7</v>
      </c>
      <c r="N178" s="1">
        <v>97207.2</v>
      </c>
      <c r="O178" s="1">
        <v>94489.2</v>
      </c>
      <c r="P178" s="1">
        <v>53590</v>
      </c>
      <c r="Q178" s="1">
        <v>83427</v>
      </c>
      <c r="R178" s="1">
        <v>0</v>
      </c>
    </row>
    <row r="179" spans="1:18">
      <c r="A179" s="2">
        <v>0.20833333333333334</v>
      </c>
      <c r="B179" s="1">
        <v>687240</v>
      </c>
      <c r="C179" s="1">
        <v>147285</v>
      </c>
      <c r="D179" s="1">
        <v>45896.1</v>
      </c>
      <c r="E179" s="1">
        <v>0</v>
      </c>
      <c r="F179" s="1">
        <v>412060</v>
      </c>
      <c r="G179" s="1">
        <v>73552.2</v>
      </c>
      <c r="H179" s="1">
        <v>375022</v>
      </c>
      <c r="I179" s="1">
        <v>673496</v>
      </c>
      <c r="J179" s="1">
        <v>51690.5</v>
      </c>
      <c r="K179" s="1">
        <v>89034.5</v>
      </c>
      <c r="L179" s="1">
        <v>1561.9</v>
      </c>
      <c r="M179" s="1">
        <v>77799.8</v>
      </c>
      <c r="N179" s="1">
        <v>97261.1</v>
      </c>
      <c r="O179" s="1">
        <v>94507.7</v>
      </c>
      <c r="P179" s="1">
        <v>53590</v>
      </c>
      <c r="Q179" s="1">
        <v>83427</v>
      </c>
      <c r="R179" s="1">
        <v>0</v>
      </c>
    </row>
    <row r="180" spans="1:18">
      <c r="A180" s="2">
        <v>0.25</v>
      </c>
      <c r="B180" s="1">
        <v>687931</v>
      </c>
      <c r="C180" s="1">
        <v>147450</v>
      </c>
      <c r="D180" s="1">
        <v>45910.3</v>
      </c>
      <c r="E180" s="1">
        <v>0</v>
      </c>
      <c r="F180" s="1">
        <v>412080</v>
      </c>
      <c r="G180" s="1">
        <v>73602.899999999994</v>
      </c>
      <c r="H180" s="1">
        <v>375034</v>
      </c>
      <c r="I180" s="1">
        <v>673735</v>
      </c>
      <c r="J180" s="1">
        <v>51694.400000000001</v>
      </c>
      <c r="K180" s="1">
        <v>89037.8</v>
      </c>
      <c r="L180" s="1">
        <v>1582.2</v>
      </c>
      <c r="M180" s="1">
        <v>77838.899999999994</v>
      </c>
      <c r="N180" s="1">
        <v>97314.9</v>
      </c>
      <c r="O180" s="1">
        <v>94525.3</v>
      </c>
      <c r="P180" s="1">
        <v>53590</v>
      </c>
      <c r="Q180" s="1">
        <v>83427</v>
      </c>
      <c r="R180" s="1">
        <v>0</v>
      </c>
    </row>
    <row r="181" spans="1:18">
      <c r="A181" s="2">
        <v>0.29166666666666669</v>
      </c>
      <c r="B181" s="1">
        <v>688623</v>
      </c>
      <c r="C181" s="1">
        <v>147616</v>
      </c>
      <c r="D181" s="1">
        <v>45924.2</v>
      </c>
      <c r="E181" s="1">
        <v>0</v>
      </c>
      <c r="F181" s="1">
        <v>412099</v>
      </c>
      <c r="G181" s="1">
        <v>73652.5</v>
      </c>
      <c r="H181" s="1">
        <v>375046</v>
      </c>
      <c r="I181" s="1">
        <v>673977</v>
      </c>
      <c r="J181" s="1">
        <v>51698</v>
      </c>
      <c r="K181" s="1">
        <v>89040</v>
      </c>
      <c r="L181" s="1">
        <v>1602.8</v>
      </c>
      <c r="M181" s="1">
        <v>77877.3</v>
      </c>
      <c r="N181" s="1">
        <v>97368.8</v>
      </c>
      <c r="O181" s="1">
        <v>94541.9</v>
      </c>
      <c r="P181" s="1">
        <v>53591</v>
      </c>
      <c r="Q181" s="1">
        <v>83427</v>
      </c>
      <c r="R181" s="1">
        <v>0</v>
      </c>
    </row>
    <row r="182" spans="1:18">
      <c r="A182" s="2">
        <v>0.33333333333333331</v>
      </c>
      <c r="B182" s="1">
        <v>689314</v>
      </c>
      <c r="C182" s="1">
        <v>147787</v>
      </c>
      <c r="D182" s="1">
        <v>45938.1</v>
      </c>
      <c r="E182" s="1">
        <v>0</v>
      </c>
      <c r="F182" s="1">
        <v>412118</v>
      </c>
      <c r="G182" s="1">
        <v>73699.199999999997</v>
      </c>
      <c r="H182" s="1">
        <v>375058</v>
      </c>
      <c r="I182" s="1">
        <v>674220</v>
      </c>
      <c r="J182" s="1">
        <v>51701.9</v>
      </c>
      <c r="K182" s="1">
        <v>89040.2</v>
      </c>
      <c r="L182" s="1">
        <v>1622.6</v>
      </c>
      <c r="M182" s="1">
        <v>77915.899999999994</v>
      </c>
      <c r="N182" s="1">
        <v>97419.7</v>
      </c>
      <c r="O182" s="1">
        <v>94559.9</v>
      </c>
      <c r="P182" s="1">
        <v>53592</v>
      </c>
      <c r="Q182" s="1">
        <v>83431</v>
      </c>
      <c r="R182" s="1">
        <v>0</v>
      </c>
    </row>
    <row r="183" spans="1:18">
      <c r="A183" s="2">
        <v>0.375</v>
      </c>
      <c r="B183" s="1">
        <v>690009</v>
      </c>
      <c r="C183" s="1">
        <v>147965</v>
      </c>
      <c r="D183" s="1">
        <v>45952.1</v>
      </c>
      <c r="E183" s="1">
        <v>0</v>
      </c>
      <c r="F183" s="1">
        <v>412136</v>
      </c>
      <c r="G183" s="1">
        <v>73738</v>
      </c>
      <c r="H183" s="1">
        <v>375069</v>
      </c>
      <c r="I183" s="1">
        <v>674468</v>
      </c>
      <c r="J183" s="1">
        <v>51706</v>
      </c>
      <c r="K183" s="1">
        <v>89040.2</v>
      </c>
      <c r="L183" s="1">
        <v>1642.2</v>
      </c>
      <c r="M183" s="1">
        <v>77957.600000000006</v>
      </c>
      <c r="N183" s="1">
        <v>97468.4</v>
      </c>
      <c r="O183" s="1">
        <v>94579.3</v>
      </c>
      <c r="P183" s="1">
        <v>53598</v>
      </c>
      <c r="Q183" s="1">
        <v>83440</v>
      </c>
      <c r="R183" s="1">
        <v>0</v>
      </c>
    </row>
    <row r="184" spans="1:18">
      <c r="A184" s="2">
        <v>0.41666666666666669</v>
      </c>
      <c r="B184" s="1">
        <v>690703</v>
      </c>
      <c r="C184" s="1">
        <v>148147</v>
      </c>
      <c r="D184" s="1">
        <v>45966.2</v>
      </c>
      <c r="E184" s="1">
        <v>0</v>
      </c>
      <c r="F184" s="1">
        <v>412154</v>
      </c>
      <c r="G184" s="1">
        <v>73769.8</v>
      </c>
      <c r="H184" s="1">
        <v>375082</v>
      </c>
      <c r="I184" s="1">
        <v>674728</v>
      </c>
      <c r="J184" s="1">
        <v>51709.9</v>
      </c>
      <c r="K184" s="1">
        <v>89040.2</v>
      </c>
      <c r="L184" s="1">
        <v>1662.1</v>
      </c>
      <c r="M184" s="1">
        <v>77997.3</v>
      </c>
      <c r="N184" s="1">
        <v>97513.3</v>
      </c>
      <c r="O184" s="1">
        <v>94597.5</v>
      </c>
      <c r="P184" s="1">
        <v>53607</v>
      </c>
      <c r="Q184" s="1">
        <v>83455</v>
      </c>
      <c r="R184" s="1">
        <v>0</v>
      </c>
    </row>
    <row r="185" spans="1:18">
      <c r="A185" s="2">
        <v>0.45833333333333331</v>
      </c>
      <c r="B185" s="1">
        <v>691399</v>
      </c>
      <c r="C185" s="1">
        <v>148334</v>
      </c>
      <c r="D185" s="1">
        <v>45980.5</v>
      </c>
      <c r="E185" s="1">
        <v>0</v>
      </c>
      <c r="F185" s="1">
        <v>412175</v>
      </c>
      <c r="G185" s="1">
        <v>73798.899999999994</v>
      </c>
      <c r="H185" s="1">
        <v>375095</v>
      </c>
      <c r="I185" s="1">
        <v>674984</v>
      </c>
      <c r="J185" s="1">
        <v>51713.9</v>
      </c>
      <c r="K185" s="1">
        <v>89040.2</v>
      </c>
      <c r="L185" s="1">
        <v>1682</v>
      </c>
      <c r="M185" s="1">
        <v>78037.399999999994</v>
      </c>
      <c r="N185" s="1">
        <v>97557.5</v>
      </c>
      <c r="O185" s="1">
        <v>94616.1</v>
      </c>
      <c r="P185" s="1">
        <v>53619</v>
      </c>
      <c r="Q185" s="1">
        <v>83472</v>
      </c>
      <c r="R185" s="1">
        <v>0</v>
      </c>
    </row>
    <row r="186" spans="1:18">
      <c r="A186" s="2">
        <v>0.5</v>
      </c>
      <c r="B186" s="1">
        <v>692120</v>
      </c>
      <c r="C186" s="1">
        <v>148541</v>
      </c>
      <c r="D186" s="1">
        <v>45999.8</v>
      </c>
      <c r="E186" s="1">
        <v>0</v>
      </c>
      <c r="F186" s="1">
        <v>412196</v>
      </c>
      <c r="G186" s="1">
        <v>73826.2</v>
      </c>
      <c r="H186" s="1">
        <v>375107</v>
      </c>
      <c r="I186" s="1">
        <v>675248</v>
      </c>
      <c r="J186" s="1">
        <v>51718.1</v>
      </c>
      <c r="K186" s="1">
        <v>89040.2</v>
      </c>
      <c r="L186" s="1">
        <v>1702.4</v>
      </c>
      <c r="M186" s="1">
        <v>78081.100000000006</v>
      </c>
      <c r="N186" s="1">
        <v>97597.3</v>
      </c>
      <c r="O186" s="1">
        <v>94634.8</v>
      </c>
      <c r="P186" s="1">
        <v>53633</v>
      </c>
      <c r="Q186" s="1">
        <v>83494</v>
      </c>
      <c r="R186" s="1">
        <v>0</v>
      </c>
    </row>
    <row r="187" spans="1:18">
      <c r="A187" s="2">
        <v>0.54166666666666663</v>
      </c>
      <c r="B187" s="1">
        <v>692860</v>
      </c>
      <c r="C187" s="1">
        <v>148752</v>
      </c>
      <c r="D187" s="1">
        <v>46020.1</v>
      </c>
      <c r="E187" s="1">
        <v>0</v>
      </c>
      <c r="F187" s="1">
        <v>412217</v>
      </c>
      <c r="G187" s="1">
        <v>73857.399999999994</v>
      </c>
      <c r="H187" s="1">
        <v>375119</v>
      </c>
      <c r="I187" s="1">
        <v>675512</v>
      </c>
      <c r="J187" s="1">
        <v>51722.2</v>
      </c>
      <c r="K187" s="1">
        <v>89040.2</v>
      </c>
      <c r="L187" s="1">
        <v>1723.6</v>
      </c>
      <c r="M187" s="1">
        <v>78127.100000000006</v>
      </c>
      <c r="N187" s="1">
        <v>97639.9</v>
      </c>
      <c r="O187" s="1">
        <v>94652.5</v>
      </c>
      <c r="P187" s="1">
        <v>53649</v>
      </c>
      <c r="Q187" s="1">
        <v>83518</v>
      </c>
      <c r="R187" s="1">
        <v>0</v>
      </c>
    </row>
    <row r="188" spans="1:18">
      <c r="A188" s="2">
        <v>0.58333333333333337</v>
      </c>
      <c r="B188" s="1">
        <v>693653</v>
      </c>
      <c r="C188" s="1">
        <v>148977</v>
      </c>
      <c r="D188" s="1">
        <v>46040.5</v>
      </c>
      <c r="E188" s="1">
        <v>0</v>
      </c>
      <c r="F188" s="1">
        <v>412238</v>
      </c>
      <c r="G188" s="1">
        <v>73897.399999999994</v>
      </c>
      <c r="H188" s="1">
        <v>375132</v>
      </c>
      <c r="I188" s="1">
        <v>675796</v>
      </c>
      <c r="J188" s="1">
        <v>51730.6</v>
      </c>
      <c r="K188" s="1">
        <v>89040.2</v>
      </c>
      <c r="L188" s="1">
        <v>1746.3</v>
      </c>
      <c r="M188" s="1">
        <v>78173.7</v>
      </c>
      <c r="N188" s="1">
        <v>97685.6</v>
      </c>
      <c r="O188" s="1">
        <v>94672</v>
      </c>
      <c r="P188" s="1">
        <v>53662</v>
      </c>
      <c r="Q188" s="1">
        <v>83538</v>
      </c>
      <c r="R188" s="1">
        <v>0</v>
      </c>
    </row>
    <row r="189" spans="1:18">
      <c r="A189" s="2">
        <v>0.625</v>
      </c>
      <c r="B189" s="1">
        <v>694494</v>
      </c>
      <c r="C189" s="1">
        <v>149211</v>
      </c>
      <c r="D189" s="1">
        <v>46062.8</v>
      </c>
      <c r="E189" s="1">
        <v>0</v>
      </c>
      <c r="F189" s="1">
        <v>412258</v>
      </c>
      <c r="G189" s="1">
        <v>73946.600000000006</v>
      </c>
      <c r="H189" s="1">
        <v>375145</v>
      </c>
      <c r="I189" s="1">
        <v>676090</v>
      </c>
      <c r="J189" s="1">
        <v>51741</v>
      </c>
      <c r="K189" s="1">
        <v>89040.3</v>
      </c>
      <c r="L189" s="1">
        <v>1769.5</v>
      </c>
      <c r="M189" s="1">
        <v>78220.399999999994</v>
      </c>
      <c r="N189" s="1">
        <v>97736.1</v>
      </c>
      <c r="O189" s="1">
        <v>94691.9</v>
      </c>
      <c r="P189" s="1">
        <v>53672</v>
      </c>
      <c r="Q189" s="1">
        <v>83553</v>
      </c>
      <c r="R189" s="1">
        <v>0</v>
      </c>
    </row>
    <row r="190" spans="1:18">
      <c r="A190" s="2">
        <v>0.66666666666666663</v>
      </c>
      <c r="B190" s="1">
        <v>695346</v>
      </c>
      <c r="C190" s="1">
        <v>149436</v>
      </c>
      <c r="D190" s="1">
        <v>46084.9</v>
      </c>
      <c r="E190" s="1">
        <v>0</v>
      </c>
      <c r="F190" s="1">
        <v>412279</v>
      </c>
      <c r="G190" s="1">
        <v>74009.899999999994</v>
      </c>
      <c r="H190" s="1">
        <v>375157</v>
      </c>
      <c r="I190" s="1">
        <v>676384</v>
      </c>
      <c r="J190" s="1">
        <v>51751.1</v>
      </c>
      <c r="K190" s="1">
        <v>89040.3</v>
      </c>
      <c r="L190" s="1">
        <v>1791</v>
      </c>
      <c r="M190" s="1">
        <v>78266.100000000006</v>
      </c>
      <c r="N190" s="1">
        <v>97787.199999999997</v>
      </c>
      <c r="O190" s="1">
        <v>94711.1</v>
      </c>
      <c r="P190" s="1">
        <v>53676</v>
      </c>
      <c r="Q190" s="1">
        <v>83559</v>
      </c>
      <c r="R190" s="1">
        <v>0</v>
      </c>
    </row>
    <row r="191" spans="1:18">
      <c r="A191" s="2">
        <v>0.70833333333333337</v>
      </c>
      <c r="B191" s="1">
        <v>696198</v>
      </c>
      <c r="C191" s="1">
        <v>149661</v>
      </c>
      <c r="D191" s="1">
        <v>46110.9</v>
      </c>
      <c r="E191" s="1">
        <v>0</v>
      </c>
      <c r="F191" s="1">
        <v>412299</v>
      </c>
      <c r="G191" s="1">
        <v>74066.3</v>
      </c>
      <c r="H191" s="1">
        <v>375171</v>
      </c>
      <c r="I191" s="1">
        <v>676673</v>
      </c>
      <c r="J191" s="1">
        <v>51760.6</v>
      </c>
      <c r="K191" s="1">
        <v>89040.6</v>
      </c>
      <c r="L191" s="1">
        <v>1813.3</v>
      </c>
      <c r="M191" s="1">
        <v>78315.199999999997</v>
      </c>
      <c r="N191" s="1">
        <v>97839.2</v>
      </c>
      <c r="O191" s="1">
        <v>94731.1</v>
      </c>
      <c r="P191" s="1">
        <v>53680</v>
      </c>
      <c r="Q191" s="1">
        <v>83566</v>
      </c>
      <c r="R191" s="1">
        <v>0</v>
      </c>
    </row>
    <row r="192" spans="1:18">
      <c r="A192" s="2">
        <v>0.75</v>
      </c>
      <c r="B192" s="1">
        <v>697029</v>
      </c>
      <c r="C192" s="1">
        <v>149880</v>
      </c>
      <c r="D192" s="1">
        <v>46130.6</v>
      </c>
      <c r="E192" s="1">
        <v>0</v>
      </c>
      <c r="F192" s="1">
        <v>412321</v>
      </c>
      <c r="G192" s="1">
        <v>74127.600000000006</v>
      </c>
      <c r="H192" s="1">
        <v>375183</v>
      </c>
      <c r="I192" s="1">
        <v>676950</v>
      </c>
      <c r="J192" s="1">
        <v>51768.2</v>
      </c>
      <c r="K192" s="1">
        <v>89043.1</v>
      </c>
      <c r="L192" s="1">
        <v>1834.8</v>
      </c>
      <c r="M192" s="1">
        <v>78360.399999999994</v>
      </c>
      <c r="N192" s="1">
        <v>97893.4</v>
      </c>
      <c r="O192" s="1">
        <v>94750.8</v>
      </c>
      <c r="P192" s="1">
        <v>53681</v>
      </c>
      <c r="Q192" s="1">
        <v>83568</v>
      </c>
      <c r="R192" s="1">
        <v>0</v>
      </c>
    </row>
    <row r="193" spans="1:18">
      <c r="A193" s="2">
        <v>0.79166666666666663</v>
      </c>
      <c r="B193" s="1">
        <v>697805</v>
      </c>
      <c r="C193" s="1">
        <v>150078</v>
      </c>
      <c r="D193" s="1">
        <v>46148</v>
      </c>
      <c r="E193" s="1">
        <v>0</v>
      </c>
      <c r="F193" s="1">
        <v>412339</v>
      </c>
      <c r="G193" s="1">
        <v>74187.399999999994</v>
      </c>
      <c r="H193" s="1">
        <v>375196</v>
      </c>
      <c r="I193" s="1">
        <v>677207</v>
      </c>
      <c r="J193" s="1">
        <v>51779.3</v>
      </c>
      <c r="K193" s="1">
        <v>89046.5</v>
      </c>
      <c r="L193" s="1">
        <v>1856.3</v>
      </c>
      <c r="M193" s="1">
        <v>78403.199999999997</v>
      </c>
      <c r="N193" s="1">
        <v>97947.6</v>
      </c>
      <c r="O193" s="1">
        <v>94767.6</v>
      </c>
      <c r="P193" s="1">
        <v>53681</v>
      </c>
      <c r="Q193" s="1">
        <v>83568</v>
      </c>
      <c r="R193" s="1">
        <v>0</v>
      </c>
    </row>
    <row r="194" spans="1:18">
      <c r="A194" s="2">
        <v>0.83333333333333337</v>
      </c>
      <c r="B194" s="1">
        <v>698621</v>
      </c>
      <c r="C194" s="1">
        <v>150277</v>
      </c>
      <c r="D194" s="1">
        <v>46165.5</v>
      </c>
      <c r="E194" s="1">
        <v>0</v>
      </c>
      <c r="F194" s="1">
        <v>412356</v>
      </c>
      <c r="G194" s="1">
        <v>74254.3</v>
      </c>
      <c r="H194" s="1">
        <v>375208</v>
      </c>
      <c r="I194" s="1">
        <v>677471</v>
      </c>
      <c r="J194" s="1">
        <v>51809</v>
      </c>
      <c r="K194" s="1">
        <v>89050.3</v>
      </c>
      <c r="L194" s="1">
        <v>1879</v>
      </c>
      <c r="M194" s="1">
        <v>78448.3</v>
      </c>
      <c r="N194" s="1">
        <v>98002.5</v>
      </c>
      <c r="O194" s="1">
        <v>94787.4</v>
      </c>
      <c r="P194" s="1">
        <v>53681</v>
      </c>
      <c r="Q194" s="1">
        <v>83568</v>
      </c>
      <c r="R194" s="1">
        <v>0</v>
      </c>
    </row>
    <row r="195" spans="1:18">
      <c r="A195" s="2">
        <v>0.875</v>
      </c>
      <c r="B195" s="1">
        <v>699401</v>
      </c>
      <c r="C195" s="1">
        <v>150473</v>
      </c>
      <c r="D195" s="1">
        <v>46182.6</v>
      </c>
      <c r="E195" s="1">
        <v>0</v>
      </c>
      <c r="F195" s="1">
        <v>412374</v>
      </c>
      <c r="G195" s="1">
        <v>74315.100000000006</v>
      </c>
      <c r="H195" s="1">
        <v>375221</v>
      </c>
      <c r="I195" s="1">
        <v>677729</v>
      </c>
      <c r="J195" s="1">
        <v>51815.4</v>
      </c>
      <c r="K195" s="1">
        <v>89053.9</v>
      </c>
      <c r="L195" s="1">
        <v>1902.8</v>
      </c>
      <c r="M195" s="1">
        <v>78494.600000000006</v>
      </c>
      <c r="N195" s="1">
        <v>98056.5</v>
      </c>
      <c r="O195" s="1">
        <v>94807.9</v>
      </c>
      <c r="P195" s="1">
        <v>53681</v>
      </c>
      <c r="Q195" s="1">
        <v>83568</v>
      </c>
      <c r="R195" s="1">
        <v>0</v>
      </c>
    </row>
    <row r="196" spans="1:18">
      <c r="A196" s="2">
        <v>0.91666666666666663</v>
      </c>
      <c r="B196" s="1">
        <v>700166</v>
      </c>
      <c r="C196" s="1">
        <v>150669</v>
      </c>
      <c r="D196" s="1">
        <v>46199.5</v>
      </c>
      <c r="E196" s="1">
        <v>0</v>
      </c>
      <c r="F196" s="1">
        <v>412391</v>
      </c>
      <c r="G196" s="1">
        <v>74372.5</v>
      </c>
      <c r="H196" s="1">
        <v>375234</v>
      </c>
      <c r="I196" s="1">
        <v>677983</v>
      </c>
      <c r="J196" s="1">
        <v>51820.9</v>
      </c>
      <c r="K196" s="1">
        <v>89057.4</v>
      </c>
      <c r="L196" s="1">
        <v>1926.3</v>
      </c>
      <c r="M196" s="1">
        <v>78537.399999999994</v>
      </c>
      <c r="N196" s="1">
        <v>98110.9</v>
      </c>
      <c r="O196" s="1">
        <v>94828.9</v>
      </c>
      <c r="P196" s="1">
        <v>53681</v>
      </c>
      <c r="Q196" s="1">
        <v>83568</v>
      </c>
      <c r="R196" s="1">
        <v>0</v>
      </c>
    </row>
    <row r="197" spans="1:18">
      <c r="A197" s="2">
        <v>0.95833333333333337</v>
      </c>
      <c r="B197" s="1">
        <v>700925</v>
      </c>
      <c r="C197" s="1">
        <v>150857</v>
      </c>
      <c r="D197" s="1">
        <v>46219.7</v>
      </c>
      <c r="E197" s="1">
        <v>0</v>
      </c>
      <c r="F197" s="1">
        <v>412407</v>
      </c>
      <c r="G197" s="1">
        <v>74428.899999999994</v>
      </c>
      <c r="H197" s="1">
        <v>375247</v>
      </c>
      <c r="I197" s="1">
        <v>678242</v>
      </c>
      <c r="J197" s="1">
        <v>51826.3</v>
      </c>
      <c r="K197" s="1">
        <v>89060.7</v>
      </c>
      <c r="L197" s="1">
        <v>1949.9</v>
      </c>
      <c r="M197" s="1">
        <v>78578.100000000006</v>
      </c>
      <c r="N197" s="1">
        <v>98164.9</v>
      </c>
      <c r="O197" s="1">
        <v>94847.4</v>
      </c>
      <c r="P197" s="1">
        <v>53681</v>
      </c>
      <c r="Q197" s="1">
        <v>83568</v>
      </c>
      <c r="R197" s="1">
        <v>0</v>
      </c>
    </row>
    <row r="198" spans="1:18">
      <c r="A198" s="2">
        <v>0</v>
      </c>
      <c r="B198" s="1">
        <v>701682</v>
      </c>
      <c r="C198" s="1">
        <v>151044</v>
      </c>
      <c r="D198" s="1">
        <v>46238.8</v>
      </c>
      <c r="E198" s="1">
        <v>0</v>
      </c>
      <c r="F198" s="1">
        <v>412423</v>
      </c>
      <c r="G198" s="1">
        <v>74487.3</v>
      </c>
      <c r="H198" s="1">
        <v>375260</v>
      </c>
      <c r="I198" s="1">
        <v>678499</v>
      </c>
      <c r="J198" s="1">
        <v>51832</v>
      </c>
      <c r="K198" s="1">
        <v>89064.1</v>
      </c>
      <c r="L198" s="1">
        <v>1973.2</v>
      </c>
      <c r="M198" s="1">
        <v>78618.399999999994</v>
      </c>
      <c r="N198" s="1">
        <v>98219.199999999997</v>
      </c>
      <c r="O198" s="1">
        <v>94867</v>
      </c>
      <c r="P198" s="1">
        <v>53681</v>
      </c>
      <c r="Q198" s="1">
        <v>83568</v>
      </c>
      <c r="R198" s="1">
        <v>0</v>
      </c>
    </row>
    <row r="199" spans="1:18">
      <c r="A199" s="2">
        <v>4.1666666666666664E-2</v>
      </c>
      <c r="B199" s="1">
        <v>702427</v>
      </c>
      <c r="C199" s="1">
        <v>151230</v>
      </c>
      <c r="D199" s="1">
        <v>46256.3</v>
      </c>
      <c r="E199" s="1">
        <v>0</v>
      </c>
      <c r="F199" s="1">
        <v>412441</v>
      </c>
      <c r="G199" s="1">
        <v>74545.899999999994</v>
      </c>
      <c r="H199" s="1">
        <v>375273</v>
      </c>
      <c r="I199" s="1">
        <v>678749</v>
      </c>
      <c r="J199" s="1">
        <v>51837.1</v>
      </c>
      <c r="K199" s="1">
        <v>89067.5</v>
      </c>
      <c r="L199" s="1">
        <v>1996</v>
      </c>
      <c r="M199" s="1">
        <v>78659</v>
      </c>
      <c r="N199" s="1">
        <v>98273.7</v>
      </c>
      <c r="O199" s="1">
        <v>94884.1</v>
      </c>
      <c r="P199" s="1">
        <v>53681</v>
      </c>
      <c r="Q199" s="1">
        <v>83568</v>
      </c>
      <c r="R199" s="1">
        <v>0</v>
      </c>
    </row>
    <row r="200" spans="1:18">
      <c r="A200" s="2">
        <v>8.3333333333333329E-2</v>
      </c>
      <c r="B200" s="1">
        <v>703162</v>
      </c>
      <c r="C200" s="1">
        <v>151413</v>
      </c>
      <c r="D200" s="1">
        <v>46272.5</v>
      </c>
      <c r="E200" s="1">
        <v>0</v>
      </c>
      <c r="F200" s="1">
        <v>412459</v>
      </c>
      <c r="G200" s="1">
        <v>74600.800000000003</v>
      </c>
      <c r="H200" s="1">
        <v>375285</v>
      </c>
      <c r="I200" s="1">
        <v>678995</v>
      </c>
      <c r="J200" s="1">
        <v>51842.6</v>
      </c>
      <c r="K200" s="1">
        <v>89070.9</v>
      </c>
      <c r="L200" s="1">
        <v>2016.5</v>
      </c>
      <c r="M200" s="1">
        <v>78701.600000000006</v>
      </c>
      <c r="N200" s="1">
        <v>98328.4</v>
      </c>
      <c r="O200" s="1">
        <v>94904.1</v>
      </c>
      <c r="P200" s="1">
        <v>53681</v>
      </c>
      <c r="Q200" s="1">
        <v>83568</v>
      </c>
      <c r="R200" s="1">
        <v>0</v>
      </c>
    </row>
    <row r="201" spans="1:18">
      <c r="A201" s="2">
        <v>0.125</v>
      </c>
      <c r="B201" s="1">
        <v>703883</v>
      </c>
      <c r="C201" s="1">
        <v>151599</v>
      </c>
      <c r="D201" s="1">
        <v>46287.7</v>
      </c>
      <c r="E201" s="1">
        <v>0</v>
      </c>
      <c r="F201" s="1">
        <v>412476</v>
      </c>
      <c r="G201" s="1">
        <v>74651.8</v>
      </c>
      <c r="H201" s="1">
        <v>375298</v>
      </c>
      <c r="I201" s="1">
        <v>679234</v>
      </c>
      <c r="J201" s="1">
        <v>51847.5</v>
      </c>
      <c r="K201" s="1">
        <v>89074.4</v>
      </c>
      <c r="L201" s="1">
        <v>2038.2</v>
      </c>
      <c r="M201" s="1">
        <v>78742.2</v>
      </c>
      <c r="N201" s="1">
        <v>98382.9</v>
      </c>
      <c r="O201" s="1">
        <v>94922.8</v>
      </c>
      <c r="P201" s="1">
        <v>53681</v>
      </c>
      <c r="Q201" s="1">
        <v>83568</v>
      </c>
      <c r="R201" s="1">
        <v>0</v>
      </c>
    </row>
    <row r="202" spans="1:18">
      <c r="A202" s="2">
        <v>0.16666666666666666</v>
      </c>
      <c r="B202" s="1">
        <v>704604</v>
      </c>
      <c r="C202" s="1">
        <v>151783</v>
      </c>
      <c r="D202" s="1">
        <v>46302.8</v>
      </c>
      <c r="E202" s="1">
        <v>0</v>
      </c>
      <c r="F202" s="1">
        <v>412491</v>
      </c>
      <c r="G202" s="1">
        <v>74703.100000000006</v>
      </c>
      <c r="H202" s="1">
        <v>375310</v>
      </c>
      <c r="I202" s="1">
        <v>679477</v>
      </c>
      <c r="J202" s="1">
        <v>51852.6</v>
      </c>
      <c r="K202" s="1">
        <v>89077.8</v>
      </c>
      <c r="L202" s="1">
        <v>2060.8000000000002</v>
      </c>
      <c r="M202" s="1">
        <v>78781.7</v>
      </c>
      <c r="N202" s="1">
        <v>98437.6</v>
      </c>
      <c r="O202" s="1">
        <v>94941</v>
      </c>
      <c r="P202" s="1">
        <v>53681</v>
      </c>
      <c r="Q202" s="1">
        <v>83568</v>
      </c>
      <c r="R202" s="1">
        <v>0</v>
      </c>
    </row>
    <row r="203" spans="1:18">
      <c r="A203" s="2">
        <v>0.20833333333333334</v>
      </c>
      <c r="B203" s="1">
        <v>705327</v>
      </c>
      <c r="C203" s="1">
        <v>151966</v>
      </c>
      <c r="D203" s="1">
        <v>46318</v>
      </c>
      <c r="E203" s="1">
        <v>0</v>
      </c>
      <c r="F203" s="1">
        <v>412506</v>
      </c>
      <c r="G203" s="1">
        <v>74754.3</v>
      </c>
      <c r="H203" s="1">
        <v>375323</v>
      </c>
      <c r="I203" s="1">
        <v>679718</v>
      </c>
      <c r="J203" s="1">
        <v>51857.8</v>
      </c>
      <c r="K203" s="1">
        <v>89081.2</v>
      </c>
      <c r="L203" s="1">
        <v>2087.9</v>
      </c>
      <c r="M203" s="1">
        <v>78820.899999999994</v>
      </c>
      <c r="N203" s="1">
        <v>98493.6</v>
      </c>
      <c r="O203" s="1">
        <v>94960.7</v>
      </c>
      <c r="P203" s="1">
        <v>53681</v>
      </c>
      <c r="Q203" s="1">
        <v>83568</v>
      </c>
      <c r="R203" s="1">
        <v>0</v>
      </c>
    </row>
    <row r="204" spans="1:18">
      <c r="A204" s="2">
        <v>0.25</v>
      </c>
      <c r="B204" s="1">
        <v>706055</v>
      </c>
      <c r="C204" s="1">
        <v>152147</v>
      </c>
      <c r="D204" s="1">
        <v>46333</v>
      </c>
      <c r="E204" s="1">
        <v>0</v>
      </c>
      <c r="F204" s="1">
        <v>412521</v>
      </c>
      <c r="G204" s="1">
        <v>74805.3</v>
      </c>
      <c r="H204" s="1">
        <v>375336</v>
      </c>
      <c r="I204" s="1">
        <v>679961</v>
      </c>
      <c r="J204" s="1">
        <v>51862.9</v>
      </c>
      <c r="K204" s="1">
        <v>89084.5</v>
      </c>
      <c r="L204" s="1">
        <v>2116.6</v>
      </c>
      <c r="M204" s="1">
        <v>78860.399999999994</v>
      </c>
      <c r="N204" s="1">
        <v>98548.3</v>
      </c>
      <c r="O204" s="1">
        <v>94981.9</v>
      </c>
      <c r="P204" s="1">
        <v>53681</v>
      </c>
      <c r="Q204" s="1">
        <v>83568</v>
      </c>
      <c r="R204" s="1">
        <v>0</v>
      </c>
    </row>
    <row r="205" spans="1:18">
      <c r="A205" s="2">
        <v>0.29166666666666669</v>
      </c>
      <c r="B205" s="1">
        <v>706782</v>
      </c>
      <c r="C205" s="1">
        <v>152329</v>
      </c>
      <c r="D205" s="1">
        <v>46347.8</v>
      </c>
      <c r="E205" s="1">
        <v>0</v>
      </c>
      <c r="F205" s="1">
        <v>412535</v>
      </c>
      <c r="G205" s="1">
        <v>74854.899999999994</v>
      </c>
      <c r="H205" s="1">
        <v>375349</v>
      </c>
      <c r="I205" s="1">
        <v>680208</v>
      </c>
      <c r="J205" s="1">
        <v>51867.8</v>
      </c>
      <c r="K205" s="1">
        <v>89087.6</v>
      </c>
      <c r="L205" s="1">
        <v>2141.1</v>
      </c>
      <c r="M205" s="1">
        <v>78901.899999999994</v>
      </c>
      <c r="N205" s="1">
        <v>98601.8</v>
      </c>
      <c r="O205" s="1">
        <v>95003.5</v>
      </c>
      <c r="P205" s="1">
        <v>53681</v>
      </c>
      <c r="Q205" s="1">
        <v>83568</v>
      </c>
      <c r="R205" s="1">
        <v>0</v>
      </c>
    </row>
    <row r="206" spans="1:18">
      <c r="A206" s="2">
        <v>0.33333333333333331</v>
      </c>
      <c r="B206" s="1">
        <v>707516</v>
      </c>
      <c r="C206" s="1">
        <v>152512</v>
      </c>
      <c r="D206" s="1">
        <v>46361.9</v>
      </c>
      <c r="E206" s="1">
        <v>0</v>
      </c>
      <c r="F206" s="1">
        <v>412551</v>
      </c>
      <c r="G206" s="1">
        <v>74903.100000000006</v>
      </c>
      <c r="H206" s="1">
        <v>375361</v>
      </c>
      <c r="I206" s="1">
        <v>680454</v>
      </c>
      <c r="J206" s="1">
        <v>51872.6</v>
      </c>
      <c r="K206" s="1">
        <v>89090.4</v>
      </c>
      <c r="L206" s="1">
        <v>2165.1999999999998</v>
      </c>
      <c r="M206" s="1">
        <v>78941.5</v>
      </c>
      <c r="N206" s="1">
        <v>98655.7</v>
      </c>
      <c r="O206" s="1">
        <v>95030.8</v>
      </c>
      <c r="P206" s="1">
        <v>53682</v>
      </c>
      <c r="Q206" s="1">
        <v>83568</v>
      </c>
      <c r="R206" s="1">
        <v>0</v>
      </c>
    </row>
    <row r="207" spans="1:18">
      <c r="A207" s="2">
        <v>0.375</v>
      </c>
      <c r="B207" s="1">
        <v>708364</v>
      </c>
      <c r="C207" s="1">
        <v>152725</v>
      </c>
      <c r="D207" s="1">
        <v>46382.1</v>
      </c>
      <c r="E207" s="1">
        <v>0</v>
      </c>
      <c r="F207" s="1">
        <v>412572</v>
      </c>
      <c r="G207" s="1">
        <v>74956.3</v>
      </c>
      <c r="H207" s="1">
        <v>375376</v>
      </c>
      <c r="I207" s="1">
        <v>680739</v>
      </c>
      <c r="J207" s="1">
        <v>51877.3</v>
      </c>
      <c r="K207" s="1">
        <v>89094.6</v>
      </c>
      <c r="L207" s="1">
        <v>2196</v>
      </c>
      <c r="M207" s="1">
        <v>78985.399999999994</v>
      </c>
      <c r="N207" s="1">
        <v>98709.6</v>
      </c>
      <c r="O207" s="1">
        <v>95067.6</v>
      </c>
      <c r="P207" s="1">
        <v>53683</v>
      </c>
      <c r="Q207" s="1">
        <v>83571</v>
      </c>
      <c r="R207" s="1">
        <v>0</v>
      </c>
    </row>
    <row r="208" spans="1:18">
      <c r="A208" s="2">
        <v>0.41666666666666669</v>
      </c>
      <c r="B208" s="1">
        <v>709477</v>
      </c>
      <c r="C208" s="1">
        <v>153020</v>
      </c>
      <c r="D208" s="1">
        <v>46414</v>
      </c>
      <c r="E208" s="1">
        <v>0</v>
      </c>
      <c r="F208" s="1">
        <v>412601</v>
      </c>
      <c r="G208" s="1">
        <v>75016.3</v>
      </c>
      <c r="H208" s="1">
        <v>375423</v>
      </c>
      <c r="I208" s="1">
        <v>681103</v>
      </c>
      <c r="J208" s="1">
        <v>51882.8</v>
      </c>
      <c r="K208" s="1">
        <v>89099.6</v>
      </c>
      <c r="L208" s="1">
        <v>2230.1</v>
      </c>
      <c r="M208" s="1">
        <v>79032.899999999994</v>
      </c>
      <c r="N208" s="1">
        <v>98763.5</v>
      </c>
      <c r="O208" s="1">
        <v>95125.2</v>
      </c>
      <c r="P208" s="1">
        <v>53686</v>
      </c>
      <c r="Q208" s="1">
        <v>83575</v>
      </c>
      <c r="R208" s="1">
        <v>0</v>
      </c>
    </row>
    <row r="209" spans="1:18">
      <c r="A209" s="2">
        <v>0.45833333333333331</v>
      </c>
      <c r="B209" s="1">
        <v>710750</v>
      </c>
      <c r="C209" s="1">
        <v>153364</v>
      </c>
      <c r="D209" s="1">
        <v>46449.2</v>
      </c>
      <c r="E209" s="1">
        <v>0</v>
      </c>
      <c r="F209" s="1">
        <v>412651</v>
      </c>
      <c r="G209" s="1">
        <v>75094.2</v>
      </c>
      <c r="H209" s="1">
        <v>375452</v>
      </c>
      <c r="I209" s="1">
        <v>681536</v>
      </c>
      <c r="J209" s="1">
        <v>51887.7</v>
      </c>
      <c r="K209" s="1">
        <v>89105.5</v>
      </c>
      <c r="L209" s="1">
        <v>2266.6999999999998</v>
      </c>
      <c r="M209" s="1">
        <v>79080.899999999994</v>
      </c>
      <c r="N209" s="1">
        <v>98819.4</v>
      </c>
      <c r="O209" s="1">
        <v>95195.3</v>
      </c>
      <c r="P209" s="1">
        <v>53689</v>
      </c>
      <c r="Q209" s="1">
        <v>83580</v>
      </c>
      <c r="R209" s="1">
        <v>0</v>
      </c>
    </row>
    <row r="210" spans="1:18">
      <c r="A210" s="2">
        <v>0.5</v>
      </c>
      <c r="B210" s="1">
        <v>712072</v>
      </c>
      <c r="C210" s="1">
        <v>153719</v>
      </c>
      <c r="D210" s="1">
        <v>46482.9</v>
      </c>
      <c r="E210" s="1">
        <v>0</v>
      </c>
      <c r="F210" s="1">
        <v>412711</v>
      </c>
      <c r="G210" s="1">
        <v>75164.3</v>
      </c>
      <c r="H210" s="1">
        <v>375488</v>
      </c>
      <c r="I210" s="1">
        <v>682001</v>
      </c>
      <c r="J210" s="1">
        <v>51893.1</v>
      </c>
      <c r="K210" s="1">
        <v>89106</v>
      </c>
      <c r="L210" s="1">
        <v>2311.6</v>
      </c>
      <c r="M210" s="1">
        <v>79131.8</v>
      </c>
      <c r="N210" s="1">
        <v>98867.6</v>
      </c>
      <c r="O210" s="1">
        <v>95261.5</v>
      </c>
      <c r="P210" s="1">
        <v>53700</v>
      </c>
      <c r="Q210" s="1">
        <v>83597</v>
      </c>
      <c r="R210" s="1">
        <v>0</v>
      </c>
    </row>
    <row r="211" spans="1:18">
      <c r="A211" s="2">
        <v>0.54166666666666663</v>
      </c>
      <c r="B211" s="1">
        <v>713487</v>
      </c>
      <c r="C211" s="1">
        <v>154083</v>
      </c>
      <c r="D211" s="1">
        <v>46527.1</v>
      </c>
      <c r="E211" s="1">
        <v>0</v>
      </c>
      <c r="F211" s="1">
        <v>412765</v>
      </c>
      <c r="G211" s="1">
        <v>75244.2</v>
      </c>
      <c r="H211" s="1">
        <v>375557</v>
      </c>
      <c r="I211" s="1">
        <v>682492</v>
      </c>
      <c r="J211" s="1">
        <v>51899.1</v>
      </c>
      <c r="K211" s="1">
        <v>89106.2</v>
      </c>
      <c r="L211" s="1">
        <v>2358.1</v>
      </c>
      <c r="M211" s="1">
        <v>79187</v>
      </c>
      <c r="N211" s="1">
        <v>98914.9</v>
      </c>
      <c r="O211" s="1">
        <v>95330.9</v>
      </c>
      <c r="P211" s="1">
        <v>53712</v>
      </c>
      <c r="Q211" s="1">
        <v>83615</v>
      </c>
      <c r="R211" s="1">
        <v>0</v>
      </c>
    </row>
    <row r="212" spans="1:18">
      <c r="A212" s="2">
        <v>0.58333333333333337</v>
      </c>
      <c r="B212" s="1">
        <v>714956</v>
      </c>
      <c r="C212" s="1">
        <v>154477</v>
      </c>
      <c r="D212" s="1">
        <v>46574.2</v>
      </c>
      <c r="E212" s="1">
        <v>0</v>
      </c>
      <c r="F212" s="1">
        <v>412821</v>
      </c>
      <c r="G212" s="1">
        <v>75325.5</v>
      </c>
      <c r="H212" s="1">
        <v>375604</v>
      </c>
      <c r="I212" s="1">
        <v>682994</v>
      </c>
      <c r="J212" s="1">
        <v>51909</v>
      </c>
      <c r="K212" s="1">
        <v>89106.3</v>
      </c>
      <c r="L212" s="1">
        <v>2408.4</v>
      </c>
      <c r="M212" s="1">
        <v>79248</v>
      </c>
      <c r="N212" s="1">
        <v>98959.1</v>
      </c>
      <c r="O212" s="1">
        <v>95406.8</v>
      </c>
      <c r="P212" s="1">
        <v>53727</v>
      </c>
      <c r="Q212" s="1">
        <v>83638</v>
      </c>
      <c r="R212" s="1">
        <v>0</v>
      </c>
    </row>
    <row r="213" spans="1:18">
      <c r="A213" s="2">
        <v>0.625</v>
      </c>
      <c r="B213" s="1">
        <v>716448</v>
      </c>
      <c r="C213" s="1">
        <v>154878</v>
      </c>
      <c r="D213" s="1">
        <v>46618.5</v>
      </c>
      <c r="E213" s="1">
        <v>0</v>
      </c>
      <c r="F213" s="1">
        <v>412871</v>
      </c>
      <c r="G213" s="1">
        <v>75429.7</v>
      </c>
      <c r="H213" s="1">
        <v>375653</v>
      </c>
      <c r="I213" s="1">
        <v>683485</v>
      </c>
      <c r="J213" s="1">
        <v>51919.1</v>
      </c>
      <c r="K213" s="1">
        <v>89110.3</v>
      </c>
      <c r="L213" s="1">
        <v>2459.6</v>
      </c>
      <c r="M213" s="1">
        <v>79307.399999999994</v>
      </c>
      <c r="N213" s="1">
        <v>99012.7</v>
      </c>
      <c r="O213" s="1">
        <v>95463.4</v>
      </c>
      <c r="P213" s="1">
        <v>53735</v>
      </c>
      <c r="Q213" s="1">
        <v>83650</v>
      </c>
      <c r="R213" s="1">
        <v>0</v>
      </c>
    </row>
    <row r="214" spans="1:18">
      <c r="A214" s="2">
        <v>0.66666666666666663</v>
      </c>
      <c r="B214" s="1">
        <v>717903</v>
      </c>
      <c r="C214" s="1">
        <v>155286</v>
      </c>
      <c r="D214" s="1">
        <v>46661.1</v>
      </c>
      <c r="E214" s="1">
        <v>0</v>
      </c>
      <c r="F214" s="1">
        <v>412920</v>
      </c>
      <c r="G214" s="1">
        <v>75526.3</v>
      </c>
      <c r="H214" s="1">
        <v>375720</v>
      </c>
      <c r="I214" s="1">
        <v>683957</v>
      </c>
      <c r="J214" s="1">
        <v>51929.2</v>
      </c>
      <c r="K214" s="1">
        <v>89110.9</v>
      </c>
      <c r="L214" s="1">
        <v>2511.5</v>
      </c>
      <c r="M214" s="1">
        <v>79365.2</v>
      </c>
      <c r="N214" s="1">
        <v>99063.2</v>
      </c>
      <c r="O214" s="1">
        <v>95496.7</v>
      </c>
      <c r="P214" s="1">
        <v>53746</v>
      </c>
      <c r="Q214" s="1">
        <v>83666</v>
      </c>
      <c r="R214" s="1">
        <v>0</v>
      </c>
    </row>
    <row r="215" spans="1:18">
      <c r="A215" s="2">
        <v>0.70833333333333337</v>
      </c>
      <c r="B215" s="1">
        <v>719334</v>
      </c>
      <c r="C215" s="1">
        <v>155693</v>
      </c>
      <c r="D215" s="1">
        <v>46701.9</v>
      </c>
      <c r="E215" s="1">
        <v>0</v>
      </c>
      <c r="F215" s="1">
        <v>412974</v>
      </c>
      <c r="G215" s="1">
        <v>75629.8</v>
      </c>
      <c r="H215" s="1">
        <v>375767</v>
      </c>
      <c r="I215" s="1">
        <v>684416</v>
      </c>
      <c r="J215" s="1">
        <v>51939.6</v>
      </c>
      <c r="K215" s="1">
        <v>89114.5</v>
      </c>
      <c r="L215" s="1">
        <v>2560.8000000000002</v>
      </c>
      <c r="M215" s="1">
        <v>79420.5</v>
      </c>
      <c r="N215" s="1">
        <v>99118.1</v>
      </c>
      <c r="O215" s="1">
        <v>95527.1</v>
      </c>
      <c r="P215" s="1">
        <v>53752</v>
      </c>
      <c r="Q215" s="1">
        <v>83677</v>
      </c>
      <c r="R215" s="1">
        <v>0</v>
      </c>
    </row>
    <row r="216" spans="1:18">
      <c r="A216" s="2">
        <v>0.75</v>
      </c>
      <c r="B216" s="1">
        <v>720595</v>
      </c>
      <c r="C216" s="1">
        <v>156043</v>
      </c>
      <c r="D216" s="1">
        <v>46738.8</v>
      </c>
      <c r="E216" s="1">
        <v>0</v>
      </c>
      <c r="F216" s="1">
        <v>413014</v>
      </c>
      <c r="G216" s="1">
        <v>75720.3</v>
      </c>
      <c r="H216" s="1">
        <v>375811</v>
      </c>
      <c r="I216" s="1">
        <v>684825</v>
      </c>
      <c r="J216" s="1">
        <v>51948.800000000003</v>
      </c>
      <c r="K216" s="1">
        <v>89116.5</v>
      </c>
      <c r="L216" s="1">
        <v>2603.1</v>
      </c>
      <c r="M216" s="1">
        <v>79471.7</v>
      </c>
      <c r="N216" s="1">
        <v>99174.1</v>
      </c>
      <c r="O216" s="1">
        <v>95552.2</v>
      </c>
      <c r="P216" s="1">
        <v>53755</v>
      </c>
      <c r="Q216" s="1">
        <v>83681</v>
      </c>
      <c r="R216" s="1">
        <v>0</v>
      </c>
    </row>
    <row r="217" spans="1:18">
      <c r="A217" s="2">
        <v>0.79166666666666663</v>
      </c>
      <c r="B217" s="1">
        <v>721673</v>
      </c>
      <c r="C217" s="1">
        <v>156323</v>
      </c>
      <c r="D217" s="1">
        <v>46767</v>
      </c>
      <c r="E217" s="1">
        <v>0</v>
      </c>
      <c r="F217" s="1">
        <v>413048</v>
      </c>
      <c r="G217" s="1">
        <v>75799.7</v>
      </c>
      <c r="H217" s="1">
        <v>375852</v>
      </c>
      <c r="I217" s="1">
        <v>685188</v>
      </c>
      <c r="J217" s="1">
        <v>51957.1</v>
      </c>
      <c r="K217" s="1">
        <v>89120.2</v>
      </c>
      <c r="L217" s="1">
        <v>2637</v>
      </c>
      <c r="M217" s="1">
        <v>79521.399999999994</v>
      </c>
      <c r="N217" s="1">
        <v>99232.1</v>
      </c>
      <c r="O217" s="1">
        <v>95574.6</v>
      </c>
      <c r="P217" s="1">
        <v>53755</v>
      </c>
      <c r="Q217" s="1">
        <v>83681</v>
      </c>
      <c r="R217" s="1">
        <v>0</v>
      </c>
    </row>
    <row r="218" spans="1:18">
      <c r="A218" s="2">
        <v>0.83333333333333337</v>
      </c>
      <c r="B218" s="1">
        <v>722613</v>
      </c>
      <c r="C218" s="1">
        <v>156554</v>
      </c>
      <c r="D218" s="1">
        <v>46790</v>
      </c>
      <c r="E218" s="1">
        <v>0</v>
      </c>
      <c r="F218" s="1">
        <v>413077</v>
      </c>
      <c r="G218" s="1">
        <v>75872.7</v>
      </c>
      <c r="H218" s="1">
        <v>375883</v>
      </c>
      <c r="I218" s="1">
        <v>685514</v>
      </c>
      <c r="J218" s="1">
        <v>51964.9</v>
      </c>
      <c r="K218" s="1">
        <v>89124</v>
      </c>
      <c r="L218" s="1">
        <v>2663</v>
      </c>
      <c r="M218" s="1">
        <v>79568.800000000003</v>
      </c>
      <c r="N218" s="1">
        <v>99290.4</v>
      </c>
      <c r="O218" s="1">
        <v>95596.4</v>
      </c>
      <c r="P218" s="1">
        <v>53755</v>
      </c>
      <c r="Q218" s="1">
        <v>83681</v>
      </c>
      <c r="R218" s="1">
        <v>0</v>
      </c>
    </row>
    <row r="219" spans="1:18">
      <c r="A219" s="2">
        <v>0.875</v>
      </c>
      <c r="B219" s="1">
        <v>723498</v>
      </c>
      <c r="C219" s="1">
        <v>156772</v>
      </c>
      <c r="D219" s="1">
        <v>46810</v>
      </c>
      <c r="E219" s="1">
        <v>0</v>
      </c>
      <c r="F219" s="1">
        <v>413101</v>
      </c>
      <c r="G219" s="1">
        <v>75945.100000000006</v>
      </c>
      <c r="H219" s="1">
        <v>375904</v>
      </c>
      <c r="I219" s="1">
        <v>685816</v>
      </c>
      <c r="J219" s="1">
        <v>51972.800000000003</v>
      </c>
      <c r="K219" s="1">
        <v>89127.7</v>
      </c>
      <c r="L219" s="1">
        <v>2689.4</v>
      </c>
      <c r="M219" s="1">
        <v>79617.3</v>
      </c>
      <c r="N219" s="1">
        <v>99346.4</v>
      </c>
      <c r="O219" s="1">
        <v>95619.6</v>
      </c>
      <c r="P219" s="1">
        <v>53755</v>
      </c>
      <c r="Q219" s="1">
        <v>83681</v>
      </c>
      <c r="R219" s="1">
        <v>0</v>
      </c>
    </row>
    <row r="220" spans="1:18">
      <c r="A220" s="2">
        <v>0.91666666666666663</v>
      </c>
      <c r="B220" s="1">
        <v>724351</v>
      </c>
      <c r="C220" s="1">
        <v>156984</v>
      </c>
      <c r="D220" s="1">
        <v>46826.2</v>
      </c>
      <c r="E220" s="1">
        <v>0</v>
      </c>
      <c r="F220" s="1">
        <v>413126</v>
      </c>
      <c r="G220" s="1">
        <v>76016.7</v>
      </c>
      <c r="H220" s="1">
        <v>375921</v>
      </c>
      <c r="I220" s="1">
        <v>686109</v>
      </c>
      <c r="J220" s="1">
        <v>51980.3</v>
      </c>
      <c r="K220" s="1">
        <v>89131.3</v>
      </c>
      <c r="L220" s="1">
        <v>2718.2</v>
      </c>
      <c r="M220" s="1">
        <v>79660.600000000006</v>
      </c>
      <c r="N220" s="1">
        <v>99401.5</v>
      </c>
      <c r="O220" s="1">
        <v>95641.3</v>
      </c>
      <c r="P220" s="1">
        <v>53755</v>
      </c>
      <c r="Q220" s="1">
        <v>83681</v>
      </c>
      <c r="R220" s="1">
        <v>0</v>
      </c>
    </row>
    <row r="221" spans="1:18">
      <c r="A221" s="2">
        <v>0.95833333333333337</v>
      </c>
      <c r="B221" s="1">
        <v>725174</v>
      </c>
      <c r="C221" s="1">
        <v>157188</v>
      </c>
      <c r="D221" s="1">
        <v>46842.1</v>
      </c>
      <c r="E221" s="1">
        <v>0</v>
      </c>
      <c r="F221" s="1">
        <v>413150</v>
      </c>
      <c r="G221" s="1">
        <v>76085.600000000006</v>
      </c>
      <c r="H221" s="1">
        <v>375938</v>
      </c>
      <c r="I221" s="1">
        <v>686393</v>
      </c>
      <c r="J221" s="1">
        <v>51987.5</v>
      </c>
      <c r="K221" s="1">
        <v>89135</v>
      </c>
      <c r="L221" s="1">
        <v>2742.7</v>
      </c>
      <c r="M221" s="1">
        <v>79704.100000000006</v>
      </c>
      <c r="N221" s="1">
        <v>99456.9</v>
      </c>
      <c r="O221" s="1">
        <v>95659.3</v>
      </c>
      <c r="P221" s="1">
        <v>53755</v>
      </c>
      <c r="Q221" s="1">
        <v>83681</v>
      </c>
      <c r="R221" s="1">
        <v>0</v>
      </c>
    </row>
    <row r="222" spans="1:18">
      <c r="A222" s="2">
        <v>0</v>
      </c>
      <c r="B222" s="1">
        <v>725985</v>
      </c>
      <c r="C222" s="1">
        <v>157385</v>
      </c>
      <c r="D222" s="1">
        <v>46857.599999999999</v>
      </c>
      <c r="E222" s="1">
        <v>0</v>
      </c>
      <c r="F222" s="1">
        <v>413172</v>
      </c>
      <c r="G222" s="1">
        <v>76154.7</v>
      </c>
      <c r="H222" s="1">
        <v>375954</v>
      </c>
      <c r="I222" s="1">
        <v>686677</v>
      </c>
      <c r="J222" s="1">
        <v>51994.7</v>
      </c>
      <c r="K222" s="1">
        <v>89138.6</v>
      </c>
      <c r="L222" s="1">
        <v>2767</v>
      </c>
      <c r="M222" s="1">
        <v>79747.3</v>
      </c>
      <c r="N222" s="1">
        <v>99512</v>
      </c>
      <c r="O222" s="1">
        <v>95677.2</v>
      </c>
      <c r="P222" s="1">
        <v>53755</v>
      </c>
      <c r="Q222" s="1">
        <v>83681</v>
      </c>
      <c r="R222" s="1">
        <v>0</v>
      </c>
    </row>
    <row r="223" spans="1:18">
      <c r="A223" s="2">
        <v>4.1666666666666664E-2</v>
      </c>
      <c r="B223" s="1">
        <v>726764</v>
      </c>
      <c r="C223" s="1">
        <v>157566</v>
      </c>
      <c r="D223" s="1">
        <v>46872.5</v>
      </c>
      <c r="E223" s="1">
        <v>0</v>
      </c>
      <c r="F223" s="1">
        <v>413193</v>
      </c>
      <c r="G223" s="1">
        <v>76223.899999999994</v>
      </c>
      <c r="H223" s="1">
        <v>375972</v>
      </c>
      <c r="I223" s="1">
        <v>686951</v>
      </c>
      <c r="J223" s="1">
        <v>52001.3</v>
      </c>
      <c r="K223" s="1">
        <v>89142.1</v>
      </c>
      <c r="L223" s="1">
        <v>2788.9</v>
      </c>
      <c r="M223" s="1">
        <v>79789.8</v>
      </c>
      <c r="N223" s="1">
        <v>99567</v>
      </c>
      <c r="O223" s="1">
        <v>95694.399999999994</v>
      </c>
      <c r="P223" s="1">
        <v>53755</v>
      </c>
      <c r="Q223" s="1">
        <v>83681</v>
      </c>
      <c r="R223" s="1">
        <v>0</v>
      </c>
    </row>
    <row r="224" spans="1:18">
      <c r="A224" s="2">
        <v>8.3333333333333329E-2</v>
      </c>
      <c r="B224" s="1">
        <v>727514</v>
      </c>
      <c r="C224" s="1">
        <v>157736</v>
      </c>
      <c r="D224" s="1">
        <v>46887.4</v>
      </c>
      <c r="E224" s="1">
        <v>0</v>
      </c>
      <c r="F224" s="1">
        <v>413214</v>
      </c>
      <c r="G224" s="1">
        <v>76289.7</v>
      </c>
      <c r="H224" s="1">
        <v>375988</v>
      </c>
      <c r="I224" s="1">
        <v>687210</v>
      </c>
      <c r="J224" s="1">
        <v>52008.3</v>
      </c>
      <c r="K224" s="1">
        <v>89145.600000000006</v>
      </c>
      <c r="L224" s="1">
        <v>2810.5</v>
      </c>
      <c r="M224" s="1">
        <v>79835.199999999997</v>
      </c>
      <c r="N224" s="1">
        <v>99622</v>
      </c>
      <c r="O224" s="1">
        <v>95712</v>
      </c>
      <c r="P224" s="1">
        <v>53755</v>
      </c>
      <c r="Q224" s="1">
        <v>83681</v>
      </c>
      <c r="R224" s="1">
        <v>0</v>
      </c>
    </row>
    <row r="225" spans="1:18">
      <c r="A225" s="2">
        <v>0.125</v>
      </c>
      <c r="B225" s="1">
        <v>728255</v>
      </c>
      <c r="C225" s="1">
        <v>157908</v>
      </c>
      <c r="D225" s="1">
        <v>46902.400000000001</v>
      </c>
      <c r="E225" s="1">
        <v>0</v>
      </c>
      <c r="F225" s="1">
        <v>413233</v>
      </c>
      <c r="G225" s="1">
        <v>76353</v>
      </c>
      <c r="H225" s="1">
        <v>376004</v>
      </c>
      <c r="I225" s="1">
        <v>687464</v>
      </c>
      <c r="J225" s="1">
        <v>52015.199999999997</v>
      </c>
      <c r="K225" s="1">
        <v>89149</v>
      </c>
      <c r="L225" s="1">
        <v>2832.9</v>
      </c>
      <c r="M225" s="1">
        <v>79879.3</v>
      </c>
      <c r="N225" s="1">
        <v>99676.7</v>
      </c>
      <c r="O225" s="1">
        <v>95729.600000000006</v>
      </c>
      <c r="P225" s="1">
        <v>53755</v>
      </c>
      <c r="Q225" s="1">
        <v>83681</v>
      </c>
      <c r="R225" s="1">
        <v>0</v>
      </c>
    </row>
    <row r="226" spans="1:18">
      <c r="A226" s="2">
        <v>0.16666666666666666</v>
      </c>
      <c r="B226" s="1">
        <v>728989</v>
      </c>
      <c r="C226" s="1">
        <v>158077</v>
      </c>
      <c r="D226" s="1">
        <v>46917</v>
      </c>
      <c r="E226" s="1">
        <v>0</v>
      </c>
      <c r="F226" s="1">
        <v>413252</v>
      </c>
      <c r="G226" s="1">
        <v>76419.199999999997</v>
      </c>
      <c r="H226" s="1">
        <v>376020</v>
      </c>
      <c r="I226" s="1">
        <v>687715</v>
      </c>
      <c r="J226" s="1">
        <v>52021.9</v>
      </c>
      <c r="K226" s="1">
        <v>89152.3</v>
      </c>
      <c r="L226" s="1">
        <v>2855.1</v>
      </c>
      <c r="M226" s="1">
        <v>79920.7</v>
      </c>
      <c r="N226" s="1">
        <v>99732</v>
      </c>
      <c r="O226" s="1">
        <v>95746.6</v>
      </c>
      <c r="P226" s="1">
        <v>53755</v>
      </c>
      <c r="Q226" s="1">
        <v>83681</v>
      </c>
      <c r="R226" s="1">
        <v>0</v>
      </c>
    </row>
    <row r="227" spans="1:18">
      <c r="A227" s="2">
        <v>0.20833333333333334</v>
      </c>
      <c r="B227" s="1">
        <v>729716</v>
      </c>
      <c r="C227" s="1">
        <v>158246</v>
      </c>
      <c r="D227" s="1">
        <v>46932.2</v>
      </c>
      <c r="E227" s="1">
        <v>0</v>
      </c>
      <c r="F227" s="1">
        <v>413271</v>
      </c>
      <c r="G227" s="1">
        <v>76480.100000000006</v>
      </c>
      <c r="H227" s="1">
        <v>376036</v>
      </c>
      <c r="I227" s="1">
        <v>687961</v>
      </c>
      <c r="J227" s="1">
        <v>52028.3</v>
      </c>
      <c r="K227" s="1">
        <v>89155.8</v>
      </c>
      <c r="L227" s="1">
        <v>2877.4</v>
      </c>
      <c r="M227" s="1">
        <v>79963.100000000006</v>
      </c>
      <c r="N227" s="1">
        <v>99787.4</v>
      </c>
      <c r="O227" s="1">
        <v>95764.4</v>
      </c>
      <c r="P227" s="1">
        <v>53755</v>
      </c>
      <c r="Q227" s="1">
        <v>83681</v>
      </c>
      <c r="R227" s="1">
        <v>0</v>
      </c>
    </row>
    <row r="228" spans="1:18">
      <c r="A228" s="2">
        <v>0.25</v>
      </c>
      <c r="B228" s="1">
        <v>730446</v>
      </c>
      <c r="C228" s="1">
        <v>158417</v>
      </c>
      <c r="D228" s="1">
        <v>46947.4</v>
      </c>
      <c r="E228" s="1">
        <v>0</v>
      </c>
      <c r="F228" s="1">
        <v>413291</v>
      </c>
      <c r="G228" s="1">
        <v>76542.399999999994</v>
      </c>
      <c r="H228" s="1">
        <v>376051</v>
      </c>
      <c r="I228" s="1">
        <v>688204</v>
      </c>
      <c r="J228" s="1">
        <v>52035.4</v>
      </c>
      <c r="K228" s="1">
        <v>89159.7</v>
      </c>
      <c r="L228" s="1">
        <v>2899.9</v>
      </c>
      <c r="M228" s="1">
        <v>80005.5</v>
      </c>
      <c r="N228" s="1">
        <v>99842.7</v>
      </c>
      <c r="O228" s="1">
        <v>95784.3</v>
      </c>
      <c r="P228" s="1">
        <v>53755</v>
      </c>
      <c r="Q228" s="1">
        <v>83681</v>
      </c>
      <c r="R228" s="1">
        <v>0</v>
      </c>
    </row>
    <row r="229" spans="1:18">
      <c r="A229" s="2">
        <v>0.29166666666666669</v>
      </c>
      <c r="B229" s="1">
        <v>731180</v>
      </c>
      <c r="C229" s="1">
        <v>158591</v>
      </c>
      <c r="D229" s="1">
        <v>46962.1</v>
      </c>
      <c r="E229" s="1">
        <v>0</v>
      </c>
      <c r="F229" s="1">
        <v>413310</v>
      </c>
      <c r="G229" s="1">
        <v>76602.3</v>
      </c>
      <c r="H229" s="1">
        <v>376067</v>
      </c>
      <c r="I229" s="1">
        <v>688457</v>
      </c>
      <c r="J229" s="1">
        <v>52041.9</v>
      </c>
      <c r="K229" s="1">
        <v>89162.8</v>
      </c>
      <c r="L229" s="1">
        <v>2920.8</v>
      </c>
      <c r="M229" s="1">
        <v>80045.7</v>
      </c>
      <c r="N229" s="1">
        <v>99897.4</v>
      </c>
      <c r="O229" s="1">
        <v>95804.1</v>
      </c>
      <c r="P229" s="1">
        <v>53756</v>
      </c>
      <c r="Q229" s="1">
        <v>83682</v>
      </c>
      <c r="R229" s="1">
        <v>0</v>
      </c>
    </row>
    <row r="230" spans="1:18">
      <c r="A230" s="2">
        <v>0.33333333333333331</v>
      </c>
      <c r="B230" s="1">
        <v>731931</v>
      </c>
      <c r="C230" s="1">
        <v>158778</v>
      </c>
      <c r="D230" s="1">
        <v>46977.8</v>
      </c>
      <c r="E230" s="1">
        <v>0</v>
      </c>
      <c r="F230" s="1">
        <v>413331</v>
      </c>
      <c r="G230" s="1">
        <v>76660.899999999994</v>
      </c>
      <c r="H230" s="1">
        <v>376083</v>
      </c>
      <c r="I230" s="1">
        <v>688708</v>
      </c>
      <c r="J230" s="1">
        <v>52048.800000000003</v>
      </c>
      <c r="K230" s="1">
        <v>89163.6</v>
      </c>
      <c r="L230" s="1">
        <v>2944</v>
      </c>
      <c r="M230" s="1">
        <v>80088.899999999994</v>
      </c>
      <c r="N230" s="1">
        <v>99949.2</v>
      </c>
      <c r="O230" s="1">
        <v>95826</v>
      </c>
      <c r="P230" s="1">
        <v>53757</v>
      </c>
      <c r="Q230" s="1">
        <v>83685</v>
      </c>
      <c r="R230" s="1">
        <v>0</v>
      </c>
    </row>
    <row r="231" spans="1:18">
      <c r="A231" s="2">
        <v>0.375</v>
      </c>
      <c r="B231" s="1">
        <v>732805</v>
      </c>
      <c r="C231" s="1">
        <v>159002</v>
      </c>
      <c r="D231" s="1">
        <v>46995.4</v>
      </c>
      <c r="E231" s="1">
        <v>0</v>
      </c>
      <c r="F231" s="1">
        <v>413358</v>
      </c>
      <c r="G231" s="1">
        <v>76722.8</v>
      </c>
      <c r="H231" s="1">
        <v>376099</v>
      </c>
      <c r="I231" s="1">
        <v>688991</v>
      </c>
      <c r="J231" s="1">
        <v>52055.7</v>
      </c>
      <c r="K231" s="1">
        <v>89165.3</v>
      </c>
      <c r="L231" s="1">
        <v>2972.3</v>
      </c>
      <c r="M231" s="1">
        <v>80141.600000000006</v>
      </c>
      <c r="N231" s="1">
        <v>0.9</v>
      </c>
      <c r="O231" s="1">
        <v>95859.3</v>
      </c>
      <c r="P231" s="1">
        <v>53762</v>
      </c>
      <c r="Q231" s="1">
        <v>83692</v>
      </c>
      <c r="R231" s="1">
        <v>0</v>
      </c>
    </row>
    <row r="232" spans="1:18">
      <c r="A232" s="2">
        <v>0.41666666666666669</v>
      </c>
      <c r="B232" s="1">
        <v>733943</v>
      </c>
      <c r="C232" s="1">
        <v>159303</v>
      </c>
      <c r="D232" s="1">
        <v>47021.4</v>
      </c>
      <c r="E232" s="1">
        <v>0</v>
      </c>
      <c r="F232" s="1">
        <v>413397</v>
      </c>
      <c r="G232" s="1">
        <v>76788.7</v>
      </c>
      <c r="H232" s="1">
        <v>376150</v>
      </c>
      <c r="I232" s="1">
        <v>689340</v>
      </c>
      <c r="J232" s="1">
        <v>52063.4</v>
      </c>
      <c r="K232" s="1">
        <v>89165.5</v>
      </c>
      <c r="L232" s="1">
        <v>3006.9</v>
      </c>
      <c r="M232" s="1">
        <v>80199.8</v>
      </c>
      <c r="N232" s="1">
        <v>50.7</v>
      </c>
      <c r="O232" s="1">
        <v>95915.3</v>
      </c>
      <c r="P232" s="1">
        <v>53772</v>
      </c>
      <c r="Q232" s="1">
        <v>83708</v>
      </c>
      <c r="R232" s="1">
        <v>0</v>
      </c>
    </row>
    <row r="233" spans="1:18">
      <c r="A233" s="2">
        <v>0.45833333333333331</v>
      </c>
      <c r="B233" s="1">
        <v>735259</v>
      </c>
      <c r="C233" s="1">
        <v>159655</v>
      </c>
      <c r="D233" s="1">
        <v>47052.3</v>
      </c>
      <c r="E233" s="1">
        <v>0</v>
      </c>
      <c r="F233" s="1">
        <v>413452</v>
      </c>
      <c r="G233" s="1">
        <v>76881.100000000006</v>
      </c>
      <c r="H233" s="1">
        <v>376195</v>
      </c>
      <c r="I233" s="1">
        <v>689755</v>
      </c>
      <c r="J233" s="1">
        <v>52072</v>
      </c>
      <c r="K233" s="1">
        <v>89165.6</v>
      </c>
      <c r="L233" s="1">
        <v>3042.3</v>
      </c>
      <c r="M233" s="1">
        <v>80267.899999999994</v>
      </c>
      <c r="N233" s="1">
        <v>100.6</v>
      </c>
      <c r="O233" s="1">
        <v>95986.2</v>
      </c>
      <c r="P233" s="1">
        <v>53785</v>
      </c>
      <c r="Q233" s="1">
        <v>83727</v>
      </c>
      <c r="R233" s="1">
        <v>0</v>
      </c>
    </row>
    <row r="234" spans="1:18">
      <c r="A234" s="2">
        <v>0.5</v>
      </c>
      <c r="B234" s="1">
        <v>736636</v>
      </c>
      <c r="C234" s="1">
        <v>160011</v>
      </c>
      <c r="D234" s="1">
        <v>47081.9</v>
      </c>
      <c r="E234" s="1">
        <v>0</v>
      </c>
      <c r="F234" s="1">
        <v>413502</v>
      </c>
      <c r="G234" s="1">
        <v>76994.600000000006</v>
      </c>
      <c r="H234" s="1">
        <v>376242</v>
      </c>
      <c r="I234" s="1">
        <v>690200</v>
      </c>
      <c r="J234" s="1">
        <v>52082.7</v>
      </c>
      <c r="K234" s="1">
        <v>89167.5</v>
      </c>
      <c r="L234" s="1">
        <v>3078.3</v>
      </c>
      <c r="M234" s="1">
        <v>80334.2</v>
      </c>
      <c r="N234" s="1">
        <v>151.80000000000001</v>
      </c>
      <c r="O234" s="1">
        <v>96055.2</v>
      </c>
      <c r="P234" s="1">
        <v>53796</v>
      </c>
      <c r="Q234" s="1">
        <v>83745</v>
      </c>
      <c r="R234" s="1">
        <v>0</v>
      </c>
    </row>
    <row r="235" spans="1:18">
      <c r="A235" s="2">
        <v>0.54166666666666663</v>
      </c>
      <c r="B235" s="1">
        <v>737984</v>
      </c>
      <c r="C235" s="1">
        <v>160363</v>
      </c>
      <c r="D235" s="1">
        <v>47114</v>
      </c>
      <c r="E235" s="1">
        <v>0</v>
      </c>
      <c r="F235" s="1">
        <v>413549</v>
      </c>
      <c r="G235" s="1">
        <v>77090.399999999994</v>
      </c>
      <c r="H235" s="1">
        <v>376275</v>
      </c>
      <c r="I235" s="1">
        <v>690661</v>
      </c>
      <c r="J235" s="1">
        <v>52093.599999999999</v>
      </c>
      <c r="K235" s="1">
        <v>89167.6</v>
      </c>
      <c r="L235" s="1">
        <v>3120.8</v>
      </c>
      <c r="M235" s="1">
        <v>80395.899999999994</v>
      </c>
      <c r="N235" s="1">
        <v>201.8</v>
      </c>
      <c r="O235" s="1">
        <v>96122.4</v>
      </c>
      <c r="P235" s="1">
        <v>53811</v>
      </c>
      <c r="Q235" s="1">
        <v>83767</v>
      </c>
      <c r="R235" s="1">
        <v>0</v>
      </c>
    </row>
    <row r="236" spans="1:18">
      <c r="A236" s="2">
        <v>0.58333333333333337</v>
      </c>
      <c r="B236" s="1">
        <v>739473</v>
      </c>
      <c r="C236" s="1">
        <v>160749</v>
      </c>
      <c r="D236" s="1">
        <v>47162.9</v>
      </c>
      <c r="E236" s="1">
        <v>0</v>
      </c>
      <c r="F236" s="1">
        <v>413609</v>
      </c>
      <c r="G236" s="1">
        <v>77187.8</v>
      </c>
      <c r="H236" s="1">
        <v>376318</v>
      </c>
      <c r="I236" s="1">
        <v>691160</v>
      </c>
      <c r="J236" s="1">
        <v>52105.5</v>
      </c>
      <c r="K236" s="1">
        <v>89167.6</v>
      </c>
      <c r="L236" s="1">
        <v>3175.5</v>
      </c>
      <c r="M236" s="1">
        <v>80465.399999999994</v>
      </c>
      <c r="N236" s="1">
        <v>250.7</v>
      </c>
      <c r="O236" s="1">
        <v>96196.7</v>
      </c>
      <c r="P236" s="1">
        <v>53827</v>
      </c>
      <c r="Q236" s="1">
        <v>83791</v>
      </c>
      <c r="R236" s="1">
        <v>0</v>
      </c>
    </row>
    <row r="237" spans="1:18">
      <c r="A237" s="2">
        <v>0.625</v>
      </c>
      <c r="B237" s="1">
        <v>740939</v>
      </c>
      <c r="C237" s="1">
        <v>161139</v>
      </c>
      <c r="D237" s="1">
        <v>47206.7</v>
      </c>
      <c r="E237" s="1">
        <v>0</v>
      </c>
      <c r="F237" s="1">
        <v>413670</v>
      </c>
      <c r="G237" s="1">
        <v>77297</v>
      </c>
      <c r="H237" s="1">
        <v>376360</v>
      </c>
      <c r="I237" s="1">
        <v>691642</v>
      </c>
      <c r="J237" s="1">
        <v>52117</v>
      </c>
      <c r="K237" s="1">
        <v>89167.7</v>
      </c>
      <c r="L237" s="1">
        <v>3230.5</v>
      </c>
      <c r="M237" s="1">
        <v>80536.5</v>
      </c>
      <c r="N237" s="1">
        <v>300.60000000000002</v>
      </c>
      <c r="O237" s="1">
        <v>96247.4</v>
      </c>
      <c r="P237" s="1">
        <v>53842</v>
      </c>
      <c r="Q237" s="1">
        <v>83813</v>
      </c>
      <c r="R237" s="1">
        <v>0</v>
      </c>
    </row>
    <row r="238" spans="1:18">
      <c r="A238" s="2">
        <v>0.66666666666666663</v>
      </c>
      <c r="B238" s="1">
        <v>742363</v>
      </c>
      <c r="C238" s="1">
        <v>161520</v>
      </c>
      <c r="D238" s="1">
        <v>47245.5</v>
      </c>
      <c r="E238" s="1">
        <v>0</v>
      </c>
      <c r="F238" s="1">
        <v>413720</v>
      </c>
      <c r="G238" s="1">
        <v>77432.399999999994</v>
      </c>
      <c r="H238" s="1">
        <v>376405</v>
      </c>
      <c r="I238" s="1">
        <v>692098</v>
      </c>
      <c r="J238" s="1">
        <v>52126.5</v>
      </c>
      <c r="K238" s="1">
        <v>89175.4</v>
      </c>
      <c r="L238" s="1">
        <v>3276.1</v>
      </c>
      <c r="M238" s="1">
        <v>80606.3</v>
      </c>
      <c r="N238" s="1">
        <v>356.5</v>
      </c>
      <c r="O238" s="1">
        <v>96274.7</v>
      </c>
      <c r="P238" s="1">
        <v>53845</v>
      </c>
      <c r="Q238" s="1">
        <v>83818</v>
      </c>
      <c r="R238" s="1">
        <v>0</v>
      </c>
    </row>
    <row r="239" spans="1:18">
      <c r="A239" s="2">
        <v>0.70833333333333337</v>
      </c>
      <c r="B239" s="1">
        <v>743692</v>
      </c>
      <c r="C239" s="1">
        <v>161877</v>
      </c>
      <c r="D239" s="1">
        <v>47285.4</v>
      </c>
      <c r="E239" s="1">
        <v>0</v>
      </c>
      <c r="F239" s="1">
        <v>413755</v>
      </c>
      <c r="G239" s="1">
        <v>77551.3</v>
      </c>
      <c r="H239" s="1">
        <v>376440</v>
      </c>
      <c r="I239" s="1">
        <v>692536</v>
      </c>
      <c r="J239" s="1">
        <v>52135.199999999997</v>
      </c>
      <c r="K239" s="1">
        <v>89183.7</v>
      </c>
      <c r="L239" s="1">
        <v>3317</v>
      </c>
      <c r="M239" s="1">
        <v>80673.3</v>
      </c>
      <c r="N239" s="1">
        <v>412.4</v>
      </c>
      <c r="O239" s="1">
        <v>96300.7</v>
      </c>
      <c r="P239" s="1">
        <v>53847</v>
      </c>
      <c r="Q239" s="1">
        <v>83822</v>
      </c>
      <c r="R239" s="1">
        <v>0</v>
      </c>
    </row>
    <row r="240" spans="1:18">
      <c r="A240" s="2">
        <v>0.75</v>
      </c>
      <c r="B240" s="1">
        <v>744895</v>
      </c>
      <c r="C240" s="1">
        <v>162194</v>
      </c>
      <c r="D240" s="1">
        <v>47317.599999999999</v>
      </c>
      <c r="E240" s="1">
        <v>0</v>
      </c>
      <c r="F240" s="1">
        <v>413790</v>
      </c>
      <c r="G240" s="1">
        <v>77647.199999999997</v>
      </c>
      <c r="H240" s="1">
        <v>376489</v>
      </c>
      <c r="I240" s="1">
        <v>692935</v>
      </c>
      <c r="J240" s="1">
        <v>52143.6</v>
      </c>
      <c r="K240" s="1">
        <v>89187</v>
      </c>
      <c r="L240" s="1">
        <v>3355.3</v>
      </c>
      <c r="M240" s="1">
        <v>80728.5</v>
      </c>
      <c r="N240" s="1">
        <v>468.9</v>
      </c>
      <c r="O240" s="1">
        <v>96324.2</v>
      </c>
      <c r="P240" s="1">
        <v>53849</v>
      </c>
      <c r="Q240" s="1">
        <v>83824</v>
      </c>
      <c r="R240" s="1">
        <v>0</v>
      </c>
    </row>
    <row r="241" spans="1:18">
      <c r="A241" s="2">
        <v>0.79166666666666663</v>
      </c>
      <c r="B241" s="1">
        <v>745927</v>
      </c>
      <c r="C241" s="1">
        <v>162456</v>
      </c>
      <c r="D241" s="1">
        <v>47340</v>
      </c>
      <c r="E241" s="1">
        <v>0</v>
      </c>
      <c r="F241" s="1">
        <v>413821</v>
      </c>
      <c r="G241" s="1">
        <v>77731.399999999994</v>
      </c>
      <c r="H241" s="1">
        <v>376507</v>
      </c>
      <c r="I241" s="1">
        <v>693293</v>
      </c>
      <c r="J241" s="1">
        <v>52151.7</v>
      </c>
      <c r="K241" s="1">
        <v>89190.6</v>
      </c>
      <c r="L241" s="1">
        <v>3391.9</v>
      </c>
      <c r="M241" s="1">
        <v>80777.600000000006</v>
      </c>
      <c r="N241" s="1">
        <v>525.6</v>
      </c>
      <c r="O241" s="1">
        <v>96345</v>
      </c>
      <c r="P241" s="1">
        <v>53849</v>
      </c>
      <c r="Q241" s="1">
        <v>83824</v>
      </c>
      <c r="R241" s="1">
        <v>0</v>
      </c>
    </row>
    <row r="242" spans="1:18">
      <c r="A242" s="2">
        <v>0.83333333333333337</v>
      </c>
      <c r="B242" s="1">
        <v>746852</v>
      </c>
      <c r="C242" s="1">
        <v>162673</v>
      </c>
      <c r="D242" s="1">
        <v>47361.5</v>
      </c>
      <c r="E242" s="1">
        <v>0</v>
      </c>
      <c r="F242" s="1">
        <v>413849</v>
      </c>
      <c r="G242" s="1">
        <v>77810.5</v>
      </c>
      <c r="H242" s="1">
        <v>376524</v>
      </c>
      <c r="I242" s="1">
        <v>693614</v>
      </c>
      <c r="J242" s="1">
        <v>52159.4</v>
      </c>
      <c r="K242" s="1">
        <v>89194.2</v>
      </c>
      <c r="L242" s="1">
        <v>3426.8</v>
      </c>
      <c r="M242" s="1">
        <v>80824.600000000006</v>
      </c>
      <c r="N242" s="1">
        <v>581</v>
      </c>
      <c r="O242" s="1">
        <v>96366.6</v>
      </c>
      <c r="P242" s="1">
        <v>53849</v>
      </c>
      <c r="Q242" s="1">
        <v>83824</v>
      </c>
      <c r="R242" s="1">
        <v>0</v>
      </c>
    </row>
    <row r="243" spans="1:18">
      <c r="A243" s="2">
        <v>0.875</v>
      </c>
      <c r="B243" s="1">
        <v>747696</v>
      </c>
      <c r="C243" s="1">
        <v>162871</v>
      </c>
      <c r="D243" s="1">
        <v>47382.6</v>
      </c>
      <c r="E243" s="1">
        <v>0</v>
      </c>
      <c r="F243" s="1">
        <v>413870</v>
      </c>
      <c r="G243" s="1">
        <v>77883.5</v>
      </c>
      <c r="H243" s="1">
        <v>376539</v>
      </c>
      <c r="I243" s="1">
        <v>693906</v>
      </c>
      <c r="J243" s="1">
        <v>52167</v>
      </c>
      <c r="K243" s="1">
        <v>89197.9</v>
      </c>
      <c r="L243" s="1">
        <v>3453.3</v>
      </c>
      <c r="M243" s="1">
        <v>80870.5</v>
      </c>
      <c r="N243" s="1">
        <v>636.5</v>
      </c>
      <c r="O243" s="1">
        <v>96388.7</v>
      </c>
      <c r="P243" s="1">
        <v>53849</v>
      </c>
      <c r="Q243" s="1">
        <v>83824</v>
      </c>
      <c r="R243" s="1">
        <v>0</v>
      </c>
    </row>
    <row r="244" spans="1:18">
      <c r="A244" s="2">
        <v>0.91666666666666663</v>
      </c>
      <c r="B244" s="1">
        <v>748518</v>
      </c>
      <c r="C244" s="1">
        <v>163061</v>
      </c>
      <c r="D244" s="1">
        <v>47404.5</v>
      </c>
      <c r="E244" s="1">
        <v>0</v>
      </c>
      <c r="F244" s="1">
        <v>413891</v>
      </c>
      <c r="G244" s="1">
        <v>77955.399999999994</v>
      </c>
      <c r="H244" s="1">
        <v>376551</v>
      </c>
      <c r="I244" s="1">
        <v>694191</v>
      </c>
      <c r="J244" s="1">
        <v>52174.2</v>
      </c>
      <c r="K244" s="1">
        <v>89201.3</v>
      </c>
      <c r="L244" s="1">
        <v>3479.1</v>
      </c>
      <c r="M244" s="1">
        <v>80915.7</v>
      </c>
      <c r="N244" s="1">
        <v>692.2</v>
      </c>
      <c r="O244" s="1">
        <v>96411.199999999997</v>
      </c>
      <c r="P244" s="1">
        <v>53849</v>
      </c>
      <c r="Q244" s="1">
        <v>83824</v>
      </c>
      <c r="R244" s="1">
        <v>0</v>
      </c>
    </row>
    <row r="245" spans="1:18">
      <c r="A245" s="2">
        <v>0.95833333333333337</v>
      </c>
      <c r="B245" s="1">
        <v>749305</v>
      </c>
      <c r="C245" s="1">
        <v>163252</v>
      </c>
      <c r="D245" s="1">
        <v>47423.9</v>
      </c>
      <c r="E245" s="1">
        <v>0</v>
      </c>
      <c r="F245" s="1">
        <v>413913</v>
      </c>
      <c r="G245" s="1">
        <v>78023.100000000006</v>
      </c>
      <c r="H245" s="1">
        <v>376563</v>
      </c>
      <c r="I245" s="1">
        <v>694458</v>
      </c>
      <c r="J245" s="1">
        <v>52181.5</v>
      </c>
      <c r="K245" s="1">
        <v>89204.6</v>
      </c>
      <c r="L245" s="1">
        <v>3503.7</v>
      </c>
      <c r="M245" s="1">
        <v>80958.399999999994</v>
      </c>
      <c r="N245" s="1">
        <v>746.6</v>
      </c>
      <c r="O245" s="1">
        <v>96429.5</v>
      </c>
      <c r="P245" s="1">
        <v>53849</v>
      </c>
      <c r="Q245" s="1">
        <v>83824</v>
      </c>
      <c r="R245" s="1">
        <v>0</v>
      </c>
    </row>
    <row r="246" spans="1:18">
      <c r="A246" s="2">
        <v>0</v>
      </c>
      <c r="B246" s="1">
        <v>750080</v>
      </c>
      <c r="C246" s="1">
        <v>163439</v>
      </c>
      <c r="D246" s="1">
        <v>47442.6</v>
      </c>
      <c r="E246" s="1">
        <v>0</v>
      </c>
      <c r="F246" s="1">
        <v>413935</v>
      </c>
      <c r="G246" s="1">
        <v>78088.7</v>
      </c>
      <c r="H246" s="1">
        <v>376575</v>
      </c>
      <c r="I246" s="1">
        <v>694723</v>
      </c>
      <c r="J246" s="1">
        <v>52188.6</v>
      </c>
      <c r="K246" s="1">
        <v>89207.9</v>
      </c>
      <c r="L246" s="1">
        <v>3526.7</v>
      </c>
      <c r="M246" s="1">
        <v>81000.2</v>
      </c>
      <c r="N246" s="1">
        <v>799.6</v>
      </c>
      <c r="O246" s="1">
        <v>96448.4</v>
      </c>
      <c r="P246" s="1">
        <v>53849</v>
      </c>
      <c r="Q246" s="1">
        <v>83824</v>
      </c>
      <c r="R246" s="1">
        <v>0</v>
      </c>
    </row>
    <row r="247" spans="1:18">
      <c r="A247" s="2">
        <v>4.1666666666666664E-2</v>
      </c>
      <c r="B247" s="1">
        <v>750826</v>
      </c>
      <c r="C247" s="1">
        <v>163622</v>
      </c>
      <c r="D247" s="1">
        <v>47459.8</v>
      </c>
      <c r="E247" s="1">
        <v>0</v>
      </c>
      <c r="F247" s="1">
        <v>413954</v>
      </c>
      <c r="G247" s="1">
        <v>78152.800000000003</v>
      </c>
      <c r="H247" s="1">
        <v>376586</v>
      </c>
      <c r="I247" s="1">
        <v>694974</v>
      </c>
      <c r="J247" s="1">
        <v>52195.6</v>
      </c>
      <c r="K247" s="1">
        <v>89211.199999999997</v>
      </c>
      <c r="L247" s="1">
        <v>3548.2</v>
      </c>
      <c r="M247" s="1">
        <v>81040.899999999994</v>
      </c>
      <c r="N247" s="1">
        <v>853.6</v>
      </c>
      <c r="O247" s="1">
        <v>96465.7</v>
      </c>
      <c r="P247" s="1">
        <v>53849</v>
      </c>
      <c r="Q247" s="1">
        <v>83824</v>
      </c>
      <c r="R247" s="1">
        <v>0</v>
      </c>
    </row>
    <row r="248" spans="1:18">
      <c r="A248" s="2">
        <v>8.3333333333333329E-2</v>
      </c>
      <c r="B248" s="1">
        <v>751552</v>
      </c>
      <c r="C248" s="1">
        <v>163802</v>
      </c>
      <c r="D248" s="1">
        <v>47474.5</v>
      </c>
      <c r="E248" s="1">
        <v>0</v>
      </c>
      <c r="F248" s="1">
        <v>413973</v>
      </c>
      <c r="G248" s="1">
        <v>78214.3</v>
      </c>
      <c r="H248" s="1">
        <v>376599</v>
      </c>
      <c r="I248" s="1">
        <v>695215</v>
      </c>
      <c r="J248" s="1">
        <v>52202.6</v>
      </c>
      <c r="K248" s="1">
        <v>89214.6</v>
      </c>
      <c r="L248" s="1">
        <v>3571.8</v>
      </c>
      <c r="M248" s="1">
        <v>81079</v>
      </c>
      <c r="N248" s="1">
        <v>907.7</v>
      </c>
      <c r="O248" s="1">
        <v>96483.1</v>
      </c>
      <c r="P248" s="1">
        <v>53849</v>
      </c>
      <c r="Q248" s="1">
        <v>83824</v>
      </c>
      <c r="R248" s="1">
        <v>0</v>
      </c>
    </row>
    <row r="249" spans="1:18">
      <c r="A249" s="2">
        <v>0.125</v>
      </c>
      <c r="B249" s="1">
        <v>752261</v>
      </c>
      <c r="C249" s="1">
        <v>163978</v>
      </c>
      <c r="D249" s="1">
        <v>47488.9</v>
      </c>
      <c r="E249" s="1">
        <v>0</v>
      </c>
      <c r="F249" s="1">
        <v>413992</v>
      </c>
      <c r="G249" s="1">
        <v>78272.600000000006</v>
      </c>
      <c r="H249" s="1">
        <v>376610</v>
      </c>
      <c r="I249" s="1">
        <v>695448</v>
      </c>
      <c r="J249" s="1">
        <v>52209.3</v>
      </c>
      <c r="K249" s="1">
        <v>89217.9</v>
      </c>
      <c r="L249" s="1">
        <v>3594.6</v>
      </c>
      <c r="M249" s="1">
        <v>81117.100000000006</v>
      </c>
      <c r="N249" s="1">
        <v>961.7</v>
      </c>
      <c r="O249" s="1">
        <v>96501.1</v>
      </c>
      <c r="P249" s="1">
        <v>53849</v>
      </c>
      <c r="Q249" s="1">
        <v>83824</v>
      </c>
      <c r="R249" s="1">
        <v>0</v>
      </c>
    </row>
    <row r="250" spans="1:18">
      <c r="A250" s="2">
        <v>0.16666666666666666</v>
      </c>
      <c r="B250" s="1">
        <v>752971</v>
      </c>
      <c r="C250" s="1">
        <v>164153</v>
      </c>
      <c r="D250" s="1">
        <v>47503.3</v>
      </c>
      <c r="E250" s="1">
        <v>0</v>
      </c>
      <c r="F250" s="1">
        <v>414010</v>
      </c>
      <c r="G250" s="1">
        <v>78330.3</v>
      </c>
      <c r="H250" s="1">
        <v>376622</v>
      </c>
      <c r="I250" s="1">
        <v>695684</v>
      </c>
      <c r="J250" s="1">
        <v>52216</v>
      </c>
      <c r="K250" s="1">
        <v>89221</v>
      </c>
      <c r="L250" s="1">
        <v>3617.7</v>
      </c>
      <c r="M250" s="1">
        <v>81155.199999999997</v>
      </c>
      <c r="N250" s="1">
        <v>1016</v>
      </c>
      <c r="O250" s="1">
        <v>96518.3</v>
      </c>
      <c r="P250" s="1">
        <v>53849</v>
      </c>
      <c r="Q250" s="1">
        <v>83824</v>
      </c>
      <c r="R250" s="1">
        <v>0</v>
      </c>
    </row>
    <row r="251" spans="1:18">
      <c r="A251" s="2">
        <v>0.20833333333333334</v>
      </c>
      <c r="B251" s="1">
        <v>753673</v>
      </c>
      <c r="C251" s="1">
        <v>164325</v>
      </c>
      <c r="D251" s="1">
        <v>47517.599999999999</v>
      </c>
      <c r="E251" s="1">
        <v>0</v>
      </c>
      <c r="F251" s="1">
        <v>414027</v>
      </c>
      <c r="G251" s="1">
        <v>78387.8</v>
      </c>
      <c r="H251" s="1">
        <v>376634</v>
      </c>
      <c r="I251" s="1">
        <v>695916</v>
      </c>
      <c r="J251" s="1">
        <v>52222.8</v>
      </c>
      <c r="K251" s="1">
        <v>89224.3</v>
      </c>
      <c r="L251" s="1">
        <v>3640.1</v>
      </c>
      <c r="M251" s="1">
        <v>81194.899999999994</v>
      </c>
      <c r="N251" s="1">
        <v>1069.4000000000001</v>
      </c>
      <c r="O251" s="1">
        <v>96536.4</v>
      </c>
      <c r="P251" s="1">
        <v>53849</v>
      </c>
      <c r="Q251" s="1">
        <v>83824</v>
      </c>
      <c r="R251" s="1">
        <v>0</v>
      </c>
    </row>
    <row r="252" spans="1:18">
      <c r="A252" s="2">
        <v>0.25</v>
      </c>
      <c r="B252" s="1">
        <v>754381</v>
      </c>
      <c r="C252" s="1">
        <v>164499</v>
      </c>
      <c r="D252" s="1">
        <v>47532.1</v>
      </c>
      <c r="E252" s="1">
        <v>0</v>
      </c>
      <c r="F252" s="1">
        <v>414045</v>
      </c>
      <c r="G252" s="1">
        <v>78445.600000000006</v>
      </c>
      <c r="H252" s="1">
        <v>376645</v>
      </c>
      <c r="I252" s="1">
        <v>696150</v>
      </c>
      <c r="J252" s="1">
        <v>52229.4</v>
      </c>
      <c r="K252" s="1">
        <v>89227.6</v>
      </c>
      <c r="L252" s="1">
        <v>3662.4</v>
      </c>
      <c r="M252" s="1">
        <v>81232.3</v>
      </c>
      <c r="N252" s="1">
        <v>1123.8</v>
      </c>
      <c r="O252" s="1">
        <v>96556.2</v>
      </c>
      <c r="P252" s="1">
        <v>53849</v>
      </c>
      <c r="Q252" s="1">
        <v>83824</v>
      </c>
      <c r="R252" s="1">
        <v>0</v>
      </c>
    </row>
    <row r="253" spans="1:18">
      <c r="A253" s="2">
        <v>0.29166666666666669</v>
      </c>
      <c r="B253" s="1">
        <v>755094</v>
      </c>
      <c r="C253" s="1">
        <v>164681</v>
      </c>
      <c r="D253" s="1">
        <v>47546.400000000001</v>
      </c>
      <c r="E253" s="1">
        <v>0</v>
      </c>
      <c r="F253" s="1">
        <v>414062</v>
      </c>
      <c r="G253" s="1">
        <v>78504.800000000003</v>
      </c>
      <c r="H253" s="1">
        <v>376657</v>
      </c>
      <c r="I253" s="1">
        <v>696384</v>
      </c>
      <c r="J253" s="1">
        <v>52236.1</v>
      </c>
      <c r="K253" s="1">
        <v>89230.8</v>
      </c>
      <c r="L253" s="1">
        <v>3683.3</v>
      </c>
      <c r="M253" s="1">
        <v>81268</v>
      </c>
      <c r="N253" s="1">
        <v>1178</v>
      </c>
      <c r="O253" s="1">
        <v>96575.3</v>
      </c>
      <c r="P253" s="1">
        <v>53849</v>
      </c>
      <c r="Q253" s="1">
        <v>83824</v>
      </c>
      <c r="R253" s="1">
        <v>0</v>
      </c>
    </row>
    <row r="254" spans="1:18">
      <c r="A254" s="2">
        <v>0.33333333333333331</v>
      </c>
      <c r="B254" s="1">
        <v>755824</v>
      </c>
      <c r="C254" s="1">
        <v>164868</v>
      </c>
      <c r="D254" s="1">
        <v>47560.4</v>
      </c>
      <c r="E254" s="1">
        <v>0</v>
      </c>
      <c r="F254" s="1">
        <v>414079</v>
      </c>
      <c r="G254" s="1">
        <v>78563.199999999997</v>
      </c>
      <c r="H254" s="1">
        <v>376669</v>
      </c>
      <c r="I254" s="1">
        <v>696625</v>
      </c>
      <c r="J254" s="1">
        <v>52242.9</v>
      </c>
      <c r="K254" s="1">
        <v>89233.1</v>
      </c>
      <c r="L254" s="1">
        <v>3705.4</v>
      </c>
      <c r="M254" s="1">
        <v>81303.600000000006</v>
      </c>
      <c r="N254" s="1">
        <v>1231</v>
      </c>
      <c r="O254" s="1">
        <v>96598.1</v>
      </c>
      <c r="P254" s="1">
        <v>53850</v>
      </c>
      <c r="Q254" s="1">
        <v>83826</v>
      </c>
      <c r="R254" s="1">
        <v>0</v>
      </c>
    </row>
    <row r="255" spans="1:18">
      <c r="A255" s="2">
        <v>0.375</v>
      </c>
      <c r="B255" s="1">
        <v>756667</v>
      </c>
      <c r="C255" s="1">
        <v>165085</v>
      </c>
      <c r="D255" s="1">
        <v>47578.400000000001</v>
      </c>
      <c r="E255" s="1">
        <v>0</v>
      </c>
      <c r="F255" s="1">
        <v>414102</v>
      </c>
      <c r="G255" s="1">
        <v>78626</v>
      </c>
      <c r="H255" s="1">
        <v>376683</v>
      </c>
      <c r="I255" s="1">
        <v>696895</v>
      </c>
      <c r="J255" s="1">
        <v>52249.5</v>
      </c>
      <c r="K255" s="1">
        <v>89239.2</v>
      </c>
      <c r="L255" s="1">
        <v>3731.3</v>
      </c>
      <c r="M255" s="1">
        <v>81344.100000000006</v>
      </c>
      <c r="N255" s="1">
        <v>1285.5</v>
      </c>
      <c r="O255" s="1">
        <v>96633.3</v>
      </c>
      <c r="P255" s="1">
        <v>53850</v>
      </c>
      <c r="Q255" s="1">
        <v>83826</v>
      </c>
      <c r="R255" s="1">
        <v>0</v>
      </c>
    </row>
    <row r="256" spans="1:18">
      <c r="A256" s="2">
        <v>0.41666666666666669</v>
      </c>
      <c r="B256" s="1">
        <v>757667</v>
      </c>
      <c r="C256" s="1">
        <v>165342</v>
      </c>
      <c r="D256" s="1">
        <v>47599.199999999997</v>
      </c>
      <c r="E256" s="1">
        <v>0</v>
      </c>
      <c r="F256" s="1">
        <v>414128</v>
      </c>
      <c r="G256" s="1">
        <v>78698.899999999994</v>
      </c>
      <c r="H256" s="1">
        <v>376696</v>
      </c>
      <c r="I256" s="1">
        <v>697228</v>
      </c>
      <c r="J256" s="1">
        <v>52256.1</v>
      </c>
      <c r="K256" s="1">
        <v>89246.9</v>
      </c>
      <c r="L256" s="1">
        <v>3760.2</v>
      </c>
      <c r="M256" s="1">
        <v>81388.800000000003</v>
      </c>
      <c r="N256" s="1">
        <v>1339.7</v>
      </c>
      <c r="O256" s="1">
        <v>96683.7</v>
      </c>
      <c r="P256" s="1">
        <v>53851</v>
      </c>
      <c r="Q256" s="1">
        <v>83827</v>
      </c>
      <c r="R256" s="1">
        <v>0</v>
      </c>
    </row>
    <row r="257" spans="1:18">
      <c r="A257" s="2">
        <v>0.45833333333333331</v>
      </c>
      <c r="B257" s="1">
        <v>758760</v>
      </c>
      <c r="C257" s="1">
        <v>165622</v>
      </c>
      <c r="D257" s="1">
        <v>47622.5</v>
      </c>
      <c r="E257" s="1">
        <v>0</v>
      </c>
      <c r="F257" s="1">
        <v>414169</v>
      </c>
      <c r="G257" s="1">
        <v>78783.7</v>
      </c>
      <c r="H257" s="1">
        <v>376708</v>
      </c>
      <c r="I257" s="1">
        <v>697582</v>
      </c>
      <c r="J257" s="1">
        <v>52262.3</v>
      </c>
      <c r="K257" s="1">
        <v>89255.2</v>
      </c>
      <c r="L257" s="1">
        <v>3790.7</v>
      </c>
      <c r="M257" s="1">
        <v>81435.199999999997</v>
      </c>
      <c r="N257" s="1">
        <v>1397.6</v>
      </c>
      <c r="O257" s="1">
        <v>96752.6</v>
      </c>
      <c r="P257" s="1">
        <v>53851</v>
      </c>
      <c r="Q257" s="1">
        <v>83828</v>
      </c>
      <c r="R257" s="1">
        <v>0</v>
      </c>
    </row>
    <row r="258" spans="1:18">
      <c r="A258" s="2">
        <v>0.5</v>
      </c>
      <c r="B258" s="1">
        <v>759903</v>
      </c>
      <c r="C258" s="1">
        <v>165917</v>
      </c>
      <c r="D258" s="1">
        <v>47645.5</v>
      </c>
      <c r="E258" s="1">
        <v>0</v>
      </c>
      <c r="F258" s="1">
        <v>414211</v>
      </c>
      <c r="G258" s="1">
        <v>78872.5</v>
      </c>
      <c r="H258" s="1">
        <v>376720</v>
      </c>
      <c r="I258" s="1">
        <v>697971</v>
      </c>
      <c r="J258" s="1">
        <v>52268.800000000003</v>
      </c>
      <c r="K258" s="1">
        <v>89262.3</v>
      </c>
      <c r="L258" s="1">
        <v>3822</v>
      </c>
      <c r="M258" s="1">
        <v>81483.600000000006</v>
      </c>
      <c r="N258" s="1">
        <v>1449.5</v>
      </c>
      <c r="O258" s="1">
        <v>96816.8</v>
      </c>
      <c r="P258" s="1">
        <v>53853</v>
      </c>
      <c r="Q258" s="1">
        <v>83832</v>
      </c>
      <c r="R258" s="1">
        <v>0</v>
      </c>
    </row>
    <row r="259" spans="1:18">
      <c r="A259" s="2">
        <v>0.54166666666666663</v>
      </c>
      <c r="B259" s="1">
        <v>761044</v>
      </c>
      <c r="C259" s="1">
        <v>166215</v>
      </c>
      <c r="D259" s="1">
        <v>47668.7</v>
      </c>
      <c r="E259" s="1">
        <v>0</v>
      </c>
      <c r="F259" s="1">
        <v>414252</v>
      </c>
      <c r="G259" s="1">
        <v>78957.3</v>
      </c>
      <c r="H259" s="1">
        <v>376732</v>
      </c>
      <c r="I259" s="1">
        <v>698372</v>
      </c>
      <c r="J259" s="1">
        <v>52275.199999999997</v>
      </c>
      <c r="K259" s="1">
        <v>89264.9</v>
      </c>
      <c r="L259" s="1">
        <v>3853</v>
      </c>
      <c r="M259" s="1">
        <v>81529</v>
      </c>
      <c r="N259" s="1">
        <v>1499.4</v>
      </c>
      <c r="O259" s="1">
        <v>96880.8</v>
      </c>
      <c r="P259" s="1">
        <v>53859</v>
      </c>
      <c r="Q259" s="1">
        <v>83840</v>
      </c>
      <c r="R259" s="1">
        <v>0</v>
      </c>
    </row>
    <row r="260" spans="1:18">
      <c r="A260" s="2">
        <v>0.58333333333333337</v>
      </c>
      <c r="B260" s="1">
        <v>762251</v>
      </c>
      <c r="C260" s="1">
        <v>166531</v>
      </c>
      <c r="D260" s="1">
        <v>47694.3</v>
      </c>
      <c r="E260" s="1">
        <v>0</v>
      </c>
      <c r="F260" s="1">
        <v>414293</v>
      </c>
      <c r="G260" s="1">
        <v>79042.2</v>
      </c>
      <c r="H260" s="1">
        <v>376745</v>
      </c>
      <c r="I260" s="1">
        <v>698800</v>
      </c>
      <c r="J260" s="1">
        <v>52283.1</v>
      </c>
      <c r="K260" s="1">
        <v>89265.1</v>
      </c>
      <c r="L260" s="1">
        <v>3887.4</v>
      </c>
      <c r="M260" s="1">
        <v>81574.899999999994</v>
      </c>
      <c r="N260" s="1">
        <v>1545.9</v>
      </c>
      <c r="O260" s="1">
        <v>96956.2</v>
      </c>
      <c r="P260" s="1">
        <v>53867</v>
      </c>
      <c r="Q260" s="1">
        <v>83852</v>
      </c>
      <c r="R260" s="1">
        <v>0</v>
      </c>
    </row>
    <row r="261" spans="1:18">
      <c r="A261" s="2">
        <v>0.625</v>
      </c>
      <c r="B261" s="1">
        <v>763494</v>
      </c>
      <c r="C261" s="1">
        <v>166865</v>
      </c>
      <c r="D261" s="1">
        <v>47729</v>
      </c>
      <c r="E261" s="1">
        <v>0</v>
      </c>
      <c r="F261" s="1">
        <v>414341</v>
      </c>
      <c r="G261" s="1">
        <v>79127.7</v>
      </c>
      <c r="H261" s="1">
        <v>376757</v>
      </c>
      <c r="I261" s="1">
        <v>699244</v>
      </c>
      <c r="J261" s="1">
        <v>52291.5</v>
      </c>
      <c r="K261" s="1">
        <v>89265.2</v>
      </c>
      <c r="L261" s="1">
        <v>3927</v>
      </c>
      <c r="M261" s="1">
        <v>81622.7</v>
      </c>
      <c r="N261" s="1">
        <v>1592.3</v>
      </c>
      <c r="O261" s="1">
        <v>97006.6</v>
      </c>
      <c r="P261" s="1">
        <v>53877</v>
      </c>
      <c r="Q261" s="1">
        <v>83868</v>
      </c>
      <c r="R261" s="1">
        <v>0</v>
      </c>
    </row>
    <row r="262" spans="1:18">
      <c r="A262" s="2">
        <v>0.66666666666666663</v>
      </c>
      <c r="B262" s="1">
        <v>764710</v>
      </c>
      <c r="C262" s="1">
        <v>167203</v>
      </c>
      <c r="D262" s="1">
        <v>47760.1</v>
      </c>
      <c r="E262" s="1">
        <v>0</v>
      </c>
      <c r="F262" s="1">
        <v>414389</v>
      </c>
      <c r="G262" s="1">
        <v>79213.7</v>
      </c>
      <c r="H262" s="1">
        <v>376770</v>
      </c>
      <c r="I262" s="1">
        <v>699676</v>
      </c>
      <c r="J262" s="1">
        <v>52301.3</v>
      </c>
      <c r="K262" s="1">
        <v>89265.7</v>
      </c>
      <c r="L262" s="1">
        <v>3966.5</v>
      </c>
      <c r="M262" s="1">
        <v>81668.899999999994</v>
      </c>
      <c r="N262" s="1">
        <v>1642</v>
      </c>
      <c r="O262" s="1">
        <v>97032</v>
      </c>
      <c r="P262" s="1">
        <v>53884</v>
      </c>
      <c r="Q262" s="1">
        <v>83880</v>
      </c>
      <c r="R262" s="1">
        <v>0</v>
      </c>
    </row>
    <row r="263" spans="1:18">
      <c r="A263" s="2">
        <v>0.70833333333333337</v>
      </c>
      <c r="B263" s="1">
        <v>765871</v>
      </c>
      <c r="C263" s="1">
        <v>167528</v>
      </c>
      <c r="D263" s="1">
        <v>47789.5</v>
      </c>
      <c r="E263" s="1">
        <v>0</v>
      </c>
      <c r="F263" s="1">
        <v>414429</v>
      </c>
      <c r="G263" s="1">
        <v>79297.899999999994</v>
      </c>
      <c r="H263" s="1">
        <v>376782</v>
      </c>
      <c r="I263" s="1">
        <v>700077</v>
      </c>
      <c r="J263" s="1">
        <v>52312.4</v>
      </c>
      <c r="K263" s="1">
        <v>89267.9</v>
      </c>
      <c r="L263" s="1">
        <v>4005.3</v>
      </c>
      <c r="M263" s="1">
        <v>81714.5</v>
      </c>
      <c r="N263" s="1">
        <v>1695</v>
      </c>
      <c r="O263" s="1">
        <v>97056.2</v>
      </c>
      <c r="P263" s="1">
        <v>53890</v>
      </c>
      <c r="Q263" s="1">
        <v>83889</v>
      </c>
      <c r="R263" s="1">
        <v>0</v>
      </c>
    </row>
    <row r="264" spans="1:18">
      <c r="A264" s="2">
        <v>0.75</v>
      </c>
      <c r="B264" s="1">
        <v>766905</v>
      </c>
      <c r="C264" s="1">
        <v>167820</v>
      </c>
      <c r="D264" s="1">
        <v>47814.5</v>
      </c>
      <c r="E264" s="1">
        <v>0</v>
      </c>
      <c r="F264" s="1">
        <v>414459</v>
      </c>
      <c r="G264" s="1">
        <v>79372.399999999994</v>
      </c>
      <c r="H264" s="1">
        <v>376793</v>
      </c>
      <c r="I264" s="1">
        <v>700430</v>
      </c>
      <c r="J264" s="1">
        <v>52321.2</v>
      </c>
      <c r="K264" s="1">
        <v>89270.2</v>
      </c>
      <c r="L264" s="1">
        <v>4039.9</v>
      </c>
      <c r="M264" s="1">
        <v>81756.899999999994</v>
      </c>
      <c r="N264" s="1">
        <v>1750.6</v>
      </c>
      <c r="O264" s="1">
        <v>97079.1</v>
      </c>
      <c r="P264" s="1">
        <v>53891</v>
      </c>
      <c r="Q264" s="1">
        <v>83891</v>
      </c>
      <c r="R264" s="1">
        <v>0</v>
      </c>
    </row>
    <row r="265" spans="1:18">
      <c r="A265" s="2">
        <v>0.79166666666666663</v>
      </c>
      <c r="B265" s="1">
        <v>767830</v>
      </c>
      <c r="C265" s="1">
        <v>168059</v>
      </c>
      <c r="D265" s="1">
        <v>47838.8</v>
      </c>
      <c r="E265" s="1">
        <v>0</v>
      </c>
      <c r="F265" s="1">
        <v>414487</v>
      </c>
      <c r="G265" s="1">
        <v>79436.100000000006</v>
      </c>
      <c r="H265" s="1">
        <v>376805</v>
      </c>
      <c r="I265" s="1">
        <v>700763</v>
      </c>
      <c r="J265" s="1">
        <v>52329.9</v>
      </c>
      <c r="K265" s="1">
        <v>89273.8</v>
      </c>
      <c r="L265" s="1">
        <v>4068</v>
      </c>
      <c r="M265" s="1">
        <v>81792.5</v>
      </c>
      <c r="N265" s="1">
        <v>1805.5</v>
      </c>
      <c r="O265" s="1">
        <v>97099.4</v>
      </c>
      <c r="P265" s="1">
        <v>53891</v>
      </c>
      <c r="Q265" s="1">
        <v>83891</v>
      </c>
      <c r="R265" s="1">
        <v>0</v>
      </c>
    </row>
    <row r="266" spans="1:18">
      <c r="A266" s="2">
        <v>0.83333333333333337</v>
      </c>
      <c r="B266" s="1">
        <v>768666</v>
      </c>
      <c r="C266" s="1">
        <v>168281</v>
      </c>
      <c r="D266" s="1">
        <v>47858.3</v>
      </c>
      <c r="E266" s="1">
        <v>0</v>
      </c>
      <c r="F266" s="1">
        <v>414511</v>
      </c>
      <c r="G266" s="1">
        <v>79496.7</v>
      </c>
      <c r="H266" s="1">
        <v>376817</v>
      </c>
      <c r="I266" s="1">
        <v>701052</v>
      </c>
      <c r="J266" s="1">
        <v>52336.7</v>
      </c>
      <c r="K266" s="1">
        <v>89277.3</v>
      </c>
      <c r="L266" s="1">
        <v>4094.3</v>
      </c>
      <c r="M266" s="1">
        <v>81827.600000000006</v>
      </c>
      <c r="N266" s="1">
        <v>1858.4</v>
      </c>
      <c r="O266" s="1">
        <v>97121.3</v>
      </c>
      <c r="P266" s="1">
        <v>53891</v>
      </c>
      <c r="Q266" s="1">
        <v>83891</v>
      </c>
      <c r="R266" s="1">
        <v>0</v>
      </c>
    </row>
    <row r="267" spans="1:18">
      <c r="A267" s="2">
        <v>0.875</v>
      </c>
      <c r="B267" s="1">
        <v>769447</v>
      </c>
      <c r="C267" s="1">
        <v>168481</v>
      </c>
      <c r="D267" s="1">
        <v>47876.3</v>
      </c>
      <c r="E267" s="1">
        <v>0</v>
      </c>
      <c r="F267" s="1">
        <v>414535</v>
      </c>
      <c r="G267" s="1">
        <v>79554.8</v>
      </c>
      <c r="H267" s="1">
        <v>376829</v>
      </c>
      <c r="I267" s="1">
        <v>701315</v>
      </c>
      <c r="J267" s="1">
        <v>52343.4</v>
      </c>
      <c r="K267" s="1">
        <v>89280.6</v>
      </c>
      <c r="L267" s="1">
        <v>4116.6000000000004</v>
      </c>
      <c r="M267" s="1">
        <v>81862.7</v>
      </c>
      <c r="N267" s="1">
        <v>1912.5</v>
      </c>
      <c r="O267" s="1">
        <v>97144</v>
      </c>
      <c r="P267" s="1">
        <v>53891</v>
      </c>
      <c r="Q267" s="1">
        <v>83891</v>
      </c>
      <c r="R267" s="1">
        <v>0</v>
      </c>
    </row>
    <row r="268" spans="1:18">
      <c r="A268" s="2">
        <v>0.91666666666666663</v>
      </c>
      <c r="B268" s="1">
        <v>770188</v>
      </c>
      <c r="C268" s="1">
        <v>168673</v>
      </c>
      <c r="D268" s="1">
        <v>47893.2</v>
      </c>
      <c r="E268" s="1">
        <v>0</v>
      </c>
      <c r="F268" s="1">
        <v>414555</v>
      </c>
      <c r="G268" s="1">
        <v>79611</v>
      </c>
      <c r="H268" s="1">
        <v>376842</v>
      </c>
      <c r="I268" s="1">
        <v>701560</v>
      </c>
      <c r="J268" s="1">
        <v>52349.9</v>
      </c>
      <c r="K268" s="1">
        <v>89283.9</v>
      </c>
      <c r="L268" s="1">
        <v>4138</v>
      </c>
      <c r="M268" s="1">
        <v>81895.7</v>
      </c>
      <c r="N268" s="1">
        <v>1966</v>
      </c>
      <c r="O268" s="1">
        <v>97164.7</v>
      </c>
      <c r="P268" s="1">
        <v>53891</v>
      </c>
      <c r="Q268" s="1">
        <v>83891</v>
      </c>
      <c r="R268" s="1">
        <v>0</v>
      </c>
    </row>
    <row r="269" spans="1:18">
      <c r="A269" s="2">
        <v>0.95833333333333337</v>
      </c>
      <c r="B269" s="1">
        <v>770914</v>
      </c>
      <c r="C269" s="1">
        <v>168858</v>
      </c>
      <c r="D269" s="1">
        <v>47910.1</v>
      </c>
      <c r="E269" s="1">
        <v>0</v>
      </c>
      <c r="F269" s="1">
        <v>414575</v>
      </c>
      <c r="G269" s="1">
        <v>79667.8</v>
      </c>
      <c r="H269" s="1">
        <v>376854</v>
      </c>
      <c r="I269" s="1">
        <v>701803</v>
      </c>
      <c r="J269" s="1">
        <v>52356.5</v>
      </c>
      <c r="K269" s="1">
        <v>89287.2</v>
      </c>
      <c r="L269" s="1">
        <v>4159.8</v>
      </c>
      <c r="M269" s="1">
        <v>81928.2</v>
      </c>
      <c r="N269" s="1">
        <v>2019.8</v>
      </c>
      <c r="O269" s="1">
        <v>97182.2</v>
      </c>
      <c r="P269" s="1">
        <v>53891</v>
      </c>
      <c r="Q269" s="1">
        <v>83891</v>
      </c>
      <c r="R269" s="1">
        <v>0</v>
      </c>
    </row>
    <row r="270" spans="1:18">
      <c r="A270" s="2">
        <v>0</v>
      </c>
      <c r="B270" s="1">
        <v>771635</v>
      </c>
      <c r="C270" s="1">
        <v>169040</v>
      </c>
      <c r="D270" s="1">
        <v>47929.3</v>
      </c>
      <c r="E270" s="1">
        <v>0</v>
      </c>
      <c r="F270" s="1">
        <v>414592</v>
      </c>
      <c r="G270" s="1">
        <v>79724.2</v>
      </c>
      <c r="H270" s="1">
        <v>376866</v>
      </c>
      <c r="I270" s="1">
        <v>702046</v>
      </c>
      <c r="J270" s="1">
        <v>52363.199999999997</v>
      </c>
      <c r="K270" s="1">
        <v>89290.5</v>
      </c>
      <c r="L270" s="1">
        <v>4181.1000000000004</v>
      </c>
      <c r="M270" s="1">
        <v>81961.100000000006</v>
      </c>
      <c r="N270" s="1">
        <v>2072.1</v>
      </c>
      <c r="O270" s="1">
        <v>97200.9</v>
      </c>
      <c r="P270" s="1">
        <v>53891</v>
      </c>
      <c r="Q270" s="1">
        <v>83891</v>
      </c>
      <c r="R270" s="1">
        <v>0</v>
      </c>
    </row>
    <row r="271" spans="1:18">
      <c r="A271" s="2">
        <v>4.1666666666666664E-2</v>
      </c>
      <c r="B271" s="1">
        <v>772341</v>
      </c>
      <c r="C271" s="1">
        <v>169220</v>
      </c>
      <c r="D271" s="1">
        <v>47946.400000000001</v>
      </c>
      <c r="E271" s="1">
        <v>0</v>
      </c>
      <c r="F271" s="1">
        <v>414607</v>
      </c>
      <c r="G271" s="1">
        <v>79776.399999999994</v>
      </c>
      <c r="H271" s="1">
        <v>376878</v>
      </c>
      <c r="I271" s="1">
        <v>702290</v>
      </c>
      <c r="J271" s="1">
        <v>52369.5</v>
      </c>
      <c r="K271" s="1">
        <v>89293.7</v>
      </c>
      <c r="L271" s="1">
        <v>4201.7</v>
      </c>
      <c r="M271" s="1">
        <v>81993.2</v>
      </c>
      <c r="N271" s="1">
        <v>2125.5</v>
      </c>
      <c r="O271" s="1">
        <v>97216.9</v>
      </c>
      <c r="P271" s="1">
        <v>53891</v>
      </c>
      <c r="Q271" s="1">
        <v>83891</v>
      </c>
      <c r="R271" s="1">
        <v>0</v>
      </c>
    </row>
    <row r="272" spans="1:18">
      <c r="A272" s="2">
        <v>8.3333333333333329E-2</v>
      </c>
      <c r="B272" s="1">
        <v>773038</v>
      </c>
      <c r="C272" s="1">
        <v>169391</v>
      </c>
      <c r="D272" s="1">
        <v>47963.8</v>
      </c>
      <c r="E272" s="1">
        <v>0</v>
      </c>
      <c r="F272" s="1">
        <v>414621</v>
      </c>
      <c r="G272" s="1">
        <v>79829.899999999994</v>
      </c>
      <c r="H272" s="1">
        <v>376889</v>
      </c>
      <c r="I272" s="1">
        <v>702534</v>
      </c>
      <c r="J272" s="1">
        <v>52376.1</v>
      </c>
      <c r="K272" s="1">
        <v>89296.9</v>
      </c>
      <c r="L272" s="1">
        <v>4221.3999999999996</v>
      </c>
      <c r="M272" s="1">
        <v>82024.899999999994</v>
      </c>
      <c r="N272" s="1">
        <v>2179.1999999999998</v>
      </c>
      <c r="O272" s="1">
        <v>97234.1</v>
      </c>
      <c r="P272" s="1">
        <v>53891</v>
      </c>
      <c r="Q272" s="1">
        <v>83891</v>
      </c>
      <c r="R272" s="1">
        <v>0</v>
      </c>
    </row>
    <row r="273" spans="1:18">
      <c r="A273" s="2">
        <v>0.125</v>
      </c>
      <c r="B273" s="1">
        <v>773721</v>
      </c>
      <c r="C273" s="1">
        <v>169556</v>
      </c>
      <c r="D273" s="1">
        <v>47978.8</v>
      </c>
      <c r="E273" s="1">
        <v>0</v>
      </c>
      <c r="F273" s="1">
        <v>414636</v>
      </c>
      <c r="G273" s="1">
        <v>79881.600000000006</v>
      </c>
      <c r="H273" s="1">
        <v>376900</v>
      </c>
      <c r="I273" s="1">
        <v>702772</v>
      </c>
      <c r="J273" s="1">
        <v>52382.400000000001</v>
      </c>
      <c r="K273" s="1">
        <v>89300.2</v>
      </c>
      <c r="L273" s="1">
        <v>4243.1000000000004</v>
      </c>
      <c r="M273" s="1">
        <v>82057.100000000006</v>
      </c>
      <c r="N273" s="1">
        <v>2232.5</v>
      </c>
      <c r="O273" s="1">
        <v>97251.1</v>
      </c>
      <c r="P273" s="1">
        <v>53891</v>
      </c>
      <c r="Q273" s="1">
        <v>83891</v>
      </c>
      <c r="R273" s="1">
        <v>0</v>
      </c>
    </row>
    <row r="274" spans="1:18">
      <c r="A274" s="2">
        <v>0.16666666666666666</v>
      </c>
      <c r="B274" s="1">
        <v>774388</v>
      </c>
      <c r="C274" s="1">
        <v>169715</v>
      </c>
      <c r="D274" s="1">
        <v>47994.2</v>
      </c>
      <c r="E274" s="1">
        <v>0</v>
      </c>
      <c r="F274" s="1">
        <v>414650</v>
      </c>
      <c r="G274" s="1">
        <v>79932.2</v>
      </c>
      <c r="H274" s="1">
        <v>376911</v>
      </c>
      <c r="I274" s="1">
        <v>703005</v>
      </c>
      <c r="J274" s="1">
        <v>52388.6</v>
      </c>
      <c r="K274" s="1">
        <v>89303.4</v>
      </c>
      <c r="L274" s="1">
        <v>4263.1000000000004</v>
      </c>
      <c r="M274" s="1">
        <v>82089</v>
      </c>
      <c r="N274" s="1">
        <v>2284.4</v>
      </c>
      <c r="O274" s="1">
        <v>97268.5</v>
      </c>
      <c r="P274" s="1">
        <v>53891</v>
      </c>
      <c r="Q274" s="1">
        <v>83891</v>
      </c>
      <c r="R274" s="1">
        <v>0</v>
      </c>
    </row>
    <row r="275" spans="1:18">
      <c r="A275" s="2">
        <v>0.20833333333333334</v>
      </c>
      <c r="B275" s="1">
        <v>775058</v>
      </c>
      <c r="C275" s="1">
        <v>169871</v>
      </c>
      <c r="D275" s="1">
        <v>48008.5</v>
      </c>
      <c r="E275" s="1">
        <v>0</v>
      </c>
      <c r="F275" s="1">
        <v>414664</v>
      </c>
      <c r="G275" s="1">
        <v>79984.899999999994</v>
      </c>
      <c r="H275" s="1">
        <v>376923</v>
      </c>
      <c r="I275" s="1">
        <v>703241</v>
      </c>
      <c r="J275" s="1">
        <v>52394.8</v>
      </c>
      <c r="K275" s="1">
        <v>89306.5</v>
      </c>
      <c r="L275" s="1">
        <v>4283</v>
      </c>
      <c r="M275" s="1">
        <v>82120.899999999994</v>
      </c>
      <c r="N275" s="1">
        <v>2338</v>
      </c>
      <c r="O275" s="1">
        <v>97286.2</v>
      </c>
      <c r="P275" s="1">
        <v>53891</v>
      </c>
      <c r="Q275" s="1">
        <v>83891</v>
      </c>
      <c r="R275" s="1">
        <v>0</v>
      </c>
    </row>
    <row r="276" spans="1:18">
      <c r="A276" s="2">
        <v>0.25</v>
      </c>
      <c r="B276" s="1">
        <v>775734</v>
      </c>
      <c r="C276" s="1">
        <v>170027</v>
      </c>
      <c r="D276" s="1">
        <v>48022.5</v>
      </c>
      <c r="E276" s="1">
        <v>0</v>
      </c>
      <c r="F276" s="1">
        <v>414678</v>
      </c>
      <c r="G276" s="1">
        <v>80037.100000000006</v>
      </c>
      <c r="H276" s="1">
        <v>376935</v>
      </c>
      <c r="I276" s="1">
        <v>703479</v>
      </c>
      <c r="J276" s="1">
        <v>52401.1</v>
      </c>
      <c r="K276" s="1">
        <v>89309.8</v>
      </c>
      <c r="L276" s="1">
        <v>4303.8</v>
      </c>
      <c r="M276" s="1">
        <v>82152.7</v>
      </c>
      <c r="N276" s="1">
        <v>2391.1999999999998</v>
      </c>
      <c r="O276" s="1">
        <v>97305.2</v>
      </c>
      <c r="P276" s="1">
        <v>53891</v>
      </c>
      <c r="Q276" s="1">
        <v>83891</v>
      </c>
      <c r="R276" s="1">
        <v>0</v>
      </c>
    </row>
    <row r="277" spans="1:18">
      <c r="A277" s="2">
        <v>0.29166666666666669</v>
      </c>
      <c r="B277" s="1">
        <v>776403</v>
      </c>
      <c r="C277" s="1">
        <v>170182</v>
      </c>
      <c r="D277" s="1">
        <v>48036.3</v>
      </c>
      <c r="E277" s="1">
        <v>0</v>
      </c>
      <c r="F277" s="1">
        <v>414692</v>
      </c>
      <c r="G277" s="1">
        <v>80086.7</v>
      </c>
      <c r="H277" s="1">
        <v>376947</v>
      </c>
      <c r="I277" s="1">
        <v>703715</v>
      </c>
      <c r="J277" s="1">
        <v>52407.3</v>
      </c>
      <c r="K277" s="1">
        <v>89312.6</v>
      </c>
      <c r="L277" s="1">
        <v>4323.1000000000004</v>
      </c>
      <c r="M277" s="1">
        <v>82183.899999999994</v>
      </c>
      <c r="N277" s="1">
        <v>2444.6</v>
      </c>
      <c r="O277" s="1">
        <v>97324.9</v>
      </c>
      <c r="P277" s="1">
        <v>53892</v>
      </c>
      <c r="Q277" s="1">
        <v>83891</v>
      </c>
      <c r="R277" s="1">
        <v>0</v>
      </c>
    </row>
    <row r="278" spans="1:18">
      <c r="A278" s="2">
        <v>0.33333333333333331</v>
      </c>
      <c r="B278" s="1">
        <v>777088</v>
      </c>
      <c r="C278" s="1">
        <v>170348</v>
      </c>
      <c r="D278" s="1">
        <v>48050.400000000001</v>
      </c>
      <c r="E278" s="1">
        <v>0</v>
      </c>
      <c r="F278" s="1">
        <v>414707</v>
      </c>
      <c r="G278" s="1">
        <v>80134.399999999994</v>
      </c>
      <c r="H278" s="1">
        <v>376959</v>
      </c>
      <c r="I278" s="1">
        <v>703957</v>
      </c>
      <c r="J278" s="1">
        <v>52413.5</v>
      </c>
      <c r="K278" s="1">
        <v>89314</v>
      </c>
      <c r="L278" s="1">
        <v>4342.8999999999996</v>
      </c>
      <c r="M278" s="1">
        <v>82215.399999999994</v>
      </c>
      <c r="N278" s="1">
        <v>2495.6</v>
      </c>
      <c r="O278" s="1">
        <v>97347.7</v>
      </c>
      <c r="P278" s="1">
        <v>53893</v>
      </c>
      <c r="Q278" s="1">
        <v>83893</v>
      </c>
      <c r="R278" s="1">
        <v>0</v>
      </c>
    </row>
    <row r="279" spans="1:18">
      <c r="A279" s="2">
        <v>0.375</v>
      </c>
      <c r="B279" s="1">
        <v>777865</v>
      </c>
      <c r="C279" s="1">
        <v>170540</v>
      </c>
      <c r="D279" s="1">
        <v>48067.3</v>
      </c>
      <c r="E279" s="1">
        <v>0</v>
      </c>
      <c r="F279" s="1">
        <v>414728</v>
      </c>
      <c r="G279" s="1">
        <v>80180.100000000006</v>
      </c>
      <c r="H279" s="1">
        <v>376971</v>
      </c>
      <c r="I279" s="1">
        <v>704231</v>
      </c>
      <c r="J279" s="1">
        <v>52420</v>
      </c>
      <c r="K279" s="1">
        <v>89315.6</v>
      </c>
      <c r="L279" s="1">
        <v>4365.8999999999996</v>
      </c>
      <c r="M279" s="1">
        <v>82251.5</v>
      </c>
      <c r="N279" s="1">
        <v>2544.8000000000002</v>
      </c>
      <c r="O279" s="1">
        <v>97384.1</v>
      </c>
      <c r="P279" s="1">
        <v>53897</v>
      </c>
      <c r="Q279" s="1">
        <v>83900</v>
      </c>
      <c r="R279" s="1">
        <v>0</v>
      </c>
    </row>
    <row r="280" spans="1:18">
      <c r="A280" s="2">
        <v>0.41666666666666669</v>
      </c>
      <c r="B280" s="1">
        <v>778830</v>
      </c>
      <c r="C280" s="1">
        <v>170791</v>
      </c>
      <c r="D280" s="1">
        <v>48094.1</v>
      </c>
      <c r="E280" s="1">
        <v>0</v>
      </c>
      <c r="F280" s="1">
        <v>414761</v>
      </c>
      <c r="G280" s="1">
        <v>80225.2</v>
      </c>
      <c r="H280" s="1">
        <v>376983</v>
      </c>
      <c r="I280" s="1">
        <v>704563</v>
      </c>
      <c r="J280" s="1">
        <v>52427.4</v>
      </c>
      <c r="K280" s="1">
        <v>89315.7</v>
      </c>
      <c r="L280" s="1">
        <v>4395.3</v>
      </c>
      <c r="M280" s="1">
        <v>82292.3</v>
      </c>
      <c r="N280" s="1">
        <v>2590.3000000000002</v>
      </c>
      <c r="O280" s="1">
        <v>97441.4</v>
      </c>
      <c r="P280" s="1">
        <v>53908</v>
      </c>
      <c r="Q280" s="1">
        <v>83917</v>
      </c>
      <c r="R280" s="1">
        <v>0</v>
      </c>
    </row>
    <row r="281" spans="1:18">
      <c r="A281" s="2">
        <v>0.45833333333333331</v>
      </c>
      <c r="B281" s="1">
        <v>779928</v>
      </c>
      <c r="C281" s="1">
        <v>171064</v>
      </c>
      <c r="D281" s="1">
        <v>48120.7</v>
      </c>
      <c r="E281" s="1">
        <v>0</v>
      </c>
      <c r="F281" s="1">
        <v>414807</v>
      </c>
      <c r="G281" s="1">
        <v>80296.5</v>
      </c>
      <c r="H281" s="1">
        <v>376994</v>
      </c>
      <c r="I281" s="1">
        <v>704936</v>
      </c>
      <c r="J281" s="1">
        <v>52435.3</v>
      </c>
      <c r="K281" s="1">
        <v>89319</v>
      </c>
      <c r="L281" s="1">
        <v>4427.8</v>
      </c>
      <c r="M281" s="1">
        <v>82333.899999999994</v>
      </c>
      <c r="N281" s="1">
        <v>2642.9</v>
      </c>
      <c r="O281" s="1">
        <v>97507</v>
      </c>
      <c r="P281" s="1">
        <v>53915</v>
      </c>
      <c r="Q281" s="1">
        <v>83927</v>
      </c>
      <c r="R281" s="1">
        <v>0</v>
      </c>
    </row>
    <row r="282" spans="1:18">
      <c r="A282" s="2">
        <v>0.5</v>
      </c>
      <c r="B282" s="1">
        <v>781091</v>
      </c>
      <c r="C282" s="1">
        <v>171367</v>
      </c>
      <c r="D282" s="1">
        <v>48153.1</v>
      </c>
      <c r="E282" s="1">
        <v>0</v>
      </c>
      <c r="F282" s="1">
        <v>414852</v>
      </c>
      <c r="G282" s="1">
        <v>80370.899999999994</v>
      </c>
      <c r="H282" s="1">
        <v>377006</v>
      </c>
      <c r="I282" s="1">
        <v>705328</v>
      </c>
      <c r="J282" s="1">
        <v>52443.8</v>
      </c>
      <c r="K282" s="1">
        <v>89319.4</v>
      </c>
      <c r="L282" s="1">
        <v>4462.6000000000004</v>
      </c>
      <c r="M282" s="1">
        <v>82377.8</v>
      </c>
      <c r="N282" s="1">
        <v>2687.9</v>
      </c>
      <c r="O282" s="1">
        <v>97572.5</v>
      </c>
      <c r="P282" s="1">
        <v>53929</v>
      </c>
      <c r="Q282" s="1">
        <v>83950</v>
      </c>
      <c r="R282" s="1">
        <v>0</v>
      </c>
    </row>
    <row r="283" spans="1:18">
      <c r="A283" s="2">
        <v>0.54166666666666663</v>
      </c>
      <c r="B283" s="1">
        <v>782314</v>
      </c>
      <c r="C283" s="1">
        <v>171680</v>
      </c>
      <c r="D283" s="1">
        <v>48188</v>
      </c>
      <c r="E283" s="1">
        <v>0</v>
      </c>
      <c r="F283" s="1">
        <v>414896</v>
      </c>
      <c r="G283" s="1">
        <v>80453.7</v>
      </c>
      <c r="H283" s="1">
        <v>377019</v>
      </c>
      <c r="I283" s="1">
        <v>705734</v>
      </c>
      <c r="J283" s="1">
        <v>52455.6</v>
      </c>
      <c r="K283" s="1">
        <v>89319.9</v>
      </c>
      <c r="L283" s="1">
        <v>4505.2</v>
      </c>
      <c r="M283" s="1">
        <v>82424</v>
      </c>
      <c r="N283" s="1">
        <v>2733.5</v>
      </c>
      <c r="O283" s="1">
        <v>97637.7</v>
      </c>
      <c r="P283" s="1">
        <v>53945</v>
      </c>
      <c r="Q283" s="1">
        <v>83973</v>
      </c>
      <c r="R283" s="1">
        <v>0</v>
      </c>
    </row>
    <row r="284" spans="1:18">
      <c r="A284" s="2">
        <v>0.58333333333333337</v>
      </c>
      <c r="B284" s="1">
        <v>783587</v>
      </c>
      <c r="C284" s="1">
        <v>171990</v>
      </c>
      <c r="D284" s="1">
        <v>48219.9</v>
      </c>
      <c r="E284" s="1">
        <v>0</v>
      </c>
      <c r="F284" s="1">
        <v>414955</v>
      </c>
      <c r="G284" s="1">
        <v>80535.8</v>
      </c>
      <c r="H284" s="1">
        <v>377032</v>
      </c>
      <c r="I284" s="1">
        <v>706164</v>
      </c>
      <c r="J284" s="1">
        <v>52466.5</v>
      </c>
      <c r="K284" s="1">
        <v>89319.9</v>
      </c>
      <c r="L284" s="1">
        <v>4557.6000000000004</v>
      </c>
      <c r="M284" s="1">
        <v>82477.100000000006</v>
      </c>
      <c r="N284" s="1">
        <v>2775.9</v>
      </c>
      <c r="O284" s="1">
        <v>97710.1</v>
      </c>
      <c r="P284" s="1">
        <v>53961</v>
      </c>
      <c r="Q284" s="1">
        <v>83997</v>
      </c>
      <c r="R284" s="1">
        <v>0</v>
      </c>
    </row>
    <row r="285" spans="1:18">
      <c r="A285" s="2">
        <v>0.625</v>
      </c>
      <c r="B285" s="1">
        <v>784880</v>
      </c>
      <c r="C285" s="1">
        <v>172308</v>
      </c>
      <c r="D285" s="1">
        <v>48259</v>
      </c>
      <c r="E285" s="1">
        <v>0</v>
      </c>
      <c r="F285" s="1">
        <v>415012</v>
      </c>
      <c r="G285" s="1">
        <v>80632.100000000006</v>
      </c>
      <c r="H285" s="1">
        <v>377044</v>
      </c>
      <c r="I285" s="1">
        <v>706609</v>
      </c>
      <c r="J285" s="1">
        <v>52477.9</v>
      </c>
      <c r="K285" s="1">
        <v>89320.1</v>
      </c>
      <c r="L285" s="1">
        <v>4607.5</v>
      </c>
      <c r="M285" s="1">
        <v>82528.5</v>
      </c>
      <c r="N285" s="1">
        <v>2821</v>
      </c>
      <c r="O285" s="1">
        <v>97765.5</v>
      </c>
      <c r="P285" s="1">
        <v>53974</v>
      </c>
      <c r="Q285" s="1">
        <v>84017</v>
      </c>
      <c r="R285" s="1">
        <v>0</v>
      </c>
    </row>
    <row r="286" spans="1:18">
      <c r="A286" s="2">
        <v>0.66666666666666663</v>
      </c>
      <c r="B286" s="1">
        <v>786179</v>
      </c>
      <c r="C286" s="1">
        <v>172635</v>
      </c>
      <c r="D286" s="1">
        <v>48297.2</v>
      </c>
      <c r="E286" s="1">
        <v>0</v>
      </c>
      <c r="F286" s="1">
        <v>415069</v>
      </c>
      <c r="G286" s="1">
        <v>80731.3</v>
      </c>
      <c r="H286" s="1">
        <v>377062</v>
      </c>
      <c r="I286" s="1">
        <v>707058</v>
      </c>
      <c r="J286" s="1">
        <v>52490.8</v>
      </c>
      <c r="K286" s="1">
        <v>89320.6</v>
      </c>
      <c r="L286" s="1">
        <v>4664.8</v>
      </c>
      <c r="M286" s="1">
        <v>82582.2</v>
      </c>
      <c r="N286" s="1">
        <v>2870.1</v>
      </c>
      <c r="O286" s="1">
        <v>97802.5</v>
      </c>
      <c r="P286" s="1">
        <v>53985</v>
      </c>
      <c r="Q286" s="1">
        <v>84033</v>
      </c>
      <c r="R286" s="1">
        <v>0</v>
      </c>
    </row>
    <row r="287" spans="1:18">
      <c r="A287" s="2">
        <v>0.70833333333333337</v>
      </c>
      <c r="B287" s="1">
        <v>787424</v>
      </c>
      <c r="C287" s="1">
        <v>172947</v>
      </c>
      <c r="D287" s="1">
        <v>48330.1</v>
      </c>
      <c r="E287" s="1">
        <v>0</v>
      </c>
      <c r="F287" s="1">
        <v>415119</v>
      </c>
      <c r="G287" s="1">
        <v>80838.3</v>
      </c>
      <c r="H287" s="1">
        <v>377097</v>
      </c>
      <c r="I287" s="1">
        <v>707474</v>
      </c>
      <c r="J287" s="1">
        <v>52500.2</v>
      </c>
      <c r="K287" s="1">
        <v>89327.3</v>
      </c>
      <c r="L287" s="1">
        <v>4706.3999999999996</v>
      </c>
      <c r="M287" s="1">
        <v>82633.100000000006</v>
      </c>
      <c r="N287" s="1">
        <v>2925.7</v>
      </c>
      <c r="O287" s="1">
        <v>97837.1</v>
      </c>
      <c r="P287" s="1">
        <v>53986</v>
      </c>
      <c r="Q287" s="1">
        <v>84036</v>
      </c>
      <c r="R287" s="1">
        <v>0</v>
      </c>
    </row>
    <row r="288" spans="1:18">
      <c r="A288" s="2">
        <v>0.75</v>
      </c>
      <c r="B288" s="1">
        <v>788506</v>
      </c>
      <c r="C288" s="1">
        <v>173238</v>
      </c>
      <c r="D288" s="1">
        <v>48358.2</v>
      </c>
      <c r="E288" s="1">
        <v>0</v>
      </c>
      <c r="F288" s="1">
        <v>415157</v>
      </c>
      <c r="G288" s="1">
        <v>80929.899999999994</v>
      </c>
      <c r="H288" s="1">
        <v>377118</v>
      </c>
      <c r="I288" s="1">
        <v>707836</v>
      </c>
      <c r="J288" s="1">
        <v>52507.9</v>
      </c>
      <c r="K288" s="1">
        <v>89331.4</v>
      </c>
      <c r="L288" s="1">
        <v>4738.6000000000004</v>
      </c>
      <c r="M288" s="1">
        <v>82675.600000000006</v>
      </c>
      <c r="N288" s="1">
        <v>2982.1</v>
      </c>
      <c r="O288" s="1">
        <v>97863.1</v>
      </c>
      <c r="P288" s="1">
        <v>53987</v>
      </c>
      <c r="Q288" s="1">
        <v>84037</v>
      </c>
      <c r="R288" s="1">
        <v>0</v>
      </c>
    </row>
    <row r="289" spans="1:18">
      <c r="A289" s="2">
        <v>0.79166666666666663</v>
      </c>
      <c r="B289" s="1">
        <v>789472</v>
      </c>
      <c r="C289" s="1">
        <v>173489</v>
      </c>
      <c r="D289" s="1">
        <v>48378.3</v>
      </c>
      <c r="E289" s="1">
        <v>0</v>
      </c>
      <c r="F289" s="1">
        <v>415188</v>
      </c>
      <c r="G289" s="1">
        <v>81011.5</v>
      </c>
      <c r="H289" s="1">
        <v>377133</v>
      </c>
      <c r="I289" s="1">
        <v>708163</v>
      </c>
      <c r="J289" s="1">
        <v>52515.3</v>
      </c>
      <c r="K289" s="1">
        <v>89334.6</v>
      </c>
      <c r="L289" s="1">
        <v>4766.6000000000004</v>
      </c>
      <c r="M289" s="1">
        <v>82719</v>
      </c>
      <c r="N289" s="1">
        <v>3037.5</v>
      </c>
      <c r="O289" s="1">
        <v>97885.7</v>
      </c>
      <c r="P289" s="1">
        <v>53987</v>
      </c>
      <c r="Q289" s="1">
        <v>84037</v>
      </c>
      <c r="R289" s="1">
        <v>0</v>
      </c>
    </row>
    <row r="290" spans="1:18">
      <c r="A290" s="2">
        <v>0.83333333333333337</v>
      </c>
      <c r="B290" s="1">
        <v>790354</v>
      </c>
      <c r="C290" s="1">
        <v>173717</v>
      </c>
      <c r="D290" s="1">
        <v>48396.2</v>
      </c>
      <c r="E290" s="1">
        <v>0</v>
      </c>
      <c r="F290" s="1">
        <v>415215</v>
      </c>
      <c r="G290" s="1">
        <v>81088.2</v>
      </c>
      <c r="H290" s="1">
        <v>377146</v>
      </c>
      <c r="I290" s="1">
        <v>708467</v>
      </c>
      <c r="J290" s="1">
        <v>52522.400000000001</v>
      </c>
      <c r="K290" s="1">
        <v>89337.8</v>
      </c>
      <c r="L290" s="1">
        <v>4790.7</v>
      </c>
      <c r="M290" s="1">
        <v>82756.600000000006</v>
      </c>
      <c r="N290" s="1">
        <v>3092.8</v>
      </c>
      <c r="O290" s="1">
        <v>97908.7</v>
      </c>
      <c r="P290" s="1">
        <v>53987</v>
      </c>
      <c r="Q290" s="1">
        <v>84037</v>
      </c>
      <c r="R290" s="1">
        <v>0</v>
      </c>
    </row>
    <row r="291" spans="1:18">
      <c r="A291" s="2">
        <v>0.875</v>
      </c>
      <c r="B291" s="1">
        <v>791138</v>
      </c>
      <c r="C291" s="1">
        <v>173905</v>
      </c>
      <c r="D291" s="1">
        <v>48411.3</v>
      </c>
      <c r="E291" s="1">
        <v>0</v>
      </c>
      <c r="F291" s="1">
        <v>415238</v>
      </c>
      <c r="G291" s="1">
        <v>81152.399999999994</v>
      </c>
      <c r="H291" s="1">
        <v>377158</v>
      </c>
      <c r="I291" s="1">
        <v>708738</v>
      </c>
      <c r="J291" s="1">
        <v>52529.1</v>
      </c>
      <c r="K291" s="1">
        <v>89340.9</v>
      </c>
      <c r="L291" s="1">
        <v>4814.1000000000004</v>
      </c>
      <c r="M291" s="1">
        <v>82794.899999999994</v>
      </c>
      <c r="N291" s="1">
        <v>3146.9</v>
      </c>
      <c r="O291" s="1">
        <v>97933.2</v>
      </c>
      <c r="P291" s="1">
        <v>53987</v>
      </c>
      <c r="Q291" s="1">
        <v>84037</v>
      </c>
      <c r="R291" s="1">
        <v>0</v>
      </c>
    </row>
    <row r="292" spans="1:18">
      <c r="A292" s="2">
        <v>0.91666666666666663</v>
      </c>
      <c r="B292" s="1">
        <v>791893</v>
      </c>
      <c r="C292" s="1">
        <v>174083</v>
      </c>
      <c r="D292" s="1">
        <v>48426.8</v>
      </c>
      <c r="E292" s="1">
        <v>0</v>
      </c>
      <c r="F292" s="1">
        <v>415260</v>
      </c>
      <c r="G292" s="1">
        <v>81212.399999999994</v>
      </c>
      <c r="H292" s="1">
        <v>377170</v>
      </c>
      <c r="I292" s="1">
        <v>709000</v>
      </c>
      <c r="J292" s="1">
        <v>52536</v>
      </c>
      <c r="K292" s="1">
        <v>89344</v>
      </c>
      <c r="L292" s="1">
        <v>4836.8999999999996</v>
      </c>
      <c r="M292" s="1">
        <v>82834</v>
      </c>
      <c r="N292" s="1">
        <v>3200.8</v>
      </c>
      <c r="O292" s="1">
        <v>97955.1</v>
      </c>
      <c r="P292" s="1">
        <v>53987</v>
      </c>
      <c r="Q292" s="1">
        <v>84037</v>
      </c>
      <c r="R292" s="1">
        <v>0</v>
      </c>
    </row>
    <row r="293" spans="1:18">
      <c r="A293" s="2">
        <v>0.95833333333333337</v>
      </c>
      <c r="B293" s="1">
        <v>792636</v>
      </c>
      <c r="C293" s="1">
        <v>174267</v>
      </c>
      <c r="D293" s="1">
        <v>48444.5</v>
      </c>
      <c r="E293" s="1">
        <v>0</v>
      </c>
      <c r="F293" s="1">
        <v>415280</v>
      </c>
      <c r="G293" s="1">
        <v>81270.5</v>
      </c>
      <c r="H293" s="1">
        <v>377182</v>
      </c>
      <c r="I293" s="1">
        <v>709252</v>
      </c>
      <c r="J293" s="1">
        <v>52542.7</v>
      </c>
      <c r="K293" s="1">
        <v>89347.1</v>
      </c>
      <c r="L293" s="1">
        <v>4857.8</v>
      </c>
      <c r="M293" s="1">
        <v>82873.100000000006</v>
      </c>
      <c r="N293" s="1">
        <v>3254.7</v>
      </c>
      <c r="O293" s="1">
        <v>97972.800000000003</v>
      </c>
      <c r="P293" s="1">
        <v>53987</v>
      </c>
      <c r="Q293" s="1">
        <v>84037</v>
      </c>
      <c r="R293" s="1">
        <v>0</v>
      </c>
    </row>
    <row r="294" spans="1:18">
      <c r="A294" s="2">
        <v>0</v>
      </c>
      <c r="B294" s="1">
        <v>793372</v>
      </c>
      <c r="C294" s="1">
        <v>174450</v>
      </c>
      <c r="D294" s="1">
        <v>48460.9</v>
      </c>
      <c r="E294" s="1">
        <v>0</v>
      </c>
      <c r="F294" s="1">
        <v>415299</v>
      </c>
      <c r="G294" s="1">
        <v>81328.800000000003</v>
      </c>
      <c r="H294" s="1">
        <v>377193</v>
      </c>
      <c r="I294" s="1">
        <v>709502</v>
      </c>
      <c r="J294" s="1">
        <v>52549.5</v>
      </c>
      <c r="K294" s="1">
        <v>89350.2</v>
      </c>
      <c r="L294" s="1">
        <v>4878</v>
      </c>
      <c r="M294" s="1">
        <v>82912.100000000006</v>
      </c>
      <c r="N294" s="1">
        <v>3309.1</v>
      </c>
      <c r="O294" s="1">
        <v>97990.2</v>
      </c>
      <c r="P294" s="1">
        <v>53987</v>
      </c>
      <c r="Q294" s="1">
        <v>84037</v>
      </c>
      <c r="R294" s="1">
        <v>0</v>
      </c>
    </row>
    <row r="295" spans="1:18">
      <c r="A295" s="2">
        <v>4.1666666666666664E-2</v>
      </c>
      <c r="B295" s="1">
        <v>794095</v>
      </c>
      <c r="C295" s="1">
        <v>174624</v>
      </c>
      <c r="D295" s="1">
        <v>48477.599999999999</v>
      </c>
      <c r="E295" s="1">
        <v>0</v>
      </c>
      <c r="F295" s="1">
        <v>415317</v>
      </c>
      <c r="G295" s="1">
        <v>81388.5</v>
      </c>
      <c r="H295" s="1">
        <v>377205</v>
      </c>
      <c r="I295" s="1">
        <v>709751</v>
      </c>
      <c r="J295" s="1">
        <v>52556.1</v>
      </c>
      <c r="K295" s="1">
        <v>89353.4</v>
      </c>
      <c r="L295" s="1">
        <v>4898.3999999999996</v>
      </c>
      <c r="M295" s="1">
        <v>82950.899999999994</v>
      </c>
      <c r="N295" s="1">
        <v>3363.5</v>
      </c>
      <c r="O295" s="1">
        <v>98006.3</v>
      </c>
      <c r="P295" s="1">
        <v>53987</v>
      </c>
      <c r="Q295" s="1">
        <v>84037</v>
      </c>
      <c r="R295" s="1">
        <v>0</v>
      </c>
    </row>
    <row r="296" spans="1:18">
      <c r="A296" s="2">
        <v>8.3333333333333329E-2</v>
      </c>
      <c r="B296" s="1">
        <v>794811</v>
      </c>
      <c r="C296" s="1">
        <v>174794</v>
      </c>
      <c r="D296" s="1">
        <v>48492.800000000003</v>
      </c>
      <c r="E296" s="1">
        <v>0</v>
      </c>
      <c r="F296" s="1">
        <v>415335</v>
      </c>
      <c r="G296" s="1">
        <v>81448.600000000006</v>
      </c>
      <c r="H296" s="1">
        <v>377217</v>
      </c>
      <c r="I296" s="1">
        <v>709996</v>
      </c>
      <c r="J296" s="1">
        <v>52562.9</v>
      </c>
      <c r="K296" s="1">
        <v>89356.6</v>
      </c>
      <c r="L296" s="1">
        <v>4918.6000000000004</v>
      </c>
      <c r="M296" s="1">
        <v>82988.600000000006</v>
      </c>
      <c r="N296" s="1">
        <v>3417.8</v>
      </c>
      <c r="O296" s="1">
        <v>98023.5</v>
      </c>
      <c r="P296" s="1">
        <v>53987</v>
      </c>
      <c r="Q296" s="1">
        <v>84037</v>
      </c>
      <c r="R296" s="1">
        <v>0</v>
      </c>
    </row>
    <row r="297" spans="1:18">
      <c r="A297" s="2">
        <v>0.125</v>
      </c>
      <c r="B297" s="1">
        <v>795512</v>
      </c>
      <c r="C297" s="1">
        <v>174960</v>
      </c>
      <c r="D297" s="1">
        <v>48507</v>
      </c>
      <c r="E297" s="1">
        <v>0</v>
      </c>
      <c r="F297" s="1">
        <v>415352</v>
      </c>
      <c r="G297" s="1">
        <v>81505.8</v>
      </c>
      <c r="H297" s="1">
        <v>377230</v>
      </c>
      <c r="I297" s="1">
        <v>710237</v>
      </c>
      <c r="J297" s="1">
        <v>52569.5</v>
      </c>
      <c r="K297" s="1">
        <v>89359.7</v>
      </c>
      <c r="L297" s="1">
        <v>4938.5</v>
      </c>
      <c r="M297" s="1">
        <v>83026.100000000006</v>
      </c>
      <c r="N297" s="1">
        <v>3471.7</v>
      </c>
      <c r="O297" s="1">
        <v>98041.3</v>
      </c>
      <c r="P297" s="1">
        <v>53987</v>
      </c>
      <c r="Q297" s="1">
        <v>84037</v>
      </c>
      <c r="R297" s="1">
        <v>0</v>
      </c>
    </row>
    <row r="298" spans="1:18">
      <c r="A298" s="2">
        <v>0.16666666666666666</v>
      </c>
      <c r="B298" s="1">
        <v>796213</v>
      </c>
      <c r="C298" s="1">
        <v>175128</v>
      </c>
      <c r="D298" s="1">
        <v>48520.6</v>
      </c>
      <c r="E298" s="1">
        <v>0</v>
      </c>
      <c r="F298" s="1">
        <v>415370</v>
      </c>
      <c r="G298" s="1">
        <v>81561.5</v>
      </c>
      <c r="H298" s="1">
        <v>377242</v>
      </c>
      <c r="I298" s="1">
        <v>710476</v>
      </c>
      <c r="J298" s="1">
        <v>52576.1</v>
      </c>
      <c r="K298" s="1">
        <v>89362.9</v>
      </c>
      <c r="L298" s="1">
        <v>4958.8999999999996</v>
      </c>
      <c r="M298" s="1">
        <v>83063.5</v>
      </c>
      <c r="N298" s="1">
        <v>3526.5</v>
      </c>
      <c r="O298" s="1">
        <v>98058.4</v>
      </c>
      <c r="P298" s="1">
        <v>53987</v>
      </c>
      <c r="Q298" s="1">
        <v>84037</v>
      </c>
      <c r="R298" s="1">
        <v>0</v>
      </c>
    </row>
    <row r="299" spans="1:18">
      <c r="A299" s="2">
        <v>0.20833333333333334</v>
      </c>
      <c r="B299" s="1">
        <v>796912</v>
      </c>
      <c r="C299" s="1">
        <v>175293</v>
      </c>
      <c r="D299" s="1">
        <v>48534</v>
      </c>
      <c r="E299" s="1">
        <v>0</v>
      </c>
      <c r="F299" s="1">
        <v>415388</v>
      </c>
      <c r="G299" s="1">
        <v>81616.3</v>
      </c>
      <c r="H299" s="1">
        <v>377253</v>
      </c>
      <c r="I299" s="1">
        <v>710720</v>
      </c>
      <c r="J299" s="1">
        <v>52582.8</v>
      </c>
      <c r="K299" s="1">
        <v>89366.1</v>
      </c>
      <c r="L299" s="1">
        <v>4978.6000000000004</v>
      </c>
      <c r="M299" s="1">
        <v>83100.3</v>
      </c>
      <c r="N299" s="1">
        <v>3580.9</v>
      </c>
      <c r="O299" s="1">
        <v>98075.9</v>
      </c>
      <c r="P299" s="1">
        <v>53987</v>
      </c>
      <c r="Q299" s="1">
        <v>84037</v>
      </c>
      <c r="R299" s="1">
        <v>0</v>
      </c>
    </row>
    <row r="300" spans="1:18">
      <c r="A300" s="2">
        <v>0.25</v>
      </c>
      <c r="B300" s="1">
        <v>797605</v>
      </c>
      <c r="C300" s="1">
        <v>175458</v>
      </c>
      <c r="D300" s="1">
        <v>48547.8</v>
      </c>
      <c r="E300" s="1">
        <v>0</v>
      </c>
      <c r="F300" s="1">
        <v>415404</v>
      </c>
      <c r="G300" s="1">
        <v>81670.7</v>
      </c>
      <c r="H300" s="1">
        <v>377265</v>
      </c>
      <c r="I300" s="1">
        <v>710960</v>
      </c>
      <c r="J300" s="1">
        <v>52589.4</v>
      </c>
      <c r="K300" s="1">
        <v>89369.2</v>
      </c>
      <c r="L300" s="1">
        <v>4998.5</v>
      </c>
      <c r="M300" s="1">
        <v>83136.899999999994</v>
      </c>
      <c r="N300" s="1">
        <v>3635.2</v>
      </c>
      <c r="O300" s="1">
        <v>98095.9</v>
      </c>
      <c r="P300" s="1">
        <v>53987</v>
      </c>
      <c r="Q300" s="1">
        <v>84037</v>
      </c>
      <c r="R300" s="1">
        <v>0</v>
      </c>
    </row>
    <row r="301" spans="1:18">
      <c r="A301" s="2">
        <v>0.29166666666666669</v>
      </c>
      <c r="B301" s="1">
        <v>798308</v>
      </c>
      <c r="C301" s="1">
        <v>175628</v>
      </c>
      <c r="D301" s="1">
        <v>48561.1</v>
      </c>
      <c r="E301" s="1">
        <v>0</v>
      </c>
      <c r="F301" s="1">
        <v>415421</v>
      </c>
      <c r="G301" s="1">
        <v>81724.5</v>
      </c>
      <c r="H301" s="1">
        <v>377276</v>
      </c>
      <c r="I301" s="1">
        <v>711205</v>
      </c>
      <c r="J301" s="1">
        <v>52595.8</v>
      </c>
      <c r="K301" s="1">
        <v>89372.5</v>
      </c>
      <c r="L301" s="1">
        <v>5017.6000000000004</v>
      </c>
      <c r="M301" s="1">
        <v>83173.100000000006</v>
      </c>
      <c r="N301" s="1">
        <v>3688.9</v>
      </c>
      <c r="O301" s="1">
        <v>98115.5</v>
      </c>
      <c r="P301" s="1">
        <v>53987</v>
      </c>
      <c r="Q301" s="1">
        <v>84037</v>
      </c>
      <c r="R301" s="1">
        <v>0</v>
      </c>
    </row>
    <row r="302" spans="1:18">
      <c r="A302" s="2">
        <v>0.33333333333333331</v>
      </c>
      <c r="B302" s="1">
        <v>799022</v>
      </c>
      <c r="C302" s="1">
        <v>175803</v>
      </c>
      <c r="D302" s="1">
        <v>48575.3</v>
      </c>
      <c r="E302" s="1">
        <v>0</v>
      </c>
      <c r="F302" s="1">
        <v>415443</v>
      </c>
      <c r="G302" s="1">
        <v>81773.899999999994</v>
      </c>
      <c r="H302" s="1">
        <v>377288</v>
      </c>
      <c r="I302" s="1">
        <v>711453</v>
      </c>
      <c r="J302" s="1">
        <v>52602.6</v>
      </c>
      <c r="K302" s="1">
        <v>89373.8</v>
      </c>
      <c r="L302" s="1">
        <v>5037.7</v>
      </c>
      <c r="M302" s="1">
        <v>83210.100000000006</v>
      </c>
      <c r="N302" s="1">
        <v>3739.7</v>
      </c>
      <c r="O302" s="1">
        <v>98140.4</v>
      </c>
      <c r="P302" s="1">
        <v>53989</v>
      </c>
      <c r="Q302" s="1">
        <v>84041</v>
      </c>
      <c r="R302" s="1">
        <v>0</v>
      </c>
    </row>
    <row r="303" spans="1:18">
      <c r="A303" s="2">
        <v>0.375</v>
      </c>
      <c r="B303" s="1">
        <v>799838</v>
      </c>
      <c r="C303" s="1">
        <v>176002</v>
      </c>
      <c r="D303" s="1">
        <v>48592.5</v>
      </c>
      <c r="E303" s="1">
        <v>0</v>
      </c>
      <c r="F303" s="1">
        <v>415466</v>
      </c>
      <c r="G303" s="1">
        <v>81822.399999999994</v>
      </c>
      <c r="H303" s="1">
        <v>377300</v>
      </c>
      <c r="I303" s="1">
        <v>711730</v>
      </c>
      <c r="J303" s="1">
        <v>52609.3</v>
      </c>
      <c r="K303" s="1">
        <v>89374.6</v>
      </c>
      <c r="L303" s="1">
        <v>5063.2</v>
      </c>
      <c r="M303" s="1">
        <v>83258.399999999994</v>
      </c>
      <c r="N303" s="1">
        <v>3790.1</v>
      </c>
      <c r="O303" s="1">
        <v>98178.8</v>
      </c>
      <c r="P303" s="1">
        <v>53993</v>
      </c>
      <c r="Q303" s="1">
        <v>84047</v>
      </c>
      <c r="R303" s="1">
        <v>0</v>
      </c>
    </row>
    <row r="304" spans="1:18">
      <c r="A304" s="2">
        <v>0.41666666666666669</v>
      </c>
      <c r="B304" s="1">
        <v>800820</v>
      </c>
      <c r="C304" s="1">
        <v>176256</v>
      </c>
      <c r="D304" s="1">
        <v>48616.2</v>
      </c>
      <c r="E304" s="1">
        <v>0</v>
      </c>
      <c r="F304" s="1">
        <v>415498</v>
      </c>
      <c r="G304" s="1">
        <v>81878.899999999994</v>
      </c>
      <c r="H304" s="1">
        <v>377312</v>
      </c>
      <c r="I304" s="1">
        <v>712064</v>
      </c>
      <c r="J304" s="1">
        <v>52616.3</v>
      </c>
      <c r="K304" s="1">
        <v>89374.8</v>
      </c>
      <c r="L304" s="1">
        <v>5093</v>
      </c>
      <c r="M304" s="1">
        <v>83310.7</v>
      </c>
      <c r="N304" s="1">
        <v>3838.4</v>
      </c>
      <c r="O304" s="1">
        <v>98230.6</v>
      </c>
      <c r="P304" s="1">
        <v>54000</v>
      </c>
      <c r="Q304" s="1">
        <v>84059</v>
      </c>
      <c r="R304" s="1">
        <v>0</v>
      </c>
    </row>
    <row r="305" spans="1:18">
      <c r="A305" s="2">
        <v>0.45833333333333331</v>
      </c>
      <c r="B305" s="1">
        <v>801953</v>
      </c>
      <c r="C305" s="1">
        <v>176543</v>
      </c>
      <c r="D305" s="1">
        <v>48642.400000000001</v>
      </c>
      <c r="E305" s="1">
        <v>0</v>
      </c>
      <c r="F305" s="1">
        <v>415547</v>
      </c>
      <c r="G305" s="1">
        <v>81957.5</v>
      </c>
      <c r="H305" s="1">
        <v>377325</v>
      </c>
      <c r="I305" s="1">
        <v>712442</v>
      </c>
      <c r="J305" s="1">
        <v>52623.1</v>
      </c>
      <c r="K305" s="1">
        <v>89375.9</v>
      </c>
      <c r="L305" s="1">
        <v>5122.8999999999996</v>
      </c>
      <c r="M305" s="1">
        <v>83364.899999999994</v>
      </c>
      <c r="N305" s="1">
        <v>3886.3</v>
      </c>
      <c r="O305" s="1">
        <v>98302.5</v>
      </c>
      <c r="P305" s="1">
        <v>54008</v>
      </c>
      <c r="Q305" s="1">
        <v>84071</v>
      </c>
      <c r="R305" s="1">
        <v>0</v>
      </c>
    </row>
    <row r="306" spans="1:18">
      <c r="A306" s="2">
        <v>0.5</v>
      </c>
      <c r="B306" s="1">
        <v>803154</v>
      </c>
      <c r="C306" s="1">
        <v>176849</v>
      </c>
      <c r="D306" s="1">
        <v>48668.4</v>
      </c>
      <c r="E306" s="1">
        <v>0</v>
      </c>
      <c r="F306" s="1">
        <v>415596</v>
      </c>
      <c r="G306" s="1">
        <v>82039.899999999994</v>
      </c>
      <c r="H306" s="1">
        <v>377337</v>
      </c>
      <c r="I306" s="1">
        <v>712859</v>
      </c>
      <c r="J306" s="1">
        <v>52630.5</v>
      </c>
      <c r="K306" s="1">
        <v>89375.9</v>
      </c>
      <c r="L306" s="1">
        <v>5156.6000000000004</v>
      </c>
      <c r="M306" s="1">
        <v>83419.199999999997</v>
      </c>
      <c r="N306" s="1">
        <v>3932.2</v>
      </c>
      <c r="O306" s="1">
        <v>98371.5</v>
      </c>
      <c r="P306" s="1">
        <v>54022</v>
      </c>
      <c r="Q306" s="1">
        <v>84093</v>
      </c>
      <c r="R306" s="1">
        <v>0</v>
      </c>
    </row>
    <row r="307" spans="1:18">
      <c r="A307" s="2">
        <v>0.54166666666666663</v>
      </c>
      <c r="B307" s="1">
        <v>804367</v>
      </c>
      <c r="C307" s="1">
        <v>177155</v>
      </c>
      <c r="D307" s="1">
        <v>48699.8</v>
      </c>
      <c r="E307" s="1">
        <v>0</v>
      </c>
      <c r="F307" s="1">
        <v>415644</v>
      </c>
      <c r="G307" s="1">
        <v>82136.5</v>
      </c>
      <c r="H307" s="1">
        <v>377349</v>
      </c>
      <c r="I307" s="1">
        <v>713275</v>
      </c>
      <c r="J307" s="1">
        <v>52638.1</v>
      </c>
      <c r="K307" s="1">
        <v>89376.5</v>
      </c>
      <c r="L307" s="1">
        <v>5193.6000000000004</v>
      </c>
      <c r="M307" s="1">
        <v>83469.899999999994</v>
      </c>
      <c r="N307" s="1">
        <v>3979.4</v>
      </c>
      <c r="O307" s="1">
        <v>98443.1</v>
      </c>
      <c r="P307" s="1">
        <v>54032</v>
      </c>
      <c r="Q307" s="1">
        <v>84107</v>
      </c>
      <c r="R307" s="1">
        <v>0</v>
      </c>
    </row>
    <row r="308" spans="1:18">
      <c r="A308" s="2">
        <v>0.58333333333333337</v>
      </c>
      <c r="B308" s="1">
        <v>805609</v>
      </c>
      <c r="C308" s="1">
        <v>177465</v>
      </c>
      <c r="D308" s="1">
        <v>48731</v>
      </c>
      <c r="E308" s="1">
        <v>0</v>
      </c>
      <c r="F308" s="1">
        <v>415686</v>
      </c>
      <c r="G308" s="1">
        <v>82240.5</v>
      </c>
      <c r="H308" s="1">
        <v>377363</v>
      </c>
      <c r="I308" s="1">
        <v>713693</v>
      </c>
      <c r="J308" s="1">
        <v>52645.7</v>
      </c>
      <c r="K308" s="1">
        <v>89380.800000000003</v>
      </c>
      <c r="L308" s="1">
        <v>5245.4</v>
      </c>
      <c r="M308" s="1">
        <v>83519.5</v>
      </c>
      <c r="N308" s="1">
        <v>4029.3</v>
      </c>
      <c r="O308" s="1">
        <v>98520.6</v>
      </c>
      <c r="P308" s="1">
        <v>54036</v>
      </c>
      <c r="Q308" s="1">
        <v>84115</v>
      </c>
      <c r="R308" s="1">
        <v>0</v>
      </c>
    </row>
    <row r="309" spans="1:18">
      <c r="A309" s="2">
        <v>0.625</v>
      </c>
      <c r="B309" s="1">
        <v>806846</v>
      </c>
      <c r="C309" s="1">
        <v>177798</v>
      </c>
      <c r="D309" s="1">
        <v>48766.7</v>
      </c>
      <c r="E309" s="1">
        <v>0</v>
      </c>
      <c r="F309" s="1">
        <v>415728</v>
      </c>
      <c r="G309" s="1">
        <v>82347.5</v>
      </c>
      <c r="H309" s="1">
        <v>377380</v>
      </c>
      <c r="I309" s="1">
        <v>714095</v>
      </c>
      <c r="J309" s="1">
        <v>52652.6</v>
      </c>
      <c r="K309" s="1">
        <v>89389.2</v>
      </c>
      <c r="L309" s="1">
        <v>5288.9</v>
      </c>
      <c r="M309" s="1">
        <v>83571.5</v>
      </c>
      <c r="N309" s="1">
        <v>4082.1</v>
      </c>
      <c r="O309" s="1">
        <v>98576</v>
      </c>
      <c r="P309" s="1">
        <v>54038</v>
      </c>
      <c r="Q309" s="1">
        <v>84118</v>
      </c>
      <c r="R309" s="1">
        <v>0</v>
      </c>
    </row>
    <row r="310" spans="1:18">
      <c r="A310" s="2">
        <v>0.66666666666666663</v>
      </c>
      <c r="B310" s="1">
        <v>808026</v>
      </c>
      <c r="C310" s="1">
        <v>178143</v>
      </c>
      <c r="D310" s="1">
        <v>48794.9</v>
      </c>
      <c r="E310" s="1">
        <v>0</v>
      </c>
      <c r="F310" s="1">
        <v>415769</v>
      </c>
      <c r="G310" s="1">
        <v>82444.7</v>
      </c>
      <c r="H310" s="1">
        <v>377392</v>
      </c>
      <c r="I310" s="1">
        <v>714488</v>
      </c>
      <c r="J310" s="1">
        <v>52659.4</v>
      </c>
      <c r="K310" s="1">
        <v>89394</v>
      </c>
      <c r="L310" s="1">
        <v>5329.4</v>
      </c>
      <c r="M310" s="1">
        <v>83617.899999999994</v>
      </c>
      <c r="N310" s="1">
        <v>4133.3999999999996</v>
      </c>
      <c r="O310" s="1">
        <v>98610.4</v>
      </c>
      <c r="P310" s="1">
        <v>54043</v>
      </c>
      <c r="Q310" s="1">
        <v>84124</v>
      </c>
      <c r="R310" s="1">
        <v>0</v>
      </c>
    </row>
    <row r="311" spans="1:18">
      <c r="A311" s="2">
        <v>0.70833333333333337</v>
      </c>
      <c r="B311" s="1">
        <v>809178</v>
      </c>
      <c r="C311" s="1">
        <v>178476</v>
      </c>
      <c r="D311" s="1">
        <v>48824.1</v>
      </c>
      <c r="E311" s="1">
        <v>0</v>
      </c>
      <c r="F311" s="1">
        <v>415807</v>
      </c>
      <c r="G311" s="1">
        <v>82542</v>
      </c>
      <c r="H311" s="1">
        <v>377405</v>
      </c>
      <c r="I311" s="1">
        <v>714863</v>
      </c>
      <c r="J311" s="1">
        <v>52666.400000000001</v>
      </c>
      <c r="K311" s="1">
        <v>89400</v>
      </c>
      <c r="L311" s="1">
        <v>5367.4</v>
      </c>
      <c r="M311" s="1">
        <v>83662.8</v>
      </c>
      <c r="N311" s="1">
        <v>4187.5</v>
      </c>
      <c r="O311" s="1">
        <v>98643.199999999997</v>
      </c>
      <c r="P311" s="1">
        <v>54045</v>
      </c>
      <c r="Q311" s="1">
        <v>84128</v>
      </c>
      <c r="R311" s="1">
        <v>0</v>
      </c>
    </row>
    <row r="312" spans="1:18">
      <c r="A312" s="2">
        <v>0.75</v>
      </c>
      <c r="B312" s="1">
        <v>810212</v>
      </c>
      <c r="C312" s="1">
        <v>178773</v>
      </c>
      <c r="D312" s="1">
        <v>48849.1</v>
      </c>
      <c r="E312" s="1">
        <v>0</v>
      </c>
      <c r="F312" s="1">
        <v>415839</v>
      </c>
      <c r="G312" s="1">
        <v>82620.399999999994</v>
      </c>
      <c r="H312" s="1">
        <v>377418</v>
      </c>
      <c r="I312" s="1">
        <v>715207</v>
      </c>
      <c r="J312" s="1">
        <v>52673</v>
      </c>
      <c r="K312" s="1">
        <v>89402.8</v>
      </c>
      <c r="L312" s="1">
        <v>5399.2</v>
      </c>
      <c r="M312" s="1">
        <v>83708.600000000006</v>
      </c>
      <c r="N312" s="1">
        <v>4242.8</v>
      </c>
      <c r="O312" s="1">
        <v>98668.3</v>
      </c>
      <c r="P312" s="1">
        <v>54045</v>
      </c>
      <c r="Q312" s="1">
        <v>84129</v>
      </c>
      <c r="R312" s="1">
        <v>0</v>
      </c>
    </row>
    <row r="313" spans="1:18">
      <c r="A313" s="2">
        <v>0.79166666666666663</v>
      </c>
      <c r="B313" s="1">
        <v>811129</v>
      </c>
      <c r="C313" s="1">
        <v>179040</v>
      </c>
      <c r="D313" s="1">
        <v>48867.3</v>
      </c>
      <c r="E313" s="1">
        <v>0</v>
      </c>
      <c r="F313" s="1">
        <v>415866</v>
      </c>
      <c r="G313" s="1">
        <v>82685.100000000006</v>
      </c>
      <c r="H313" s="1">
        <v>377430</v>
      </c>
      <c r="I313" s="1">
        <v>715519</v>
      </c>
      <c r="J313" s="1">
        <v>52679.7</v>
      </c>
      <c r="K313" s="1">
        <v>89405.8</v>
      </c>
      <c r="L313" s="1">
        <v>5426</v>
      </c>
      <c r="M313" s="1">
        <v>83747.899999999994</v>
      </c>
      <c r="N313" s="1">
        <v>4296.5</v>
      </c>
      <c r="O313" s="1">
        <v>98686.399999999994</v>
      </c>
      <c r="P313" s="1">
        <v>54045</v>
      </c>
      <c r="Q313" s="1">
        <v>84129</v>
      </c>
      <c r="R313" s="1">
        <v>0</v>
      </c>
    </row>
    <row r="314" spans="1:18">
      <c r="A314" s="2">
        <v>0.83333333333333337</v>
      </c>
      <c r="B314" s="1">
        <v>811946</v>
      </c>
      <c r="C314" s="1">
        <v>179260</v>
      </c>
      <c r="D314" s="1">
        <v>48883.3</v>
      </c>
      <c r="E314" s="1">
        <v>0</v>
      </c>
      <c r="F314" s="1">
        <v>415890</v>
      </c>
      <c r="G314" s="1">
        <v>82741.7</v>
      </c>
      <c r="H314" s="1">
        <v>377442</v>
      </c>
      <c r="I314" s="1">
        <v>715800</v>
      </c>
      <c r="J314" s="1">
        <v>52686.3</v>
      </c>
      <c r="K314" s="1">
        <v>89409.1</v>
      </c>
      <c r="L314" s="1">
        <v>5452.1</v>
      </c>
      <c r="M314" s="1">
        <v>83785.2</v>
      </c>
      <c r="N314" s="1">
        <v>4350.8999999999996</v>
      </c>
      <c r="O314" s="1">
        <v>98708.9</v>
      </c>
      <c r="P314" s="1">
        <v>54045</v>
      </c>
      <c r="Q314" s="1">
        <v>84129</v>
      </c>
      <c r="R314" s="1">
        <v>0</v>
      </c>
    </row>
    <row r="315" spans="1:18">
      <c r="A315" s="2">
        <v>0.875</v>
      </c>
      <c r="B315" s="1">
        <v>812736</v>
      </c>
      <c r="C315" s="1">
        <v>179468</v>
      </c>
      <c r="D315" s="1">
        <v>48898.3</v>
      </c>
      <c r="E315" s="1">
        <v>0</v>
      </c>
      <c r="F315" s="1">
        <v>415912</v>
      </c>
      <c r="G315" s="1">
        <v>82794.3</v>
      </c>
      <c r="H315" s="1">
        <v>377455</v>
      </c>
      <c r="I315" s="1">
        <v>716074</v>
      </c>
      <c r="J315" s="1">
        <v>52692.9</v>
      </c>
      <c r="K315" s="1">
        <v>89412.3</v>
      </c>
      <c r="L315" s="1">
        <v>5476.3</v>
      </c>
      <c r="M315" s="1">
        <v>83823</v>
      </c>
      <c r="N315" s="1">
        <v>4405.6000000000004</v>
      </c>
      <c r="O315" s="1">
        <v>98732.4</v>
      </c>
      <c r="P315" s="1">
        <v>54045</v>
      </c>
      <c r="Q315" s="1">
        <v>84129</v>
      </c>
      <c r="R315" s="1">
        <v>0</v>
      </c>
    </row>
    <row r="316" spans="1:18">
      <c r="A316" s="2">
        <v>0.91666666666666663</v>
      </c>
      <c r="B316" s="1">
        <v>813518</v>
      </c>
      <c r="C316" s="1">
        <v>179674</v>
      </c>
      <c r="D316" s="1">
        <v>48914.9</v>
      </c>
      <c r="E316" s="1">
        <v>0</v>
      </c>
      <c r="F316" s="1">
        <v>415935</v>
      </c>
      <c r="G316" s="1">
        <v>82845.5</v>
      </c>
      <c r="H316" s="1">
        <v>377467</v>
      </c>
      <c r="I316" s="1">
        <v>716342</v>
      </c>
      <c r="J316" s="1">
        <v>52699.7</v>
      </c>
      <c r="K316" s="1">
        <v>89415.6</v>
      </c>
      <c r="L316" s="1">
        <v>5500</v>
      </c>
      <c r="M316" s="1">
        <v>83861.5</v>
      </c>
      <c r="N316" s="1">
        <v>4461</v>
      </c>
      <c r="O316" s="1">
        <v>98754.4</v>
      </c>
      <c r="P316" s="1">
        <v>54045</v>
      </c>
      <c r="Q316" s="1">
        <v>84129</v>
      </c>
      <c r="R316" s="1">
        <v>0</v>
      </c>
    </row>
    <row r="317" spans="1:18">
      <c r="A317" s="2">
        <v>0.95833333333333337</v>
      </c>
      <c r="B317" s="1">
        <v>814278</v>
      </c>
      <c r="C317" s="1">
        <v>179872</v>
      </c>
      <c r="D317" s="1">
        <v>48930.2</v>
      </c>
      <c r="E317" s="1">
        <v>0</v>
      </c>
      <c r="F317" s="1">
        <v>415957</v>
      </c>
      <c r="G317" s="1">
        <v>82896.399999999994</v>
      </c>
      <c r="H317" s="1">
        <v>377479</v>
      </c>
      <c r="I317" s="1">
        <v>716610</v>
      </c>
      <c r="J317" s="1">
        <v>52706.7</v>
      </c>
      <c r="K317" s="1">
        <v>89418.7</v>
      </c>
      <c r="L317" s="1">
        <v>5520.5</v>
      </c>
      <c r="M317" s="1">
        <v>83899.3</v>
      </c>
      <c r="N317" s="1">
        <v>4513.7</v>
      </c>
      <c r="O317" s="1">
        <v>98773.4</v>
      </c>
      <c r="P317" s="1">
        <v>54045</v>
      </c>
      <c r="Q317" s="1">
        <v>84129</v>
      </c>
      <c r="R317" s="1">
        <v>0</v>
      </c>
    </row>
    <row r="318" spans="1:18">
      <c r="A318" s="2">
        <v>0</v>
      </c>
      <c r="B318" s="1">
        <v>815024</v>
      </c>
      <c r="C318" s="1">
        <v>180064</v>
      </c>
      <c r="D318" s="1">
        <v>48945.4</v>
      </c>
      <c r="E318" s="1">
        <v>0</v>
      </c>
      <c r="F318" s="1">
        <v>415977</v>
      </c>
      <c r="G318" s="1">
        <v>82945.2</v>
      </c>
      <c r="H318" s="1">
        <v>377492</v>
      </c>
      <c r="I318" s="1">
        <v>716871</v>
      </c>
      <c r="J318" s="1">
        <v>52715.3</v>
      </c>
      <c r="K318" s="1">
        <v>89421.5</v>
      </c>
      <c r="L318" s="1">
        <v>5541.6</v>
      </c>
      <c r="M318" s="1">
        <v>83937.2</v>
      </c>
      <c r="N318" s="1">
        <v>4568.3</v>
      </c>
      <c r="O318" s="1">
        <v>98791.8</v>
      </c>
      <c r="P318" s="1">
        <v>54045</v>
      </c>
      <c r="Q318" s="1">
        <v>84129</v>
      </c>
      <c r="R318" s="1">
        <v>0</v>
      </c>
    </row>
    <row r="319" spans="1:18">
      <c r="A319" s="2">
        <v>4.1666666666666664E-2</v>
      </c>
      <c r="B319" s="1">
        <v>815762</v>
      </c>
      <c r="C319" s="1">
        <v>180256</v>
      </c>
      <c r="D319" s="1">
        <v>48960.2</v>
      </c>
      <c r="E319" s="1">
        <v>0</v>
      </c>
      <c r="F319" s="1">
        <v>415996</v>
      </c>
      <c r="G319" s="1">
        <v>82997.899999999994</v>
      </c>
      <c r="H319" s="1">
        <v>377504</v>
      </c>
      <c r="I319" s="1">
        <v>717126</v>
      </c>
      <c r="J319" s="1">
        <v>52723.8</v>
      </c>
      <c r="K319" s="1">
        <v>89424.3</v>
      </c>
      <c r="L319" s="1">
        <v>5562.7</v>
      </c>
      <c r="M319" s="1">
        <v>83974.3</v>
      </c>
      <c r="N319" s="1">
        <v>4623</v>
      </c>
      <c r="O319" s="1">
        <v>98808.2</v>
      </c>
      <c r="P319" s="1">
        <v>54045</v>
      </c>
      <c r="Q319" s="1">
        <v>84129</v>
      </c>
      <c r="R319" s="1">
        <v>0</v>
      </c>
    </row>
    <row r="320" spans="1:18">
      <c r="A320" s="2">
        <v>8.3333333333333329E-2</v>
      </c>
      <c r="B320" s="1">
        <v>816487</v>
      </c>
      <c r="C320" s="1">
        <v>180444</v>
      </c>
      <c r="D320" s="1">
        <v>48975.7</v>
      </c>
      <c r="E320" s="1">
        <v>0</v>
      </c>
      <c r="F320" s="1">
        <v>416014</v>
      </c>
      <c r="G320" s="1">
        <v>83047.7</v>
      </c>
      <c r="H320" s="1">
        <v>377516</v>
      </c>
      <c r="I320" s="1">
        <v>717375</v>
      </c>
      <c r="J320" s="1">
        <v>52731.8</v>
      </c>
      <c r="K320" s="1">
        <v>89427</v>
      </c>
      <c r="L320" s="1">
        <v>5583.5</v>
      </c>
      <c r="M320" s="1">
        <v>84010.2</v>
      </c>
      <c r="N320" s="1">
        <v>4677.6000000000004</v>
      </c>
      <c r="O320" s="1">
        <v>98826.2</v>
      </c>
      <c r="P320" s="1">
        <v>54045</v>
      </c>
      <c r="Q320" s="1">
        <v>84129</v>
      </c>
      <c r="R320" s="1">
        <v>0</v>
      </c>
    </row>
    <row r="321" spans="1:18">
      <c r="A321" s="2">
        <v>0.125</v>
      </c>
      <c r="B321" s="1">
        <v>817196</v>
      </c>
      <c r="C321" s="1">
        <v>180627</v>
      </c>
      <c r="D321" s="1">
        <v>48990.7</v>
      </c>
      <c r="E321" s="1">
        <v>0</v>
      </c>
      <c r="F321" s="1">
        <v>416032</v>
      </c>
      <c r="G321" s="1">
        <v>83095.8</v>
      </c>
      <c r="H321" s="1">
        <v>377528</v>
      </c>
      <c r="I321" s="1">
        <v>717615</v>
      </c>
      <c r="J321" s="1">
        <v>52739.7</v>
      </c>
      <c r="K321" s="1">
        <v>89429.7</v>
      </c>
      <c r="L321" s="1">
        <v>5606.2</v>
      </c>
      <c r="M321" s="1">
        <v>84046.8</v>
      </c>
      <c r="N321" s="1">
        <v>4730.1000000000004</v>
      </c>
      <c r="O321" s="1">
        <v>98844.4</v>
      </c>
      <c r="P321" s="1">
        <v>54045</v>
      </c>
      <c r="Q321" s="1">
        <v>84129</v>
      </c>
      <c r="R321" s="1">
        <v>0</v>
      </c>
    </row>
    <row r="322" spans="1:18">
      <c r="A322" s="2">
        <v>0.16666666666666666</v>
      </c>
      <c r="B322" s="1">
        <v>817889</v>
      </c>
      <c r="C322" s="1">
        <v>180800</v>
      </c>
      <c r="D322" s="1">
        <v>49004.800000000003</v>
      </c>
      <c r="E322" s="1">
        <v>0</v>
      </c>
      <c r="F322" s="1">
        <v>416051</v>
      </c>
      <c r="G322" s="1">
        <v>83143.3</v>
      </c>
      <c r="H322" s="1">
        <v>377540</v>
      </c>
      <c r="I322" s="1">
        <v>717853</v>
      </c>
      <c r="J322" s="1">
        <v>52747.7</v>
      </c>
      <c r="K322" s="1">
        <v>89432.4</v>
      </c>
      <c r="L322" s="1">
        <v>5627.7</v>
      </c>
      <c r="M322" s="1">
        <v>84080.8</v>
      </c>
      <c r="N322" s="1">
        <v>4784.5</v>
      </c>
      <c r="O322" s="1">
        <v>98862.3</v>
      </c>
      <c r="P322" s="1">
        <v>54045</v>
      </c>
      <c r="Q322" s="1">
        <v>84129</v>
      </c>
      <c r="R322" s="1">
        <v>0</v>
      </c>
    </row>
    <row r="323" spans="1:18">
      <c r="A323" s="2">
        <v>0.20833333333333334</v>
      </c>
      <c r="B323" s="1">
        <v>818573</v>
      </c>
      <c r="C323" s="1">
        <v>180969</v>
      </c>
      <c r="D323" s="1">
        <v>49018.5</v>
      </c>
      <c r="E323" s="1">
        <v>0</v>
      </c>
      <c r="F323" s="1">
        <v>416069</v>
      </c>
      <c r="G323" s="1">
        <v>83190.399999999994</v>
      </c>
      <c r="H323" s="1">
        <v>377552</v>
      </c>
      <c r="I323" s="1">
        <v>718090</v>
      </c>
      <c r="J323" s="1">
        <v>52755.199999999997</v>
      </c>
      <c r="K323" s="1">
        <v>89435</v>
      </c>
      <c r="L323" s="1">
        <v>5648.6</v>
      </c>
      <c r="M323" s="1">
        <v>84113.7</v>
      </c>
      <c r="N323" s="1">
        <v>4839.3999999999996</v>
      </c>
      <c r="O323" s="1">
        <v>98880.8</v>
      </c>
      <c r="P323" s="1">
        <v>54045</v>
      </c>
      <c r="Q323" s="1">
        <v>84129</v>
      </c>
      <c r="R323" s="1">
        <v>0</v>
      </c>
    </row>
    <row r="324" spans="1:18">
      <c r="A324" s="2">
        <v>0.25</v>
      </c>
      <c r="B324" s="1">
        <v>819257</v>
      </c>
      <c r="C324" s="1">
        <v>181138</v>
      </c>
      <c r="D324" s="1">
        <v>49033.1</v>
      </c>
      <c r="E324" s="1">
        <v>0</v>
      </c>
      <c r="F324" s="1">
        <v>416087</v>
      </c>
      <c r="G324" s="1">
        <v>83237.100000000006</v>
      </c>
      <c r="H324" s="1">
        <v>377565</v>
      </c>
      <c r="I324" s="1">
        <v>718328</v>
      </c>
      <c r="J324" s="1">
        <v>52762.7</v>
      </c>
      <c r="K324" s="1">
        <v>89437.7</v>
      </c>
      <c r="L324" s="1">
        <v>5668.1</v>
      </c>
      <c r="M324" s="1">
        <v>84146.4</v>
      </c>
      <c r="N324" s="1">
        <v>4894.1000000000004</v>
      </c>
      <c r="O324" s="1">
        <v>98898.8</v>
      </c>
      <c r="P324" s="1">
        <v>54045</v>
      </c>
      <c r="Q324" s="1">
        <v>84129</v>
      </c>
      <c r="R324" s="1">
        <v>0</v>
      </c>
    </row>
    <row r="325" spans="1:18">
      <c r="A325" s="2">
        <v>0.29166666666666669</v>
      </c>
      <c r="B325" s="1">
        <v>819935</v>
      </c>
      <c r="C325" s="1">
        <v>181307</v>
      </c>
      <c r="D325" s="1">
        <v>49047.5</v>
      </c>
      <c r="E325" s="1">
        <v>0</v>
      </c>
      <c r="F325" s="1">
        <v>416105</v>
      </c>
      <c r="G325" s="1">
        <v>83282.100000000006</v>
      </c>
      <c r="H325" s="1">
        <v>377576</v>
      </c>
      <c r="I325" s="1">
        <v>718566</v>
      </c>
      <c r="J325" s="1">
        <v>52770.400000000001</v>
      </c>
      <c r="K325" s="1">
        <v>89439.5</v>
      </c>
      <c r="L325" s="1">
        <v>5687.1</v>
      </c>
      <c r="M325" s="1">
        <v>84179.1</v>
      </c>
      <c r="N325" s="1">
        <v>4948</v>
      </c>
      <c r="O325" s="1">
        <v>98914</v>
      </c>
      <c r="P325" s="1">
        <v>54045</v>
      </c>
      <c r="Q325" s="1">
        <v>84129</v>
      </c>
      <c r="R325" s="1">
        <v>0</v>
      </c>
    </row>
    <row r="326" spans="1:18">
      <c r="A326" s="2">
        <v>0.33333333333333331</v>
      </c>
      <c r="B326" s="1">
        <v>820608</v>
      </c>
      <c r="C326" s="1">
        <v>181476</v>
      </c>
      <c r="D326" s="1">
        <v>49061.4</v>
      </c>
      <c r="E326" s="1">
        <v>0</v>
      </c>
      <c r="F326" s="1">
        <v>416123</v>
      </c>
      <c r="G326" s="1">
        <v>83324.399999999994</v>
      </c>
      <c r="H326" s="1">
        <v>377588</v>
      </c>
      <c r="I326" s="1">
        <v>718806</v>
      </c>
      <c r="J326" s="1">
        <v>52778.2</v>
      </c>
      <c r="K326" s="1">
        <v>89439.6</v>
      </c>
      <c r="L326" s="1">
        <v>5705.3</v>
      </c>
      <c r="M326" s="1">
        <v>84211.7</v>
      </c>
      <c r="N326" s="1">
        <v>4999.6000000000004</v>
      </c>
      <c r="O326" s="1">
        <v>98932.2</v>
      </c>
      <c r="P326" s="1">
        <v>54047</v>
      </c>
      <c r="Q326" s="1">
        <v>84132</v>
      </c>
      <c r="R326" s="1">
        <v>0</v>
      </c>
    </row>
    <row r="327" spans="1:18">
      <c r="A327" s="2">
        <v>0.375</v>
      </c>
      <c r="B327" s="1">
        <v>821314</v>
      </c>
      <c r="C327" s="1">
        <v>181650</v>
      </c>
      <c r="D327" s="1">
        <v>49075.7</v>
      </c>
      <c r="E327" s="1">
        <v>0</v>
      </c>
      <c r="F327" s="1">
        <v>416143</v>
      </c>
      <c r="G327" s="1">
        <v>83362.100000000006</v>
      </c>
      <c r="H327" s="1">
        <v>377624</v>
      </c>
      <c r="I327" s="1">
        <v>719050</v>
      </c>
      <c r="J327" s="1">
        <v>52786.400000000001</v>
      </c>
      <c r="K327" s="1">
        <v>89439.6</v>
      </c>
      <c r="L327" s="1">
        <v>5722.6</v>
      </c>
      <c r="M327" s="1">
        <v>84245.3</v>
      </c>
      <c r="N327" s="1">
        <v>5049</v>
      </c>
      <c r="O327" s="1">
        <v>98953</v>
      </c>
      <c r="P327" s="1">
        <v>54051</v>
      </c>
      <c r="Q327" s="1">
        <v>84139</v>
      </c>
      <c r="R327" s="1">
        <v>0</v>
      </c>
    </row>
    <row r="328" spans="1:18">
      <c r="A328" s="2">
        <v>0.41666666666666669</v>
      </c>
      <c r="B328" s="1">
        <v>822058</v>
      </c>
      <c r="C328" s="1">
        <v>181826</v>
      </c>
      <c r="D328" s="1">
        <v>49093.1</v>
      </c>
      <c r="E328" s="1">
        <v>0</v>
      </c>
      <c r="F328" s="1">
        <v>416162</v>
      </c>
      <c r="G328" s="1">
        <v>83399.399999999994</v>
      </c>
      <c r="H328" s="1">
        <v>377673</v>
      </c>
      <c r="I328" s="1">
        <v>719311</v>
      </c>
      <c r="J328" s="1">
        <v>52795</v>
      </c>
      <c r="K328" s="1">
        <v>89439.6</v>
      </c>
      <c r="L328" s="1">
        <v>5740.1</v>
      </c>
      <c r="M328" s="1">
        <v>84278</v>
      </c>
      <c r="N328" s="1">
        <v>5097.7</v>
      </c>
      <c r="O328" s="1">
        <v>98977.4</v>
      </c>
      <c r="P328" s="1">
        <v>54055</v>
      </c>
      <c r="Q328" s="1">
        <v>84145</v>
      </c>
      <c r="R328" s="1">
        <v>0</v>
      </c>
    </row>
    <row r="329" spans="1:18">
      <c r="A329" s="2">
        <v>0.45833333333333331</v>
      </c>
      <c r="B329" s="1">
        <v>822828</v>
      </c>
      <c r="C329" s="1">
        <v>182007</v>
      </c>
      <c r="D329" s="1">
        <v>49110.400000000001</v>
      </c>
      <c r="E329" s="1">
        <v>0</v>
      </c>
      <c r="F329" s="1">
        <v>416184</v>
      </c>
      <c r="G329" s="1">
        <v>83444.3</v>
      </c>
      <c r="H329" s="1">
        <v>377723</v>
      </c>
      <c r="I329" s="1">
        <v>719574</v>
      </c>
      <c r="J329" s="1">
        <v>52803.1</v>
      </c>
      <c r="K329" s="1">
        <v>89439.6</v>
      </c>
      <c r="L329" s="1">
        <v>5757.5</v>
      </c>
      <c r="M329" s="1">
        <v>84313.2</v>
      </c>
      <c r="N329" s="1">
        <v>5148.8999999999996</v>
      </c>
      <c r="O329" s="1">
        <v>99003.1</v>
      </c>
      <c r="P329" s="1">
        <v>54058</v>
      </c>
      <c r="Q329" s="1">
        <v>84150</v>
      </c>
      <c r="R329" s="1">
        <v>0</v>
      </c>
    </row>
    <row r="330" spans="1:18">
      <c r="A330" s="2">
        <v>0.5</v>
      </c>
      <c r="B330" s="1">
        <v>823604</v>
      </c>
      <c r="C330" s="1">
        <v>182189</v>
      </c>
      <c r="D330" s="1">
        <v>49128</v>
      </c>
      <c r="E330" s="1">
        <v>0</v>
      </c>
      <c r="F330" s="1">
        <v>416207</v>
      </c>
      <c r="G330" s="1">
        <v>83490</v>
      </c>
      <c r="H330" s="1">
        <v>377772</v>
      </c>
      <c r="I330" s="1">
        <v>719838</v>
      </c>
      <c r="J330" s="1">
        <v>52811.4</v>
      </c>
      <c r="K330" s="1">
        <v>89439.8</v>
      </c>
      <c r="L330" s="1">
        <v>5774.8</v>
      </c>
      <c r="M330" s="1">
        <v>84348.800000000003</v>
      </c>
      <c r="N330" s="1">
        <v>5201.2</v>
      </c>
      <c r="O330" s="1">
        <v>99028.9</v>
      </c>
      <c r="P330" s="1">
        <v>54060</v>
      </c>
      <c r="Q330" s="1">
        <v>84153</v>
      </c>
      <c r="R330" s="1">
        <v>0</v>
      </c>
    </row>
    <row r="331" spans="1:18">
      <c r="A331" s="2">
        <v>0.54166666666666663</v>
      </c>
      <c r="B331" s="1">
        <v>824386</v>
      </c>
      <c r="C331" s="1">
        <v>182384</v>
      </c>
      <c r="D331" s="1">
        <v>49147.9</v>
      </c>
      <c r="E331" s="1">
        <v>0</v>
      </c>
      <c r="F331" s="1">
        <v>416235</v>
      </c>
      <c r="G331" s="1">
        <v>83524.399999999994</v>
      </c>
      <c r="H331" s="1">
        <v>377823</v>
      </c>
      <c r="I331" s="1">
        <v>720106</v>
      </c>
      <c r="J331" s="1">
        <v>52819.7</v>
      </c>
      <c r="K331" s="1">
        <v>89439.8</v>
      </c>
      <c r="L331" s="1">
        <v>5794.6</v>
      </c>
      <c r="M331" s="1">
        <v>84385.4</v>
      </c>
      <c r="N331" s="1">
        <v>5247.4</v>
      </c>
      <c r="O331" s="1">
        <v>99053.3</v>
      </c>
      <c r="P331" s="1">
        <v>54068</v>
      </c>
      <c r="Q331" s="1">
        <v>84165</v>
      </c>
      <c r="R331" s="1">
        <v>0</v>
      </c>
    </row>
    <row r="332" spans="1:18">
      <c r="A332" s="2">
        <v>0.58333333333333337</v>
      </c>
      <c r="B332" s="1">
        <v>825198</v>
      </c>
      <c r="C332" s="1">
        <v>182593</v>
      </c>
      <c r="D332" s="1">
        <v>49165.599999999999</v>
      </c>
      <c r="E332" s="1">
        <v>0</v>
      </c>
      <c r="F332" s="1">
        <v>416263</v>
      </c>
      <c r="G332" s="1">
        <v>83562.100000000006</v>
      </c>
      <c r="H332" s="1">
        <v>377874</v>
      </c>
      <c r="I332" s="1">
        <v>720378</v>
      </c>
      <c r="J332" s="1">
        <v>52828.5</v>
      </c>
      <c r="K332" s="1">
        <v>89439.8</v>
      </c>
      <c r="L332" s="1">
        <v>5815.1</v>
      </c>
      <c r="M332" s="1">
        <v>84427.3</v>
      </c>
      <c r="N332" s="1">
        <v>5294</v>
      </c>
      <c r="O332" s="1">
        <v>99080.2</v>
      </c>
      <c r="P332" s="1">
        <v>54075</v>
      </c>
      <c r="Q332" s="1">
        <v>84176</v>
      </c>
      <c r="R332" s="1">
        <v>0</v>
      </c>
    </row>
    <row r="333" spans="1:18">
      <c r="A333" s="2">
        <v>0.625</v>
      </c>
      <c r="B333" s="1">
        <v>826044</v>
      </c>
      <c r="C333" s="1">
        <v>182799</v>
      </c>
      <c r="D333" s="1">
        <v>49185.1</v>
      </c>
      <c r="E333" s="1">
        <v>0</v>
      </c>
      <c r="F333" s="1">
        <v>416293</v>
      </c>
      <c r="G333" s="1">
        <v>83612.7</v>
      </c>
      <c r="H333" s="1">
        <v>377922</v>
      </c>
      <c r="I333" s="1">
        <v>720666</v>
      </c>
      <c r="J333" s="1">
        <v>52836.4</v>
      </c>
      <c r="K333" s="1">
        <v>89440.8</v>
      </c>
      <c r="L333" s="1">
        <v>5835.1</v>
      </c>
      <c r="M333" s="1">
        <v>84466.5</v>
      </c>
      <c r="N333" s="1">
        <v>5346.4</v>
      </c>
      <c r="O333" s="1">
        <v>99106</v>
      </c>
      <c r="P333" s="1">
        <v>54076</v>
      </c>
      <c r="Q333" s="1">
        <v>84178</v>
      </c>
      <c r="R333" s="1">
        <v>0</v>
      </c>
    </row>
    <row r="334" spans="1:18">
      <c r="A334" s="2">
        <v>0.66666666666666663</v>
      </c>
      <c r="B334" s="1">
        <v>826884</v>
      </c>
      <c r="C334" s="1">
        <v>182992</v>
      </c>
      <c r="D334" s="1">
        <v>49202.9</v>
      </c>
      <c r="E334" s="1">
        <v>0</v>
      </c>
      <c r="F334" s="1">
        <v>416322</v>
      </c>
      <c r="G334" s="1">
        <v>83664.399999999994</v>
      </c>
      <c r="H334" s="1">
        <v>377972</v>
      </c>
      <c r="I334" s="1">
        <v>720962</v>
      </c>
      <c r="J334" s="1">
        <v>52844.5</v>
      </c>
      <c r="K334" s="1">
        <v>89442.8</v>
      </c>
      <c r="L334" s="1">
        <v>5854.9</v>
      </c>
      <c r="M334" s="1">
        <v>84502.8</v>
      </c>
      <c r="N334" s="1">
        <v>5399.1</v>
      </c>
      <c r="O334" s="1">
        <v>99131.1</v>
      </c>
      <c r="P334" s="1">
        <v>54077</v>
      </c>
      <c r="Q334" s="1">
        <v>84179</v>
      </c>
      <c r="R334" s="1">
        <v>0</v>
      </c>
    </row>
    <row r="335" spans="1:18">
      <c r="A335" s="2">
        <v>0.70833333333333337</v>
      </c>
      <c r="B335" s="1">
        <v>827681</v>
      </c>
      <c r="C335" s="1">
        <v>183181</v>
      </c>
      <c r="D335" s="1">
        <v>49220.3</v>
      </c>
      <c r="E335" s="1">
        <v>0</v>
      </c>
      <c r="F335" s="1">
        <v>416348</v>
      </c>
      <c r="G335" s="1">
        <v>83716.800000000003</v>
      </c>
      <c r="H335" s="1">
        <v>377992</v>
      </c>
      <c r="I335" s="1">
        <v>721254</v>
      </c>
      <c r="J335" s="1">
        <v>52852.6</v>
      </c>
      <c r="K335" s="1">
        <v>89445.5</v>
      </c>
      <c r="L335" s="1">
        <v>5874.2</v>
      </c>
      <c r="M335" s="1">
        <v>84539.4</v>
      </c>
      <c r="N335" s="1">
        <v>5454.2</v>
      </c>
      <c r="O335" s="1">
        <v>99156.1</v>
      </c>
      <c r="P335" s="1">
        <v>54077</v>
      </c>
      <c r="Q335" s="1">
        <v>84180</v>
      </c>
      <c r="R335" s="1">
        <v>0</v>
      </c>
    </row>
    <row r="336" spans="1:18">
      <c r="A336" s="2">
        <v>0.75</v>
      </c>
      <c r="B336" s="1">
        <v>828467</v>
      </c>
      <c r="C336" s="1">
        <v>183370</v>
      </c>
      <c r="D336" s="1">
        <v>49242.8</v>
      </c>
      <c r="E336" s="1">
        <v>0</v>
      </c>
      <c r="F336" s="1">
        <v>416372</v>
      </c>
      <c r="G336" s="1">
        <v>83770.899999999994</v>
      </c>
      <c r="H336" s="1">
        <v>378005</v>
      </c>
      <c r="I336" s="1">
        <v>721538</v>
      </c>
      <c r="J336" s="1">
        <v>52860.1</v>
      </c>
      <c r="K336" s="1">
        <v>89448.4</v>
      </c>
      <c r="L336" s="1">
        <v>5896</v>
      </c>
      <c r="M336" s="1">
        <v>84576.3</v>
      </c>
      <c r="N336" s="1">
        <v>5509.1</v>
      </c>
      <c r="O336" s="1">
        <v>99175.9</v>
      </c>
      <c r="P336" s="1">
        <v>54077</v>
      </c>
      <c r="Q336" s="1">
        <v>84180</v>
      </c>
      <c r="R336" s="1">
        <v>0</v>
      </c>
    </row>
    <row r="337" spans="1:18">
      <c r="A337" s="2">
        <v>0.79166666666666663</v>
      </c>
      <c r="B337" s="1">
        <v>829238</v>
      </c>
      <c r="C337" s="1">
        <v>183563</v>
      </c>
      <c r="D337" s="1">
        <v>49263.5</v>
      </c>
      <c r="E337" s="1">
        <v>0</v>
      </c>
      <c r="F337" s="1">
        <v>416395</v>
      </c>
      <c r="G337" s="1">
        <v>83823.899999999994</v>
      </c>
      <c r="H337" s="1">
        <v>378017</v>
      </c>
      <c r="I337" s="1">
        <v>721809</v>
      </c>
      <c r="J337" s="1">
        <v>52868</v>
      </c>
      <c r="K337" s="1">
        <v>89451.4</v>
      </c>
      <c r="L337" s="1">
        <v>5918.4</v>
      </c>
      <c r="M337" s="1">
        <v>84613</v>
      </c>
      <c r="N337" s="1">
        <v>5564.5</v>
      </c>
      <c r="O337" s="1">
        <v>99194.4</v>
      </c>
      <c r="P337" s="1">
        <v>54077</v>
      </c>
      <c r="Q337" s="1">
        <v>84180</v>
      </c>
      <c r="R337" s="1">
        <v>0</v>
      </c>
    </row>
    <row r="338" spans="1:18">
      <c r="A338" s="2">
        <v>0.83333333333333337</v>
      </c>
      <c r="B338" s="1">
        <v>829989</v>
      </c>
      <c r="C338" s="1">
        <v>183749</v>
      </c>
      <c r="D338" s="1">
        <v>49280.9</v>
      </c>
      <c r="E338" s="1">
        <v>0</v>
      </c>
      <c r="F338" s="1">
        <v>416417</v>
      </c>
      <c r="G338" s="1">
        <v>83875.899999999994</v>
      </c>
      <c r="H338" s="1">
        <v>378030</v>
      </c>
      <c r="I338" s="1">
        <v>722075</v>
      </c>
      <c r="J338" s="1">
        <v>52875.7</v>
      </c>
      <c r="K338" s="1">
        <v>89454.3</v>
      </c>
      <c r="L338" s="1">
        <v>5939.8</v>
      </c>
      <c r="M338" s="1">
        <v>84649.3</v>
      </c>
      <c r="N338" s="1">
        <v>5618.2</v>
      </c>
      <c r="O338" s="1">
        <v>99215.1</v>
      </c>
      <c r="P338" s="1">
        <v>54077</v>
      </c>
      <c r="Q338" s="1">
        <v>84180</v>
      </c>
      <c r="R338" s="1">
        <v>0</v>
      </c>
    </row>
    <row r="339" spans="1:18">
      <c r="A339" s="2">
        <v>0.875</v>
      </c>
      <c r="B339" s="1">
        <v>830721</v>
      </c>
      <c r="C339" s="1">
        <v>183929</v>
      </c>
      <c r="D339" s="1">
        <v>49297.3</v>
      </c>
      <c r="E339" s="1">
        <v>0</v>
      </c>
      <c r="F339" s="1">
        <v>416438</v>
      </c>
      <c r="G339" s="1">
        <v>83926.399999999994</v>
      </c>
      <c r="H339" s="1">
        <v>378042</v>
      </c>
      <c r="I339" s="1">
        <v>722330</v>
      </c>
      <c r="J339" s="1">
        <v>52883.3</v>
      </c>
      <c r="K339" s="1">
        <v>89457.2</v>
      </c>
      <c r="L339" s="1">
        <v>5962</v>
      </c>
      <c r="M339" s="1">
        <v>84683.1</v>
      </c>
      <c r="N339" s="1">
        <v>5672.4</v>
      </c>
      <c r="O339" s="1">
        <v>99237.2</v>
      </c>
      <c r="P339" s="1">
        <v>54077</v>
      </c>
      <c r="Q339" s="1">
        <v>84180</v>
      </c>
      <c r="R339" s="1">
        <v>0</v>
      </c>
    </row>
    <row r="340" spans="1:18">
      <c r="A340" s="2">
        <v>0.91666666666666663</v>
      </c>
      <c r="B340" s="1">
        <v>831460</v>
      </c>
      <c r="C340" s="1">
        <v>184111</v>
      </c>
      <c r="D340" s="1">
        <v>49319.9</v>
      </c>
      <c r="E340" s="1">
        <v>0</v>
      </c>
      <c r="F340" s="1">
        <v>416460</v>
      </c>
      <c r="G340" s="1">
        <v>83976.6</v>
      </c>
      <c r="H340" s="1">
        <v>378054</v>
      </c>
      <c r="I340" s="1">
        <v>722585</v>
      </c>
      <c r="J340" s="1">
        <v>52891.5</v>
      </c>
      <c r="K340" s="1">
        <v>89459.8</v>
      </c>
      <c r="L340" s="1">
        <v>5984.5</v>
      </c>
      <c r="M340" s="1">
        <v>84716.9</v>
      </c>
      <c r="N340" s="1">
        <v>5727.5</v>
      </c>
      <c r="O340" s="1">
        <v>99257.4</v>
      </c>
      <c r="P340" s="1">
        <v>54077</v>
      </c>
      <c r="Q340" s="1">
        <v>84180</v>
      </c>
      <c r="R340" s="1">
        <v>0</v>
      </c>
    </row>
    <row r="341" spans="1:18">
      <c r="A341" s="2">
        <v>0.95833333333333337</v>
      </c>
      <c r="B341" s="1">
        <v>832187</v>
      </c>
      <c r="C341" s="1">
        <v>184289</v>
      </c>
      <c r="D341" s="1">
        <v>49339.6</v>
      </c>
      <c r="E341" s="1">
        <v>0</v>
      </c>
      <c r="F341" s="1">
        <v>416480</v>
      </c>
      <c r="G341" s="1">
        <v>84023.9</v>
      </c>
      <c r="H341" s="1">
        <v>378067</v>
      </c>
      <c r="I341" s="1">
        <v>722840</v>
      </c>
      <c r="J341" s="1">
        <v>52899.3</v>
      </c>
      <c r="K341" s="1">
        <v>89462.7</v>
      </c>
      <c r="L341" s="1">
        <v>6007.8</v>
      </c>
      <c r="M341" s="1">
        <v>84750.8</v>
      </c>
      <c r="N341" s="1">
        <v>5781.6</v>
      </c>
      <c r="O341" s="1">
        <v>99276.3</v>
      </c>
      <c r="P341" s="1">
        <v>54077</v>
      </c>
      <c r="Q341" s="1">
        <v>84180</v>
      </c>
      <c r="R341" s="1">
        <v>0</v>
      </c>
    </row>
    <row r="342" spans="1:18">
      <c r="A342" s="2">
        <v>0</v>
      </c>
      <c r="B342" s="1">
        <v>832902</v>
      </c>
      <c r="C342" s="1">
        <v>184464</v>
      </c>
      <c r="D342" s="1">
        <v>49357.2</v>
      </c>
      <c r="E342" s="1">
        <v>0</v>
      </c>
      <c r="F342" s="1">
        <v>416500</v>
      </c>
      <c r="G342" s="1">
        <v>84070.399999999994</v>
      </c>
      <c r="H342" s="1">
        <v>378079</v>
      </c>
      <c r="I342" s="1">
        <v>723091</v>
      </c>
      <c r="J342" s="1">
        <v>52906.9</v>
      </c>
      <c r="K342" s="1">
        <v>89465.5</v>
      </c>
      <c r="L342" s="1">
        <v>6031.9</v>
      </c>
      <c r="M342" s="1">
        <v>84784.9</v>
      </c>
      <c r="N342" s="1">
        <v>5836.6</v>
      </c>
      <c r="O342" s="1">
        <v>99294.3</v>
      </c>
      <c r="P342" s="1">
        <v>54077</v>
      </c>
      <c r="Q342" s="1">
        <v>84180</v>
      </c>
      <c r="R342" s="1">
        <v>0</v>
      </c>
    </row>
    <row r="343" spans="1:18">
      <c r="A343" s="2">
        <v>4.1666666666666664E-2</v>
      </c>
      <c r="B343" s="1">
        <v>833604</v>
      </c>
      <c r="C343" s="1">
        <v>184639</v>
      </c>
      <c r="D343" s="1">
        <v>49372.9</v>
      </c>
      <c r="E343" s="1">
        <v>0</v>
      </c>
      <c r="F343" s="1">
        <v>416518</v>
      </c>
      <c r="G343" s="1">
        <v>84117</v>
      </c>
      <c r="H343" s="1">
        <v>378090</v>
      </c>
      <c r="I343" s="1">
        <v>723339</v>
      </c>
      <c r="J343" s="1">
        <v>52914.5</v>
      </c>
      <c r="K343" s="1">
        <v>89468.6</v>
      </c>
      <c r="L343" s="1">
        <v>6052.2</v>
      </c>
      <c r="M343" s="1">
        <v>84818.6</v>
      </c>
      <c r="N343" s="1">
        <v>5891.4</v>
      </c>
      <c r="O343" s="1">
        <v>99310.2</v>
      </c>
      <c r="P343" s="1">
        <v>54077</v>
      </c>
      <c r="Q343" s="1">
        <v>84180</v>
      </c>
      <c r="R343" s="1">
        <v>0</v>
      </c>
    </row>
    <row r="344" spans="1:18">
      <c r="A344" s="2">
        <v>8.3333333333333329E-2</v>
      </c>
      <c r="B344" s="1">
        <v>834307</v>
      </c>
      <c r="C344" s="1">
        <v>184808</v>
      </c>
      <c r="D344" s="1">
        <v>49389.3</v>
      </c>
      <c r="E344" s="1">
        <v>0</v>
      </c>
      <c r="F344" s="1">
        <v>416537</v>
      </c>
      <c r="G344" s="1">
        <v>84165.8</v>
      </c>
      <c r="H344" s="1">
        <v>378103</v>
      </c>
      <c r="I344" s="1">
        <v>723585</v>
      </c>
      <c r="J344" s="1">
        <v>52922.1</v>
      </c>
      <c r="K344" s="1">
        <v>89471.4</v>
      </c>
      <c r="L344" s="1">
        <v>6073.1</v>
      </c>
      <c r="M344" s="1">
        <v>84854</v>
      </c>
      <c r="N344" s="1">
        <v>5944.7</v>
      </c>
      <c r="O344" s="1">
        <v>99328.4</v>
      </c>
      <c r="P344" s="1">
        <v>54077</v>
      </c>
      <c r="Q344" s="1">
        <v>84180</v>
      </c>
      <c r="R344" s="1">
        <v>0</v>
      </c>
    </row>
    <row r="345" spans="1:18">
      <c r="A345" s="2">
        <v>0.125</v>
      </c>
      <c r="B345" s="1">
        <v>835003</v>
      </c>
      <c r="C345" s="1">
        <v>184978</v>
      </c>
      <c r="D345" s="1">
        <v>49405.4</v>
      </c>
      <c r="E345" s="1">
        <v>0</v>
      </c>
      <c r="F345" s="1">
        <v>416557</v>
      </c>
      <c r="G345" s="1">
        <v>84214.1</v>
      </c>
      <c r="H345" s="1">
        <v>378115</v>
      </c>
      <c r="I345" s="1">
        <v>723825</v>
      </c>
      <c r="J345" s="1">
        <v>52930.1</v>
      </c>
      <c r="K345" s="1">
        <v>89474.3</v>
      </c>
      <c r="L345" s="1">
        <v>6093</v>
      </c>
      <c r="M345" s="1">
        <v>84890</v>
      </c>
      <c r="N345" s="1">
        <v>5998.5</v>
      </c>
      <c r="O345" s="1">
        <v>99346.5</v>
      </c>
      <c r="P345" s="1">
        <v>54077</v>
      </c>
      <c r="Q345" s="1">
        <v>84180</v>
      </c>
      <c r="R345" s="1">
        <v>0</v>
      </c>
    </row>
    <row r="346" spans="1:18">
      <c r="A346" s="2">
        <v>0.16666666666666666</v>
      </c>
      <c r="B346" s="1">
        <v>835688</v>
      </c>
      <c r="C346" s="1">
        <v>185143</v>
      </c>
      <c r="D346" s="1">
        <v>49419.5</v>
      </c>
      <c r="E346" s="1">
        <v>0</v>
      </c>
      <c r="F346" s="1">
        <v>416576</v>
      </c>
      <c r="G346" s="1">
        <v>84261.5</v>
      </c>
      <c r="H346" s="1">
        <v>378127</v>
      </c>
      <c r="I346" s="1">
        <v>724063</v>
      </c>
      <c r="J346" s="1">
        <v>52937.7</v>
      </c>
      <c r="K346" s="1">
        <v>89477</v>
      </c>
      <c r="L346" s="1">
        <v>6112.3</v>
      </c>
      <c r="M346" s="1">
        <v>84926</v>
      </c>
      <c r="N346" s="1">
        <v>6052.7</v>
      </c>
      <c r="O346" s="1">
        <v>99365</v>
      </c>
      <c r="P346" s="1">
        <v>54077</v>
      </c>
      <c r="Q346" s="1">
        <v>84180</v>
      </c>
      <c r="R346" s="1">
        <v>0</v>
      </c>
    </row>
    <row r="347" spans="1:18">
      <c r="A347" s="2">
        <v>0.20833333333333334</v>
      </c>
      <c r="B347" s="1">
        <v>836370</v>
      </c>
      <c r="C347" s="1">
        <v>185308</v>
      </c>
      <c r="D347" s="1">
        <v>49434.3</v>
      </c>
      <c r="E347" s="1">
        <v>0</v>
      </c>
      <c r="F347" s="1">
        <v>416595</v>
      </c>
      <c r="G347" s="1">
        <v>84308.9</v>
      </c>
      <c r="H347" s="1">
        <v>378138</v>
      </c>
      <c r="I347" s="1">
        <v>724301</v>
      </c>
      <c r="J347" s="1">
        <v>52945.599999999999</v>
      </c>
      <c r="K347" s="1">
        <v>89479.7</v>
      </c>
      <c r="L347" s="1">
        <v>6131</v>
      </c>
      <c r="M347" s="1">
        <v>84959.5</v>
      </c>
      <c r="N347" s="1">
        <v>6107</v>
      </c>
      <c r="O347" s="1">
        <v>99383.6</v>
      </c>
      <c r="P347" s="1">
        <v>54077</v>
      </c>
      <c r="Q347" s="1">
        <v>84180</v>
      </c>
      <c r="R347" s="1">
        <v>0</v>
      </c>
    </row>
    <row r="348" spans="1:18">
      <c r="A348" s="2">
        <v>0.25</v>
      </c>
      <c r="B348" s="1">
        <v>837056</v>
      </c>
      <c r="C348" s="1">
        <v>185474</v>
      </c>
      <c r="D348" s="1">
        <v>49448.4</v>
      </c>
      <c r="E348" s="1">
        <v>0</v>
      </c>
      <c r="F348" s="1">
        <v>416615</v>
      </c>
      <c r="G348" s="1">
        <v>84357.2</v>
      </c>
      <c r="H348" s="1">
        <v>378150</v>
      </c>
      <c r="I348" s="1">
        <v>724541</v>
      </c>
      <c r="J348" s="1">
        <v>52953.1</v>
      </c>
      <c r="K348" s="1">
        <v>89482.4</v>
      </c>
      <c r="L348" s="1">
        <v>6149.8</v>
      </c>
      <c r="M348" s="1">
        <v>84992.8</v>
      </c>
      <c r="N348" s="1">
        <v>6161.3</v>
      </c>
      <c r="O348" s="1">
        <v>99401.4</v>
      </c>
      <c r="P348" s="1">
        <v>54077</v>
      </c>
      <c r="Q348" s="1">
        <v>84180</v>
      </c>
      <c r="R348" s="1">
        <v>0</v>
      </c>
    </row>
    <row r="349" spans="1:18">
      <c r="A349" s="2">
        <v>0.29166666666666669</v>
      </c>
      <c r="B349" s="1">
        <v>837731</v>
      </c>
      <c r="C349" s="1">
        <v>185637</v>
      </c>
      <c r="D349" s="1">
        <v>49462.2</v>
      </c>
      <c r="E349" s="1">
        <v>0</v>
      </c>
      <c r="F349" s="1">
        <v>416634</v>
      </c>
      <c r="G349" s="1">
        <v>84402.8</v>
      </c>
      <c r="H349" s="1">
        <v>378162</v>
      </c>
      <c r="I349" s="1">
        <v>724782</v>
      </c>
      <c r="J349" s="1">
        <v>52960.3</v>
      </c>
      <c r="K349" s="1">
        <v>89485.1</v>
      </c>
      <c r="L349" s="1">
        <v>6167.6</v>
      </c>
      <c r="M349" s="1">
        <v>85025.1</v>
      </c>
      <c r="N349" s="1">
        <v>6214.9</v>
      </c>
      <c r="O349" s="1">
        <v>99417</v>
      </c>
      <c r="P349" s="1">
        <v>54077</v>
      </c>
      <c r="Q349" s="1">
        <v>84180</v>
      </c>
      <c r="R349" s="1">
        <v>0</v>
      </c>
    </row>
    <row r="350" spans="1:18">
      <c r="A350" s="2">
        <v>0.33333333333333331</v>
      </c>
      <c r="B350" s="1">
        <v>838384</v>
      </c>
      <c r="C350" s="1">
        <v>185793</v>
      </c>
      <c r="D350" s="1">
        <v>49476.1</v>
      </c>
      <c r="E350" s="1">
        <v>0</v>
      </c>
      <c r="F350" s="1">
        <v>416652</v>
      </c>
      <c r="G350" s="1">
        <v>84447</v>
      </c>
      <c r="H350" s="1">
        <v>378174</v>
      </c>
      <c r="I350" s="1">
        <v>725015</v>
      </c>
      <c r="J350" s="1">
        <v>52967.3</v>
      </c>
      <c r="K350" s="1">
        <v>89486.9</v>
      </c>
      <c r="L350" s="1">
        <v>6184.3</v>
      </c>
      <c r="M350" s="1">
        <v>85056.6</v>
      </c>
      <c r="N350" s="1">
        <v>6268</v>
      </c>
      <c r="O350" s="1">
        <v>99434.1</v>
      </c>
      <c r="P350" s="1">
        <v>54078</v>
      </c>
      <c r="Q350" s="1">
        <v>84180</v>
      </c>
      <c r="R350" s="1">
        <v>0</v>
      </c>
    </row>
    <row r="351" spans="1:18">
      <c r="A351" s="2">
        <v>0.375</v>
      </c>
      <c r="B351" s="1">
        <v>839046</v>
      </c>
      <c r="C351" s="1">
        <v>185953</v>
      </c>
      <c r="D351" s="1">
        <v>49490.6</v>
      </c>
      <c r="E351" s="1">
        <v>0</v>
      </c>
      <c r="F351" s="1">
        <v>416672</v>
      </c>
      <c r="G351" s="1">
        <v>84488.5</v>
      </c>
      <c r="H351" s="1">
        <v>378187</v>
      </c>
      <c r="I351" s="1">
        <v>725249</v>
      </c>
      <c r="J351" s="1">
        <v>52974.7</v>
      </c>
      <c r="K351" s="1">
        <v>89487.5</v>
      </c>
      <c r="L351" s="1">
        <v>6202.1</v>
      </c>
      <c r="M351" s="1">
        <v>85089.4</v>
      </c>
      <c r="N351" s="1">
        <v>6320.2</v>
      </c>
      <c r="O351" s="1">
        <v>99451.7</v>
      </c>
      <c r="P351" s="1">
        <v>54079</v>
      </c>
      <c r="Q351" s="1">
        <v>84182</v>
      </c>
      <c r="R351" s="1">
        <v>0</v>
      </c>
    </row>
    <row r="352" spans="1:18">
      <c r="A352" s="2">
        <v>0.41666666666666669</v>
      </c>
      <c r="B352" s="1">
        <v>839713</v>
      </c>
      <c r="C352" s="1">
        <v>186116</v>
      </c>
      <c r="D352" s="1">
        <v>49504.5</v>
      </c>
      <c r="E352" s="1">
        <v>0</v>
      </c>
      <c r="F352" s="1">
        <v>416692</v>
      </c>
      <c r="G352" s="1">
        <v>84529.7</v>
      </c>
      <c r="H352" s="1">
        <v>378198</v>
      </c>
      <c r="I352" s="1">
        <v>725490</v>
      </c>
      <c r="J352" s="1">
        <v>52982</v>
      </c>
      <c r="K352" s="1">
        <v>89487.7</v>
      </c>
      <c r="L352" s="1">
        <v>6220.8</v>
      </c>
      <c r="M352" s="1">
        <v>85121.3</v>
      </c>
      <c r="N352" s="1">
        <v>6371.7</v>
      </c>
      <c r="O352" s="1">
        <v>99469.4</v>
      </c>
      <c r="P352" s="1">
        <v>54080</v>
      </c>
      <c r="Q352" s="1">
        <v>84184</v>
      </c>
      <c r="R352" s="1">
        <v>0</v>
      </c>
    </row>
    <row r="353" spans="1:18">
      <c r="A353" s="2">
        <v>0.45833333333333331</v>
      </c>
      <c r="B353" s="1">
        <v>840389</v>
      </c>
      <c r="C353" s="1">
        <v>186287</v>
      </c>
      <c r="D353" s="1">
        <v>49518.5</v>
      </c>
      <c r="E353" s="1">
        <v>0</v>
      </c>
      <c r="F353" s="1">
        <v>416712</v>
      </c>
      <c r="G353" s="1">
        <v>84571.7</v>
      </c>
      <c r="H353" s="1">
        <v>378211</v>
      </c>
      <c r="I353" s="1">
        <v>725731</v>
      </c>
      <c r="J353" s="1">
        <v>52989.1</v>
      </c>
      <c r="K353" s="1">
        <v>89488.3</v>
      </c>
      <c r="L353" s="1">
        <v>6238.9</v>
      </c>
      <c r="M353" s="1">
        <v>85154</v>
      </c>
      <c r="N353" s="1">
        <v>6421.2</v>
      </c>
      <c r="O353" s="1">
        <v>99487.9</v>
      </c>
      <c r="P353" s="1">
        <v>54083</v>
      </c>
      <c r="Q353" s="1">
        <v>84188</v>
      </c>
      <c r="R353" s="1">
        <v>0</v>
      </c>
    </row>
    <row r="354" spans="1:18">
      <c r="A354" s="2">
        <v>0.5</v>
      </c>
      <c r="B354" s="1">
        <v>841067</v>
      </c>
      <c r="C354" s="1">
        <v>186459</v>
      </c>
      <c r="D354" s="1">
        <v>49536.7</v>
      </c>
      <c r="E354" s="1">
        <v>0</v>
      </c>
      <c r="F354" s="1">
        <v>416734</v>
      </c>
      <c r="G354" s="1">
        <v>84604.7</v>
      </c>
      <c r="H354" s="1">
        <v>378222</v>
      </c>
      <c r="I354" s="1">
        <v>725982</v>
      </c>
      <c r="J354" s="1">
        <v>52996.7</v>
      </c>
      <c r="K354" s="1">
        <v>89488.4</v>
      </c>
      <c r="L354" s="1">
        <v>6259.7</v>
      </c>
      <c r="M354" s="1">
        <v>85187.1</v>
      </c>
      <c r="N354" s="1">
        <v>6468.1</v>
      </c>
      <c r="O354" s="1">
        <v>99505.7</v>
      </c>
      <c r="P354" s="1">
        <v>54089</v>
      </c>
      <c r="Q354" s="1">
        <v>84199</v>
      </c>
      <c r="R354" s="1">
        <v>0</v>
      </c>
    </row>
    <row r="355" spans="1:18">
      <c r="A355" s="2">
        <v>0.54166666666666663</v>
      </c>
      <c r="B355" s="1">
        <v>841755</v>
      </c>
      <c r="C355" s="1">
        <v>186639</v>
      </c>
      <c r="D355" s="1">
        <v>49560.7</v>
      </c>
      <c r="E355" s="1">
        <v>0</v>
      </c>
      <c r="F355" s="1">
        <v>416757</v>
      </c>
      <c r="G355" s="1">
        <v>84630.399999999994</v>
      </c>
      <c r="H355" s="1">
        <v>378234</v>
      </c>
      <c r="I355" s="1">
        <v>726241</v>
      </c>
      <c r="J355" s="1">
        <v>53005.3</v>
      </c>
      <c r="K355" s="1">
        <v>89488.4</v>
      </c>
      <c r="L355" s="1">
        <v>6281.9</v>
      </c>
      <c r="M355" s="1">
        <v>85224.4</v>
      </c>
      <c r="N355" s="1">
        <v>6510.5</v>
      </c>
      <c r="O355" s="1">
        <v>99521.600000000006</v>
      </c>
      <c r="P355" s="1">
        <v>54100</v>
      </c>
      <c r="Q355" s="1">
        <v>84215</v>
      </c>
      <c r="R355" s="1">
        <v>0</v>
      </c>
    </row>
    <row r="356" spans="1:18">
      <c r="A356" s="2">
        <v>0.58333333333333337</v>
      </c>
      <c r="B356" s="1">
        <v>842471</v>
      </c>
      <c r="C356" s="1">
        <v>186822</v>
      </c>
      <c r="D356" s="1">
        <v>49584.3</v>
      </c>
      <c r="E356" s="1">
        <v>0</v>
      </c>
      <c r="F356" s="1">
        <v>416783</v>
      </c>
      <c r="G356" s="1">
        <v>84657.1</v>
      </c>
      <c r="H356" s="1">
        <v>378245</v>
      </c>
      <c r="I356" s="1">
        <v>726515</v>
      </c>
      <c r="J356" s="1">
        <v>53014.7</v>
      </c>
      <c r="K356" s="1">
        <v>89488.4</v>
      </c>
      <c r="L356" s="1">
        <v>6306.7</v>
      </c>
      <c r="M356" s="1">
        <v>85260.2</v>
      </c>
      <c r="N356" s="1">
        <v>6552.1</v>
      </c>
      <c r="O356" s="1">
        <v>99539.6</v>
      </c>
      <c r="P356" s="1">
        <v>54112</v>
      </c>
      <c r="Q356" s="1">
        <v>84233</v>
      </c>
      <c r="R356" s="1">
        <v>0</v>
      </c>
    </row>
    <row r="357" spans="1:18">
      <c r="A357" s="2">
        <v>0.625</v>
      </c>
      <c r="B357" s="1">
        <v>843230</v>
      </c>
      <c r="C357" s="1">
        <v>187017</v>
      </c>
      <c r="D357" s="1">
        <v>49604.800000000003</v>
      </c>
      <c r="E357" s="1">
        <v>0</v>
      </c>
      <c r="F357" s="1">
        <v>416810</v>
      </c>
      <c r="G357" s="1">
        <v>84690.8</v>
      </c>
      <c r="H357" s="1">
        <v>378257</v>
      </c>
      <c r="I357" s="1">
        <v>726805</v>
      </c>
      <c r="J357" s="1">
        <v>53024.6</v>
      </c>
      <c r="K357" s="1">
        <v>89488.4</v>
      </c>
      <c r="L357" s="1">
        <v>6337</v>
      </c>
      <c r="M357" s="1">
        <v>85295.8</v>
      </c>
      <c r="N357" s="1">
        <v>6595.6</v>
      </c>
      <c r="O357" s="1">
        <v>99557.8</v>
      </c>
      <c r="P357" s="1">
        <v>54122</v>
      </c>
      <c r="Q357" s="1">
        <v>84249</v>
      </c>
      <c r="R357" s="1">
        <v>0</v>
      </c>
    </row>
    <row r="358" spans="1:18">
      <c r="A358" s="2">
        <v>0.66666666666666663</v>
      </c>
      <c r="B358" s="1">
        <v>844033</v>
      </c>
      <c r="C358" s="1">
        <v>187220</v>
      </c>
      <c r="D358" s="1">
        <v>49623.1</v>
      </c>
      <c r="E358" s="1">
        <v>0</v>
      </c>
      <c r="F358" s="1">
        <v>416833</v>
      </c>
      <c r="G358" s="1">
        <v>84748.9</v>
      </c>
      <c r="H358" s="1">
        <v>378270</v>
      </c>
      <c r="I358" s="1">
        <v>727101</v>
      </c>
      <c r="J358" s="1">
        <v>53033.9</v>
      </c>
      <c r="K358" s="1">
        <v>89488.4</v>
      </c>
      <c r="L358" s="1">
        <v>6361.3</v>
      </c>
      <c r="M358" s="1">
        <v>85332.800000000003</v>
      </c>
      <c r="N358" s="1">
        <v>6645</v>
      </c>
      <c r="O358" s="1">
        <v>99576</v>
      </c>
      <c r="P358" s="1">
        <v>54127</v>
      </c>
      <c r="Q358" s="1">
        <v>84256</v>
      </c>
      <c r="R358" s="1">
        <v>0</v>
      </c>
    </row>
    <row r="359" spans="1:18">
      <c r="A359" s="2">
        <v>0.70833333333333337</v>
      </c>
      <c r="B359" s="1">
        <v>844837</v>
      </c>
      <c r="C359" s="1">
        <v>187425</v>
      </c>
      <c r="D359" s="1">
        <v>49644.3</v>
      </c>
      <c r="E359" s="1">
        <v>0</v>
      </c>
      <c r="F359" s="1">
        <v>416854</v>
      </c>
      <c r="G359" s="1">
        <v>84811.4</v>
      </c>
      <c r="H359" s="1">
        <v>378282</v>
      </c>
      <c r="I359" s="1">
        <v>727389</v>
      </c>
      <c r="J359" s="1">
        <v>53042.6</v>
      </c>
      <c r="K359" s="1">
        <v>89488.6</v>
      </c>
      <c r="L359" s="1">
        <v>6384.9</v>
      </c>
      <c r="M359" s="1">
        <v>85369.7</v>
      </c>
      <c r="N359" s="1">
        <v>6696.9</v>
      </c>
      <c r="O359" s="1">
        <v>99595.9</v>
      </c>
      <c r="P359" s="1">
        <v>54130</v>
      </c>
      <c r="Q359" s="1">
        <v>84261</v>
      </c>
      <c r="R359" s="1">
        <v>0</v>
      </c>
    </row>
    <row r="360" spans="1:18">
      <c r="A360" s="2">
        <v>0.75</v>
      </c>
      <c r="B360" s="1">
        <v>845636</v>
      </c>
      <c r="C360" s="1">
        <v>187624</v>
      </c>
      <c r="D360" s="1">
        <v>49664.800000000003</v>
      </c>
      <c r="E360" s="1">
        <v>0</v>
      </c>
      <c r="F360" s="1">
        <v>416876</v>
      </c>
      <c r="G360" s="1">
        <v>84870.3</v>
      </c>
      <c r="H360" s="1">
        <v>378294</v>
      </c>
      <c r="I360" s="1">
        <v>727679</v>
      </c>
      <c r="J360" s="1">
        <v>53051.5</v>
      </c>
      <c r="K360" s="1">
        <v>89489.9</v>
      </c>
      <c r="L360" s="1">
        <v>6408</v>
      </c>
      <c r="M360" s="1">
        <v>85407.5</v>
      </c>
      <c r="N360" s="1">
        <v>6749.8</v>
      </c>
      <c r="O360" s="1">
        <v>99615.1</v>
      </c>
      <c r="P360" s="1">
        <v>54132</v>
      </c>
      <c r="Q360" s="1">
        <v>84264</v>
      </c>
      <c r="R360" s="1">
        <v>0</v>
      </c>
    </row>
    <row r="361" spans="1:18">
      <c r="A361" s="2">
        <v>0.79166666666666663</v>
      </c>
      <c r="B361" s="1">
        <v>846412</v>
      </c>
      <c r="C361" s="1">
        <v>187817</v>
      </c>
      <c r="D361" s="1">
        <v>49681.3</v>
      </c>
      <c r="E361" s="1">
        <v>0</v>
      </c>
      <c r="F361" s="1">
        <v>416896</v>
      </c>
      <c r="G361" s="1">
        <v>84934.8</v>
      </c>
      <c r="H361" s="1">
        <v>378306</v>
      </c>
      <c r="I361" s="1">
        <v>727959</v>
      </c>
      <c r="J361" s="1">
        <v>53059.5</v>
      </c>
      <c r="K361" s="1">
        <v>89492.9</v>
      </c>
      <c r="L361" s="1">
        <v>6429.7</v>
      </c>
      <c r="M361" s="1">
        <v>85442.1</v>
      </c>
      <c r="N361" s="1">
        <v>6804.1</v>
      </c>
      <c r="O361" s="1">
        <v>99630.399999999994</v>
      </c>
      <c r="P361" s="1">
        <v>54132</v>
      </c>
      <c r="Q361" s="1">
        <v>84264</v>
      </c>
      <c r="R361" s="1">
        <v>0</v>
      </c>
    </row>
    <row r="362" spans="1:18">
      <c r="A362" s="2">
        <v>0.83333333333333337</v>
      </c>
      <c r="B362" s="1">
        <v>847176</v>
      </c>
      <c r="C362" s="1">
        <v>188003</v>
      </c>
      <c r="D362" s="1">
        <v>49697.3</v>
      </c>
      <c r="E362" s="1">
        <v>0</v>
      </c>
      <c r="F362" s="1">
        <v>416917</v>
      </c>
      <c r="G362" s="1">
        <v>85000.1</v>
      </c>
      <c r="H362" s="1">
        <v>378318</v>
      </c>
      <c r="I362" s="1">
        <v>728234</v>
      </c>
      <c r="J362" s="1">
        <v>53067.6</v>
      </c>
      <c r="K362" s="1">
        <v>89495.8</v>
      </c>
      <c r="L362" s="1">
        <v>6448.5</v>
      </c>
      <c r="M362" s="1">
        <v>85476.6</v>
      </c>
      <c r="N362" s="1">
        <v>6858.6</v>
      </c>
      <c r="O362" s="1">
        <v>99648.9</v>
      </c>
      <c r="P362" s="1">
        <v>54132</v>
      </c>
      <c r="Q362" s="1">
        <v>84264</v>
      </c>
      <c r="R362" s="1">
        <v>0</v>
      </c>
    </row>
    <row r="363" spans="1:18">
      <c r="A363" s="2">
        <v>0.875</v>
      </c>
      <c r="B363" s="1">
        <v>847920</v>
      </c>
      <c r="C363" s="1">
        <v>188180</v>
      </c>
      <c r="D363" s="1">
        <v>49716.9</v>
      </c>
      <c r="E363" s="1">
        <v>0</v>
      </c>
      <c r="F363" s="1">
        <v>416936</v>
      </c>
      <c r="G363" s="1">
        <v>85060.7</v>
      </c>
      <c r="H363" s="1">
        <v>378331</v>
      </c>
      <c r="I363" s="1">
        <v>728503</v>
      </c>
      <c r="J363" s="1">
        <v>53074.9</v>
      </c>
      <c r="K363" s="1">
        <v>89498.7</v>
      </c>
      <c r="L363" s="1">
        <v>6466.9</v>
      </c>
      <c r="M363" s="1">
        <v>85510.3</v>
      </c>
      <c r="N363" s="1">
        <v>6912.4</v>
      </c>
      <c r="O363" s="1">
        <v>99668.4</v>
      </c>
      <c r="P363" s="1">
        <v>54132</v>
      </c>
      <c r="Q363" s="1">
        <v>84264</v>
      </c>
      <c r="R363" s="1">
        <v>0</v>
      </c>
    </row>
    <row r="364" spans="1:18">
      <c r="A364" s="2">
        <v>0.91666666666666663</v>
      </c>
      <c r="B364" s="1">
        <v>848653</v>
      </c>
      <c r="C364" s="1">
        <v>188358</v>
      </c>
      <c r="D364" s="1">
        <v>49734.9</v>
      </c>
      <c r="E364" s="1">
        <v>0</v>
      </c>
      <c r="F364" s="1">
        <v>416955</v>
      </c>
      <c r="G364" s="1">
        <v>85119.9</v>
      </c>
      <c r="H364" s="1">
        <v>378343</v>
      </c>
      <c r="I364" s="1">
        <v>728760</v>
      </c>
      <c r="J364" s="1">
        <v>53082.1</v>
      </c>
      <c r="K364" s="1">
        <v>89501.5</v>
      </c>
      <c r="L364" s="1">
        <v>6486.5</v>
      </c>
      <c r="M364" s="1">
        <v>85543.9</v>
      </c>
      <c r="N364" s="1">
        <v>6966.2</v>
      </c>
      <c r="O364" s="1">
        <v>99687.7</v>
      </c>
      <c r="P364" s="1">
        <v>54132</v>
      </c>
      <c r="Q364" s="1">
        <v>84264</v>
      </c>
      <c r="R364" s="1">
        <v>0</v>
      </c>
    </row>
    <row r="365" spans="1:18">
      <c r="A365" s="2">
        <v>0.95833333333333337</v>
      </c>
      <c r="B365" s="1">
        <v>849388</v>
      </c>
      <c r="C365" s="1">
        <v>188540</v>
      </c>
      <c r="D365" s="1">
        <v>49753.5</v>
      </c>
      <c r="E365" s="1">
        <v>0</v>
      </c>
      <c r="F365" s="1">
        <v>416974</v>
      </c>
      <c r="G365" s="1">
        <v>85177</v>
      </c>
      <c r="H365" s="1">
        <v>378355</v>
      </c>
      <c r="I365" s="1">
        <v>729018</v>
      </c>
      <c r="J365" s="1">
        <v>53089.5</v>
      </c>
      <c r="K365" s="1">
        <v>89504.3</v>
      </c>
      <c r="L365" s="1">
        <v>6508</v>
      </c>
      <c r="M365" s="1">
        <v>85578</v>
      </c>
      <c r="N365" s="1">
        <v>7020.2</v>
      </c>
      <c r="O365" s="1">
        <v>99706.4</v>
      </c>
      <c r="P365" s="1">
        <v>54132</v>
      </c>
      <c r="Q365" s="1">
        <v>84264</v>
      </c>
      <c r="R365" s="1">
        <v>0</v>
      </c>
    </row>
    <row r="366" spans="1:18">
      <c r="A366" s="2">
        <v>0</v>
      </c>
      <c r="B366" s="1">
        <v>850109</v>
      </c>
      <c r="C366" s="1">
        <v>188715</v>
      </c>
      <c r="D366" s="1">
        <v>49771.4</v>
      </c>
      <c r="E366" s="1">
        <v>0</v>
      </c>
      <c r="F366" s="1">
        <v>416992</v>
      </c>
      <c r="G366" s="1">
        <v>85232.5</v>
      </c>
      <c r="H366" s="1">
        <v>378367</v>
      </c>
      <c r="I366" s="1">
        <v>729272</v>
      </c>
      <c r="J366" s="1">
        <v>53096.7</v>
      </c>
      <c r="K366" s="1">
        <v>89507</v>
      </c>
      <c r="L366" s="1">
        <v>6530</v>
      </c>
      <c r="M366" s="1">
        <v>85611.8</v>
      </c>
      <c r="N366" s="1">
        <v>7073.4</v>
      </c>
      <c r="O366" s="1">
        <v>99724.7</v>
      </c>
      <c r="P366" s="1">
        <v>54132</v>
      </c>
      <c r="Q366" s="1">
        <v>84264</v>
      </c>
      <c r="R366" s="1">
        <v>0</v>
      </c>
    </row>
    <row r="367" spans="1:18">
      <c r="A367" s="2">
        <v>4.1666666666666664E-2</v>
      </c>
      <c r="B367" s="1">
        <v>850816</v>
      </c>
      <c r="C367" s="1">
        <v>188882</v>
      </c>
      <c r="D367" s="1">
        <v>49788.4</v>
      </c>
      <c r="E367" s="1">
        <v>0</v>
      </c>
      <c r="F367" s="1">
        <v>417011</v>
      </c>
      <c r="G367" s="1">
        <v>85288.8</v>
      </c>
      <c r="H367" s="1">
        <v>378378</v>
      </c>
      <c r="I367" s="1">
        <v>729523</v>
      </c>
      <c r="J367" s="1">
        <v>53103.9</v>
      </c>
      <c r="K367" s="1">
        <v>89510.3</v>
      </c>
      <c r="L367" s="1">
        <v>6551.6</v>
      </c>
      <c r="M367" s="1">
        <v>85644</v>
      </c>
      <c r="N367" s="1">
        <v>7127.4</v>
      </c>
      <c r="O367" s="1">
        <v>99740.800000000003</v>
      </c>
      <c r="P367" s="1">
        <v>54132</v>
      </c>
      <c r="Q367" s="1">
        <v>84264</v>
      </c>
      <c r="R367" s="1">
        <v>0</v>
      </c>
    </row>
    <row r="368" spans="1:18">
      <c r="A368" s="2">
        <v>8.3333333333333329E-2</v>
      </c>
      <c r="B368" s="1">
        <v>851516</v>
      </c>
      <c r="C368" s="1">
        <v>189050</v>
      </c>
      <c r="D368" s="1">
        <v>49802.7</v>
      </c>
      <c r="E368" s="1">
        <v>0</v>
      </c>
      <c r="F368" s="1">
        <v>417031</v>
      </c>
      <c r="G368" s="1">
        <v>85346.4</v>
      </c>
      <c r="H368" s="1">
        <v>378390</v>
      </c>
      <c r="I368" s="1">
        <v>729765</v>
      </c>
      <c r="J368" s="1">
        <v>53110.9</v>
      </c>
      <c r="K368" s="1">
        <v>89513.4</v>
      </c>
      <c r="L368" s="1">
        <v>6572.9</v>
      </c>
      <c r="M368" s="1">
        <v>85676.9</v>
      </c>
      <c r="N368" s="1">
        <v>7181.5</v>
      </c>
      <c r="O368" s="1">
        <v>99759.7</v>
      </c>
      <c r="P368" s="1">
        <v>54132</v>
      </c>
      <c r="Q368" s="1">
        <v>84264</v>
      </c>
      <c r="R368" s="1">
        <v>0</v>
      </c>
    </row>
    <row r="369" spans="1:18">
      <c r="A369" s="2">
        <v>0.125</v>
      </c>
      <c r="B369" s="1">
        <v>852212</v>
      </c>
      <c r="C369" s="1">
        <v>189221</v>
      </c>
      <c r="D369" s="1">
        <v>49816.3</v>
      </c>
      <c r="E369" s="1">
        <v>0</v>
      </c>
      <c r="F369" s="1">
        <v>417050</v>
      </c>
      <c r="G369" s="1">
        <v>85401.9</v>
      </c>
      <c r="H369" s="1">
        <v>378401</v>
      </c>
      <c r="I369" s="1">
        <v>730004</v>
      </c>
      <c r="J369" s="1">
        <v>53117.8</v>
      </c>
      <c r="K369" s="1">
        <v>89516.2</v>
      </c>
      <c r="L369" s="1">
        <v>6594.2</v>
      </c>
      <c r="M369" s="1">
        <v>85710.2</v>
      </c>
      <c r="N369" s="1">
        <v>7235.2</v>
      </c>
      <c r="O369" s="1">
        <v>99777.7</v>
      </c>
      <c r="P369" s="1">
        <v>54132</v>
      </c>
      <c r="Q369" s="1">
        <v>84264</v>
      </c>
      <c r="R369" s="1">
        <v>0</v>
      </c>
    </row>
    <row r="370" spans="1:18">
      <c r="A370" s="2">
        <v>0.16666666666666666</v>
      </c>
      <c r="B370" s="1">
        <v>852901</v>
      </c>
      <c r="C370" s="1">
        <v>189392</v>
      </c>
      <c r="D370" s="1">
        <v>49830.5</v>
      </c>
      <c r="E370" s="1">
        <v>0</v>
      </c>
      <c r="F370" s="1">
        <v>417068</v>
      </c>
      <c r="G370" s="1">
        <v>85456.8</v>
      </c>
      <c r="H370" s="1">
        <v>378412</v>
      </c>
      <c r="I370" s="1">
        <v>730238</v>
      </c>
      <c r="J370" s="1">
        <v>53124.7</v>
      </c>
      <c r="K370" s="1">
        <v>89518.8</v>
      </c>
      <c r="L370" s="1">
        <v>6615.7</v>
      </c>
      <c r="M370" s="1">
        <v>85742.8</v>
      </c>
      <c r="N370" s="1">
        <v>7288.9</v>
      </c>
      <c r="O370" s="1">
        <v>99795.9</v>
      </c>
      <c r="P370" s="1">
        <v>54132</v>
      </c>
      <c r="Q370" s="1">
        <v>84264</v>
      </c>
      <c r="R370" s="1">
        <v>0</v>
      </c>
    </row>
    <row r="371" spans="1:18">
      <c r="A371" s="2">
        <v>0.20833333333333334</v>
      </c>
      <c r="B371" s="1">
        <v>853581</v>
      </c>
      <c r="C371" s="1">
        <v>189554</v>
      </c>
      <c r="D371" s="1">
        <v>49844.5</v>
      </c>
      <c r="E371" s="1">
        <v>0</v>
      </c>
      <c r="F371" s="1">
        <v>417087</v>
      </c>
      <c r="G371" s="1">
        <v>85509.4</v>
      </c>
      <c r="H371" s="1">
        <v>378425</v>
      </c>
      <c r="I371" s="1">
        <v>730472</v>
      </c>
      <c r="J371" s="1">
        <v>53131.8</v>
      </c>
      <c r="K371" s="1">
        <v>89521.600000000006</v>
      </c>
      <c r="L371" s="1">
        <v>6637</v>
      </c>
      <c r="M371" s="1">
        <v>85775.1</v>
      </c>
      <c r="N371" s="1">
        <v>7343.3</v>
      </c>
      <c r="O371" s="1">
        <v>99815</v>
      </c>
      <c r="P371" s="1">
        <v>54132</v>
      </c>
      <c r="Q371" s="1">
        <v>84264</v>
      </c>
      <c r="R371" s="1">
        <v>0</v>
      </c>
    </row>
    <row r="372" spans="1:18">
      <c r="A372" s="2">
        <v>0.25</v>
      </c>
      <c r="B372" s="1">
        <v>854254</v>
      </c>
      <c r="C372" s="1">
        <v>189715</v>
      </c>
      <c r="D372" s="1">
        <v>49859</v>
      </c>
      <c r="E372" s="1">
        <v>0</v>
      </c>
      <c r="F372" s="1">
        <v>417106</v>
      </c>
      <c r="G372" s="1">
        <v>85561.7</v>
      </c>
      <c r="H372" s="1">
        <v>378436</v>
      </c>
      <c r="I372" s="1">
        <v>730702</v>
      </c>
      <c r="J372" s="1">
        <v>53138.6</v>
      </c>
      <c r="K372" s="1">
        <v>89524.3</v>
      </c>
      <c r="L372" s="1">
        <v>6658.2</v>
      </c>
      <c r="M372" s="1">
        <v>85807.8</v>
      </c>
      <c r="N372" s="1">
        <v>7396.8</v>
      </c>
      <c r="O372" s="1">
        <v>99833</v>
      </c>
      <c r="P372" s="1">
        <v>54132</v>
      </c>
      <c r="Q372" s="1">
        <v>84264</v>
      </c>
      <c r="R372" s="1">
        <v>0</v>
      </c>
    </row>
    <row r="373" spans="1:18">
      <c r="A373" s="2">
        <v>0.29166666666666669</v>
      </c>
      <c r="B373" s="1">
        <v>854919</v>
      </c>
      <c r="C373" s="1">
        <v>189872</v>
      </c>
      <c r="D373" s="1">
        <v>49873.4</v>
      </c>
      <c r="E373" s="1">
        <v>0</v>
      </c>
      <c r="F373" s="1">
        <v>417125</v>
      </c>
      <c r="G373" s="1">
        <v>85613.3</v>
      </c>
      <c r="H373" s="1">
        <v>378447</v>
      </c>
      <c r="I373" s="1">
        <v>730933</v>
      </c>
      <c r="J373" s="1">
        <v>53145.5</v>
      </c>
      <c r="K373" s="1">
        <v>89526.2</v>
      </c>
      <c r="L373" s="1">
        <v>6678.7</v>
      </c>
      <c r="M373" s="1">
        <v>85839.6</v>
      </c>
      <c r="N373" s="1">
        <v>7450.1</v>
      </c>
      <c r="O373" s="1">
        <v>99850.4</v>
      </c>
      <c r="P373" s="1">
        <v>54132</v>
      </c>
      <c r="Q373" s="1">
        <v>84265</v>
      </c>
      <c r="R373" s="1">
        <v>0</v>
      </c>
    </row>
    <row r="374" spans="1:18">
      <c r="A374" s="2">
        <v>0.33333333333333331</v>
      </c>
      <c r="B374" s="1">
        <v>855585</v>
      </c>
      <c r="C374" s="1">
        <v>190035</v>
      </c>
      <c r="D374" s="1">
        <v>49887.3</v>
      </c>
      <c r="E374" s="1">
        <v>0</v>
      </c>
      <c r="F374" s="1">
        <v>417143</v>
      </c>
      <c r="G374" s="1">
        <v>85662.1</v>
      </c>
      <c r="H374" s="1">
        <v>378458</v>
      </c>
      <c r="I374" s="1">
        <v>731166</v>
      </c>
      <c r="J374" s="1">
        <v>53152.7</v>
      </c>
      <c r="K374" s="1">
        <v>89527.1</v>
      </c>
      <c r="L374" s="1">
        <v>6698.1</v>
      </c>
      <c r="M374" s="1">
        <v>85872.1</v>
      </c>
      <c r="N374" s="1">
        <v>7501.1</v>
      </c>
      <c r="O374" s="1">
        <v>99867.8</v>
      </c>
      <c r="P374" s="1">
        <v>54134</v>
      </c>
      <c r="Q374" s="1">
        <v>84267</v>
      </c>
      <c r="R374" s="1">
        <v>0</v>
      </c>
    </row>
    <row r="375" spans="1:18">
      <c r="A375" s="2">
        <v>0.375</v>
      </c>
      <c r="B375" s="1">
        <v>856263</v>
      </c>
      <c r="C375" s="1">
        <v>190200</v>
      </c>
      <c r="D375" s="1">
        <v>49901.5</v>
      </c>
      <c r="E375" s="1">
        <v>0</v>
      </c>
      <c r="F375" s="1">
        <v>417163</v>
      </c>
      <c r="G375" s="1">
        <v>85704.2</v>
      </c>
      <c r="H375" s="1">
        <v>378474</v>
      </c>
      <c r="I375" s="1">
        <v>731407</v>
      </c>
      <c r="J375" s="1">
        <v>53160.3</v>
      </c>
      <c r="K375" s="1">
        <v>89527.1</v>
      </c>
      <c r="L375" s="1">
        <v>6716.3</v>
      </c>
      <c r="M375" s="1">
        <v>85908.5</v>
      </c>
      <c r="N375" s="1">
        <v>7551.1</v>
      </c>
      <c r="O375" s="1">
        <v>99887.3</v>
      </c>
      <c r="P375" s="1">
        <v>54137</v>
      </c>
      <c r="Q375" s="1">
        <v>84273</v>
      </c>
      <c r="R375" s="1">
        <v>0</v>
      </c>
    </row>
    <row r="376" spans="1:18">
      <c r="A376" s="2">
        <v>0.41666666666666669</v>
      </c>
      <c r="B376" s="1">
        <v>856968</v>
      </c>
      <c r="C376" s="1">
        <v>190374</v>
      </c>
      <c r="D376" s="1">
        <v>49916.3</v>
      </c>
      <c r="E376" s="1">
        <v>0</v>
      </c>
      <c r="F376" s="1">
        <v>417185</v>
      </c>
      <c r="G376" s="1">
        <v>85744.6</v>
      </c>
      <c r="H376" s="1">
        <v>378494</v>
      </c>
      <c r="I376" s="1">
        <v>731664</v>
      </c>
      <c r="J376" s="1">
        <v>53167.8</v>
      </c>
      <c r="K376" s="1">
        <v>89527.1</v>
      </c>
      <c r="L376" s="1">
        <v>6734.8</v>
      </c>
      <c r="M376" s="1">
        <v>85943.5</v>
      </c>
      <c r="N376" s="1">
        <v>7600.2</v>
      </c>
      <c r="O376" s="1">
        <v>99906.6</v>
      </c>
      <c r="P376" s="1">
        <v>54142</v>
      </c>
      <c r="Q376" s="1">
        <v>84281</v>
      </c>
      <c r="R376" s="1">
        <v>0</v>
      </c>
    </row>
    <row r="377" spans="1:18">
      <c r="A377" s="2">
        <v>0.45833333333333331</v>
      </c>
      <c r="B377" s="1">
        <v>857692</v>
      </c>
      <c r="C377" s="1">
        <v>190553</v>
      </c>
      <c r="D377" s="1">
        <v>49934.7</v>
      </c>
      <c r="E377" s="1">
        <v>0</v>
      </c>
      <c r="F377" s="1">
        <v>417206</v>
      </c>
      <c r="G377" s="1">
        <v>85778.5</v>
      </c>
      <c r="H377" s="1">
        <v>378517</v>
      </c>
      <c r="I377" s="1">
        <v>731933</v>
      </c>
      <c r="J377" s="1">
        <v>53176.5</v>
      </c>
      <c r="K377" s="1">
        <v>89527.1</v>
      </c>
      <c r="L377" s="1">
        <v>6755.3</v>
      </c>
      <c r="M377" s="1">
        <v>85980.9</v>
      </c>
      <c r="N377" s="1">
        <v>7645.4</v>
      </c>
      <c r="O377" s="1">
        <v>99926</v>
      </c>
      <c r="P377" s="1">
        <v>54151</v>
      </c>
      <c r="Q377" s="1">
        <v>84294</v>
      </c>
      <c r="R377" s="1">
        <v>0</v>
      </c>
    </row>
    <row r="378" spans="1:18">
      <c r="A378" s="2">
        <v>0.5</v>
      </c>
      <c r="B378" s="1">
        <v>858442</v>
      </c>
      <c r="C378" s="1">
        <v>190742</v>
      </c>
      <c r="D378" s="1">
        <v>49952.800000000003</v>
      </c>
      <c r="E378" s="1">
        <v>0</v>
      </c>
      <c r="F378" s="1">
        <v>417233</v>
      </c>
      <c r="G378" s="1">
        <v>85807.7</v>
      </c>
      <c r="H378" s="1">
        <v>378541</v>
      </c>
      <c r="I378" s="1">
        <v>732212</v>
      </c>
      <c r="J378" s="1">
        <v>53185.3</v>
      </c>
      <c r="K378" s="1">
        <v>89527.1</v>
      </c>
      <c r="L378" s="1">
        <v>6781.2</v>
      </c>
      <c r="M378" s="1">
        <v>86020.2</v>
      </c>
      <c r="N378" s="1">
        <v>7691.6</v>
      </c>
      <c r="O378" s="1">
        <v>99945.7</v>
      </c>
      <c r="P378" s="1">
        <v>54163</v>
      </c>
      <c r="Q378" s="1">
        <v>84313</v>
      </c>
      <c r="R378" s="1">
        <v>0</v>
      </c>
    </row>
    <row r="379" spans="1:18">
      <c r="A379" s="2">
        <v>0.54166666666666663</v>
      </c>
      <c r="B379" s="1">
        <v>859226</v>
      </c>
      <c r="C379" s="1">
        <v>190934</v>
      </c>
      <c r="D379" s="1">
        <v>49977.9</v>
      </c>
      <c r="E379" s="1">
        <v>0</v>
      </c>
      <c r="F379" s="1">
        <v>417258</v>
      </c>
      <c r="G379" s="1">
        <v>85843.5</v>
      </c>
      <c r="H379" s="1">
        <v>378563</v>
      </c>
      <c r="I379" s="1">
        <v>732504</v>
      </c>
      <c r="J379" s="1">
        <v>53194.6</v>
      </c>
      <c r="K379" s="1">
        <v>89527.1</v>
      </c>
      <c r="L379" s="1">
        <v>6814</v>
      </c>
      <c r="M379" s="1">
        <v>86062</v>
      </c>
      <c r="N379" s="1">
        <v>7738.1</v>
      </c>
      <c r="O379" s="1">
        <v>99963.199999999997</v>
      </c>
      <c r="P379" s="1">
        <v>54173</v>
      </c>
      <c r="Q379" s="1">
        <v>84328</v>
      </c>
      <c r="R379" s="1">
        <v>0</v>
      </c>
    </row>
    <row r="380" spans="1:18">
      <c r="A380" s="2">
        <v>0.58333333333333337</v>
      </c>
      <c r="B380" s="1">
        <v>860033</v>
      </c>
      <c r="C380" s="1">
        <v>191135</v>
      </c>
      <c r="D380" s="1">
        <v>50006.7</v>
      </c>
      <c r="E380" s="1">
        <v>0</v>
      </c>
      <c r="F380" s="1">
        <v>417283</v>
      </c>
      <c r="G380" s="1">
        <v>85880</v>
      </c>
      <c r="H380" s="1">
        <v>378586</v>
      </c>
      <c r="I380" s="1">
        <v>732803</v>
      </c>
      <c r="J380" s="1">
        <v>53205</v>
      </c>
      <c r="K380" s="1">
        <v>89527.1</v>
      </c>
      <c r="L380" s="1">
        <v>6844.8</v>
      </c>
      <c r="M380" s="1">
        <v>86105.600000000006</v>
      </c>
      <c r="N380" s="1">
        <v>7785.6</v>
      </c>
      <c r="O380" s="1">
        <v>99983</v>
      </c>
      <c r="P380" s="1">
        <v>54185</v>
      </c>
      <c r="Q380" s="1">
        <v>84347</v>
      </c>
      <c r="R380" s="1">
        <v>0</v>
      </c>
    </row>
    <row r="381" spans="1:18">
      <c r="A381" s="2">
        <v>0.625</v>
      </c>
      <c r="B381" s="1">
        <v>860891</v>
      </c>
      <c r="C381" s="1">
        <v>191348</v>
      </c>
      <c r="D381" s="1">
        <v>50038.9</v>
      </c>
      <c r="E381" s="1">
        <v>0</v>
      </c>
      <c r="F381" s="1">
        <v>417309</v>
      </c>
      <c r="G381" s="1">
        <v>85939.6</v>
      </c>
      <c r="H381" s="1">
        <v>378610</v>
      </c>
      <c r="I381" s="1">
        <v>733104</v>
      </c>
      <c r="J381" s="1">
        <v>53215.1</v>
      </c>
      <c r="K381" s="1">
        <v>89527.1</v>
      </c>
      <c r="L381" s="1">
        <v>6874.4</v>
      </c>
      <c r="M381" s="1">
        <v>86146.5</v>
      </c>
      <c r="N381" s="1">
        <v>7834.4</v>
      </c>
      <c r="O381" s="1">
        <v>3.4</v>
      </c>
      <c r="P381" s="1">
        <v>54189</v>
      </c>
      <c r="Q381" s="1">
        <v>84353</v>
      </c>
      <c r="R381" s="1">
        <v>0</v>
      </c>
    </row>
    <row r="382" spans="1:18">
      <c r="A382" s="2">
        <v>0.66666666666666663</v>
      </c>
      <c r="B382" s="1">
        <v>861751</v>
      </c>
      <c r="C382" s="1">
        <v>191546</v>
      </c>
      <c r="D382" s="1">
        <v>50066.3</v>
      </c>
      <c r="E382" s="1">
        <v>0</v>
      </c>
      <c r="F382" s="1">
        <v>417334</v>
      </c>
      <c r="G382" s="1">
        <v>86005.3</v>
      </c>
      <c r="H382" s="1">
        <v>378634</v>
      </c>
      <c r="I382" s="1">
        <v>733418</v>
      </c>
      <c r="J382" s="1">
        <v>53224</v>
      </c>
      <c r="K382" s="1">
        <v>89528.2</v>
      </c>
      <c r="L382" s="1">
        <v>6903.3</v>
      </c>
      <c r="M382" s="1">
        <v>86183.1</v>
      </c>
      <c r="N382" s="1">
        <v>7887.6</v>
      </c>
      <c r="O382" s="1">
        <v>23.1</v>
      </c>
      <c r="P382" s="1">
        <v>54190</v>
      </c>
      <c r="Q382" s="1">
        <v>84355</v>
      </c>
      <c r="R382" s="1">
        <v>0</v>
      </c>
    </row>
    <row r="383" spans="1:18">
      <c r="A383" s="2">
        <v>0.70833333333333337</v>
      </c>
      <c r="B383" s="1">
        <v>862623</v>
      </c>
      <c r="C383" s="1">
        <v>191752</v>
      </c>
      <c r="D383" s="1">
        <v>50091.8</v>
      </c>
      <c r="E383" s="1">
        <v>0</v>
      </c>
      <c r="F383" s="1">
        <v>417358</v>
      </c>
      <c r="G383" s="1">
        <v>86069.9</v>
      </c>
      <c r="H383" s="1">
        <v>378657</v>
      </c>
      <c r="I383" s="1">
        <v>733740</v>
      </c>
      <c r="J383" s="1">
        <v>53233</v>
      </c>
      <c r="K383" s="1">
        <v>89529.3</v>
      </c>
      <c r="L383" s="1">
        <v>6933.2</v>
      </c>
      <c r="M383" s="1">
        <v>86221.5</v>
      </c>
      <c r="N383" s="1">
        <v>7940.2</v>
      </c>
      <c r="O383" s="1">
        <v>43.1</v>
      </c>
      <c r="P383" s="1">
        <v>54193</v>
      </c>
      <c r="Q383" s="1">
        <v>84358</v>
      </c>
      <c r="R383" s="1">
        <v>0</v>
      </c>
    </row>
    <row r="384" spans="1:18">
      <c r="A384" s="2">
        <v>0.75</v>
      </c>
      <c r="B384" s="1">
        <v>863482</v>
      </c>
      <c r="C384" s="1">
        <v>191957</v>
      </c>
      <c r="D384" s="1">
        <v>50119.199999999997</v>
      </c>
      <c r="E384" s="1">
        <v>0</v>
      </c>
      <c r="F384" s="1">
        <v>417382</v>
      </c>
      <c r="G384" s="1">
        <v>86127.8</v>
      </c>
      <c r="H384" s="1">
        <v>378682</v>
      </c>
      <c r="I384" s="1">
        <v>734057</v>
      </c>
      <c r="J384" s="1">
        <v>53242.1</v>
      </c>
      <c r="K384" s="1">
        <v>89530.8</v>
      </c>
      <c r="L384" s="1">
        <v>6956.2</v>
      </c>
      <c r="M384" s="1">
        <v>86260</v>
      </c>
      <c r="N384" s="1">
        <v>7992.3</v>
      </c>
      <c r="O384" s="1">
        <v>62.5</v>
      </c>
      <c r="P384" s="1">
        <v>54195</v>
      </c>
      <c r="Q384" s="1">
        <v>84362</v>
      </c>
      <c r="R384" s="1">
        <v>0</v>
      </c>
    </row>
    <row r="385" spans="1:18">
      <c r="A385" s="2">
        <v>0.79166666666666663</v>
      </c>
      <c r="B385" s="1">
        <v>864327</v>
      </c>
      <c r="C385" s="1">
        <v>192157</v>
      </c>
      <c r="D385" s="1">
        <v>50145.4</v>
      </c>
      <c r="E385" s="1">
        <v>0</v>
      </c>
      <c r="F385" s="1">
        <v>417406</v>
      </c>
      <c r="G385" s="1">
        <v>86192.2</v>
      </c>
      <c r="H385" s="1">
        <v>378709</v>
      </c>
      <c r="I385" s="1">
        <v>734364</v>
      </c>
      <c r="J385" s="1">
        <v>53249.7</v>
      </c>
      <c r="K385" s="1">
        <v>89533.8</v>
      </c>
      <c r="L385" s="1">
        <v>6978.3</v>
      </c>
      <c r="M385" s="1">
        <v>86294.399999999994</v>
      </c>
      <c r="N385" s="1">
        <v>8045</v>
      </c>
      <c r="O385" s="1">
        <v>81.2</v>
      </c>
      <c r="P385" s="1">
        <v>54195</v>
      </c>
      <c r="Q385" s="1">
        <v>84362</v>
      </c>
      <c r="R385" s="1">
        <v>0</v>
      </c>
    </row>
    <row r="386" spans="1:18">
      <c r="A386" s="2">
        <v>0.83333333333333337</v>
      </c>
      <c r="B386" s="1">
        <v>865132</v>
      </c>
      <c r="C386" s="1">
        <v>192348</v>
      </c>
      <c r="D386" s="1">
        <v>50165.9</v>
      </c>
      <c r="E386" s="1">
        <v>0</v>
      </c>
      <c r="F386" s="1">
        <v>417430</v>
      </c>
      <c r="G386" s="1">
        <v>86253.5</v>
      </c>
      <c r="H386" s="1">
        <v>378727</v>
      </c>
      <c r="I386" s="1">
        <v>734656</v>
      </c>
      <c r="J386" s="1">
        <v>53256.9</v>
      </c>
      <c r="K386" s="1">
        <v>89536.6</v>
      </c>
      <c r="L386" s="1">
        <v>7003.4</v>
      </c>
      <c r="M386" s="1">
        <v>86328.1</v>
      </c>
      <c r="N386" s="1">
        <v>8100.2</v>
      </c>
      <c r="O386" s="1">
        <v>100.9</v>
      </c>
      <c r="P386" s="1">
        <v>54195</v>
      </c>
      <c r="Q386" s="1">
        <v>84362</v>
      </c>
      <c r="R386" s="1">
        <v>0</v>
      </c>
    </row>
    <row r="387" spans="1:18">
      <c r="A387" s="2">
        <v>0.875</v>
      </c>
      <c r="B387" s="1">
        <v>865914</v>
      </c>
      <c r="C387" s="1">
        <v>192538</v>
      </c>
      <c r="D387" s="1">
        <v>50181.3</v>
      </c>
      <c r="E387" s="1">
        <v>0</v>
      </c>
      <c r="F387" s="1">
        <v>417453</v>
      </c>
      <c r="G387" s="1">
        <v>86313.9</v>
      </c>
      <c r="H387" s="1">
        <v>378740</v>
      </c>
      <c r="I387" s="1">
        <v>734939</v>
      </c>
      <c r="J387" s="1">
        <v>53264.4</v>
      </c>
      <c r="K387" s="1">
        <v>89539.4</v>
      </c>
      <c r="L387" s="1">
        <v>7027.4</v>
      </c>
      <c r="M387" s="1">
        <v>86361.8</v>
      </c>
      <c r="N387" s="1">
        <v>8155</v>
      </c>
      <c r="O387" s="1">
        <v>121.3</v>
      </c>
      <c r="P387" s="1">
        <v>54195</v>
      </c>
      <c r="Q387" s="1">
        <v>84362</v>
      </c>
      <c r="R387" s="1">
        <v>0</v>
      </c>
    </row>
    <row r="388" spans="1:18">
      <c r="A388" s="2">
        <v>0.91666666666666663</v>
      </c>
      <c r="B388" s="1">
        <v>866676</v>
      </c>
      <c r="C388" s="1">
        <v>192723</v>
      </c>
      <c r="D388" s="1">
        <v>50201.7</v>
      </c>
      <c r="E388" s="1">
        <v>0</v>
      </c>
      <c r="F388" s="1">
        <v>417474</v>
      </c>
      <c r="G388" s="1">
        <v>86372.5</v>
      </c>
      <c r="H388" s="1">
        <v>378753</v>
      </c>
      <c r="I388" s="1">
        <v>735209</v>
      </c>
      <c r="J388" s="1">
        <v>53271.4</v>
      </c>
      <c r="K388" s="1">
        <v>89542.2</v>
      </c>
      <c r="L388" s="1">
        <v>7050.4</v>
      </c>
      <c r="M388" s="1">
        <v>86395.3</v>
      </c>
      <c r="N388" s="1">
        <v>8209.1</v>
      </c>
      <c r="O388" s="1">
        <v>142.5</v>
      </c>
      <c r="P388" s="1">
        <v>54195</v>
      </c>
      <c r="Q388" s="1">
        <v>84362</v>
      </c>
      <c r="R388" s="1">
        <v>0</v>
      </c>
    </row>
    <row r="389" spans="1:18">
      <c r="A389" s="2">
        <v>0.95833333333333337</v>
      </c>
      <c r="B389" s="1">
        <v>867433</v>
      </c>
      <c r="C389" s="1">
        <v>192914</v>
      </c>
      <c r="D389" s="1">
        <v>50222</v>
      </c>
      <c r="E389" s="1">
        <v>0</v>
      </c>
      <c r="F389" s="1">
        <v>417496</v>
      </c>
      <c r="G389" s="1">
        <v>86428.4</v>
      </c>
      <c r="H389" s="1">
        <v>378765</v>
      </c>
      <c r="I389" s="1">
        <v>735471</v>
      </c>
      <c r="J389" s="1">
        <v>53278.400000000001</v>
      </c>
      <c r="K389" s="1">
        <v>89545</v>
      </c>
      <c r="L389" s="1">
        <v>7071.9</v>
      </c>
      <c r="M389" s="1">
        <v>86430.3</v>
      </c>
      <c r="N389" s="1">
        <v>8262.4</v>
      </c>
      <c r="O389" s="1">
        <v>161.9</v>
      </c>
      <c r="P389" s="1">
        <v>54195</v>
      </c>
      <c r="Q389" s="1">
        <v>84362</v>
      </c>
      <c r="R389" s="1">
        <v>0</v>
      </c>
    </row>
    <row r="390" spans="1:18">
      <c r="A390" s="2">
        <v>0</v>
      </c>
      <c r="B390" s="1">
        <v>868172</v>
      </c>
      <c r="C390" s="1">
        <v>193096</v>
      </c>
      <c r="D390" s="1">
        <v>50239.8</v>
      </c>
      <c r="E390" s="1">
        <v>0</v>
      </c>
      <c r="F390" s="1">
        <v>417516</v>
      </c>
      <c r="G390" s="1">
        <v>86482.5</v>
      </c>
      <c r="H390" s="1">
        <v>378779</v>
      </c>
      <c r="I390" s="1">
        <v>735731</v>
      </c>
      <c r="J390" s="1">
        <v>53285.7</v>
      </c>
      <c r="K390" s="1">
        <v>89547.8</v>
      </c>
      <c r="L390" s="1">
        <v>7091.6</v>
      </c>
      <c r="M390" s="1">
        <v>86466.6</v>
      </c>
      <c r="N390" s="1">
        <v>8315.2000000000007</v>
      </c>
      <c r="O390" s="1">
        <v>180.8</v>
      </c>
      <c r="P390" s="1">
        <v>54195</v>
      </c>
      <c r="Q390" s="1">
        <v>84362</v>
      </c>
      <c r="R390" s="1">
        <v>0</v>
      </c>
    </row>
    <row r="391" spans="1:18">
      <c r="A391" s="2">
        <v>4.1666666666666664E-2</v>
      </c>
      <c r="B391" s="1">
        <v>868895</v>
      </c>
      <c r="C391" s="1">
        <v>193273</v>
      </c>
      <c r="D391" s="1">
        <v>50254.1</v>
      </c>
      <c r="E391" s="1">
        <v>0</v>
      </c>
      <c r="F391" s="1">
        <v>417537</v>
      </c>
      <c r="G391" s="1">
        <v>86532.800000000003</v>
      </c>
      <c r="H391" s="1">
        <v>378791</v>
      </c>
      <c r="I391" s="1">
        <v>735988</v>
      </c>
      <c r="J391" s="1">
        <v>53293.3</v>
      </c>
      <c r="K391" s="1">
        <v>89550.6</v>
      </c>
      <c r="L391" s="1">
        <v>7116.7</v>
      </c>
      <c r="M391" s="1">
        <v>86500.3</v>
      </c>
      <c r="N391" s="1">
        <v>8369.2000000000007</v>
      </c>
      <c r="O391" s="1">
        <v>197.8</v>
      </c>
      <c r="P391" s="1">
        <v>54195</v>
      </c>
      <c r="Q391" s="1">
        <v>84362</v>
      </c>
      <c r="R391" s="1">
        <v>0</v>
      </c>
    </row>
    <row r="392" spans="1:18">
      <c r="A392" s="2">
        <v>8.3333333333333329E-2</v>
      </c>
      <c r="B392" s="1">
        <v>869601</v>
      </c>
      <c r="C392" s="1">
        <v>193441</v>
      </c>
      <c r="D392" s="1">
        <v>50269.2</v>
      </c>
      <c r="E392" s="1">
        <v>0</v>
      </c>
      <c r="F392" s="1">
        <v>417556</v>
      </c>
      <c r="G392" s="1">
        <v>86582.9</v>
      </c>
      <c r="H392" s="1">
        <v>378803</v>
      </c>
      <c r="I392" s="1">
        <v>736238</v>
      </c>
      <c r="J392" s="1">
        <v>53300.2</v>
      </c>
      <c r="K392" s="1">
        <v>89553.5</v>
      </c>
      <c r="L392" s="1">
        <v>7143.1</v>
      </c>
      <c r="M392" s="1">
        <v>86532.5</v>
      </c>
      <c r="N392" s="1">
        <v>8423.2999999999993</v>
      </c>
      <c r="O392" s="1">
        <v>216.3</v>
      </c>
      <c r="P392" s="1">
        <v>54195</v>
      </c>
      <c r="Q392" s="1">
        <v>84362</v>
      </c>
      <c r="R392" s="1">
        <v>0</v>
      </c>
    </row>
    <row r="393" spans="1:18">
      <c r="A393" s="2">
        <v>0.125</v>
      </c>
      <c r="B393" s="1">
        <v>870289</v>
      </c>
      <c r="C393" s="1">
        <v>193605</v>
      </c>
      <c r="D393" s="1">
        <v>50283.5</v>
      </c>
      <c r="E393" s="1">
        <v>0</v>
      </c>
      <c r="F393" s="1">
        <v>417576</v>
      </c>
      <c r="G393" s="1">
        <v>86632.1</v>
      </c>
      <c r="H393" s="1">
        <v>378815</v>
      </c>
      <c r="I393" s="1">
        <v>736477</v>
      </c>
      <c r="J393" s="1">
        <v>53307</v>
      </c>
      <c r="K393" s="1">
        <v>89556.3</v>
      </c>
      <c r="L393" s="1">
        <v>7168.1</v>
      </c>
      <c r="M393" s="1">
        <v>86565</v>
      </c>
      <c r="N393" s="1">
        <v>8476.4</v>
      </c>
      <c r="O393" s="1">
        <v>234.3</v>
      </c>
      <c r="P393" s="1">
        <v>54195</v>
      </c>
      <c r="Q393" s="1">
        <v>84362</v>
      </c>
      <c r="R393" s="1">
        <v>0</v>
      </c>
    </row>
    <row r="394" spans="1:18">
      <c r="A394" s="2">
        <v>0.16666666666666666</v>
      </c>
      <c r="B394" s="1">
        <v>870975</v>
      </c>
      <c r="C394" s="1">
        <v>193763</v>
      </c>
      <c r="D394" s="1">
        <v>50296.9</v>
      </c>
      <c r="E394" s="1">
        <v>0</v>
      </c>
      <c r="F394" s="1">
        <v>417596</v>
      </c>
      <c r="G394" s="1">
        <v>86680.3</v>
      </c>
      <c r="H394" s="1">
        <v>378826</v>
      </c>
      <c r="I394" s="1">
        <v>736722</v>
      </c>
      <c r="J394" s="1">
        <v>53314</v>
      </c>
      <c r="K394" s="1">
        <v>89559</v>
      </c>
      <c r="L394" s="1">
        <v>7193.1</v>
      </c>
      <c r="M394" s="1">
        <v>86596.9</v>
      </c>
      <c r="N394" s="1">
        <v>8530.1</v>
      </c>
      <c r="O394" s="1">
        <v>252.6</v>
      </c>
      <c r="P394" s="1">
        <v>54195</v>
      </c>
      <c r="Q394" s="1">
        <v>84362</v>
      </c>
      <c r="R394" s="1">
        <v>0</v>
      </c>
    </row>
    <row r="395" spans="1:18">
      <c r="A395" s="2">
        <v>0.20833333333333334</v>
      </c>
      <c r="B395" s="1">
        <v>871652</v>
      </c>
      <c r="C395" s="1">
        <v>193924</v>
      </c>
      <c r="D395" s="1">
        <v>50310.400000000001</v>
      </c>
      <c r="E395" s="1">
        <v>0</v>
      </c>
      <c r="F395" s="1">
        <v>417616</v>
      </c>
      <c r="G395" s="1">
        <v>86728.1</v>
      </c>
      <c r="H395" s="1">
        <v>378838</v>
      </c>
      <c r="I395" s="1">
        <v>736957</v>
      </c>
      <c r="J395" s="1">
        <v>53320.6</v>
      </c>
      <c r="K395" s="1">
        <v>89561.600000000006</v>
      </c>
      <c r="L395" s="1">
        <v>7216.6</v>
      </c>
      <c r="M395" s="1">
        <v>86629.3</v>
      </c>
      <c r="N395" s="1">
        <v>8583.5</v>
      </c>
      <c r="O395" s="1">
        <v>272.10000000000002</v>
      </c>
      <c r="P395" s="1">
        <v>54195</v>
      </c>
      <c r="Q395" s="1">
        <v>84362</v>
      </c>
      <c r="R395" s="1">
        <v>0</v>
      </c>
    </row>
    <row r="396" spans="1:18">
      <c r="A396" s="2">
        <v>0.25</v>
      </c>
      <c r="B396" s="1">
        <v>872336</v>
      </c>
      <c r="C396" s="1">
        <v>194088</v>
      </c>
      <c r="D396" s="1">
        <v>50323.6</v>
      </c>
      <c r="E396" s="1">
        <v>0</v>
      </c>
      <c r="F396" s="1">
        <v>417635</v>
      </c>
      <c r="G396" s="1">
        <v>86775</v>
      </c>
      <c r="H396" s="1">
        <v>378850</v>
      </c>
      <c r="I396" s="1">
        <v>737194</v>
      </c>
      <c r="J396" s="1">
        <v>53327.3</v>
      </c>
      <c r="K396" s="1">
        <v>89564.3</v>
      </c>
      <c r="L396" s="1">
        <v>7240</v>
      </c>
      <c r="M396" s="1">
        <v>86661.8</v>
      </c>
      <c r="N396" s="1">
        <v>8637.6</v>
      </c>
      <c r="O396" s="1">
        <v>293.5</v>
      </c>
      <c r="P396" s="1">
        <v>54195</v>
      </c>
      <c r="Q396" s="1">
        <v>84362</v>
      </c>
      <c r="R396" s="1">
        <v>0</v>
      </c>
    </row>
    <row r="397" spans="1:18">
      <c r="A397" s="2">
        <v>0.29166666666666669</v>
      </c>
      <c r="B397" s="1">
        <v>873024</v>
      </c>
      <c r="C397" s="1">
        <v>194258</v>
      </c>
      <c r="D397" s="1">
        <v>50337.2</v>
      </c>
      <c r="E397" s="1">
        <v>0</v>
      </c>
      <c r="F397" s="1">
        <v>417654</v>
      </c>
      <c r="G397" s="1">
        <v>86819.4</v>
      </c>
      <c r="H397" s="1">
        <v>378863</v>
      </c>
      <c r="I397" s="1">
        <v>737435</v>
      </c>
      <c r="J397" s="1">
        <v>53333.9</v>
      </c>
      <c r="K397" s="1">
        <v>89566.7</v>
      </c>
      <c r="L397" s="1">
        <v>7263.6</v>
      </c>
      <c r="M397" s="1">
        <v>86693.6</v>
      </c>
      <c r="N397" s="1">
        <v>8690.9</v>
      </c>
      <c r="O397" s="1">
        <v>312.39999999999998</v>
      </c>
      <c r="P397" s="1">
        <v>54195</v>
      </c>
      <c r="Q397" s="1">
        <v>84363</v>
      </c>
      <c r="R397" s="1">
        <v>0</v>
      </c>
    </row>
    <row r="398" spans="1:18">
      <c r="A398" s="2">
        <v>0.33333333333333331</v>
      </c>
      <c r="B398" s="1">
        <v>873736</v>
      </c>
      <c r="C398" s="1">
        <v>194438</v>
      </c>
      <c r="D398" s="1">
        <v>50354.5</v>
      </c>
      <c r="E398" s="1">
        <v>0</v>
      </c>
      <c r="F398" s="1">
        <v>417673</v>
      </c>
      <c r="G398" s="1">
        <v>86861.6</v>
      </c>
      <c r="H398" s="1">
        <v>378875</v>
      </c>
      <c r="I398" s="1">
        <v>737687</v>
      </c>
      <c r="J398" s="1">
        <v>53341.4</v>
      </c>
      <c r="K398" s="1">
        <v>89567.4</v>
      </c>
      <c r="L398" s="1">
        <v>7285.5</v>
      </c>
      <c r="M398" s="1">
        <v>86726</v>
      </c>
      <c r="N398" s="1">
        <v>8740.2999999999993</v>
      </c>
      <c r="O398" s="1">
        <v>336.5</v>
      </c>
      <c r="P398" s="1">
        <v>54197</v>
      </c>
      <c r="Q398" s="1">
        <v>84366</v>
      </c>
      <c r="R398" s="1">
        <v>0</v>
      </c>
    </row>
    <row r="399" spans="1:18">
      <c r="A399" s="2">
        <v>0.375</v>
      </c>
      <c r="B399" s="1">
        <v>874572</v>
      </c>
      <c r="C399" s="1">
        <v>194653</v>
      </c>
      <c r="D399" s="1">
        <v>50374.3</v>
      </c>
      <c r="E399" s="1">
        <v>0</v>
      </c>
      <c r="F399" s="1">
        <v>417698</v>
      </c>
      <c r="G399" s="1">
        <v>86907.4</v>
      </c>
      <c r="H399" s="1">
        <v>378887</v>
      </c>
      <c r="I399" s="1">
        <v>737976</v>
      </c>
      <c r="J399" s="1">
        <v>53348.9</v>
      </c>
      <c r="K399" s="1">
        <v>89568.2</v>
      </c>
      <c r="L399" s="1">
        <v>7314.9</v>
      </c>
      <c r="M399" s="1">
        <v>86765.2</v>
      </c>
      <c r="N399" s="1">
        <v>8790.2000000000007</v>
      </c>
      <c r="O399" s="1">
        <v>375.6</v>
      </c>
      <c r="P399" s="1">
        <v>54202</v>
      </c>
      <c r="Q399" s="1">
        <v>84374</v>
      </c>
      <c r="R399" s="1">
        <v>0</v>
      </c>
    </row>
    <row r="400" spans="1:18">
      <c r="A400" s="2">
        <v>0.41666666666666669</v>
      </c>
      <c r="B400" s="1">
        <v>875618</v>
      </c>
      <c r="C400" s="1">
        <v>194936</v>
      </c>
      <c r="D400" s="1">
        <v>50401.1</v>
      </c>
      <c r="E400" s="1">
        <v>0</v>
      </c>
      <c r="F400" s="1">
        <v>417730</v>
      </c>
      <c r="G400" s="1">
        <v>86963.199999999997</v>
      </c>
      <c r="H400" s="1">
        <v>378899</v>
      </c>
      <c r="I400" s="1">
        <v>738322</v>
      </c>
      <c r="J400" s="1">
        <v>53358.2</v>
      </c>
      <c r="K400" s="1">
        <v>89568.2</v>
      </c>
      <c r="L400" s="1">
        <v>7351.5</v>
      </c>
      <c r="M400" s="1">
        <v>86811.3</v>
      </c>
      <c r="N400" s="1">
        <v>8837.5</v>
      </c>
      <c r="O400" s="1">
        <v>437.3</v>
      </c>
      <c r="P400" s="1">
        <v>54212</v>
      </c>
      <c r="Q400" s="1">
        <v>84389</v>
      </c>
      <c r="R400" s="1">
        <v>0</v>
      </c>
    </row>
    <row r="401" spans="1:18">
      <c r="A401" s="2">
        <v>0.45833333333333331</v>
      </c>
      <c r="B401" s="1">
        <v>876844</v>
      </c>
      <c r="C401" s="1">
        <v>195271</v>
      </c>
      <c r="D401" s="1">
        <v>50429.2</v>
      </c>
      <c r="E401" s="1">
        <v>0</v>
      </c>
      <c r="F401" s="1">
        <v>417780</v>
      </c>
      <c r="G401" s="1">
        <v>87043.7</v>
      </c>
      <c r="H401" s="1">
        <v>378910</v>
      </c>
      <c r="I401" s="1">
        <v>738747</v>
      </c>
      <c r="J401" s="1">
        <v>53368</v>
      </c>
      <c r="K401" s="1">
        <v>89568.3</v>
      </c>
      <c r="L401" s="1">
        <v>7385.9</v>
      </c>
      <c r="M401" s="1">
        <v>86856.4</v>
      </c>
      <c r="N401" s="1">
        <v>8886.7999999999993</v>
      </c>
      <c r="O401" s="1">
        <v>512.1</v>
      </c>
      <c r="P401" s="1">
        <v>54225</v>
      </c>
      <c r="Q401" s="1">
        <v>84408</v>
      </c>
      <c r="R401" s="1">
        <v>0</v>
      </c>
    </row>
    <row r="402" spans="1:18">
      <c r="A402" s="2">
        <v>0.5</v>
      </c>
      <c r="B402" s="1">
        <v>878161</v>
      </c>
      <c r="C402" s="1">
        <v>195641</v>
      </c>
      <c r="D402" s="1">
        <v>50459</v>
      </c>
      <c r="E402" s="1">
        <v>0</v>
      </c>
      <c r="F402" s="1">
        <v>417826</v>
      </c>
      <c r="G402" s="1">
        <v>87132.5</v>
      </c>
      <c r="H402" s="1">
        <v>378923</v>
      </c>
      <c r="I402" s="1">
        <v>739202</v>
      </c>
      <c r="J402" s="1">
        <v>53378.3</v>
      </c>
      <c r="K402" s="1">
        <v>89568.4</v>
      </c>
      <c r="L402" s="1">
        <v>7427.4</v>
      </c>
      <c r="M402" s="1">
        <v>86902.1</v>
      </c>
      <c r="N402" s="1">
        <v>8934</v>
      </c>
      <c r="O402" s="1">
        <v>580.79999999999995</v>
      </c>
      <c r="P402" s="1">
        <v>54239</v>
      </c>
      <c r="Q402" s="1">
        <v>84430</v>
      </c>
      <c r="R402" s="1">
        <v>0</v>
      </c>
    </row>
    <row r="403" spans="1:18">
      <c r="A403" s="2">
        <v>0.54166666666666663</v>
      </c>
      <c r="B403" s="1">
        <v>879531</v>
      </c>
      <c r="C403" s="1">
        <v>196020</v>
      </c>
      <c r="D403" s="1">
        <v>50498.1</v>
      </c>
      <c r="E403" s="1">
        <v>0</v>
      </c>
      <c r="F403" s="1">
        <v>417872</v>
      </c>
      <c r="G403" s="1">
        <v>87224.1</v>
      </c>
      <c r="H403" s="1">
        <v>378935</v>
      </c>
      <c r="I403" s="1">
        <v>739672</v>
      </c>
      <c r="J403" s="1">
        <v>53389.4</v>
      </c>
      <c r="K403" s="1">
        <v>89568.4</v>
      </c>
      <c r="L403" s="1">
        <v>7477.1</v>
      </c>
      <c r="M403" s="1">
        <v>86951.2</v>
      </c>
      <c r="N403" s="1">
        <v>8978.2999999999993</v>
      </c>
      <c r="O403" s="1">
        <v>650.6</v>
      </c>
      <c r="P403" s="1">
        <v>54255</v>
      </c>
      <c r="Q403" s="1">
        <v>84454</v>
      </c>
      <c r="R403" s="1">
        <v>0</v>
      </c>
    </row>
    <row r="404" spans="1:18">
      <c r="A404" s="2">
        <v>0.58333333333333337</v>
      </c>
      <c r="B404" s="1">
        <v>881022</v>
      </c>
      <c r="C404" s="1">
        <v>196432</v>
      </c>
      <c r="D404" s="1">
        <v>50542.3</v>
      </c>
      <c r="E404" s="1">
        <v>0</v>
      </c>
      <c r="F404" s="1">
        <v>417918</v>
      </c>
      <c r="G404" s="1">
        <v>87342.1</v>
      </c>
      <c r="H404" s="1">
        <v>378950</v>
      </c>
      <c r="I404" s="1">
        <v>740153</v>
      </c>
      <c r="J404" s="1">
        <v>53402.5</v>
      </c>
      <c r="K404" s="1">
        <v>89568.4</v>
      </c>
      <c r="L404" s="1">
        <v>7534.5</v>
      </c>
      <c r="M404" s="1">
        <v>87007.8</v>
      </c>
      <c r="N404" s="1">
        <v>9026.6</v>
      </c>
      <c r="O404" s="1">
        <v>730.2</v>
      </c>
      <c r="P404" s="1">
        <v>54270</v>
      </c>
      <c r="Q404" s="1">
        <v>84477</v>
      </c>
      <c r="R404" s="1">
        <v>0</v>
      </c>
    </row>
    <row r="405" spans="1:18">
      <c r="A405" s="2">
        <v>0.625</v>
      </c>
      <c r="B405" s="1">
        <v>882499</v>
      </c>
      <c r="C405" s="1">
        <v>196848</v>
      </c>
      <c r="D405" s="1">
        <v>50585.9</v>
      </c>
      <c r="E405" s="1">
        <v>0</v>
      </c>
      <c r="F405" s="1">
        <v>417974</v>
      </c>
      <c r="G405" s="1">
        <v>87472</v>
      </c>
      <c r="H405" s="1">
        <v>378974</v>
      </c>
      <c r="I405" s="1">
        <v>740629</v>
      </c>
      <c r="J405" s="1">
        <v>53417</v>
      </c>
      <c r="K405" s="1">
        <v>89568.4</v>
      </c>
      <c r="L405" s="1">
        <v>7591</v>
      </c>
      <c r="M405" s="1">
        <v>87060.2</v>
      </c>
      <c r="N405" s="1">
        <v>9076.9</v>
      </c>
      <c r="O405" s="1">
        <v>785</v>
      </c>
      <c r="P405" s="1">
        <v>54284</v>
      </c>
      <c r="Q405" s="1">
        <v>84498</v>
      </c>
      <c r="R405" s="1">
        <v>0</v>
      </c>
    </row>
    <row r="406" spans="1:18">
      <c r="A406" s="2">
        <v>0.66666666666666663</v>
      </c>
      <c r="B406" s="1">
        <v>883954</v>
      </c>
      <c r="C406" s="1">
        <v>197263</v>
      </c>
      <c r="D406" s="1">
        <v>50629.3</v>
      </c>
      <c r="E406" s="1">
        <v>0</v>
      </c>
      <c r="F406" s="1">
        <v>418025</v>
      </c>
      <c r="G406" s="1">
        <v>87615.2</v>
      </c>
      <c r="H406" s="1">
        <v>378994</v>
      </c>
      <c r="I406" s="1">
        <v>741105</v>
      </c>
      <c r="J406" s="1">
        <v>53431</v>
      </c>
      <c r="K406" s="1">
        <v>89568.7</v>
      </c>
      <c r="L406" s="1">
        <v>7647.5</v>
      </c>
      <c r="M406" s="1">
        <v>87111.9</v>
      </c>
      <c r="N406" s="1">
        <v>9129</v>
      </c>
      <c r="O406" s="1">
        <v>813.6</v>
      </c>
      <c r="P406" s="1">
        <v>54295</v>
      </c>
      <c r="Q406" s="1">
        <v>84515</v>
      </c>
      <c r="R406" s="1">
        <v>0</v>
      </c>
    </row>
    <row r="407" spans="1:18">
      <c r="A407" s="2">
        <v>0.70833333333333337</v>
      </c>
      <c r="B407" s="1">
        <v>885357</v>
      </c>
      <c r="C407" s="1">
        <v>197658</v>
      </c>
      <c r="D407" s="1">
        <v>50670.5</v>
      </c>
      <c r="E407" s="1">
        <v>0</v>
      </c>
      <c r="F407" s="1">
        <v>418069</v>
      </c>
      <c r="G407" s="1">
        <v>87744.4</v>
      </c>
      <c r="H407" s="1">
        <v>379017</v>
      </c>
      <c r="I407" s="1">
        <v>741570</v>
      </c>
      <c r="J407" s="1">
        <v>53444.5</v>
      </c>
      <c r="K407" s="1">
        <v>89571.7</v>
      </c>
      <c r="L407" s="1">
        <v>7700.3</v>
      </c>
      <c r="M407" s="1">
        <v>87159.8</v>
      </c>
      <c r="N407" s="1">
        <v>9185</v>
      </c>
      <c r="O407" s="1">
        <v>839</v>
      </c>
      <c r="P407" s="1">
        <v>54302</v>
      </c>
      <c r="Q407" s="1">
        <v>84526</v>
      </c>
      <c r="R407" s="1">
        <v>0</v>
      </c>
    </row>
    <row r="408" spans="1:18">
      <c r="A408" s="2">
        <v>0.75</v>
      </c>
      <c r="B408" s="1">
        <v>886610</v>
      </c>
      <c r="C408" s="1">
        <v>198007</v>
      </c>
      <c r="D408" s="1">
        <v>50704.1</v>
      </c>
      <c r="E408" s="1">
        <v>0</v>
      </c>
      <c r="F408" s="1">
        <v>418107</v>
      </c>
      <c r="G408" s="1">
        <v>87851.3</v>
      </c>
      <c r="H408" s="1">
        <v>379037</v>
      </c>
      <c r="I408" s="1">
        <v>742002</v>
      </c>
      <c r="J408" s="1">
        <v>53456</v>
      </c>
      <c r="K408" s="1">
        <v>89574.5</v>
      </c>
      <c r="L408" s="1">
        <v>7745.4</v>
      </c>
      <c r="M408" s="1">
        <v>87199.7</v>
      </c>
      <c r="N408" s="1">
        <v>9243.2000000000007</v>
      </c>
      <c r="O408" s="1">
        <v>862.8</v>
      </c>
      <c r="P408" s="1">
        <v>54304</v>
      </c>
      <c r="Q408" s="1">
        <v>84529</v>
      </c>
      <c r="R408" s="1">
        <v>0</v>
      </c>
    </row>
    <row r="409" spans="1:18">
      <c r="A409" s="2">
        <v>0.79166666666666663</v>
      </c>
      <c r="B409" s="1">
        <v>887701</v>
      </c>
      <c r="C409" s="1">
        <v>198316</v>
      </c>
      <c r="D409" s="1">
        <v>50730.9</v>
      </c>
      <c r="E409" s="1">
        <v>0</v>
      </c>
      <c r="F409" s="1">
        <v>418138</v>
      </c>
      <c r="G409" s="1">
        <v>87935.8</v>
      </c>
      <c r="H409" s="1">
        <v>379052</v>
      </c>
      <c r="I409" s="1">
        <v>742392</v>
      </c>
      <c r="J409" s="1">
        <v>53465.599999999999</v>
      </c>
      <c r="K409" s="1">
        <v>89577.5</v>
      </c>
      <c r="L409" s="1">
        <v>7780.2</v>
      </c>
      <c r="M409" s="1">
        <v>87235.5</v>
      </c>
      <c r="N409" s="1">
        <v>9299.6</v>
      </c>
      <c r="O409" s="1">
        <v>882.1</v>
      </c>
      <c r="P409" s="1">
        <v>54304</v>
      </c>
      <c r="Q409" s="1">
        <v>84529</v>
      </c>
      <c r="R409" s="1">
        <v>0</v>
      </c>
    </row>
    <row r="410" spans="1:18">
      <c r="A410" s="2">
        <v>0.83333333333333337</v>
      </c>
      <c r="B410" s="1">
        <v>888687</v>
      </c>
      <c r="C410" s="1">
        <v>198592</v>
      </c>
      <c r="D410" s="1">
        <v>50754.9</v>
      </c>
      <c r="E410" s="1">
        <v>0</v>
      </c>
      <c r="F410" s="1">
        <v>418164</v>
      </c>
      <c r="G410" s="1">
        <v>88015.6</v>
      </c>
      <c r="H410" s="1">
        <v>379065</v>
      </c>
      <c r="I410" s="1">
        <v>742735</v>
      </c>
      <c r="J410" s="1">
        <v>53474.5</v>
      </c>
      <c r="K410" s="1">
        <v>89580.4</v>
      </c>
      <c r="L410" s="1">
        <v>7810.4</v>
      </c>
      <c r="M410" s="1">
        <v>87272</v>
      </c>
      <c r="N410" s="1">
        <v>9355.4</v>
      </c>
      <c r="O410" s="1">
        <v>906.3</v>
      </c>
      <c r="P410" s="1">
        <v>54304</v>
      </c>
      <c r="Q410" s="1">
        <v>84529</v>
      </c>
      <c r="R410" s="1">
        <v>0</v>
      </c>
    </row>
    <row r="411" spans="1:18">
      <c r="A411" s="2">
        <v>0.875</v>
      </c>
      <c r="B411" s="1">
        <v>889566</v>
      </c>
      <c r="C411" s="1">
        <v>198830</v>
      </c>
      <c r="D411" s="1">
        <v>50776.800000000003</v>
      </c>
      <c r="E411" s="1">
        <v>0</v>
      </c>
      <c r="F411" s="1">
        <v>418190</v>
      </c>
      <c r="G411" s="1">
        <v>88091.1</v>
      </c>
      <c r="H411" s="1">
        <v>379078</v>
      </c>
      <c r="I411" s="1">
        <v>743028</v>
      </c>
      <c r="J411" s="1">
        <v>53482.400000000001</v>
      </c>
      <c r="K411" s="1">
        <v>89583.4</v>
      </c>
      <c r="L411" s="1">
        <v>7834.7</v>
      </c>
      <c r="M411" s="1">
        <v>87309.2</v>
      </c>
      <c r="N411" s="1">
        <v>9410.7999999999993</v>
      </c>
      <c r="O411" s="1">
        <v>929.4</v>
      </c>
      <c r="P411" s="1">
        <v>54304</v>
      </c>
      <c r="Q411" s="1">
        <v>84529</v>
      </c>
      <c r="R411" s="1">
        <v>0</v>
      </c>
    </row>
    <row r="412" spans="1:18">
      <c r="A412" s="2">
        <v>0.91666666666666663</v>
      </c>
      <c r="B412" s="1">
        <v>890397</v>
      </c>
      <c r="C412" s="1">
        <v>199053</v>
      </c>
      <c r="D412" s="1">
        <v>50795.9</v>
      </c>
      <c r="E412" s="1">
        <v>0</v>
      </c>
      <c r="F412" s="1">
        <v>418216</v>
      </c>
      <c r="G412" s="1">
        <v>88160.4</v>
      </c>
      <c r="H412" s="1">
        <v>379090</v>
      </c>
      <c r="I412" s="1">
        <v>743309</v>
      </c>
      <c r="J412" s="1">
        <v>53490.2</v>
      </c>
      <c r="K412" s="1">
        <v>89586.2</v>
      </c>
      <c r="L412" s="1">
        <v>7857.1</v>
      </c>
      <c r="M412" s="1">
        <v>87342.1</v>
      </c>
      <c r="N412" s="1">
        <v>9466.2000000000007</v>
      </c>
      <c r="O412" s="1">
        <v>951.2</v>
      </c>
      <c r="P412" s="1">
        <v>54304</v>
      </c>
      <c r="Q412" s="1">
        <v>84529</v>
      </c>
      <c r="R412" s="1">
        <v>0</v>
      </c>
    </row>
    <row r="413" spans="1:18">
      <c r="A413" s="2">
        <v>0.95833333333333337</v>
      </c>
      <c r="B413" s="1">
        <v>891205</v>
      </c>
      <c r="C413" s="1">
        <v>199283</v>
      </c>
      <c r="D413" s="1">
        <v>50814.400000000001</v>
      </c>
      <c r="E413" s="1">
        <v>0</v>
      </c>
      <c r="F413" s="1">
        <v>418240</v>
      </c>
      <c r="G413" s="1">
        <v>88226.6</v>
      </c>
      <c r="H413" s="1">
        <v>379102</v>
      </c>
      <c r="I413" s="1">
        <v>743574</v>
      </c>
      <c r="J413" s="1">
        <v>53497.599999999999</v>
      </c>
      <c r="K413" s="1">
        <v>89589.1</v>
      </c>
      <c r="L413" s="1">
        <v>7879</v>
      </c>
      <c r="M413" s="1">
        <v>87373.9</v>
      </c>
      <c r="N413" s="1">
        <v>9521.2999999999993</v>
      </c>
      <c r="O413" s="1">
        <v>970</v>
      </c>
      <c r="P413" s="1">
        <v>54304</v>
      </c>
      <c r="Q413" s="1">
        <v>84529</v>
      </c>
      <c r="R413" s="1">
        <v>0</v>
      </c>
    </row>
    <row r="414" spans="1:18">
      <c r="A414" s="2">
        <v>0</v>
      </c>
      <c r="B414" s="1">
        <v>891975</v>
      </c>
      <c r="C414" s="1">
        <v>199495</v>
      </c>
      <c r="D414" s="1">
        <v>50829.9</v>
      </c>
      <c r="E414" s="1">
        <v>0</v>
      </c>
      <c r="F414" s="1">
        <v>418263</v>
      </c>
      <c r="G414" s="1">
        <v>88288.6</v>
      </c>
      <c r="H414" s="1">
        <v>379114</v>
      </c>
      <c r="I414" s="1">
        <v>743827</v>
      </c>
      <c r="J414" s="1">
        <v>53505.2</v>
      </c>
      <c r="K414" s="1">
        <v>89591.9</v>
      </c>
      <c r="L414" s="1">
        <v>7900.6</v>
      </c>
      <c r="M414" s="1">
        <v>87406.3</v>
      </c>
      <c r="N414" s="1">
        <v>9576</v>
      </c>
      <c r="O414" s="1">
        <v>988.2</v>
      </c>
      <c r="P414" s="1">
        <v>54304</v>
      </c>
      <c r="Q414" s="1">
        <v>84529</v>
      </c>
      <c r="R414" s="1">
        <v>0</v>
      </c>
    </row>
    <row r="415" spans="1:18">
      <c r="A415" s="2">
        <v>4.1666666666666664E-2</v>
      </c>
      <c r="B415" s="1">
        <v>892715</v>
      </c>
      <c r="C415" s="1">
        <v>199685</v>
      </c>
      <c r="D415" s="1">
        <v>50845.4</v>
      </c>
      <c r="E415" s="1">
        <v>0</v>
      </c>
      <c r="F415" s="1">
        <v>418286</v>
      </c>
      <c r="G415" s="1">
        <v>88349.3</v>
      </c>
      <c r="H415" s="1">
        <v>379126</v>
      </c>
      <c r="I415" s="1">
        <v>744074</v>
      </c>
      <c r="J415" s="1">
        <v>53512.3</v>
      </c>
      <c r="K415" s="1">
        <v>89594.8</v>
      </c>
      <c r="L415" s="1">
        <v>7922.1</v>
      </c>
      <c r="M415" s="1">
        <v>87438.9</v>
      </c>
      <c r="N415" s="1">
        <v>9630.7000000000007</v>
      </c>
      <c r="O415" s="1">
        <v>1006.3</v>
      </c>
      <c r="P415" s="1">
        <v>54304</v>
      </c>
      <c r="Q415" s="1">
        <v>84529</v>
      </c>
      <c r="R415" s="1">
        <v>0</v>
      </c>
    </row>
    <row r="416" spans="1:18">
      <c r="A416" s="2">
        <v>8.3333333333333329E-2</v>
      </c>
      <c r="B416" s="1">
        <v>893443</v>
      </c>
      <c r="C416" s="1">
        <v>199864</v>
      </c>
      <c r="D416" s="1">
        <v>50859.1</v>
      </c>
      <c r="E416" s="1">
        <v>0</v>
      </c>
      <c r="F416" s="1">
        <v>418308</v>
      </c>
      <c r="G416" s="1">
        <v>88410.6</v>
      </c>
      <c r="H416" s="1">
        <v>379139</v>
      </c>
      <c r="I416" s="1">
        <v>744326</v>
      </c>
      <c r="J416" s="1">
        <v>53519.5</v>
      </c>
      <c r="K416" s="1">
        <v>89597.9</v>
      </c>
      <c r="L416" s="1">
        <v>7943.9</v>
      </c>
      <c r="M416" s="1">
        <v>87470.3</v>
      </c>
      <c r="N416" s="1">
        <v>9685</v>
      </c>
      <c r="O416" s="1">
        <v>1024</v>
      </c>
      <c r="P416" s="1">
        <v>54304</v>
      </c>
      <c r="Q416" s="1">
        <v>84529</v>
      </c>
      <c r="R416" s="1">
        <v>0</v>
      </c>
    </row>
    <row r="417" spans="1:18">
      <c r="A417" s="2">
        <v>0.125</v>
      </c>
      <c r="B417" s="1">
        <v>894154</v>
      </c>
      <c r="C417" s="1">
        <v>200036</v>
      </c>
      <c r="D417" s="1">
        <v>50873.1</v>
      </c>
      <c r="E417" s="1">
        <v>0</v>
      </c>
      <c r="F417" s="1">
        <v>418330</v>
      </c>
      <c r="G417" s="1">
        <v>88471.2</v>
      </c>
      <c r="H417" s="1">
        <v>379150</v>
      </c>
      <c r="I417" s="1">
        <v>744571</v>
      </c>
      <c r="J417" s="1">
        <v>53526.400000000001</v>
      </c>
      <c r="K417" s="1">
        <v>89601.2</v>
      </c>
      <c r="L417" s="1">
        <v>7964.7</v>
      </c>
      <c r="M417" s="1">
        <v>87501.6</v>
      </c>
      <c r="N417" s="1">
        <v>9739.2999999999993</v>
      </c>
      <c r="O417" s="1">
        <v>1041.4000000000001</v>
      </c>
      <c r="P417" s="1">
        <v>54304</v>
      </c>
      <c r="Q417" s="1">
        <v>84529</v>
      </c>
      <c r="R417" s="1">
        <v>0</v>
      </c>
    </row>
    <row r="418" spans="1:18">
      <c r="A418" s="2">
        <v>0.16666666666666666</v>
      </c>
      <c r="B418" s="1">
        <v>894863</v>
      </c>
      <c r="C418" s="1">
        <v>200208</v>
      </c>
      <c r="D418" s="1">
        <v>50887.5</v>
      </c>
      <c r="E418" s="1">
        <v>0</v>
      </c>
      <c r="F418" s="1">
        <v>418351</v>
      </c>
      <c r="G418" s="1">
        <v>88530.5</v>
      </c>
      <c r="H418" s="1">
        <v>379161</v>
      </c>
      <c r="I418" s="1">
        <v>744816</v>
      </c>
      <c r="J418" s="1">
        <v>53533.5</v>
      </c>
      <c r="K418" s="1">
        <v>89604.1</v>
      </c>
      <c r="L418" s="1">
        <v>7985.6</v>
      </c>
      <c r="M418" s="1">
        <v>87533.6</v>
      </c>
      <c r="N418" s="1">
        <v>9794</v>
      </c>
      <c r="O418" s="1">
        <v>1058.7</v>
      </c>
      <c r="P418" s="1">
        <v>54304</v>
      </c>
      <c r="Q418" s="1">
        <v>84529</v>
      </c>
      <c r="R418" s="1">
        <v>0</v>
      </c>
    </row>
    <row r="419" spans="1:18">
      <c r="A419" s="2">
        <v>0.20833333333333334</v>
      </c>
      <c r="B419" s="1">
        <v>895578</v>
      </c>
      <c r="C419" s="1">
        <v>200380</v>
      </c>
      <c r="D419" s="1">
        <v>50902.2</v>
      </c>
      <c r="E419" s="1">
        <v>0</v>
      </c>
      <c r="F419" s="1">
        <v>418373</v>
      </c>
      <c r="G419" s="1">
        <v>88588.5</v>
      </c>
      <c r="H419" s="1">
        <v>379172</v>
      </c>
      <c r="I419" s="1">
        <v>745065</v>
      </c>
      <c r="J419" s="1">
        <v>53540.4</v>
      </c>
      <c r="K419" s="1">
        <v>89606.8</v>
      </c>
      <c r="L419" s="1">
        <v>8006.3</v>
      </c>
      <c r="M419" s="1">
        <v>87567.3</v>
      </c>
      <c r="N419" s="1">
        <v>9849.2000000000007</v>
      </c>
      <c r="O419" s="1">
        <v>1076.0999999999999</v>
      </c>
      <c r="P419" s="1">
        <v>54304</v>
      </c>
      <c r="Q419" s="1">
        <v>84529</v>
      </c>
      <c r="R419" s="1">
        <v>0</v>
      </c>
    </row>
    <row r="420" spans="1:18">
      <c r="A420" s="2">
        <v>0.25</v>
      </c>
      <c r="B420" s="1">
        <v>896285</v>
      </c>
      <c r="C420" s="1">
        <v>200549</v>
      </c>
      <c r="D420" s="1">
        <v>50918</v>
      </c>
      <c r="E420" s="1">
        <v>0</v>
      </c>
      <c r="F420" s="1">
        <v>418393</v>
      </c>
      <c r="G420" s="1">
        <v>88647.1</v>
      </c>
      <c r="H420" s="1">
        <v>379183</v>
      </c>
      <c r="I420" s="1">
        <v>745307</v>
      </c>
      <c r="J420" s="1">
        <v>53547.199999999997</v>
      </c>
      <c r="K420" s="1">
        <v>89609.600000000006</v>
      </c>
      <c r="L420" s="1">
        <v>8026.3</v>
      </c>
      <c r="M420" s="1">
        <v>87601.5</v>
      </c>
      <c r="N420" s="1">
        <v>9904.1</v>
      </c>
      <c r="O420" s="1">
        <v>1096.5</v>
      </c>
      <c r="P420" s="1">
        <v>54304</v>
      </c>
      <c r="Q420" s="1">
        <v>84529</v>
      </c>
      <c r="R420" s="1">
        <v>0</v>
      </c>
    </row>
    <row r="421" spans="1:18">
      <c r="A421" s="2">
        <v>0.29166666666666669</v>
      </c>
      <c r="B421" s="1">
        <v>896999</v>
      </c>
      <c r="C421" s="1">
        <v>200725</v>
      </c>
      <c r="D421" s="1">
        <v>50934.1</v>
      </c>
      <c r="E421" s="1">
        <v>0</v>
      </c>
      <c r="F421" s="1">
        <v>418413</v>
      </c>
      <c r="G421" s="1">
        <v>88704.3</v>
      </c>
      <c r="H421" s="1">
        <v>379195</v>
      </c>
      <c r="I421" s="1">
        <v>745550</v>
      </c>
      <c r="J421" s="1">
        <v>53554.1</v>
      </c>
      <c r="K421" s="1">
        <v>89612.2</v>
      </c>
      <c r="L421" s="1">
        <v>8045.5</v>
      </c>
      <c r="M421" s="1">
        <v>87633.5</v>
      </c>
      <c r="N421" s="1">
        <v>9958.4</v>
      </c>
      <c r="O421" s="1">
        <v>1115.7</v>
      </c>
      <c r="P421" s="1">
        <v>54304</v>
      </c>
      <c r="Q421" s="1">
        <v>84529</v>
      </c>
      <c r="R421" s="1">
        <v>0</v>
      </c>
    </row>
    <row r="422" spans="1:18">
      <c r="A422" s="2">
        <v>0.33333333333333331</v>
      </c>
      <c r="B422" s="1">
        <v>897745</v>
      </c>
      <c r="C422" s="1">
        <v>200915</v>
      </c>
      <c r="D422" s="1">
        <v>50950.400000000001</v>
      </c>
      <c r="E422" s="1">
        <v>0</v>
      </c>
      <c r="F422" s="1">
        <v>418436</v>
      </c>
      <c r="G422" s="1">
        <v>88759.4</v>
      </c>
      <c r="H422" s="1">
        <v>379206</v>
      </c>
      <c r="I422" s="1">
        <v>745804</v>
      </c>
      <c r="J422" s="1">
        <v>53561.1</v>
      </c>
      <c r="K422" s="1">
        <v>89613.2</v>
      </c>
      <c r="L422" s="1">
        <v>8066.5</v>
      </c>
      <c r="M422" s="1">
        <v>87664.8</v>
      </c>
      <c r="N422" s="1">
        <v>10010</v>
      </c>
      <c r="O422" s="1">
        <v>1142.4000000000001</v>
      </c>
      <c r="P422" s="1">
        <v>54306</v>
      </c>
      <c r="Q422" s="1">
        <v>84532</v>
      </c>
      <c r="R422" s="1">
        <v>0</v>
      </c>
    </row>
    <row r="423" spans="1:18">
      <c r="A423" s="2">
        <v>0.375</v>
      </c>
      <c r="B423" s="1">
        <v>898619</v>
      </c>
      <c r="C423" s="1">
        <v>201146</v>
      </c>
      <c r="D423" s="1">
        <v>50970.1</v>
      </c>
      <c r="E423" s="1">
        <v>0</v>
      </c>
      <c r="F423" s="1">
        <v>418467</v>
      </c>
      <c r="G423" s="1">
        <v>88814.399999999994</v>
      </c>
      <c r="H423" s="1">
        <v>379220</v>
      </c>
      <c r="I423" s="1">
        <v>746090</v>
      </c>
      <c r="J423" s="1">
        <v>53569.1</v>
      </c>
      <c r="K423" s="1">
        <v>89613.4</v>
      </c>
      <c r="L423" s="1">
        <v>8092.7</v>
      </c>
      <c r="M423" s="1">
        <v>87703.7</v>
      </c>
      <c r="N423" s="1">
        <v>10060</v>
      </c>
      <c r="O423" s="1">
        <v>1181.0999999999999</v>
      </c>
      <c r="P423" s="1">
        <v>54311</v>
      </c>
      <c r="Q423" s="1">
        <v>84541</v>
      </c>
      <c r="R423" s="1">
        <v>0</v>
      </c>
    </row>
    <row r="424" spans="1:18">
      <c r="A424" s="2">
        <v>0.41666666666666669</v>
      </c>
      <c r="B424" s="1">
        <v>899725</v>
      </c>
      <c r="C424" s="1">
        <v>201455</v>
      </c>
      <c r="D424" s="1">
        <v>50994.1</v>
      </c>
      <c r="E424" s="1">
        <v>0</v>
      </c>
      <c r="F424" s="1">
        <v>418502</v>
      </c>
      <c r="G424" s="1">
        <v>88880</v>
      </c>
      <c r="H424" s="1">
        <v>379249</v>
      </c>
      <c r="I424" s="1">
        <v>746445</v>
      </c>
      <c r="J424" s="1">
        <v>53577.5</v>
      </c>
      <c r="K424" s="1">
        <v>89614.2</v>
      </c>
      <c r="L424" s="1">
        <v>8123.8</v>
      </c>
      <c r="M424" s="1">
        <v>87745.9</v>
      </c>
      <c r="N424" s="1">
        <v>10108.5</v>
      </c>
      <c r="O424" s="1">
        <v>1240.5</v>
      </c>
      <c r="P424" s="1">
        <v>54320</v>
      </c>
      <c r="Q424" s="1">
        <v>84554</v>
      </c>
      <c r="R424" s="1">
        <v>0</v>
      </c>
    </row>
    <row r="425" spans="1:18">
      <c r="A425" s="2">
        <v>0.45833333333333331</v>
      </c>
      <c r="B425" s="1">
        <v>901026</v>
      </c>
      <c r="C425" s="1">
        <v>201808</v>
      </c>
      <c r="D425" s="1">
        <v>51027.9</v>
      </c>
      <c r="E425" s="1">
        <v>0</v>
      </c>
      <c r="F425" s="1">
        <v>418548</v>
      </c>
      <c r="G425" s="1">
        <v>88964.9</v>
      </c>
      <c r="H425" s="1">
        <v>379291</v>
      </c>
      <c r="I425" s="1">
        <v>746877</v>
      </c>
      <c r="J425" s="1">
        <v>53587.6</v>
      </c>
      <c r="K425" s="1">
        <v>89614.7</v>
      </c>
      <c r="L425" s="1">
        <v>8163.3</v>
      </c>
      <c r="M425" s="1">
        <v>87792.8</v>
      </c>
      <c r="N425" s="1">
        <v>10154.6</v>
      </c>
      <c r="O425" s="1">
        <v>1308.5999999999999</v>
      </c>
      <c r="P425" s="1">
        <v>54331</v>
      </c>
      <c r="Q425" s="1">
        <v>84571</v>
      </c>
      <c r="R425" s="1">
        <v>0</v>
      </c>
    </row>
    <row r="426" spans="1:18">
      <c r="A426" s="2">
        <v>0.5</v>
      </c>
      <c r="B426" s="1">
        <v>902394</v>
      </c>
      <c r="C426" s="1">
        <v>202175</v>
      </c>
      <c r="D426" s="1">
        <v>51062.3</v>
      </c>
      <c r="E426" s="1">
        <v>0</v>
      </c>
      <c r="F426" s="1">
        <v>418598</v>
      </c>
      <c r="G426" s="1">
        <v>89068.1</v>
      </c>
      <c r="H426" s="1">
        <v>379333</v>
      </c>
      <c r="I426" s="1">
        <v>747338</v>
      </c>
      <c r="J426" s="1">
        <v>53598.9</v>
      </c>
      <c r="K426" s="1">
        <v>89615.4</v>
      </c>
      <c r="L426" s="1">
        <v>8207</v>
      </c>
      <c r="M426" s="1">
        <v>87842.5</v>
      </c>
      <c r="N426" s="1">
        <v>10199.4</v>
      </c>
      <c r="O426" s="1">
        <v>1376.7</v>
      </c>
      <c r="P426" s="1">
        <v>54344</v>
      </c>
      <c r="Q426" s="1">
        <v>84591</v>
      </c>
      <c r="R426" s="1">
        <v>0</v>
      </c>
    </row>
    <row r="427" spans="1:18">
      <c r="A427" s="2">
        <v>0.54166666666666663</v>
      </c>
      <c r="B427" s="1">
        <v>903799</v>
      </c>
      <c r="C427" s="1">
        <v>202548</v>
      </c>
      <c r="D427" s="1">
        <v>51097.4</v>
      </c>
      <c r="E427" s="1">
        <v>0</v>
      </c>
      <c r="F427" s="1">
        <v>418651</v>
      </c>
      <c r="G427" s="1">
        <v>89185.9</v>
      </c>
      <c r="H427" s="1">
        <v>379368</v>
      </c>
      <c r="I427" s="1">
        <v>747808</v>
      </c>
      <c r="J427" s="1">
        <v>53611.3</v>
      </c>
      <c r="K427" s="1">
        <v>89617.600000000006</v>
      </c>
      <c r="L427" s="1">
        <v>8252.2000000000007</v>
      </c>
      <c r="M427" s="1">
        <v>87891.5</v>
      </c>
      <c r="N427" s="1">
        <v>10248.9</v>
      </c>
      <c r="O427" s="1">
        <v>1442.8</v>
      </c>
      <c r="P427" s="1">
        <v>54354</v>
      </c>
      <c r="Q427" s="1">
        <v>84606</v>
      </c>
      <c r="R427" s="1">
        <v>0</v>
      </c>
    </row>
    <row r="428" spans="1:18">
      <c r="A428" s="2">
        <v>0.58333333333333337</v>
      </c>
      <c r="B428" s="1">
        <v>905276</v>
      </c>
      <c r="C428" s="1">
        <v>202938</v>
      </c>
      <c r="D428" s="1">
        <v>51143.199999999997</v>
      </c>
      <c r="E428" s="1">
        <v>0</v>
      </c>
      <c r="F428" s="1">
        <v>418702</v>
      </c>
      <c r="G428" s="1">
        <v>89299.1</v>
      </c>
      <c r="H428" s="1">
        <v>379432</v>
      </c>
      <c r="I428" s="1">
        <v>748282</v>
      </c>
      <c r="J428" s="1">
        <v>53625.1</v>
      </c>
      <c r="K428" s="1">
        <v>89619.1</v>
      </c>
      <c r="L428" s="1">
        <v>8303.7999999999993</v>
      </c>
      <c r="M428" s="1">
        <v>87938.5</v>
      </c>
      <c r="N428" s="1">
        <v>10302.9</v>
      </c>
      <c r="O428" s="1">
        <v>1519.6</v>
      </c>
      <c r="P428" s="1">
        <v>54367</v>
      </c>
      <c r="Q428" s="1">
        <v>84625</v>
      </c>
      <c r="R428" s="1">
        <v>0</v>
      </c>
    </row>
    <row r="429" spans="1:18">
      <c r="A429" s="2">
        <v>0.625</v>
      </c>
      <c r="B429" s="1">
        <v>906779</v>
      </c>
      <c r="C429" s="1">
        <v>203341</v>
      </c>
      <c r="D429" s="1">
        <v>51193.2</v>
      </c>
      <c r="E429" s="1">
        <v>0</v>
      </c>
      <c r="F429" s="1">
        <v>418759</v>
      </c>
      <c r="G429" s="1">
        <v>89408.6</v>
      </c>
      <c r="H429" s="1">
        <v>379490</v>
      </c>
      <c r="I429" s="1">
        <v>748764</v>
      </c>
      <c r="J429" s="1">
        <v>53639.8</v>
      </c>
      <c r="K429" s="1">
        <v>89620.2</v>
      </c>
      <c r="L429" s="1">
        <v>8359</v>
      </c>
      <c r="M429" s="1">
        <v>87989.6</v>
      </c>
      <c r="N429" s="1">
        <v>10355.6</v>
      </c>
      <c r="O429" s="1">
        <v>1577.6</v>
      </c>
      <c r="P429" s="1">
        <v>54380</v>
      </c>
      <c r="Q429" s="1">
        <v>84645</v>
      </c>
      <c r="R429" s="1">
        <v>0</v>
      </c>
    </row>
    <row r="430" spans="1:18">
      <c r="A430" s="2">
        <v>0.66666666666666663</v>
      </c>
      <c r="B430" s="1">
        <v>908233</v>
      </c>
      <c r="C430" s="1">
        <v>203748</v>
      </c>
      <c r="D430" s="1">
        <v>51236.9</v>
      </c>
      <c r="E430" s="1">
        <v>0</v>
      </c>
      <c r="F430" s="1">
        <v>418810</v>
      </c>
      <c r="G430" s="1">
        <v>89536.5</v>
      </c>
      <c r="H430" s="1">
        <v>379529</v>
      </c>
      <c r="I430" s="1">
        <v>749235</v>
      </c>
      <c r="J430" s="1">
        <v>53653.5</v>
      </c>
      <c r="K430" s="1">
        <v>89624.1</v>
      </c>
      <c r="L430" s="1">
        <v>8403.7000000000007</v>
      </c>
      <c r="M430" s="1">
        <v>88042.5</v>
      </c>
      <c r="N430" s="1">
        <v>10409.4</v>
      </c>
      <c r="O430" s="1">
        <v>1609.8</v>
      </c>
      <c r="P430" s="1">
        <v>54387</v>
      </c>
      <c r="Q430" s="1">
        <v>84655</v>
      </c>
      <c r="R430" s="1">
        <v>0</v>
      </c>
    </row>
    <row r="431" spans="1:18">
      <c r="A431" s="2">
        <v>0.70833333333333337</v>
      </c>
      <c r="B431" s="1">
        <v>909548</v>
      </c>
      <c r="C431" s="1">
        <v>204102</v>
      </c>
      <c r="D431" s="1">
        <v>51273.4</v>
      </c>
      <c r="E431" s="1">
        <v>0</v>
      </c>
      <c r="F431" s="1">
        <v>418853</v>
      </c>
      <c r="G431" s="1">
        <v>89662.7</v>
      </c>
      <c r="H431" s="1">
        <v>379564</v>
      </c>
      <c r="I431" s="1">
        <v>749668</v>
      </c>
      <c r="J431" s="1">
        <v>53663.7</v>
      </c>
      <c r="K431" s="1">
        <v>89632.8</v>
      </c>
      <c r="L431" s="1">
        <v>8443.5</v>
      </c>
      <c r="M431" s="1">
        <v>88085.8</v>
      </c>
      <c r="N431" s="1">
        <v>10467</v>
      </c>
      <c r="O431" s="1">
        <v>1640.7</v>
      </c>
      <c r="P431" s="1">
        <v>54387</v>
      </c>
      <c r="Q431" s="1">
        <v>84656</v>
      </c>
      <c r="R431" s="1">
        <v>0</v>
      </c>
    </row>
    <row r="432" spans="1:18">
      <c r="A432" s="2">
        <v>0.75</v>
      </c>
      <c r="B432" s="1">
        <v>910725</v>
      </c>
      <c r="C432" s="1">
        <v>204428</v>
      </c>
      <c r="D432" s="1">
        <v>51303.5</v>
      </c>
      <c r="E432" s="1">
        <v>0</v>
      </c>
      <c r="F432" s="1">
        <v>418885</v>
      </c>
      <c r="G432" s="1">
        <v>89767</v>
      </c>
      <c r="H432" s="1">
        <v>379595</v>
      </c>
      <c r="I432" s="1">
        <v>750066</v>
      </c>
      <c r="J432" s="1">
        <v>53672.800000000003</v>
      </c>
      <c r="K432" s="1">
        <v>89636.9</v>
      </c>
      <c r="L432" s="1">
        <v>8479.5</v>
      </c>
      <c r="M432" s="1">
        <v>88123.4</v>
      </c>
      <c r="N432" s="1">
        <v>10523.7</v>
      </c>
      <c r="O432" s="1">
        <v>1665.1</v>
      </c>
      <c r="P432" s="1">
        <v>54387</v>
      </c>
      <c r="Q432" s="1">
        <v>84656</v>
      </c>
      <c r="R432" s="1">
        <v>0</v>
      </c>
    </row>
    <row r="433" spans="1:18">
      <c r="A433" s="2">
        <v>0.79166666666666663</v>
      </c>
      <c r="B433" s="1">
        <v>911739</v>
      </c>
      <c r="C433" s="1">
        <v>204698</v>
      </c>
      <c r="D433" s="1">
        <v>51330.1</v>
      </c>
      <c r="E433" s="1">
        <v>0</v>
      </c>
      <c r="F433" s="1">
        <v>418914</v>
      </c>
      <c r="G433" s="1">
        <v>89857.3</v>
      </c>
      <c r="H433" s="1">
        <v>379608</v>
      </c>
      <c r="I433" s="1">
        <v>750420</v>
      </c>
      <c r="J433" s="1">
        <v>53681.9</v>
      </c>
      <c r="K433" s="1">
        <v>89639.8</v>
      </c>
      <c r="L433" s="1">
        <v>8510.7999999999993</v>
      </c>
      <c r="M433" s="1">
        <v>88159.7</v>
      </c>
      <c r="N433" s="1">
        <v>10579</v>
      </c>
      <c r="O433" s="1">
        <v>1686.7</v>
      </c>
      <c r="P433" s="1">
        <v>54387</v>
      </c>
      <c r="Q433" s="1">
        <v>84656</v>
      </c>
      <c r="R433" s="1">
        <v>0</v>
      </c>
    </row>
    <row r="434" spans="1:18">
      <c r="A434" s="2">
        <v>0.83333333333333337</v>
      </c>
      <c r="B434" s="1">
        <v>912660</v>
      </c>
      <c r="C434" s="1">
        <v>204945</v>
      </c>
      <c r="D434" s="1">
        <v>51353.3</v>
      </c>
      <c r="E434" s="1">
        <v>0</v>
      </c>
      <c r="F434" s="1">
        <v>418939</v>
      </c>
      <c r="G434" s="1">
        <v>89941.1</v>
      </c>
      <c r="H434" s="1">
        <v>379621</v>
      </c>
      <c r="I434" s="1">
        <v>750735</v>
      </c>
      <c r="J434" s="1">
        <v>53690.2</v>
      </c>
      <c r="K434" s="1">
        <v>89642.7</v>
      </c>
      <c r="L434" s="1">
        <v>8536.5</v>
      </c>
      <c r="M434" s="1">
        <v>88195.3</v>
      </c>
      <c r="N434" s="1">
        <v>10633.5</v>
      </c>
      <c r="O434" s="1">
        <v>1707.8</v>
      </c>
      <c r="P434" s="1">
        <v>54387</v>
      </c>
      <c r="Q434" s="1">
        <v>84656</v>
      </c>
      <c r="R434" s="1">
        <v>0</v>
      </c>
    </row>
    <row r="435" spans="1:18">
      <c r="A435" s="2">
        <v>0.875</v>
      </c>
      <c r="B435" s="1">
        <v>913519</v>
      </c>
      <c r="C435" s="1">
        <v>205165</v>
      </c>
      <c r="D435" s="1">
        <v>51372.7</v>
      </c>
      <c r="E435" s="1">
        <v>0</v>
      </c>
      <c r="F435" s="1">
        <v>418963</v>
      </c>
      <c r="G435" s="1">
        <v>90018.7</v>
      </c>
      <c r="H435" s="1">
        <v>379635</v>
      </c>
      <c r="I435" s="1">
        <v>751031</v>
      </c>
      <c r="J435" s="1">
        <v>53697.7</v>
      </c>
      <c r="K435" s="1">
        <v>89645.6</v>
      </c>
      <c r="L435" s="1">
        <v>8560.4</v>
      </c>
      <c r="M435" s="1">
        <v>88230.1</v>
      </c>
      <c r="N435" s="1">
        <v>10688.3</v>
      </c>
      <c r="O435" s="1">
        <v>1730.8</v>
      </c>
      <c r="P435" s="1">
        <v>54387</v>
      </c>
      <c r="Q435" s="1">
        <v>84656</v>
      </c>
      <c r="R435" s="1">
        <v>0</v>
      </c>
    </row>
    <row r="436" spans="1:18">
      <c r="A436" s="2">
        <v>0.91666666666666663</v>
      </c>
      <c r="B436" s="1">
        <v>914343</v>
      </c>
      <c r="C436" s="1">
        <v>205378</v>
      </c>
      <c r="D436" s="1">
        <v>51392</v>
      </c>
      <c r="E436" s="1">
        <v>0</v>
      </c>
      <c r="F436" s="1">
        <v>418985</v>
      </c>
      <c r="G436" s="1">
        <v>90088.9</v>
      </c>
      <c r="H436" s="1">
        <v>379647</v>
      </c>
      <c r="I436" s="1">
        <v>751319</v>
      </c>
      <c r="J436" s="1">
        <v>53705.2</v>
      </c>
      <c r="K436" s="1">
        <v>89648.4</v>
      </c>
      <c r="L436" s="1">
        <v>8582.2999999999993</v>
      </c>
      <c r="M436" s="1">
        <v>88264</v>
      </c>
      <c r="N436" s="1">
        <v>10743</v>
      </c>
      <c r="O436" s="1">
        <v>1751.5</v>
      </c>
      <c r="P436" s="1">
        <v>54387</v>
      </c>
      <c r="Q436" s="1">
        <v>84656</v>
      </c>
      <c r="R436" s="1">
        <v>0</v>
      </c>
    </row>
    <row r="437" spans="1:18">
      <c r="A437" s="2">
        <v>0.95833333333333337</v>
      </c>
      <c r="B437" s="1">
        <v>915160</v>
      </c>
      <c r="C437" s="1">
        <v>205587</v>
      </c>
      <c r="D437" s="1">
        <v>51410.2</v>
      </c>
      <c r="E437" s="1">
        <v>0</v>
      </c>
      <c r="F437" s="1">
        <v>419007</v>
      </c>
      <c r="G437" s="1">
        <v>90157.4</v>
      </c>
      <c r="H437" s="1">
        <v>379660</v>
      </c>
      <c r="I437" s="1">
        <v>751612</v>
      </c>
      <c r="J437" s="1">
        <v>53712.5</v>
      </c>
      <c r="K437" s="1">
        <v>89651.199999999997</v>
      </c>
      <c r="L437" s="1">
        <v>8604.1</v>
      </c>
      <c r="M437" s="1">
        <v>88298.1</v>
      </c>
      <c r="N437" s="1">
        <v>10796.7</v>
      </c>
      <c r="O437" s="1">
        <v>1770</v>
      </c>
      <c r="P437" s="1">
        <v>54387</v>
      </c>
      <c r="Q437" s="1">
        <v>84656</v>
      </c>
      <c r="R437" s="1">
        <v>0</v>
      </c>
    </row>
    <row r="438" spans="1:18">
      <c r="A438" s="2">
        <v>0</v>
      </c>
      <c r="B438" s="1">
        <v>915948</v>
      </c>
      <c r="C438" s="1">
        <v>205790</v>
      </c>
      <c r="D438" s="1">
        <v>51428.5</v>
      </c>
      <c r="E438" s="1">
        <v>0</v>
      </c>
      <c r="F438" s="1">
        <v>419031</v>
      </c>
      <c r="G438" s="1">
        <v>90224.3</v>
      </c>
      <c r="H438" s="1">
        <v>379672</v>
      </c>
      <c r="I438" s="1">
        <v>751883</v>
      </c>
      <c r="J438" s="1">
        <v>53719.7</v>
      </c>
      <c r="K438" s="1">
        <v>89654.1</v>
      </c>
      <c r="L438" s="1">
        <v>8626.6</v>
      </c>
      <c r="M438" s="1">
        <v>88330.2</v>
      </c>
      <c r="N438" s="1">
        <v>10851</v>
      </c>
      <c r="O438" s="1">
        <v>1788.7</v>
      </c>
      <c r="P438" s="1">
        <v>54387</v>
      </c>
      <c r="Q438" s="1">
        <v>84656</v>
      </c>
      <c r="R438" s="1">
        <v>0</v>
      </c>
    </row>
    <row r="439" spans="1:18">
      <c r="A439" s="2">
        <v>4.1666666666666664E-2</v>
      </c>
      <c r="B439" s="1">
        <v>916712</v>
      </c>
      <c r="C439" s="1">
        <v>205990</v>
      </c>
      <c r="D439" s="1">
        <v>51445.8</v>
      </c>
      <c r="E439" s="1">
        <v>0</v>
      </c>
      <c r="F439" s="1">
        <v>419052</v>
      </c>
      <c r="G439" s="1">
        <v>90289.600000000006</v>
      </c>
      <c r="H439" s="1">
        <v>379685</v>
      </c>
      <c r="I439" s="1">
        <v>752143</v>
      </c>
      <c r="J439" s="1">
        <v>53726.8</v>
      </c>
      <c r="K439" s="1">
        <v>89657</v>
      </c>
      <c r="L439" s="1">
        <v>8648.7000000000007</v>
      </c>
      <c r="M439" s="1">
        <v>88362.9</v>
      </c>
      <c r="N439" s="1">
        <v>10904.4</v>
      </c>
      <c r="O439" s="1">
        <v>1805.9</v>
      </c>
      <c r="P439" s="1">
        <v>54387</v>
      </c>
      <c r="Q439" s="1">
        <v>84656</v>
      </c>
      <c r="R439" s="1">
        <v>0</v>
      </c>
    </row>
    <row r="440" spans="1:18">
      <c r="A440" s="2">
        <v>8.3333333333333329E-2</v>
      </c>
      <c r="B440" s="1">
        <v>917460</v>
      </c>
      <c r="C440" s="1">
        <v>206183</v>
      </c>
      <c r="D440" s="1">
        <v>51462.7</v>
      </c>
      <c r="E440" s="1">
        <v>0</v>
      </c>
      <c r="F440" s="1">
        <v>419074</v>
      </c>
      <c r="G440" s="1">
        <v>90352.6</v>
      </c>
      <c r="H440" s="1">
        <v>379697</v>
      </c>
      <c r="I440" s="1">
        <v>752397</v>
      </c>
      <c r="J440" s="1">
        <v>53733.8</v>
      </c>
      <c r="K440" s="1">
        <v>89659.9</v>
      </c>
      <c r="L440" s="1">
        <v>8670.6</v>
      </c>
      <c r="M440" s="1">
        <v>88394.4</v>
      </c>
      <c r="N440" s="1">
        <v>10958</v>
      </c>
      <c r="O440" s="1">
        <v>1823.8</v>
      </c>
      <c r="P440" s="1">
        <v>54387</v>
      </c>
      <c r="Q440" s="1">
        <v>84656</v>
      </c>
      <c r="R440" s="1">
        <v>0</v>
      </c>
    </row>
    <row r="441" spans="1:18">
      <c r="A441" s="2">
        <v>0.125</v>
      </c>
      <c r="B441" s="1">
        <v>918191</v>
      </c>
      <c r="C441" s="1">
        <v>206371</v>
      </c>
      <c r="D441" s="1">
        <v>51478.3</v>
      </c>
      <c r="E441" s="1">
        <v>0</v>
      </c>
      <c r="F441" s="1">
        <v>419099</v>
      </c>
      <c r="G441" s="1">
        <v>90409.9</v>
      </c>
      <c r="H441" s="1">
        <v>379709</v>
      </c>
      <c r="I441" s="1">
        <v>752642</v>
      </c>
      <c r="J441" s="1">
        <v>53740.800000000003</v>
      </c>
      <c r="K441" s="1">
        <v>89662.8</v>
      </c>
      <c r="L441" s="1">
        <v>8691.9</v>
      </c>
      <c r="M441" s="1">
        <v>88426.4</v>
      </c>
      <c r="N441" s="1">
        <v>11011.6</v>
      </c>
      <c r="O441" s="1">
        <v>1842.3</v>
      </c>
      <c r="P441" s="1">
        <v>54387</v>
      </c>
      <c r="Q441" s="1">
        <v>84656</v>
      </c>
      <c r="R441" s="1">
        <v>0</v>
      </c>
    </row>
    <row r="442" spans="1:18">
      <c r="A442" s="2">
        <v>0.16666666666666666</v>
      </c>
      <c r="B442" s="1">
        <v>918927</v>
      </c>
      <c r="C442" s="1">
        <v>206563</v>
      </c>
      <c r="D442" s="1">
        <v>51492.9</v>
      </c>
      <c r="E442" s="1">
        <v>0</v>
      </c>
      <c r="F442" s="1">
        <v>419125</v>
      </c>
      <c r="G442" s="1">
        <v>90468.1</v>
      </c>
      <c r="H442" s="1">
        <v>379722</v>
      </c>
      <c r="I442" s="1">
        <v>752882</v>
      </c>
      <c r="J442" s="1">
        <v>53747.8</v>
      </c>
      <c r="K442" s="1">
        <v>89665.7</v>
      </c>
      <c r="L442" s="1">
        <v>8713.7000000000007</v>
      </c>
      <c r="M442" s="1">
        <v>88460.800000000003</v>
      </c>
      <c r="N442" s="1">
        <v>11066</v>
      </c>
      <c r="O442" s="1">
        <v>1860.4</v>
      </c>
      <c r="P442" s="1">
        <v>54387</v>
      </c>
      <c r="Q442" s="1">
        <v>84656</v>
      </c>
      <c r="R442" s="1">
        <v>0</v>
      </c>
    </row>
    <row r="443" spans="1:18">
      <c r="A443" s="2">
        <v>0.20833333333333334</v>
      </c>
      <c r="B443" s="1">
        <v>919659</v>
      </c>
      <c r="C443" s="1">
        <v>206752</v>
      </c>
      <c r="D443" s="1">
        <v>51507.199999999997</v>
      </c>
      <c r="E443" s="1">
        <v>0</v>
      </c>
      <c r="F443" s="1">
        <v>419149</v>
      </c>
      <c r="G443" s="1">
        <v>90525.6</v>
      </c>
      <c r="H443" s="1">
        <v>379734</v>
      </c>
      <c r="I443" s="1">
        <v>753126</v>
      </c>
      <c r="J443" s="1">
        <v>53755.1</v>
      </c>
      <c r="K443" s="1">
        <v>89668.7</v>
      </c>
      <c r="L443" s="1">
        <v>8734.6</v>
      </c>
      <c r="M443" s="1">
        <v>88495.5</v>
      </c>
      <c r="N443" s="1">
        <v>11121</v>
      </c>
      <c r="O443" s="1">
        <v>1878.9</v>
      </c>
      <c r="P443" s="1">
        <v>54387</v>
      </c>
      <c r="Q443" s="1">
        <v>84656</v>
      </c>
      <c r="R443" s="1">
        <v>0</v>
      </c>
    </row>
    <row r="444" spans="1:18">
      <c r="A444" s="2">
        <v>0.25</v>
      </c>
      <c r="B444" s="1">
        <v>920375</v>
      </c>
      <c r="C444" s="1">
        <v>206934</v>
      </c>
      <c r="D444" s="1">
        <v>51521.3</v>
      </c>
      <c r="E444" s="1">
        <v>0</v>
      </c>
      <c r="F444" s="1">
        <v>419173</v>
      </c>
      <c r="G444" s="1">
        <v>90583.1</v>
      </c>
      <c r="H444" s="1">
        <v>379746</v>
      </c>
      <c r="I444" s="1">
        <v>753362</v>
      </c>
      <c r="J444" s="1">
        <v>53762</v>
      </c>
      <c r="K444" s="1">
        <v>89672</v>
      </c>
      <c r="L444" s="1">
        <v>8755.4</v>
      </c>
      <c r="M444" s="1">
        <v>88528.1</v>
      </c>
      <c r="N444" s="1">
        <v>11175</v>
      </c>
      <c r="O444" s="1">
        <v>1899.2</v>
      </c>
      <c r="P444" s="1">
        <v>54387</v>
      </c>
      <c r="Q444" s="1">
        <v>84656</v>
      </c>
      <c r="R444" s="1">
        <v>0</v>
      </c>
    </row>
    <row r="445" spans="1:18">
      <c r="A445" s="2">
        <v>0.29166666666666669</v>
      </c>
      <c r="B445" s="1">
        <v>921092</v>
      </c>
      <c r="C445" s="1">
        <v>207121</v>
      </c>
      <c r="D445" s="1">
        <v>51535.3</v>
      </c>
      <c r="E445" s="1">
        <v>0</v>
      </c>
      <c r="F445" s="1">
        <v>419195</v>
      </c>
      <c r="G445" s="1">
        <v>90638.7</v>
      </c>
      <c r="H445" s="1">
        <v>379758</v>
      </c>
      <c r="I445" s="1">
        <v>753600</v>
      </c>
      <c r="J445" s="1">
        <v>53768.5</v>
      </c>
      <c r="K445" s="1">
        <v>89674.7</v>
      </c>
      <c r="L445" s="1">
        <v>8777.6</v>
      </c>
      <c r="M445" s="1">
        <v>88559.1</v>
      </c>
      <c r="N445" s="1">
        <v>11227.7</v>
      </c>
      <c r="O445" s="1">
        <v>1920</v>
      </c>
      <c r="P445" s="1">
        <v>54387</v>
      </c>
      <c r="Q445" s="1">
        <v>84656</v>
      </c>
      <c r="R445" s="1">
        <v>0</v>
      </c>
    </row>
    <row r="446" spans="1:18">
      <c r="A446" s="2">
        <v>0.33333333333333331</v>
      </c>
      <c r="B446" s="1">
        <v>921821</v>
      </c>
      <c r="C446" s="1">
        <v>207305</v>
      </c>
      <c r="D446" s="1">
        <v>51549.9</v>
      </c>
      <c r="E446" s="1">
        <v>0</v>
      </c>
      <c r="F446" s="1">
        <v>419217</v>
      </c>
      <c r="G446" s="1">
        <v>90693.3</v>
      </c>
      <c r="H446" s="1">
        <v>379770</v>
      </c>
      <c r="I446" s="1">
        <v>753851</v>
      </c>
      <c r="J446" s="1">
        <v>53774.8</v>
      </c>
      <c r="K446" s="1">
        <v>89677.5</v>
      </c>
      <c r="L446" s="1">
        <v>8798.1</v>
      </c>
      <c r="M446" s="1">
        <v>88590</v>
      </c>
      <c r="N446" s="1">
        <v>11280.3</v>
      </c>
      <c r="O446" s="1">
        <v>1945</v>
      </c>
      <c r="P446" s="1">
        <v>54387</v>
      </c>
      <c r="Q446" s="1">
        <v>84656</v>
      </c>
      <c r="R446" s="1">
        <v>0</v>
      </c>
    </row>
    <row r="447" spans="1:18">
      <c r="A447" s="2">
        <v>0.375</v>
      </c>
      <c r="B447" s="1">
        <v>922640</v>
      </c>
      <c r="C447" s="1">
        <v>207512</v>
      </c>
      <c r="D447" s="1">
        <v>51565.2</v>
      </c>
      <c r="E447" s="1">
        <v>0</v>
      </c>
      <c r="F447" s="1">
        <v>419243</v>
      </c>
      <c r="G447" s="1">
        <v>90749.4</v>
      </c>
      <c r="H447" s="1">
        <v>379782</v>
      </c>
      <c r="I447" s="1">
        <v>754128</v>
      </c>
      <c r="J447" s="1">
        <v>53781.1</v>
      </c>
      <c r="K447" s="1">
        <v>89683.7</v>
      </c>
      <c r="L447" s="1">
        <v>8822.9</v>
      </c>
      <c r="M447" s="1">
        <v>88625.7</v>
      </c>
      <c r="N447" s="1">
        <v>11333</v>
      </c>
      <c r="O447" s="1">
        <v>1984.3</v>
      </c>
      <c r="P447" s="1">
        <v>54387</v>
      </c>
      <c r="Q447" s="1">
        <v>84656</v>
      </c>
      <c r="R447" s="1">
        <v>0</v>
      </c>
    </row>
    <row r="448" spans="1:18">
      <c r="A448" s="2">
        <v>0.41666666666666669</v>
      </c>
      <c r="B448" s="1">
        <v>923609</v>
      </c>
      <c r="C448" s="1">
        <v>207778</v>
      </c>
      <c r="D448" s="1">
        <v>51585.9</v>
      </c>
      <c r="E448" s="1">
        <v>0</v>
      </c>
      <c r="F448" s="1">
        <v>419271</v>
      </c>
      <c r="G448" s="1">
        <v>90808.4</v>
      </c>
      <c r="H448" s="1">
        <v>379794</v>
      </c>
      <c r="I448" s="1">
        <v>754447</v>
      </c>
      <c r="J448" s="1">
        <v>53788.2</v>
      </c>
      <c r="K448" s="1">
        <v>89690</v>
      </c>
      <c r="L448" s="1">
        <v>8855.4</v>
      </c>
      <c r="M448" s="1">
        <v>88660.9</v>
      </c>
      <c r="N448" s="1">
        <v>11387.2</v>
      </c>
      <c r="O448" s="1">
        <v>2036.1</v>
      </c>
      <c r="P448" s="1">
        <v>54389</v>
      </c>
      <c r="Q448" s="1">
        <v>84659</v>
      </c>
      <c r="R448" s="1">
        <v>0</v>
      </c>
    </row>
    <row r="449" spans="1:18">
      <c r="A449" s="2">
        <v>0.45833333333333331</v>
      </c>
      <c r="B449" s="1">
        <v>924727</v>
      </c>
      <c r="C449" s="1">
        <v>208088</v>
      </c>
      <c r="D449" s="1">
        <v>51609.9</v>
      </c>
      <c r="E449" s="1">
        <v>0</v>
      </c>
      <c r="F449" s="1">
        <v>419313</v>
      </c>
      <c r="G449" s="1">
        <v>90884.9</v>
      </c>
      <c r="H449" s="1">
        <v>379807</v>
      </c>
      <c r="I449" s="1">
        <v>754813</v>
      </c>
      <c r="J449" s="1">
        <v>53795.9</v>
      </c>
      <c r="K449" s="1">
        <v>89695.8</v>
      </c>
      <c r="L449" s="1">
        <v>8889</v>
      </c>
      <c r="M449" s="1">
        <v>88701.5</v>
      </c>
      <c r="N449" s="1">
        <v>11440.4</v>
      </c>
      <c r="O449" s="1">
        <v>2100.5</v>
      </c>
      <c r="P449" s="1">
        <v>54391</v>
      </c>
      <c r="Q449" s="1">
        <v>84663</v>
      </c>
      <c r="R449" s="1">
        <v>0</v>
      </c>
    </row>
    <row r="450" spans="1:18">
      <c r="A450" s="2">
        <v>0.5</v>
      </c>
      <c r="B450" s="1">
        <v>925912</v>
      </c>
      <c r="C450" s="1">
        <v>208401</v>
      </c>
      <c r="D450" s="1">
        <v>51635.8</v>
      </c>
      <c r="E450" s="1">
        <v>0</v>
      </c>
      <c r="F450" s="1">
        <v>419365</v>
      </c>
      <c r="G450" s="1">
        <v>90961.4</v>
      </c>
      <c r="H450" s="1">
        <v>379819</v>
      </c>
      <c r="I450" s="1">
        <v>755228</v>
      </c>
      <c r="J450" s="1">
        <v>53804.1</v>
      </c>
      <c r="K450" s="1">
        <v>89698.4</v>
      </c>
      <c r="L450" s="1">
        <v>8925.2000000000007</v>
      </c>
      <c r="M450" s="1">
        <v>88742.399999999994</v>
      </c>
      <c r="N450" s="1">
        <v>11490.1</v>
      </c>
      <c r="O450" s="1">
        <v>2169</v>
      </c>
      <c r="P450" s="1">
        <v>54396</v>
      </c>
      <c r="Q450" s="1">
        <v>84671</v>
      </c>
      <c r="R450" s="1">
        <v>0</v>
      </c>
    </row>
    <row r="451" spans="1:18">
      <c r="A451" s="2">
        <v>0.54166666666666663</v>
      </c>
      <c r="B451" s="1">
        <v>927129</v>
      </c>
      <c r="C451" s="1">
        <v>208715</v>
      </c>
      <c r="D451" s="1">
        <v>51665.599999999999</v>
      </c>
      <c r="E451" s="1">
        <v>0</v>
      </c>
      <c r="F451" s="1">
        <v>419420</v>
      </c>
      <c r="G451" s="1">
        <v>91049.9</v>
      </c>
      <c r="H451" s="1">
        <v>379832</v>
      </c>
      <c r="I451" s="1">
        <v>755646</v>
      </c>
      <c r="J451" s="1">
        <v>53814.1</v>
      </c>
      <c r="K451" s="1">
        <v>89702.2</v>
      </c>
      <c r="L451" s="1">
        <v>8970.6</v>
      </c>
      <c r="M451" s="1">
        <v>88782.5</v>
      </c>
      <c r="N451" s="1">
        <v>11542.3</v>
      </c>
      <c r="O451" s="1">
        <v>2234.8000000000002</v>
      </c>
      <c r="P451" s="1">
        <v>54401</v>
      </c>
      <c r="Q451" s="1">
        <v>84678</v>
      </c>
      <c r="R451" s="1">
        <v>0</v>
      </c>
    </row>
    <row r="452" spans="1:18">
      <c r="A452" s="2">
        <v>0.58333333333333337</v>
      </c>
      <c r="B452" s="1">
        <v>928387</v>
      </c>
      <c r="C452" s="1">
        <v>209039</v>
      </c>
      <c r="D452" s="1">
        <v>51698</v>
      </c>
      <c r="E452" s="1">
        <v>0</v>
      </c>
      <c r="F452" s="1">
        <v>419472</v>
      </c>
      <c r="G452" s="1">
        <v>91140.3</v>
      </c>
      <c r="H452" s="1">
        <v>379858</v>
      </c>
      <c r="I452" s="1">
        <v>756071</v>
      </c>
      <c r="J452" s="1">
        <v>53824.7</v>
      </c>
      <c r="K452" s="1">
        <v>89705.4</v>
      </c>
      <c r="L452" s="1">
        <v>9015.7000000000007</v>
      </c>
      <c r="M452" s="1">
        <v>88823.2</v>
      </c>
      <c r="N452" s="1">
        <v>11590.4</v>
      </c>
      <c r="O452" s="1">
        <v>2310.3000000000002</v>
      </c>
      <c r="P452" s="1">
        <v>54407</v>
      </c>
      <c r="Q452" s="1">
        <v>84688</v>
      </c>
      <c r="R452" s="1">
        <v>0</v>
      </c>
    </row>
    <row r="453" spans="1:18">
      <c r="A453" s="2">
        <v>0.625</v>
      </c>
      <c r="B453" s="1">
        <v>929646</v>
      </c>
      <c r="C453" s="1">
        <v>209381</v>
      </c>
      <c r="D453" s="1">
        <v>51728.5</v>
      </c>
      <c r="E453" s="1">
        <v>0</v>
      </c>
      <c r="F453" s="1">
        <v>419516</v>
      </c>
      <c r="G453" s="1">
        <v>91237.3</v>
      </c>
      <c r="H453" s="1">
        <v>379876</v>
      </c>
      <c r="I453" s="1">
        <v>756507</v>
      </c>
      <c r="J453" s="1">
        <v>53835.3</v>
      </c>
      <c r="K453" s="1">
        <v>89710.8</v>
      </c>
      <c r="L453" s="1">
        <v>9059.5</v>
      </c>
      <c r="M453" s="1">
        <v>88862.8</v>
      </c>
      <c r="N453" s="1">
        <v>11641.5</v>
      </c>
      <c r="O453" s="1">
        <v>2362.8000000000002</v>
      </c>
      <c r="P453" s="1">
        <v>54412</v>
      </c>
      <c r="Q453" s="1">
        <v>84695</v>
      </c>
      <c r="R453" s="1">
        <v>0</v>
      </c>
    </row>
    <row r="454" spans="1:18">
      <c r="A454" s="2">
        <v>0.66666666666666663</v>
      </c>
      <c r="B454" s="1">
        <v>930840</v>
      </c>
      <c r="C454" s="1">
        <v>209699</v>
      </c>
      <c r="D454" s="1">
        <v>51756.7</v>
      </c>
      <c r="E454" s="1">
        <v>0</v>
      </c>
      <c r="F454" s="1">
        <v>419558</v>
      </c>
      <c r="G454" s="1">
        <v>91343.3</v>
      </c>
      <c r="H454" s="1">
        <v>379888</v>
      </c>
      <c r="I454" s="1">
        <v>756920</v>
      </c>
      <c r="J454" s="1">
        <v>53847.6</v>
      </c>
      <c r="K454" s="1">
        <v>89719.5</v>
      </c>
      <c r="L454" s="1">
        <v>9103.9</v>
      </c>
      <c r="M454" s="1">
        <v>88900.4</v>
      </c>
      <c r="N454" s="1">
        <v>11697.3</v>
      </c>
      <c r="O454" s="1">
        <v>2390.9</v>
      </c>
      <c r="P454" s="1">
        <v>54413</v>
      </c>
      <c r="Q454" s="1">
        <v>84696</v>
      </c>
      <c r="R454" s="1">
        <v>0</v>
      </c>
    </row>
    <row r="455" spans="1:18">
      <c r="A455" s="2">
        <v>0.70833333333333337</v>
      </c>
      <c r="B455" s="1">
        <v>931956</v>
      </c>
      <c r="C455" s="1">
        <v>210006</v>
      </c>
      <c r="D455" s="1">
        <v>51782.8</v>
      </c>
      <c r="E455" s="1">
        <v>0</v>
      </c>
      <c r="F455" s="1">
        <v>419594</v>
      </c>
      <c r="G455" s="1">
        <v>91439.7</v>
      </c>
      <c r="H455" s="1">
        <v>379900</v>
      </c>
      <c r="I455" s="1">
        <v>757312</v>
      </c>
      <c r="J455" s="1">
        <v>53855.6</v>
      </c>
      <c r="K455" s="1">
        <v>89727.8</v>
      </c>
      <c r="L455" s="1">
        <v>9140.6</v>
      </c>
      <c r="M455" s="1">
        <v>88935.9</v>
      </c>
      <c r="N455" s="1">
        <v>11751.9</v>
      </c>
      <c r="O455" s="1">
        <v>2417.4</v>
      </c>
      <c r="P455" s="1">
        <v>54413</v>
      </c>
      <c r="Q455" s="1">
        <v>84697</v>
      </c>
      <c r="R455" s="1">
        <v>0</v>
      </c>
    </row>
    <row r="456" spans="1:18">
      <c r="A456" s="2">
        <v>0.75</v>
      </c>
      <c r="B456" s="1">
        <v>932943</v>
      </c>
      <c r="C456" s="1">
        <v>210283</v>
      </c>
      <c r="D456" s="1">
        <v>51807.9</v>
      </c>
      <c r="E456" s="1">
        <v>0</v>
      </c>
      <c r="F456" s="1">
        <v>419623</v>
      </c>
      <c r="G456" s="1">
        <v>91516.3</v>
      </c>
      <c r="H456" s="1">
        <v>379911</v>
      </c>
      <c r="I456" s="1">
        <v>757651</v>
      </c>
      <c r="J456" s="1">
        <v>53862.1</v>
      </c>
      <c r="K456" s="1">
        <v>89731.1</v>
      </c>
      <c r="L456" s="1">
        <v>9175.2999999999993</v>
      </c>
      <c r="M456" s="1">
        <v>88969</v>
      </c>
      <c r="N456" s="1">
        <v>11807.3</v>
      </c>
      <c r="O456" s="1">
        <v>2440.4</v>
      </c>
      <c r="P456" s="1">
        <v>54413</v>
      </c>
      <c r="Q456" s="1">
        <v>84697</v>
      </c>
      <c r="R456" s="1">
        <v>0</v>
      </c>
    </row>
    <row r="457" spans="1:18">
      <c r="A457" s="2">
        <v>0.79166666666666663</v>
      </c>
      <c r="B457" s="1">
        <v>933799</v>
      </c>
      <c r="C457" s="1">
        <v>210511</v>
      </c>
      <c r="D457" s="1">
        <v>51830.8</v>
      </c>
      <c r="E457" s="1">
        <v>0</v>
      </c>
      <c r="F457" s="1">
        <v>419649</v>
      </c>
      <c r="G457" s="1">
        <v>91580.9</v>
      </c>
      <c r="H457" s="1">
        <v>379924</v>
      </c>
      <c r="I457" s="1">
        <v>757936</v>
      </c>
      <c r="J457" s="1">
        <v>53868.5</v>
      </c>
      <c r="K457" s="1">
        <v>89733.6</v>
      </c>
      <c r="L457" s="1">
        <v>9205.2999999999993</v>
      </c>
      <c r="M457" s="1">
        <v>89002.6</v>
      </c>
      <c r="N457" s="1">
        <v>11861.4</v>
      </c>
      <c r="O457" s="1">
        <v>2461.6999999999998</v>
      </c>
      <c r="P457" s="1">
        <v>54413</v>
      </c>
      <c r="Q457" s="1">
        <v>84697</v>
      </c>
      <c r="R457" s="1">
        <v>0</v>
      </c>
    </row>
    <row r="458" spans="1:18">
      <c r="A458" s="2">
        <v>0.83333333333333337</v>
      </c>
      <c r="B458" s="1">
        <v>934583</v>
      </c>
      <c r="C458" s="1">
        <v>210713</v>
      </c>
      <c r="D458" s="1">
        <v>51851.199999999997</v>
      </c>
      <c r="E458" s="1">
        <v>0</v>
      </c>
      <c r="F458" s="1">
        <v>419673</v>
      </c>
      <c r="G458" s="1">
        <v>91642.4</v>
      </c>
      <c r="H458" s="1">
        <v>379935</v>
      </c>
      <c r="I458" s="1">
        <v>758198</v>
      </c>
      <c r="J458" s="1">
        <v>53874.6</v>
      </c>
      <c r="K458" s="1">
        <v>89736.3</v>
      </c>
      <c r="L458" s="1">
        <v>9235.2999999999993</v>
      </c>
      <c r="M458" s="1">
        <v>89035.3</v>
      </c>
      <c r="N458" s="1">
        <v>11914</v>
      </c>
      <c r="O458" s="1">
        <v>2483</v>
      </c>
      <c r="P458" s="1">
        <v>54413</v>
      </c>
      <c r="Q458" s="1">
        <v>84697</v>
      </c>
      <c r="R458" s="1">
        <v>0</v>
      </c>
    </row>
    <row r="459" spans="1:18">
      <c r="A459" s="2">
        <v>0.875</v>
      </c>
      <c r="B459" s="1">
        <v>935325</v>
      </c>
      <c r="C459" s="1">
        <v>210899</v>
      </c>
      <c r="D459" s="1">
        <v>51871.4</v>
      </c>
      <c r="E459" s="1">
        <v>0</v>
      </c>
      <c r="F459" s="1">
        <v>419694</v>
      </c>
      <c r="G459" s="1">
        <v>91700.4</v>
      </c>
      <c r="H459" s="1">
        <v>379947</v>
      </c>
      <c r="I459" s="1">
        <v>758442</v>
      </c>
      <c r="J459" s="1">
        <v>53880.6</v>
      </c>
      <c r="K459" s="1">
        <v>89739</v>
      </c>
      <c r="L459" s="1">
        <v>9263.2999999999993</v>
      </c>
      <c r="M459" s="1">
        <v>89068.5</v>
      </c>
      <c r="N459" s="1">
        <v>11968.2</v>
      </c>
      <c r="O459" s="1">
        <v>2504.9</v>
      </c>
      <c r="P459" s="1">
        <v>54413</v>
      </c>
      <c r="Q459" s="1">
        <v>84697</v>
      </c>
      <c r="R459" s="1">
        <v>0</v>
      </c>
    </row>
    <row r="460" spans="1:18">
      <c r="A460" s="2">
        <v>0.91666666666666663</v>
      </c>
      <c r="B460" s="1">
        <v>936029</v>
      </c>
      <c r="C460" s="1">
        <v>211073</v>
      </c>
      <c r="D460" s="1">
        <v>51891</v>
      </c>
      <c r="E460" s="1">
        <v>0</v>
      </c>
      <c r="F460" s="1">
        <v>419715</v>
      </c>
      <c r="G460" s="1">
        <v>91757</v>
      </c>
      <c r="H460" s="1">
        <v>379959</v>
      </c>
      <c r="I460" s="1">
        <v>758671</v>
      </c>
      <c r="J460" s="1">
        <v>53886.6</v>
      </c>
      <c r="K460" s="1">
        <v>89741.6</v>
      </c>
      <c r="L460" s="1">
        <v>9287.4</v>
      </c>
      <c r="M460" s="1">
        <v>89101.2</v>
      </c>
      <c r="N460" s="1">
        <v>12020.4</v>
      </c>
      <c r="O460" s="1">
        <v>2526.6</v>
      </c>
      <c r="P460" s="1">
        <v>54413</v>
      </c>
      <c r="Q460" s="1">
        <v>84697</v>
      </c>
      <c r="R460" s="1">
        <v>0</v>
      </c>
    </row>
    <row r="461" spans="1:18">
      <c r="A461" s="2">
        <v>0.95833333333333337</v>
      </c>
      <c r="B461" s="1">
        <v>936708</v>
      </c>
      <c r="C461" s="1">
        <v>211245</v>
      </c>
      <c r="D461" s="1">
        <v>51911</v>
      </c>
      <c r="E461" s="1">
        <v>0</v>
      </c>
      <c r="F461" s="1">
        <v>419734</v>
      </c>
      <c r="G461" s="1">
        <v>91810.5</v>
      </c>
      <c r="H461" s="1">
        <v>379970</v>
      </c>
      <c r="I461" s="1">
        <v>758888</v>
      </c>
      <c r="J461" s="1">
        <v>53892.6</v>
      </c>
      <c r="K461" s="1">
        <v>89744.2</v>
      </c>
      <c r="L461" s="1">
        <v>9307.2999999999993</v>
      </c>
      <c r="M461" s="1">
        <v>89133.8</v>
      </c>
      <c r="N461" s="1">
        <v>12073.7</v>
      </c>
      <c r="O461" s="1">
        <v>2545.1</v>
      </c>
      <c r="P461" s="1">
        <v>54413</v>
      </c>
      <c r="Q461" s="1">
        <v>84697</v>
      </c>
      <c r="R461" s="1">
        <v>0</v>
      </c>
    </row>
    <row r="462" spans="1:18">
      <c r="A462" s="2">
        <v>0</v>
      </c>
      <c r="B462" s="1">
        <v>937375</v>
      </c>
      <c r="C462" s="1">
        <v>211413</v>
      </c>
      <c r="D462" s="1">
        <v>51927.9</v>
      </c>
      <c r="E462" s="1">
        <v>0</v>
      </c>
      <c r="F462" s="1">
        <v>419753</v>
      </c>
      <c r="G462" s="1">
        <v>91863</v>
      </c>
      <c r="H462" s="1">
        <v>379981</v>
      </c>
      <c r="I462" s="1">
        <v>759103</v>
      </c>
      <c r="J462" s="1">
        <v>53898.400000000001</v>
      </c>
      <c r="K462" s="1">
        <v>89746.8</v>
      </c>
      <c r="L462" s="1">
        <v>9327.9</v>
      </c>
      <c r="M462" s="1">
        <v>89167</v>
      </c>
      <c r="N462" s="1">
        <v>12125.3</v>
      </c>
      <c r="O462" s="1">
        <v>2563.1</v>
      </c>
      <c r="P462" s="1">
        <v>54413</v>
      </c>
      <c r="Q462" s="1">
        <v>84697</v>
      </c>
      <c r="R462" s="1">
        <v>0</v>
      </c>
    </row>
    <row r="463" spans="1:18">
      <c r="A463" s="2">
        <v>4.1666666666666664E-2</v>
      </c>
      <c r="B463" s="1">
        <v>938027</v>
      </c>
      <c r="C463" s="1">
        <v>211579</v>
      </c>
      <c r="D463" s="1">
        <v>51945.3</v>
      </c>
      <c r="E463" s="1">
        <v>0</v>
      </c>
      <c r="F463" s="1">
        <v>419773</v>
      </c>
      <c r="G463" s="1">
        <v>91915.1</v>
      </c>
      <c r="H463" s="1">
        <v>379992</v>
      </c>
      <c r="I463" s="1">
        <v>759307</v>
      </c>
      <c r="J463" s="1">
        <v>53904.3</v>
      </c>
      <c r="K463" s="1">
        <v>89749.4</v>
      </c>
      <c r="L463" s="1">
        <v>9348.9</v>
      </c>
      <c r="M463" s="1">
        <v>89199.8</v>
      </c>
      <c r="N463" s="1">
        <v>12177.2</v>
      </c>
      <c r="O463" s="1">
        <v>2580.5</v>
      </c>
      <c r="P463" s="1">
        <v>54413</v>
      </c>
      <c r="Q463" s="1">
        <v>84697</v>
      </c>
      <c r="R463" s="1">
        <v>0</v>
      </c>
    </row>
    <row r="464" spans="1:18">
      <c r="A464" s="2">
        <v>8.3333333333333329E-2</v>
      </c>
      <c r="B464" s="1">
        <v>938660</v>
      </c>
      <c r="C464" s="1">
        <v>211738</v>
      </c>
      <c r="D464" s="1">
        <v>51962.3</v>
      </c>
      <c r="E464" s="1">
        <v>0</v>
      </c>
      <c r="F464" s="1">
        <v>419790</v>
      </c>
      <c r="G464" s="1">
        <v>91967.3</v>
      </c>
      <c r="H464" s="1">
        <v>380003</v>
      </c>
      <c r="I464" s="1">
        <v>759502</v>
      </c>
      <c r="J464" s="1">
        <v>53909.9</v>
      </c>
      <c r="K464" s="1">
        <v>89752.1</v>
      </c>
      <c r="L464" s="1">
        <v>9369.1</v>
      </c>
      <c r="M464" s="1">
        <v>89232.7</v>
      </c>
      <c r="N464" s="1">
        <v>12228.9</v>
      </c>
      <c r="O464" s="1">
        <v>2598.1999999999998</v>
      </c>
      <c r="P464" s="1">
        <v>54413</v>
      </c>
      <c r="Q464" s="1">
        <v>84697</v>
      </c>
      <c r="R464" s="1">
        <v>0</v>
      </c>
    </row>
    <row r="465" spans="1:18">
      <c r="A465" s="2">
        <v>0.125</v>
      </c>
      <c r="B465" s="1">
        <v>939280</v>
      </c>
      <c r="C465" s="1">
        <v>211898</v>
      </c>
      <c r="D465" s="1">
        <v>51976.6</v>
      </c>
      <c r="E465" s="1">
        <v>0</v>
      </c>
      <c r="F465" s="1">
        <v>419807</v>
      </c>
      <c r="G465" s="1">
        <v>92018.7</v>
      </c>
      <c r="H465" s="1">
        <v>380015</v>
      </c>
      <c r="I465" s="1">
        <v>759690</v>
      </c>
      <c r="J465" s="1">
        <v>53915.6</v>
      </c>
      <c r="K465" s="1">
        <v>89754.7</v>
      </c>
      <c r="L465" s="1">
        <v>9388</v>
      </c>
      <c r="M465" s="1">
        <v>89263.5</v>
      </c>
      <c r="N465" s="1">
        <v>12280.3</v>
      </c>
      <c r="O465" s="1">
        <v>2616.6</v>
      </c>
      <c r="P465" s="1">
        <v>54413</v>
      </c>
      <c r="Q465" s="1">
        <v>84697</v>
      </c>
      <c r="R465" s="1">
        <v>0</v>
      </c>
    </row>
    <row r="466" spans="1:18">
      <c r="A466" s="2">
        <v>0.16666666666666666</v>
      </c>
      <c r="B466" s="1">
        <v>939875</v>
      </c>
      <c r="C466" s="1">
        <v>212046</v>
      </c>
      <c r="D466" s="1">
        <v>51990.7</v>
      </c>
      <c r="E466" s="1">
        <v>0</v>
      </c>
      <c r="F466" s="1">
        <v>419824</v>
      </c>
      <c r="G466" s="1">
        <v>92069.4</v>
      </c>
      <c r="H466" s="1">
        <v>380025</v>
      </c>
      <c r="I466" s="1">
        <v>759870</v>
      </c>
      <c r="J466" s="1">
        <v>53921.1</v>
      </c>
      <c r="K466" s="1">
        <v>89757.3</v>
      </c>
      <c r="L466" s="1">
        <v>9407.2999999999993</v>
      </c>
      <c r="M466" s="1">
        <v>89293.4</v>
      </c>
      <c r="N466" s="1">
        <v>12332.9</v>
      </c>
      <c r="O466" s="1">
        <v>2634.1</v>
      </c>
      <c r="P466" s="1">
        <v>54413</v>
      </c>
      <c r="Q466" s="1">
        <v>84697</v>
      </c>
      <c r="R466" s="1">
        <v>0</v>
      </c>
    </row>
    <row r="467" spans="1:18">
      <c r="A467" s="2">
        <v>0.20833333333333334</v>
      </c>
      <c r="B467" s="1">
        <v>940473</v>
      </c>
      <c r="C467" s="1">
        <v>212189</v>
      </c>
      <c r="D467" s="1">
        <v>52004.800000000003</v>
      </c>
      <c r="E467" s="1">
        <v>0</v>
      </c>
      <c r="F467" s="1">
        <v>419840</v>
      </c>
      <c r="G467" s="1">
        <v>92117.8</v>
      </c>
      <c r="H467" s="1">
        <v>380035</v>
      </c>
      <c r="I467" s="1">
        <v>760059</v>
      </c>
      <c r="J467" s="1">
        <v>53926.6</v>
      </c>
      <c r="K467" s="1">
        <v>89759.9</v>
      </c>
      <c r="L467" s="1">
        <v>9426.4</v>
      </c>
      <c r="M467" s="1">
        <v>89323.7</v>
      </c>
      <c r="N467" s="1">
        <v>12385.5</v>
      </c>
      <c r="O467" s="1">
        <v>2651.9</v>
      </c>
      <c r="P467" s="1">
        <v>54413</v>
      </c>
      <c r="Q467" s="1">
        <v>84697</v>
      </c>
      <c r="R467" s="1">
        <v>0</v>
      </c>
    </row>
    <row r="468" spans="1:18">
      <c r="A468" s="2">
        <v>0.25</v>
      </c>
      <c r="B468" s="1">
        <v>941059</v>
      </c>
      <c r="C468" s="1">
        <v>212329</v>
      </c>
      <c r="D468" s="1">
        <v>52018.6</v>
      </c>
      <c r="E468" s="1">
        <v>0</v>
      </c>
      <c r="F468" s="1">
        <v>419857</v>
      </c>
      <c r="G468" s="1">
        <v>92165.7</v>
      </c>
      <c r="H468" s="1">
        <v>380047</v>
      </c>
      <c r="I468" s="1">
        <v>760238</v>
      </c>
      <c r="J468" s="1">
        <v>53932</v>
      </c>
      <c r="K468" s="1">
        <v>89762.6</v>
      </c>
      <c r="L468" s="1">
        <v>9445.6</v>
      </c>
      <c r="M468" s="1">
        <v>89353.3</v>
      </c>
      <c r="N468" s="1">
        <v>12437.2</v>
      </c>
      <c r="O468" s="1">
        <v>2671.5</v>
      </c>
      <c r="P468" s="1">
        <v>54413</v>
      </c>
      <c r="Q468" s="1">
        <v>84697</v>
      </c>
      <c r="R468" s="1">
        <v>0</v>
      </c>
    </row>
    <row r="469" spans="1:18">
      <c r="A469" s="2">
        <v>0.29166666666666669</v>
      </c>
      <c r="B469" s="1">
        <v>941647</v>
      </c>
      <c r="C469" s="1">
        <v>212471</v>
      </c>
      <c r="D469" s="1">
        <v>52032.7</v>
      </c>
      <c r="E469" s="1">
        <v>0</v>
      </c>
      <c r="F469" s="1">
        <v>419875</v>
      </c>
      <c r="G469" s="1">
        <v>92212.6</v>
      </c>
      <c r="H469" s="1">
        <v>380057</v>
      </c>
      <c r="I469" s="1">
        <v>760418</v>
      </c>
      <c r="J469" s="1">
        <v>53938.3</v>
      </c>
      <c r="K469" s="1">
        <v>89764.9</v>
      </c>
      <c r="L469" s="1">
        <v>9464.9</v>
      </c>
      <c r="M469" s="1">
        <v>89383.3</v>
      </c>
      <c r="N469" s="1">
        <v>12488.6</v>
      </c>
      <c r="O469" s="1">
        <v>2691.8</v>
      </c>
      <c r="P469" s="1">
        <v>54413</v>
      </c>
      <c r="Q469" s="1">
        <v>84697</v>
      </c>
      <c r="R469" s="1">
        <v>0</v>
      </c>
    </row>
    <row r="470" spans="1:18">
      <c r="A470" s="2">
        <v>0.33333333333333331</v>
      </c>
      <c r="B470" s="1">
        <v>942250</v>
      </c>
      <c r="C470" s="1">
        <v>212620</v>
      </c>
      <c r="D470" s="1">
        <v>52047.199999999997</v>
      </c>
      <c r="E470" s="1">
        <v>0</v>
      </c>
      <c r="F470" s="1">
        <v>419893</v>
      </c>
      <c r="G470" s="1">
        <v>92257.1</v>
      </c>
      <c r="H470" s="1">
        <v>380067</v>
      </c>
      <c r="I470" s="1">
        <v>760604</v>
      </c>
      <c r="J470" s="1">
        <v>53945.8</v>
      </c>
      <c r="K470" s="1">
        <v>89765.4</v>
      </c>
      <c r="L470" s="1">
        <v>9483.7000000000007</v>
      </c>
      <c r="M470" s="1">
        <v>89413.4</v>
      </c>
      <c r="N470" s="1">
        <v>12538.7</v>
      </c>
      <c r="O470" s="1">
        <v>2719.3</v>
      </c>
      <c r="P470" s="1">
        <v>54415</v>
      </c>
      <c r="Q470" s="1">
        <v>84700</v>
      </c>
      <c r="R470" s="1">
        <v>0</v>
      </c>
    </row>
    <row r="471" spans="1:18">
      <c r="A471" s="2">
        <v>0.375</v>
      </c>
      <c r="B471" s="1">
        <v>942940</v>
      </c>
      <c r="C471" s="1">
        <v>212795</v>
      </c>
      <c r="D471" s="1">
        <v>52064.2</v>
      </c>
      <c r="E471" s="1">
        <v>0</v>
      </c>
      <c r="F471" s="1">
        <v>419915</v>
      </c>
      <c r="G471" s="1">
        <v>92298.3</v>
      </c>
      <c r="H471" s="1">
        <v>380079</v>
      </c>
      <c r="I471" s="1">
        <v>760824</v>
      </c>
      <c r="J471" s="1">
        <v>53953.5</v>
      </c>
      <c r="K471" s="1">
        <v>89765.5</v>
      </c>
      <c r="L471" s="1">
        <v>9505</v>
      </c>
      <c r="M471" s="1">
        <v>89446.5</v>
      </c>
      <c r="N471" s="1">
        <v>12584.8</v>
      </c>
      <c r="O471" s="1">
        <v>2755.2</v>
      </c>
      <c r="P471" s="1">
        <v>54421</v>
      </c>
      <c r="Q471" s="1">
        <v>84709</v>
      </c>
      <c r="R471" s="1">
        <v>0</v>
      </c>
    </row>
    <row r="472" spans="1:18">
      <c r="A472" s="2">
        <v>0.41666666666666669</v>
      </c>
      <c r="B472" s="1">
        <v>943810</v>
      </c>
      <c r="C472" s="1">
        <v>213027</v>
      </c>
      <c r="D472" s="1">
        <v>52085.4</v>
      </c>
      <c r="E472" s="1">
        <v>0</v>
      </c>
      <c r="F472" s="1">
        <v>419943</v>
      </c>
      <c r="G472" s="1">
        <v>92340</v>
      </c>
      <c r="H472" s="1">
        <v>380105</v>
      </c>
      <c r="I472" s="1">
        <v>761111</v>
      </c>
      <c r="J472" s="1">
        <v>53961.9</v>
      </c>
      <c r="K472" s="1">
        <v>89765.5</v>
      </c>
      <c r="L472" s="1">
        <v>9530.4</v>
      </c>
      <c r="M472" s="1">
        <v>89485.2</v>
      </c>
      <c r="N472" s="1">
        <v>12632.2</v>
      </c>
      <c r="O472" s="1">
        <v>2805.9</v>
      </c>
      <c r="P472" s="1">
        <v>54430</v>
      </c>
      <c r="Q472" s="1">
        <v>84724</v>
      </c>
      <c r="R472" s="1">
        <v>0</v>
      </c>
    </row>
    <row r="473" spans="1:18">
      <c r="A473" s="2">
        <v>0.45833333333333331</v>
      </c>
      <c r="B473" s="1">
        <v>944832</v>
      </c>
      <c r="C473" s="1">
        <v>213287</v>
      </c>
      <c r="D473" s="1">
        <v>52110.8</v>
      </c>
      <c r="E473" s="1">
        <v>0</v>
      </c>
      <c r="F473" s="1">
        <v>419981</v>
      </c>
      <c r="G473" s="1">
        <v>92400.4</v>
      </c>
      <c r="H473" s="1">
        <v>380142</v>
      </c>
      <c r="I473" s="1">
        <v>761437</v>
      </c>
      <c r="J473" s="1">
        <v>53972.2</v>
      </c>
      <c r="K473" s="1">
        <v>89765.5</v>
      </c>
      <c r="L473" s="1">
        <v>9563.6</v>
      </c>
      <c r="M473" s="1">
        <v>89527.8</v>
      </c>
      <c r="N473" s="1">
        <v>12678.6</v>
      </c>
      <c r="O473" s="1">
        <v>2873.3</v>
      </c>
      <c r="P473" s="1">
        <v>54443</v>
      </c>
      <c r="Q473" s="1">
        <v>84744</v>
      </c>
      <c r="R473" s="1">
        <v>0</v>
      </c>
    </row>
    <row r="474" spans="1:18">
      <c r="A474" s="2">
        <v>0.5</v>
      </c>
      <c r="B474" s="1">
        <v>945882</v>
      </c>
      <c r="C474" s="1">
        <v>213561</v>
      </c>
      <c r="D474" s="1">
        <v>52138</v>
      </c>
      <c r="E474" s="1">
        <v>0</v>
      </c>
      <c r="F474" s="1">
        <v>420023</v>
      </c>
      <c r="G474" s="1">
        <v>92476</v>
      </c>
      <c r="H474" s="1">
        <v>380159</v>
      </c>
      <c r="I474" s="1">
        <v>761770</v>
      </c>
      <c r="J474" s="1">
        <v>53982.9</v>
      </c>
      <c r="K474" s="1">
        <v>89765.5</v>
      </c>
      <c r="L474" s="1">
        <v>9597.2999999999993</v>
      </c>
      <c r="M474" s="1">
        <v>89566.5</v>
      </c>
      <c r="N474" s="1">
        <v>12722.3</v>
      </c>
      <c r="O474" s="1">
        <v>2935.6</v>
      </c>
      <c r="P474" s="1">
        <v>54458</v>
      </c>
      <c r="Q474" s="1">
        <v>84766</v>
      </c>
      <c r="R474" s="1">
        <v>0</v>
      </c>
    </row>
    <row r="475" spans="1:18">
      <c r="A475" s="2">
        <v>0.54166666666666663</v>
      </c>
      <c r="B475" s="1">
        <v>946953</v>
      </c>
      <c r="C475" s="1">
        <v>213838</v>
      </c>
      <c r="D475" s="1">
        <v>52167.5</v>
      </c>
      <c r="E475" s="1">
        <v>0</v>
      </c>
      <c r="F475" s="1">
        <v>420067</v>
      </c>
      <c r="G475" s="1">
        <v>92552.1</v>
      </c>
      <c r="H475" s="1">
        <v>380170</v>
      </c>
      <c r="I475" s="1">
        <v>762127</v>
      </c>
      <c r="J475" s="1">
        <v>53994.7</v>
      </c>
      <c r="K475" s="1">
        <v>89765.5</v>
      </c>
      <c r="L475" s="1">
        <v>9635.7999999999993</v>
      </c>
      <c r="M475" s="1">
        <v>89602.7</v>
      </c>
      <c r="N475" s="1">
        <v>12763.6</v>
      </c>
      <c r="O475" s="1">
        <v>3001.4</v>
      </c>
      <c r="P475" s="1">
        <v>54474</v>
      </c>
      <c r="Q475" s="1">
        <v>84791</v>
      </c>
      <c r="R475" s="1">
        <v>0</v>
      </c>
    </row>
    <row r="476" spans="1:18">
      <c r="A476" s="2">
        <v>0.58333333333333337</v>
      </c>
      <c r="B476" s="1">
        <v>948058</v>
      </c>
      <c r="C476" s="1">
        <v>214136</v>
      </c>
      <c r="D476" s="1">
        <v>52203.3</v>
      </c>
      <c r="E476" s="1">
        <v>0</v>
      </c>
      <c r="F476" s="1">
        <v>420106</v>
      </c>
      <c r="G476" s="1">
        <v>92632.6</v>
      </c>
      <c r="H476" s="1">
        <v>380181</v>
      </c>
      <c r="I476" s="1">
        <v>762483</v>
      </c>
      <c r="J476" s="1">
        <v>54007.5</v>
      </c>
      <c r="K476" s="1">
        <v>89765.5</v>
      </c>
      <c r="L476" s="1">
        <v>9675.6</v>
      </c>
      <c r="M476" s="1">
        <v>89630.7</v>
      </c>
      <c r="N476" s="1">
        <v>12805</v>
      </c>
      <c r="O476" s="1">
        <v>3074.8</v>
      </c>
      <c r="P476" s="1">
        <v>54490</v>
      </c>
      <c r="Q476" s="1">
        <v>84814</v>
      </c>
      <c r="R476" s="1">
        <v>0</v>
      </c>
    </row>
    <row r="477" spans="1:18">
      <c r="A477" s="2">
        <v>0.625</v>
      </c>
      <c r="B477" s="1">
        <v>949247</v>
      </c>
      <c r="C477" s="1">
        <v>214437</v>
      </c>
      <c r="D477" s="1">
        <v>52237.599999999999</v>
      </c>
      <c r="E477" s="1">
        <v>0</v>
      </c>
      <c r="F477" s="1">
        <v>420147</v>
      </c>
      <c r="G477" s="1">
        <v>92746.4</v>
      </c>
      <c r="H477" s="1">
        <v>380193</v>
      </c>
      <c r="I477" s="1">
        <v>762861</v>
      </c>
      <c r="J477" s="1">
        <v>54020.9</v>
      </c>
      <c r="K477" s="1">
        <v>89776.6</v>
      </c>
      <c r="L477" s="1">
        <v>9722.2000000000007</v>
      </c>
      <c r="M477" s="1">
        <v>89656.3</v>
      </c>
      <c r="N477" s="1">
        <v>12861.4</v>
      </c>
      <c r="O477" s="1">
        <v>3130.8</v>
      </c>
      <c r="P477" s="1">
        <v>54491</v>
      </c>
      <c r="Q477" s="1">
        <v>84816</v>
      </c>
      <c r="R477" s="1">
        <v>0</v>
      </c>
    </row>
    <row r="478" spans="1:18">
      <c r="A478" s="2">
        <v>0.66666666666666663</v>
      </c>
      <c r="B478" s="1">
        <v>950389</v>
      </c>
      <c r="C478" s="1">
        <v>214740</v>
      </c>
      <c r="D478" s="1">
        <v>52268.6</v>
      </c>
      <c r="E478" s="1">
        <v>0</v>
      </c>
      <c r="F478" s="1">
        <v>420185</v>
      </c>
      <c r="G478" s="1">
        <v>92859.3</v>
      </c>
      <c r="H478" s="1">
        <v>380208</v>
      </c>
      <c r="I478" s="1">
        <v>763229</v>
      </c>
      <c r="J478" s="1">
        <v>54033.5</v>
      </c>
      <c r="K478" s="1">
        <v>89786</v>
      </c>
      <c r="L478" s="1">
        <v>9766.9</v>
      </c>
      <c r="M478" s="1">
        <v>89680.8</v>
      </c>
      <c r="N478" s="1">
        <v>12919.1</v>
      </c>
      <c r="O478" s="1">
        <v>3159.4</v>
      </c>
      <c r="P478" s="1">
        <v>54491</v>
      </c>
      <c r="Q478" s="1">
        <v>84816</v>
      </c>
      <c r="R478" s="1">
        <v>0</v>
      </c>
    </row>
    <row r="479" spans="1:18">
      <c r="A479" s="2">
        <v>0.70833333333333337</v>
      </c>
      <c r="B479" s="1">
        <v>951433</v>
      </c>
      <c r="C479" s="1">
        <v>215020</v>
      </c>
      <c r="D479" s="1">
        <v>52296.7</v>
      </c>
      <c r="E479" s="1">
        <v>0</v>
      </c>
      <c r="F479" s="1">
        <v>420220</v>
      </c>
      <c r="G479" s="1">
        <v>92964.5</v>
      </c>
      <c r="H479" s="1">
        <v>380223</v>
      </c>
      <c r="I479" s="1">
        <v>763576</v>
      </c>
      <c r="J479" s="1">
        <v>54045.2</v>
      </c>
      <c r="K479" s="1">
        <v>89794.1</v>
      </c>
      <c r="L479" s="1">
        <v>9807.7999999999993</v>
      </c>
      <c r="M479" s="1">
        <v>89697.600000000006</v>
      </c>
      <c r="N479" s="1">
        <v>12976.4</v>
      </c>
      <c r="O479" s="1">
        <v>3184</v>
      </c>
      <c r="P479" s="1">
        <v>54491</v>
      </c>
      <c r="Q479" s="1">
        <v>84816</v>
      </c>
      <c r="R479" s="1">
        <v>0</v>
      </c>
    </row>
    <row r="480" spans="1:18">
      <c r="A480" s="2">
        <v>0.75</v>
      </c>
      <c r="B480" s="1">
        <v>952321</v>
      </c>
      <c r="C480" s="1">
        <v>215267</v>
      </c>
      <c r="D480" s="1">
        <v>52317</v>
      </c>
      <c r="E480" s="1">
        <v>0</v>
      </c>
      <c r="F480" s="1">
        <v>420246</v>
      </c>
      <c r="G480" s="1">
        <v>93051.1</v>
      </c>
      <c r="H480" s="1">
        <v>380238</v>
      </c>
      <c r="I480" s="1">
        <v>763876</v>
      </c>
      <c r="J480" s="1">
        <v>54054.2</v>
      </c>
      <c r="K480" s="1">
        <v>89798.399999999994</v>
      </c>
      <c r="L480" s="1">
        <v>9841.2000000000007</v>
      </c>
      <c r="M480" s="1">
        <v>89710.2</v>
      </c>
      <c r="N480" s="1">
        <v>13031.6</v>
      </c>
      <c r="O480" s="1">
        <v>3204.1</v>
      </c>
      <c r="P480" s="1">
        <v>54491</v>
      </c>
      <c r="Q480" s="1">
        <v>84816</v>
      </c>
      <c r="R480" s="1">
        <v>0</v>
      </c>
    </row>
    <row r="481" spans="1:18">
      <c r="A481" s="2">
        <v>0.79166666666666663</v>
      </c>
      <c r="B481" s="1">
        <v>953064</v>
      </c>
      <c r="C481" s="1">
        <v>215451</v>
      </c>
      <c r="D481" s="1">
        <v>52332.4</v>
      </c>
      <c r="E481" s="1">
        <v>0</v>
      </c>
      <c r="F481" s="1">
        <v>420266</v>
      </c>
      <c r="G481" s="1">
        <v>93134.1</v>
      </c>
      <c r="H481" s="1">
        <v>380250</v>
      </c>
      <c r="I481" s="1">
        <v>764131</v>
      </c>
      <c r="J481" s="1">
        <v>54062.5</v>
      </c>
      <c r="K481" s="1">
        <v>89800.9</v>
      </c>
      <c r="L481" s="1">
        <v>9866.2000000000007</v>
      </c>
      <c r="M481" s="1">
        <v>89722.3</v>
      </c>
      <c r="N481" s="1">
        <v>13085.6</v>
      </c>
      <c r="O481" s="1">
        <v>3222.7</v>
      </c>
      <c r="P481" s="1">
        <v>54491</v>
      </c>
      <c r="Q481" s="1">
        <v>84816</v>
      </c>
      <c r="R481" s="1">
        <v>0</v>
      </c>
    </row>
    <row r="482" spans="1:18">
      <c r="A482" s="2">
        <v>0.83333333333333337</v>
      </c>
      <c r="B482" s="1">
        <v>953724</v>
      </c>
      <c r="C482" s="1">
        <v>215612</v>
      </c>
      <c r="D482" s="1">
        <v>52345.4</v>
      </c>
      <c r="E482" s="1">
        <v>0</v>
      </c>
      <c r="F482" s="1">
        <v>420283</v>
      </c>
      <c r="G482" s="1">
        <v>93210.4</v>
      </c>
      <c r="H482" s="1">
        <v>380261</v>
      </c>
      <c r="I482" s="1">
        <v>764351</v>
      </c>
      <c r="J482" s="1">
        <v>54070.400000000001</v>
      </c>
      <c r="K482" s="1">
        <v>89803.1</v>
      </c>
      <c r="L482" s="1">
        <v>9886.1</v>
      </c>
      <c r="M482" s="1">
        <v>89733.7</v>
      </c>
      <c r="N482" s="1">
        <v>13139.7</v>
      </c>
      <c r="O482" s="1">
        <v>3242.6</v>
      </c>
      <c r="P482" s="1">
        <v>54491</v>
      </c>
      <c r="Q482" s="1">
        <v>84816</v>
      </c>
      <c r="R482" s="1">
        <v>0</v>
      </c>
    </row>
    <row r="483" spans="1:18">
      <c r="A483" s="2">
        <v>0.875</v>
      </c>
      <c r="B483" s="1">
        <v>954352</v>
      </c>
      <c r="C483" s="1">
        <v>215764</v>
      </c>
      <c r="D483" s="1">
        <v>52357.1</v>
      </c>
      <c r="E483" s="1">
        <v>0</v>
      </c>
      <c r="F483" s="1">
        <v>420300</v>
      </c>
      <c r="G483" s="1">
        <v>93281.3</v>
      </c>
      <c r="H483" s="1">
        <v>380271</v>
      </c>
      <c r="I483" s="1">
        <v>764563</v>
      </c>
      <c r="J483" s="1">
        <v>54077.3</v>
      </c>
      <c r="K483" s="1">
        <v>89805.3</v>
      </c>
      <c r="L483" s="1">
        <v>9904.4</v>
      </c>
      <c r="M483" s="1">
        <v>89742.7</v>
      </c>
      <c r="N483" s="1">
        <v>13193.3</v>
      </c>
      <c r="O483" s="1">
        <v>3263.1</v>
      </c>
      <c r="P483" s="1">
        <v>54491</v>
      </c>
      <c r="Q483" s="1">
        <v>84816</v>
      </c>
      <c r="R483" s="1">
        <v>0</v>
      </c>
    </row>
    <row r="484" spans="1:18">
      <c r="A484" s="2">
        <v>0.91666666666666663</v>
      </c>
      <c r="B484" s="1">
        <v>954967</v>
      </c>
      <c r="C484" s="1">
        <v>215911</v>
      </c>
      <c r="D484" s="1">
        <v>52369.3</v>
      </c>
      <c r="E484" s="1">
        <v>0</v>
      </c>
      <c r="F484" s="1">
        <v>420315</v>
      </c>
      <c r="G484" s="1">
        <v>93347.7</v>
      </c>
      <c r="H484" s="1">
        <v>380282</v>
      </c>
      <c r="I484" s="1">
        <v>764773</v>
      </c>
      <c r="J484" s="1">
        <v>54084.3</v>
      </c>
      <c r="K484" s="1">
        <v>89807.5</v>
      </c>
      <c r="L484" s="1">
        <v>9921.5</v>
      </c>
      <c r="M484" s="1">
        <v>89753.7</v>
      </c>
      <c r="N484" s="1">
        <v>13246.6</v>
      </c>
      <c r="O484" s="1">
        <v>3283.6</v>
      </c>
      <c r="P484" s="1">
        <v>54491</v>
      </c>
      <c r="Q484" s="1">
        <v>84816</v>
      </c>
      <c r="R484" s="1">
        <v>0</v>
      </c>
    </row>
    <row r="485" spans="1:18">
      <c r="A485" s="2">
        <v>0.95833333333333337</v>
      </c>
      <c r="B485" s="1">
        <v>955555</v>
      </c>
      <c r="C485" s="1">
        <v>216052</v>
      </c>
      <c r="D485" s="1">
        <v>52380.5</v>
      </c>
      <c r="E485" s="1">
        <v>0</v>
      </c>
      <c r="F485" s="1">
        <v>420331</v>
      </c>
      <c r="G485" s="1">
        <v>93403.3</v>
      </c>
      <c r="H485" s="1">
        <v>380293</v>
      </c>
      <c r="I485" s="1">
        <v>764978</v>
      </c>
      <c r="J485" s="1">
        <v>54091.5</v>
      </c>
      <c r="K485" s="1">
        <v>89809.7</v>
      </c>
      <c r="L485" s="1">
        <v>9936.5</v>
      </c>
      <c r="M485" s="1">
        <v>89763.3</v>
      </c>
      <c r="N485" s="1">
        <v>13300.8</v>
      </c>
      <c r="O485" s="1">
        <v>3300.5</v>
      </c>
      <c r="P485" s="1">
        <v>54491</v>
      </c>
      <c r="Q485" s="1">
        <v>84816</v>
      </c>
      <c r="R485" s="1">
        <v>0</v>
      </c>
    </row>
    <row r="486" spans="1:18">
      <c r="A486" s="2">
        <v>0</v>
      </c>
      <c r="B486" s="1">
        <v>956108</v>
      </c>
      <c r="C486" s="1">
        <v>216190</v>
      </c>
      <c r="D486" s="1">
        <v>52391.5</v>
      </c>
      <c r="E486" s="1">
        <v>0</v>
      </c>
      <c r="F486" s="1">
        <v>420347</v>
      </c>
      <c r="G486" s="1">
        <v>93453.7</v>
      </c>
      <c r="H486" s="1">
        <v>380304</v>
      </c>
      <c r="I486" s="1">
        <v>765161</v>
      </c>
      <c r="J486" s="1">
        <v>54098.6</v>
      </c>
      <c r="K486" s="1">
        <v>89811.8</v>
      </c>
      <c r="L486" s="1">
        <v>9951.7999999999993</v>
      </c>
      <c r="M486" s="1">
        <v>89771.3</v>
      </c>
      <c r="N486" s="1">
        <v>13354.8</v>
      </c>
      <c r="O486" s="1">
        <v>3316.7</v>
      </c>
      <c r="P486" s="1">
        <v>54491</v>
      </c>
      <c r="Q486" s="1">
        <v>84816</v>
      </c>
      <c r="R486" s="1">
        <v>0</v>
      </c>
    </row>
    <row r="487" spans="1:18">
      <c r="A487" s="2">
        <v>4.1666666666666664E-2</v>
      </c>
      <c r="B487" s="1">
        <v>956651</v>
      </c>
      <c r="C487" s="1">
        <v>216328</v>
      </c>
      <c r="D487" s="1">
        <v>52400.6</v>
      </c>
      <c r="E487" s="1">
        <v>0</v>
      </c>
      <c r="F487" s="1">
        <v>420363</v>
      </c>
      <c r="G487" s="1">
        <v>93500</v>
      </c>
      <c r="H487" s="1">
        <v>380315</v>
      </c>
      <c r="I487" s="1">
        <v>765342</v>
      </c>
      <c r="J487" s="1">
        <v>54105.7</v>
      </c>
      <c r="K487" s="1">
        <v>89814</v>
      </c>
      <c r="L487" s="1">
        <v>9966.9</v>
      </c>
      <c r="M487" s="1">
        <v>89778.9</v>
      </c>
      <c r="N487" s="1">
        <v>13407.6</v>
      </c>
      <c r="O487" s="1">
        <v>3332.5</v>
      </c>
      <c r="P487" s="1">
        <v>54491</v>
      </c>
      <c r="Q487" s="1">
        <v>84816</v>
      </c>
      <c r="R487" s="1">
        <v>0</v>
      </c>
    </row>
    <row r="488" spans="1:18">
      <c r="A488" s="2">
        <v>8.3333333333333329E-2</v>
      </c>
      <c r="B488" s="1">
        <v>957182</v>
      </c>
      <c r="C488" s="1">
        <v>216459</v>
      </c>
      <c r="D488" s="1">
        <v>52410.6</v>
      </c>
      <c r="E488" s="1">
        <v>0</v>
      </c>
      <c r="F488" s="1">
        <v>420379</v>
      </c>
      <c r="G488" s="1">
        <v>93545</v>
      </c>
      <c r="H488" s="1">
        <v>380326</v>
      </c>
      <c r="I488" s="1">
        <v>765516</v>
      </c>
      <c r="J488" s="1">
        <v>54112.5</v>
      </c>
      <c r="K488" s="1">
        <v>89816.2</v>
      </c>
      <c r="L488" s="1">
        <v>9982.5</v>
      </c>
      <c r="M488" s="1">
        <v>89786.8</v>
      </c>
      <c r="N488" s="1">
        <v>13461.5</v>
      </c>
      <c r="O488" s="1">
        <v>3349.7</v>
      </c>
      <c r="P488" s="1">
        <v>54491</v>
      </c>
      <c r="Q488" s="1">
        <v>84816</v>
      </c>
      <c r="R488" s="1">
        <v>0</v>
      </c>
    </row>
    <row r="489" spans="1:18">
      <c r="A489" s="2">
        <v>0.125</v>
      </c>
      <c r="B489" s="1">
        <v>957702</v>
      </c>
      <c r="C489" s="1">
        <v>216589</v>
      </c>
      <c r="D489" s="1">
        <v>52420</v>
      </c>
      <c r="E489" s="1">
        <v>0</v>
      </c>
      <c r="F489" s="1">
        <v>420396</v>
      </c>
      <c r="G489" s="1">
        <v>93589</v>
      </c>
      <c r="H489" s="1">
        <v>380337</v>
      </c>
      <c r="I489" s="1">
        <v>765683</v>
      </c>
      <c r="J489" s="1">
        <v>54119.3</v>
      </c>
      <c r="K489" s="1">
        <v>89818.4</v>
      </c>
      <c r="L489" s="1">
        <v>9998.5</v>
      </c>
      <c r="M489" s="1">
        <v>89794.7</v>
      </c>
      <c r="N489" s="1">
        <v>13514.8</v>
      </c>
      <c r="O489" s="1">
        <v>3366</v>
      </c>
      <c r="P489" s="1">
        <v>54491</v>
      </c>
      <c r="Q489" s="1">
        <v>84816</v>
      </c>
      <c r="R489" s="1">
        <v>0</v>
      </c>
    </row>
    <row r="490" spans="1:18">
      <c r="A490" s="2">
        <v>0.16666666666666666</v>
      </c>
      <c r="B490" s="1">
        <v>958213</v>
      </c>
      <c r="C490" s="1">
        <v>216717</v>
      </c>
      <c r="D490" s="1">
        <v>52429.8</v>
      </c>
      <c r="E490" s="1">
        <v>0</v>
      </c>
      <c r="F490" s="1">
        <v>420411</v>
      </c>
      <c r="G490" s="1">
        <v>93632</v>
      </c>
      <c r="H490" s="1">
        <v>380348</v>
      </c>
      <c r="I490" s="1">
        <v>765844</v>
      </c>
      <c r="J490" s="1">
        <v>54126.1</v>
      </c>
      <c r="K490" s="1">
        <v>89821</v>
      </c>
      <c r="L490" s="1">
        <v>10014.1</v>
      </c>
      <c r="M490" s="1">
        <v>89802.6</v>
      </c>
      <c r="N490" s="1">
        <v>13568.1</v>
      </c>
      <c r="O490" s="1">
        <v>3382.6</v>
      </c>
      <c r="P490" s="1">
        <v>54491</v>
      </c>
      <c r="Q490" s="1">
        <v>84816</v>
      </c>
      <c r="R490" s="1">
        <v>0</v>
      </c>
    </row>
    <row r="491" spans="1:18">
      <c r="A491" s="2">
        <v>0.20833333333333334</v>
      </c>
      <c r="B491" s="1">
        <v>958726</v>
      </c>
      <c r="C491" s="1">
        <v>216842</v>
      </c>
      <c r="D491" s="1">
        <v>52438.7</v>
      </c>
      <c r="E491" s="1">
        <v>0</v>
      </c>
      <c r="F491" s="1">
        <v>420427</v>
      </c>
      <c r="G491" s="1">
        <v>93674.3</v>
      </c>
      <c r="H491" s="1">
        <v>380358</v>
      </c>
      <c r="I491" s="1">
        <v>766014</v>
      </c>
      <c r="J491" s="1">
        <v>54132.7</v>
      </c>
      <c r="K491" s="1">
        <v>89823.1</v>
      </c>
      <c r="L491" s="1">
        <v>10029.4</v>
      </c>
      <c r="M491" s="1">
        <v>89810</v>
      </c>
      <c r="N491" s="1">
        <v>13621.3</v>
      </c>
      <c r="O491" s="1">
        <v>3399.9</v>
      </c>
      <c r="P491" s="1">
        <v>54491</v>
      </c>
      <c r="Q491" s="1">
        <v>84816</v>
      </c>
      <c r="R491" s="1">
        <v>0</v>
      </c>
    </row>
    <row r="492" spans="1:18">
      <c r="A492" s="2">
        <v>0.25</v>
      </c>
      <c r="B492" s="1">
        <v>959238</v>
      </c>
      <c r="C492" s="1">
        <v>216968</v>
      </c>
      <c r="D492" s="1">
        <v>52449.8</v>
      </c>
      <c r="E492" s="1">
        <v>0</v>
      </c>
      <c r="F492" s="1">
        <v>420442</v>
      </c>
      <c r="G492" s="1">
        <v>93716.9</v>
      </c>
      <c r="H492" s="1">
        <v>380369</v>
      </c>
      <c r="I492" s="1">
        <v>766182</v>
      </c>
      <c r="J492" s="1">
        <v>54139.3</v>
      </c>
      <c r="K492" s="1">
        <v>89825.2</v>
      </c>
      <c r="L492" s="1">
        <v>10043.4</v>
      </c>
      <c r="M492" s="1">
        <v>89817.5</v>
      </c>
      <c r="N492" s="1">
        <v>13674.2</v>
      </c>
      <c r="O492" s="1">
        <v>3416.2</v>
      </c>
      <c r="P492" s="1">
        <v>54491</v>
      </c>
      <c r="Q492" s="1">
        <v>84816</v>
      </c>
      <c r="R492" s="1">
        <v>0</v>
      </c>
    </row>
    <row r="493" spans="1:18">
      <c r="A493" s="2">
        <v>0.29166666666666669</v>
      </c>
      <c r="B493" s="1">
        <v>959746</v>
      </c>
      <c r="C493" s="1">
        <v>217095</v>
      </c>
      <c r="D493" s="1">
        <v>52459.5</v>
      </c>
      <c r="E493" s="1">
        <v>0</v>
      </c>
      <c r="F493" s="1">
        <v>420458</v>
      </c>
      <c r="G493" s="1">
        <v>93759.1</v>
      </c>
      <c r="H493" s="1">
        <v>380380</v>
      </c>
      <c r="I493" s="1">
        <v>766347</v>
      </c>
      <c r="J493" s="1">
        <v>54146</v>
      </c>
      <c r="K493" s="1">
        <v>89827.199999999997</v>
      </c>
      <c r="L493" s="1">
        <v>10057.5</v>
      </c>
      <c r="M493" s="1">
        <v>89825</v>
      </c>
      <c r="N493" s="1">
        <v>13726.9</v>
      </c>
      <c r="O493" s="1">
        <v>3430.6</v>
      </c>
      <c r="P493" s="1">
        <v>54491</v>
      </c>
      <c r="Q493" s="1">
        <v>84816</v>
      </c>
      <c r="R493" s="1">
        <v>0</v>
      </c>
    </row>
    <row r="494" spans="1:18">
      <c r="A494" s="2">
        <v>0.33333333333333331</v>
      </c>
      <c r="B494" s="1">
        <v>960261</v>
      </c>
      <c r="C494" s="1">
        <v>217223</v>
      </c>
      <c r="D494" s="1">
        <v>52469.1</v>
      </c>
      <c r="E494" s="1">
        <v>0</v>
      </c>
      <c r="F494" s="1">
        <v>420475</v>
      </c>
      <c r="G494" s="1">
        <v>93801.8</v>
      </c>
      <c r="H494" s="1">
        <v>380391</v>
      </c>
      <c r="I494" s="1">
        <v>766514</v>
      </c>
      <c r="J494" s="1">
        <v>54152.9</v>
      </c>
      <c r="K494" s="1">
        <v>89829.2</v>
      </c>
      <c r="L494" s="1">
        <v>10073.200000000001</v>
      </c>
      <c r="M494" s="1">
        <v>89832.3</v>
      </c>
      <c r="N494" s="1">
        <v>13779.9</v>
      </c>
      <c r="O494" s="1">
        <v>3447.4</v>
      </c>
      <c r="P494" s="1">
        <v>54491</v>
      </c>
      <c r="Q494" s="1">
        <v>84816</v>
      </c>
      <c r="R494" s="1">
        <v>0</v>
      </c>
    </row>
    <row r="495" spans="1:18">
      <c r="A495" s="2">
        <v>0.375</v>
      </c>
      <c r="B495" s="1">
        <v>960783</v>
      </c>
      <c r="C495" s="1">
        <v>217353</v>
      </c>
      <c r="D495" s="1">
        <v>52478.5</v>
      </c>
      <c r="E495" s="1">
        <v>0</v>
      </c>
      <c r="F495" s="1">
        <v>420496</v>
      </c>
      <c r="G495" s="1">
        <v>93843.7</v>
      </c>
      <c r="H495" s="1">
        <v>380403</v>
      </c>
      <c r="I495" s="1">
        <v>766682</v>
      </c>
      <c r="J495" s="1">
        <v>54159.9</v>
      </c>
      <c r="K495" s="1">
        <v>89831.3</v>
      </c>
      <c r="L495" s="1">
        <v>10087.700000000001</v>
      </c>
      <c r="M495" s="1">
        <v>89839.4</v>
      </c>
      <c r="N495" s="1">
        <v>13833</v>
      </c>
      <c r="O495" s="1">
        <v>3464.9</v>
      </c>
      <c r="P495" s="1">
        <v>54491</v>
      </c>
      <c r="Q495" s="1">
        <v>84816</v>
      </c>
      <c r="R495" s="1">
        <v>0</v>
      </c>
    </row>
    <row r="496" spans="1:18">
      <c r="A496" s="2">
        <v>0.41666666666666669</v>
      </c>
      <c r="B496" s="1">
        <v>961322</v>
      </c>
      <c r="C496" s="1">
        <v>217484</v>
      </c>
      <c r="D496" s="1">
        <v>52490.2</v>
      </c>
      <c r="E496" s="1">
        <v>0</v>
      </c>
      <c r="F496" s="1">
        <v>420518</v>
      </c>
      <c r="G496" s="1">
        <v>93885.1</v>
      </c>
      <c r="H496" s="1">
        <v>380415</v>
      </c>
      <c r="I496" s="1">
        <v>766863</v>
      </c>
      <c r="J496" s="1">
        <v>54167.199999999997</v>
      </c>
      <c r="K496" s="1">
        <v>89833.2</v>
      </c>
      <c r="L496" s="1">
        <v>10100.700000000001</v>
      </c>
      <c r="M496" s="1">
        <v>89846.7</v>
      </c>
      <c r="N496" s="1">
        <v>13886.5</v>
      </c>
      <c r="O496" s="1">
        <v>3482.1</v>
      </c>
      <c r="P496" s="1">
        <v>54491</v>
      </c>
      <c r="Q496" s="1">
        <v>84816</v>
      </c>
      <c r="R496" s="1">
        <v>0</v>
      </c>
    </row>
    <row r="497" spans="1:18">
      <c r="A497" s="2">
        <v>0.45833333333333331</v>
      </c>
      <c r="B497" s="1">
        <v>961890</v>
      </c>
      <c r="C497" s="1">
        <v>217626</v>
      </c>
      <c r="D497" s="1">
        <v>52501.7</v>
      </c>
      <c r="E497" s="1">
        <v>0</v>
      </c>
      <c r="F497" s="1">
        <v>420542</v>
      </c>
      <c r="G497" s="1">
        <v>93932.5</v>
      </c>
      <c r="H497" s="1">
        <v>380426</v>
      </c>
      <c r="I497" s="1">
        <v>767053</v>
      </c>
      <c r="J497" s="1">
        <v>54174.8</v>
      </c>
      <c r="K497" s="1">
        <v>89835.3</v>
      </c>
      <c r="L497" s="1">
        <v>10113.9</v>
      </c>
      <c r="M497" s="1">
        <v>89854.7</v>
      </c>
      <c r="N497" s="1">
        <v>13940.5</v>
      </c>
      <c r="O497" s="1">
        <v>3500.4</v>
      </c>
      <c r="P497" s="1">
        <v>54491</v>
      </c>
      <c r="Q497" s="1">
        <v>84816</v>
      </c>
      <c r="R497" s="1">
        <v>0</v>
      </c>
    </row>
    <row r="498" spans="1:18">
      <c r="A498" s="2">
        <v>0.5</v>
      </c>
      <c r="B498" s="1">
        <v>962476</v>
      </c>
      <c r="C498" s="1">
        <v>217775</v>
      </c>
      <c r="D498" s="1">
        <v>52512.800000000003</v>
      </c>
      <c r="E498" s="1">
        <v>0</v>
      </c>
      <c r="F498" s="1">
        <v>420563</v>
      </c>
      <c r="G498" s="1">
        <v>93978.7</v>
      </c>
      <c r="H498" s="1">
        <v>380436</v>
      </c>
      <c r="I498" s="1">
        <v>767253</v>
      </c>
      <c r="J498" s="1">
        <v>54182.3</v>
      </c>
      <c r="K498" s="1">
        <v>89840.9</v>
      </c>
      <c r="L498" s="1">
        <v>10126.5</v>
      </c>
      <c r="M498" s="1">
        <v>89863.7</v>
      </c>
      <c r="N498" s="1">
        <v>13994.2</v>
      </c>
      <c r="O498" s="1">
        <v>3518.3</v>
      </c>
      <c r="P498" s="1">
        <v>54491</v>
      </c>
      <c r="Q498" s="1">
        <v>84816</v>
      </c>
      <c r="R498" s="1">
        <v>0</v>
      </c>
    </row>
    <row r="499" spans="1:18">
      <c r="A499" s="2">
        <v>0.54166666666666663</v>
      </c>
      <c r="B499" s="1">
        <v>963042</v>
      </c>
      <c r="C499" s="1">
        <v>217914</v>
      </c>
      <c r="D499" s="1">
        <v>52523.3</v>
      </c>
      <c r="E499" s="1">
        <v>0</v>
      </c>
      <c r="F499" s="1">
        <v>420588</v>
      </c>
      <c r="G499" s="1">
        <v>94022</v>
      </c>
      <c r="H499" s="1">
        <v>380447</v>
      </c>
      <c r="I499" s="1">
        <v>767446</v>
      </c>
      <c r="J499" s="1">
        <v>54189.4</v>
      </c>
      <c r="K499" s="1">
        <v>89846.8</v>
      </c>
      <c r="L499" s="1">
        <v>10142.200000000001</v>
      </c>
      <c r="M499" s="1">
        <v>89870.5</v>
      </c>
      <c r="N499" s="1">
        <v>14047.4</v>
      </c>
      <c r="O499" s="1">
        <v>3535.1</v>
      </c>
      <c r="P499" s="1">
        <v>54491</v>
      </c>
      <c r="Q499" s="1">
        <v>84816</v>
      </c>
      <c r="R499" s="1">
        <v>0</v>
      </c>
    </row>
    <row r="500" spans="1:18">
      <c r="A500" s="2">
        <v>0.58333333333333337</v>
      </c>
      <c r="B500" s="1">
        <v>963605</v>
      </c>
      <c r="C500" s="1">
        <v>218057</v>
      </c>
      <c r="D500" s="1">
        <v>52533.8</v>
      </c>
      <c r="E500" s="1">
        <v>0</v>
      </c>
      <c r="F500" s="1">
        <v>420613</v>
      </c>
      <c r="G500" s="1">
        <v>94064.7</v>
      </c>
      <c r="H500" s="1">
        <v>380458</v>
      </c>
      <c r="I500" s="1">
        <v>767634</v>
      </c>
      <c r="J500" s="1">
        <v>54196</v>
      </c>
      <c r="K500" s="1">
        <v>89852.9</v>
      </c>
      <c r="L500" s="1">
        <v>10157.700000000001</v>
      </c>
      <c r="M500" s="1">
        <v>89877.4</v>
      </c>
      <c r="N500" s="1">
        <v>14100.1</v>
      </c>
      <c r="O500" s="1">
        <v>3552.1</v>
      </c>
      <c r="P500" s="1">
        <v>54491</v>
      </c>
      <c r="Q500" s="1">
        <v>84816</v>
      </c>
      <c r="R500" s="1">
        <v>0</v>
      </c>
    </row>
    <row r="501" spans="1:18">
      <c r="A501" s="2">
        <v>0.625</v>
      </c>
      <c r="B501" s="1">
        <v>964184</v>
      </c>
      <c r="C501" s="1">
        <v>218193</v>
      </c>
      <c r="D501" s="1">
        <v>52544.800000000003</v>
      </c>
      <c r="E501" s="1">
        <v>0</v>
      </c>
      <c r="F501" s="1">
        <v>420635</v>
      </c>
      <c r="G501" s="1">
        <v>94103.6</v>
      </c>
      <c r="H501" s="1">
        <v>380469</v>
      </c>
      <c r="I501" s="1">
        <v>767850</v>
      </c>
      <c r="J501" s="1">
        <v>54202.7</v>
      </c>
      <c r="K501" s="1">
        <v>89858.6</v>
      </c>
      <c r="L501" s="1">
        <v>10171.4</v>
      </c>
      <c r="M501" s="1">
        <v>89884.4</v>
      </c>
      <c r="N501" s="1">
        <v>14152.3</v>
      </c>
      <c r="O501" s="1">
        <v>3569.3</v>
      </c>
      <c r="P501" s="1">
        <v>54491</v>
      </c>
      <c r="Q501" s="1">
        <v>84816</v>
      </c>
      <c r="R501" s="1">
        <v>0</v>
      </c>
    </row>
    <row r="502" spans="1:18">
      <c r="A502" s="2">
        <v>0.66666666666666663</v>
      </c>
      <c r="B502" s="1">
        <v>964797</v>
      </c>
      <c r="C502" s="1">
        <v>218349</v>
      </c>
      <c r="D502" s="1">
        <v>52556.800000000003</v>
      </c>
      <c r="E502" s="1">
        <v>0</v>
      </c>
      <c r="F502" s="1">
        <v>420658</v>
      </c>
      <c r="G502" s="1">
        <v>94140.6</v>
      </c>
      <c r="H502" s="1">
        <v>380480</v>
      </c>
      <c r="I502" s="1">
        <v>768073</v>
      </c>
      <c r="J502" s="1">
        <v>54210.3</v>
      </c>
      <c r="K502" s="1">
        <v>89864.5</v>
      </c>
      <c r="L502" s="1">
        <v>10186.700000000001</v>
      </c>
      <c r="M502" s="1">
        <v>89892.1</v>
      </c>
      <c r="N502" s="1">
        <v>14205.8</v>
      </c>
      <c r="O502" s="1">
        <v>3586.9</v>
      </c>
      <c r="P502" s="1">
        <v>54491</v>
      </c>
      <c r="Q502" s="1">
        <v>84816</v>
      </c>
      <c r="R502" s="1">
        <v>0</v>
      </c>
    </row>
    <row r="503" spans="1:18">
      <c r="A503" s="2">
        <v>0.70833333333333337</v>
      </c>
      <c r="B503" s="1">
        <v>965407</v>
      </c>
      <c r="C503" s="1">
        <v>218506</v>
      </c>
      <c r="D503" s="1">
        <v>52567.9</v>
      </c>
      <c r="E503" s="1">
        <v>0</v>
      </c>
      <c r="F503" s="1">
        <v>420681</v>
      </c>
      <c r="G503" s="1">
        <v>94178.8</v>
      </c>
      <c r="H503" s="1">
        <v>380491</v>
      </c>
      <c r="I503" s="1">
        <v>768292</v>
      </c>
      <c r="J503" s="1">
        <v>54217.599999999999</v>
      </c>
      <c r="K503" s="1">
        <v>89870.8</v>
      </c>
      <c r="L503" s="1">
        <v>10200.4</v>
      </c>
      <c r="M503" s="1">
        <v>89899.8</v>
      </c>
      <c r="N503" s="1">
        <v>14259.2</v>
      </c>
      <c r="O503" s="1">
        <v>3605.1</v>
      </c>
      <c r="P503" s="1">
        <v>54491</v>
      </c>
      <c r="Q503" s="1">
        <v>84816</v>
      </c>
      <c r="R503" s="1">
        <v>0</v>
      </c>
    </row>
    <row r="504" spans="1:18">
      <c r="A504" s="2">
        <v>0.75</v>
      </c>
      <c r="B504" s="1">
        <v>965979</v>
      </c>
      <c r="C504" s="1">
        <v>218648</v>
      </c>
      <c r="D504" s="1">
        <v>52578.400000000001</v>
      </c>
      <c r="E504" s="1">
        <v>0</v>
      </c>
      <c r="F504" s="1">
        <v>420700</v>
      </c>
      <c r="G504" s="1">
        <v>94215.8</v>
      </c>
      <c r="H504" s="1">
        <v>380503</v>
      </c>
      <c r="I504" s="1">
        <v>768501</v>
      </c>
      <c r="J504" s="1">
        <v>54224.5</v>
      </c>
      <c r="K504" s="1">
        <v>89873.7</v>
      </c>
      <c r="L504" s="1">
        <v>10213.200000000001</v>
      </c>
      <c r="M504" s="1">
        <v>89907.199999999997</v>
      </c>
      <c r="N504" s="1">
        <v>14312.1</v>
      </c>
      <c r="O504" s="1">
        <v>3624.2</v>
      </c>
      <c r="P504" s="1">
        <v>54491</v>
      </c>
      <c r="Q504" s="1">
        <v>84816</v>
      </c>
      <c r="R504" s="1">
        <v>0</v>
      </c>
    </row>
    <row r="505" spans="1:18">
      <c r="A505" s="2">
        <v>0.79166666666666663</v>
      </c>
      <c r="B505" s="1">
        <v>966523</v>
      </c>
      <c r="C505" s="1">
        <v>218771</v>
      </c>
      <c r="D505" s="1">
        <v>52587.6</v>
      </c>
      <c r="E505" s="1">
        <v>0</v>
      </c>
      <c r="F505" s="1">
        <v>420719</v>
      </c>
      <c r="G505" s="1">
        <v>94254.1</v>
      </c>
      <c r="H505" s="1">
        <v>380514</v>
      </c>
      <c r="I505" s="1">
        <v>768701</v>
      </c>
      <c r="J505" s="1">
        <v>54231.199999999997</v>
      </c>
      <c r="K505" s="1">
        <v>89875.9</v>
      </c>
      <c r="L505" s="1">
        <v>10227</v>
      </c>
      <c r="M505" s="1">
        <v>89914.7</v>
      </c>
      <c r="N505" s="1">
        <v>14364.9</v>
      </c>
      <c r="O505" s="1">
        <v>3642</v>
      </c>
      <c r="P505" s="1">
        <v>54491</v>
      </c>
      <c r="Q505" s="1">
        <v>84816</v>
      </c>
      <c r="R505" s="1">
        <v>0</v>
      </c>
    </row>
    <row r="506" spans="1:18">
      <c r="A506" s="2">
        <v>0.83333333333333337</v>
      </c>
      <c r="B506" s="1">
        <v>967054</v>
      </c>
      <c r="C506" s="1">
        <v>218884</v>
      </c>
      <c r="D506" s="1">
        <v>52596.800000000003</v>
      </c>
      <c r="E506" s="1">
        <v>0</v>
      </c>
      <c r="F506" s="1">
        <v>420738</v>
      </c>
      <c r="G506" s="1">
        <v>94295.7</v>
      </c>
      <c r="H506" s="1">
        <v>380526</v>
      </c>
      <c r="I506" s="1">
        <v>768897</v>
      </c>
      <c r="J506" s="1">
        <v>54238.3</v>
      </c>
      <c r="K506" s="1">
        <v>89878.1</v>
      </c>
      <c r="L506" s="1">
        <v>10244.5</v>
      </c>
      <c r="M506" s="1">
        <v>89922.5</v>
      </c>
      <c r="N506" s="1">
        <v>14417.1</v>
      </c>
      <c r="O506" s="1">
        <v>3659.8</v>
      </c>
      <c r="P506" s="1">
        <v>54491</v>
      </c>
      <c r="Q506" s="1">
        <v>84816</v>
      </c>
      <c r="R506" s="1">
        <v>0</v>
      </c>
    </row>
    <row r="507" spans="1:18">
      <c r="A507" s="2">
        <v>0.875</v>
      </c>
      <c r="B507" s="1">
        <v>967567</v>
      </c>
      <c r="C507" s="1">
        <v>218990</v>
      </c>
      <c r="D507" s="1">
        <v>52605.1</v>
      </c>
      <c r="E507" s="1">
        <v>0</v>
      </c>
      <c r="F507" s="1">
        <v>420755</v>
      </c>
      <c r="G507" s="1">
        <v>94334.8</v>
      </c>
      <c r="H507" s="1">
        <v>380537</v>
      </c>
      <c r="I507" s="1">
        <v>769090</v>
      </c>
      <c r="J507" s="1">
        <v>54245</v>
      </c>
      <c r="K507" s="1">
        <v>89880.3</v>
      </c>
      <c r="L507" s="1">
        <v>10260.9</v>
      </c>
      <c r="M507" s="1">
        <v>89929.9</v>
      </c>
      <c r="N507" s="1">
        <v>14467.7</v>
      </c>
      <c r="O507" s="1">
        <v>3679.4</v>
      </c>
      <c r="P507" s="1">
        <v>54491</v>
      </c>
      <c r="Q507" s="1">
        <v>84816</v>
      </c>
      <c r="R507" s="1">
        <v>0</v>
      </c>
    </row>
    <row r="508" spans="1:18">
      <c r="A508" s="2">
        <v>0.91666666666666663</v>
      </c>
      <c r="B508" s="1">
        <v>968072</v>
      </c>
      <c r="C508" s="1">
        <v>219095</v>
      </c>
      <c r="D508" s="1">
        <v>52614.6</v>
      </c>
      <c r="E508" s="1">
        <v>0</v>
      </c>
      <c r="F508" s="1">
        <v>420769</v>
      </c>
      <c r="G508" s="1">
        <v>94372.4</v>
      </c>
      <c r="H508" s="1">
        <v>380548</v>
      </c>
      <c r="I508" s="1">
        <v>769280</v>
      </c>
      <c r="J508" s="1">
        <v>54251.7</v>
      </c>
      <c r="K508" s="1">
        <v>89882.4</v>
      </c>
      <c r="L508" s="1">
        <v>10277.799999999999</v>
      </c>
      <c r="M508" s="1">
        <v>89937.600000000006</v>
      </c>
      <c r="N508" s="1">
        <v>14518.3</v>
      </c>
      <c r="O508" s="1">
        <v>3697.8</v>
      </c>
      <c r="P508" s="1">
        <v>54491</v>
      </c>
      <c r="Q508" s="1">
        <v>84816</v>
      </c>
      <c r="R508" s="1">
        <v>0</v>
      </c>
    </row>
    <row r="509" spans="1:18">
      <c r="A509" s="2">
        <v>0.95833333333333337</v>
      </c>
      <c r="B509" s="1">
        <v>968565</v>
      </c>
      <c r="C509" s="1">
        <v>219197</v>
      </c>
      <c r="D509" s="1">
        <v>52624</v>
      </c>
      <c r="E509" s="1">
        <v>0</v>
      </c>
      <c r="F509" s="1">
        <v>420783</v>
      </c>
      <c r="G509" s="1">
        <v>94409.5</v>
      </c>
      <c r="H509" s="1">
        <v>380559</v>
      </c>
      <c r="I509" s="1">
        <v>769466</v>
      </c>
      <c r="J509" s="1">
        <v>54258.400000000001</v>
      </c>
      <c r="K509" s="1">
        <v>89884.7</v>
      </c>
      <c r="L509" s="1">
        <v>10292.6</v>
      </c>
      <c r="M509" s="1">
        <v>89945.600000000006</v>
      </c>
      <c r="N509" s="1">
        <v>14568.7</v>
      </c>
      <c r="O509" s="1">
        <v>3714.8</v>
      </c>
      <c r="P509" s="1">
        <v>54491</v>
      </c>
      <c r="Q509" s="1">
        <v>84816</v>
      </c>
      <c r="R509" s="1">
        <v>0</v>
      </c>
    </row>
    <row r="510" spans="1:18">
      <c r="A510" s="2">
        <v>0</v>
      </c>
      <c r="B510" s="1">
        <v>969045</v>
      </c>
      <c r="C510" s="1">
        <v>219296</v>
      </c>
      <c r="D510" s="1">
        <v>52632.5</v>
      </c>
      <c r="E510" s="1">
        <v>0</v>
      </c>
      <c r="F510" s="1">
        <v>420795</v>
      </c>
      <c r="G510" s="1">
        <v>94446.3</v>
      </c>
      <c r="H510" s="1">
        <v>380570</v>
      </c>
      <c r="I510" s="1">
        <v>769646</v>
      </c>
      <c r="J510" s="1">
        <v>54263.7</v>
      </c>
      <c r="K510" s="1">
        <v>89886.8</v>
      </c>
      <c r="L510" s="1">
        <v>10305.799999999999</v>
      </c>
      <c r="M510" s="1">
        <v>89953.3</v>
      </c>
      <c r="N510" s="1">
        <v>14619.1</v>
      </c>
      <c r="O510" s="1">
        <v>3731.6</v>
      </c>
      <c r="P510" s="1">
        <v>54491</v>
      </c>
      <c r="Q510" s="1">
        <v>84816</v>
      </c>
      <c r="R510" s="1">
        <v>0</v>
      </c>
    </row>
    <row r="511" spans="1:18">
      <c r="A511" s="2">
        <v>4.1666666666666664E-2</v>
      </c>
      <c r="B511" s="1">
        <v>969503</v>
      </c>
      <c r="C511" s="1">
        <v>219393</v>
      </c>
      <c r="D511" s="1">
        <v>52640.4</v>
      </c>
      <c r="E511" s="1">
        <v>0</v>
      </c>
      <c r="F511" s="1">
        <v>420808</v>
      </c>
      <c r="G511" s="1">
        <v>94482.4</v>
      </c>
      <c r="H511" s="1">
        <v>380581</v>
      </c>
      <c r="I511" s="1">
        <v>769817</v>
      </c>
      <c r="J511" s="1">
        <v>54266.8</v>
      </c>
      <c r="K511" s="1">
        <v>89889</v>
      </c>
      <c r="L511" s="1">
        <v>10318.6</v>
      </c>
      <c r="M511" s="1">
        <v>89960.7</v>
      </c>
      <c r="N511" s="1">
        <v>14668.8</v>
      </c>
      <c r="O511" s="1">
        <v>3747.2</v>
      </c>
      <c r="P511" s="1">
        <v>54491</v>
      </c>
      <c r="Q511" s="1">
        <v>84816</v>
      </c>
      <c r="R511" s="1">
        <v>0</v>
      </c>
    </row>
    <row r="512" spans="1:18">
      <c r="A512" s="2">
        <v>8.3333333333333329E-2</v>
      </c>
      <c r="B512" s="1">
        <v>969953</v>
      </c>
      <c r="C512" s="1">
        <v>219487</v>
      </c>
      <c r="D512" s="1">
        <v>52649.8</v>
      </c>
      <c r="E512" s="1">
        <v>0</v>
      </c>
      <c r="F512" s="1">
        <v>420820</v>
      </c>
      <c r="G512" s="1">
        <v>94519.5</v>
      </c>
      <c r="H512" s="1">
        <v>380592</v>
      </c>
      <c r="I512" s="1">
        <v>769977</v>
      </c>
      <c r="J512" s="1">
        <v>54270.1</v>
      </c>
      <c r="K512" s="1">
        <v>89891.199999999997</v>
      </c>
      <c r="L512" s="1">
        <v>10331.799999999999</v>
      </c>
      <c r="M512" s="1">
        <v>89968.5</v>
      </c>
      <c r="N512" s="1">
        <v>14718.2</v>
      </c>
      <c r="O512" s="1">
        <v>3763.7</v>
      </c>
      <c r="P512" s="1">
        <v>54491</v>
      </c>
      <c r="Q512" s="1">
        <v>84816</v>
      </c>
      <c r="R512" s="1">
        <v>0</v>
      </c>
    </row>
    <row r="513" spans="1:18">
      <c r="A513" s="2">
        <v>0.125</v>
      </c>
      <c r="B513" s="1">
        <v>970399</v>
      </c>
      <c r="C513" s="1">
        <v>219581</v>
      </c>
      <c r="D513" s="1">
        <v>52659.4</v>
      </c>
      <c r="E513" s="1">
        <v>0</v>
      </c>
      <c r="F513" s="1">
        <v>420833</v>
      </c>
      <c r="G513" s="1">
        <v>94556.5</v>
      </c>
      <c r="H513" s="1">
        <v>380603</v>
      </c>
      <c r="I513" s="1">
        <v>770136</v>
      </c>
      <c r="J513" s="1">
        <v>54273.4</v>
      </c>
      <c r="K513" s="1">
        <v>89893.5</v>
      </c>
      <c r="L513" s="1">
        <v>10345.700000000001</v>
      </c>
      <c r="M513" s="1">
        <v>89976.2</v>
      </c>
      <c r="N513" s="1">
        <v>14767.6</v>
      </c>
      <c r="O513" s="1">
        <v>3780</v>
      </c>
      <c r="P513" s="1">
        <v>54491</v>
      </c>
      <c r="Q513" s="1">
        <v>84816</v>
      </c>
      <c r="R513" s="1">
        <v>0</v>
      </c>
    </row>
    <row r="514" spans="1:18">
      <c r="A514" s="2">
        <v>0.16666666666666666</v>
      </c>
      <c r="B514" s="1">
        <v>970842</v>
      </c>
      <c r="C514" s="1">
        <v>219677</v>
      </c>
      <c r="D514" s="1">
        <v>52668.2</v>
      </c>
      <c r="E514" s="1">
        <v>0</v>
      </c>
      <c r="F514" s="1">
        <v>420846</v>
      </c>
      <c r="G514" s="1">
        <v>94592</v>
      </c>
      <c r="H514" s="1">
        <v>380613</v>
      </c>
      <c r="I514" s="1">
        <v>770293</v>
      </c>
      <c r="J514" s="1">
        <v>54276.6</v>
      </c>
      <c r="K514" s="1">
        <v>89895.6</v>
      </c>
      <c r="L514" s="1">
        <v>10360.1</v>
      </c>
      <c r="M514" s="1">
        <v>89983.9</v>
      </c>
      <c r="N514" s="1">
        <v>14817.4</v>
      </c>
      <c r="O514" s="1">
        <v>3796.5</v>
      </c>
      <c r="P514" s="1">
        <v>54491</v>
      </c>
      <c r="Q514" s="1">
        <v>84816</v>
      </c>
      <c r="R514" s="1">
        <v>0</v>
      </c>
    </row>
    <row r="515" spans="1:18">
      <c r="A515" s="2">
        <v>0.20833333333333334</v>
      </c>
      <c r="B515" s="1">
        <v>971271</v>
      </c>
      <c r="C515" s="1">
        <v>219770</v>
      </c>
      <c r="D515" s="1">
        <v>52676.7</v>
      </c>
      <c r="E515" s="1">
        <v>0</v>
      </c>
      <c r="F515" s="1">
        <v>420857</v>
      </c>
      <c r="G515" s="1">
        <v>94627.5</v>
      </c>
      <c r="H515" s="1">
        <v>380624</v>
      </c>
      <c r="I515" s="1">
        <v>770443</v>
      </c>
      <c r="J515" s="1">
        <v>54279.8</v>
      </c>
      <c r="K515" s="1">
        <v>89897.9</v>
      </c>
      <c r="L515" s="1">
        <v>10372.9</v>
      </c>
      <c r="M515" s="1">
        <v>89991.3</v>
      </c>
      <c r="N515" s="1">
        <v>14866.7</v>
      </c>
      <c r="O515" s="1">
        <v>3813.3</v>
      </c>
      <c r="P515" s="1">
        <v>54491</v>
      </c>
      <c r="Q515" s="1">
        <v>84816</v>
      </c>
      <c r="R515" s="1">
        <v>0</v>
      </c>
    </row>
    <row r="516" spans="1:18">
      <c r="A516" s="2">
        <v>0.25</v>
      </c>
      <c r="B516" s="1">
        <v>971704</v>
      </c>
      <c r="C516" s="1">
        <v>219863</v>
      </c>
      <c r="D516" s="1">
        <v>52685.599999999999</v>
      </c>
      <c r="E516" s="1">
        <v>0</v>
      </c>
      <c r="F516" s="1">
        <v>420870</v>
      </c>
      <c r="G516" s="1">
        <v>94663</v>
      </c>
      <c r="H516" s="1">
        <v>380634</v>
      </c>
      <c r="I516" s="1">
        <v>770594</v>
      </c>
      <c r="J516" s="1">
        <v>54282.8</v>
      </c>
      <c r="K516" s="1">
        <v>89900.1</v>
      </c>
      <c r="L516" s="1">
        <v>10385.700000000001</v>
      </c>
      <c r="M516" s="1">
        <v>89999.3</v>
      </c>
      <c r="N516" s="1">
        <v>14916.1</v>
      </c>
      <c r="O516" s="1">
        <v>3830.1</v>
      </c>
      <c r="P516" s="1">
        <v>54491</v>
      </c>
      <c r="Q516" s="1">
        <v>84816</v>
      </c>
      <c r="R516" s="1">
        <v>0</v>
      </c>
    </row>
    <row r="517" spans="1:18">
      <c r="A517" s="2">
        <v>0.29166666666666669</v>
      </c>
      <c r="B517" s="1">
        <v>972141</v>
      </c>
      <c r="C517" s="1">
        <v>219955</v>
      </c>
      <c r="D517" s="1">
        <v>52694.400000000001</v>
      </c>
      <c r="E517" s="1">
        <v>0</v>
      </c>
      <c r="F517" s="1">
        <v>420883</v>
      </c>
      <c r="G517" s="1">
        <v>94697.4</v>
      </c>
      <c r="H517" s="1">
        <v>380645</v>
      </c>
      <c r="I517" s="1">
        <v>770751</v>
      </c>
      <c r="J517" s="1">
        <v>54285.9</v>
      </c>
      <c r="K517" s="1">
        <v>89902.399999999994</v>
      </c>
      <c r="L517" s="1">
        <v>10398.9</v>
      </c>
      <c r="M517" s="1">
        <v>90007.5</v>
      </c>
      <c r="N517" s="1">
        <v>14965.8</v>
      </c>
      <c r="O517" s="1">
        <v>3844.9</v>
      </c>
      <c r="P517" s="1">
        <v>54491</v>
      </c>
      <c r="Q517" s="1">
        <v>84816</v>
      </c>
      <c r="R517" s="1">
        <v>0</v>
      </c>
    </row>
    <row r="518" spans="1:18">
      <c r="A518" s="2">
        <v>0.33333333333333331</v>
      </c>
      <c r="B518" s="1">
        <v>972573</v>
      </c>
      <c r="C518" s="1">
        <v>220049</v>
      </c>
      <c r="D518" s="1">
        <v>52703.8</v>
      </c>
      <c r="E518" s="1">
        <v>0</v>
      </c>
      <c r="F518" s="1">
        <v>420896</v>
      </c>
      <c r="G518" s="1">
        <v>94732</v>
      </c>
      <c r="H518" s="1">
        <v>380655</v>
      </c>
      <c r="I518" s="1">
        <v>770902</v>
      </c>
      <c r="J518" s="1">
        <v>54289.2</v>
      </c>
      <c r="K518" s="1">
        <v>89904.5</v>
      </c>
      <c r="L518" s="1">
        <v>10411.9</v>
      </c>
      <c r="M518" s="1">
        <v>90015.2</v>
      </c>
      <c r="N518" s="1">
        <v>15015.4</v>
      </c>
      <c r="O518" s="1">
        <v>3861.1</v>
      </c>
      <c r="P518" s="1">
        <v>54491</v>
      </c>
      <c r="Q518" s="1">
        <v>84816</v>
      </c>
      <c r="R518" s="1">
        <v>0</v>
      </c>
    </row>
    <row r="519" spans="1:18">
      <c r="A519" s="2">
        <v>0.375</v>
      </c>
      <c r="B519" s="1">
        <v>973001</v>
      </c>
      <c r="C519" s="1">
        <v>220138</v>
      </c>
      <c r="D519" s="1">
        <v>52712.5</v>
      </c>
      <c r="E519" s="1">
        <v>0</v>
      </c>
      <c r="F519" s="1">
        <v>420906</v>
      </c>
      <c r="G519" s="1">
        <v>94763</v>
      </c>
      <c r="H519" s="1">
        <v>380666</v>
      </c>
      <c r="I519" s="1">
        <v>771064</v>
      </c>
      <c r="J519" s="1">
        <v>54292.6</v>
      </c>
      <c r="K519" s="1">
        <v>89906.5</v>
      </c>
      <c r="L519" s="1">
        <v>10425.1</v>
      </c>
      <c r="M519" s="1">
        <v>90022.8</v>
      </c>
      <c r="N519" s="1">
        <v>15066.7</v>
      </c>
      <c r="O519" s="1">
        <v>3870.9</v>
      </c>
      <c r="P519" s="1">
        <v>54491</v>
      </c>
      <c r="Q519" s="1">
        <v>84816</v>
      </c>
      <c r="R519" s="1">
        <v>0</v>
      </c>
    </row>
    <row r="520" spans="1:18">
      <c r="A520" s="2">
        <v>0.41666666666666669</v>
      </c>
      <c r="B520" s="1">
        <v>793527</v>
      </c>
      <c r="C520" s="1">
        <v>916260</v>
      </c>
      <c r="D520" s="1">
        <v>24873.7</v>
      </c>
      <c r="E520" s="1">
        <v>0</v>
      </c>
      <c r="F520" s="1">
        <v>383639</v>
      </c>
      <c r="G520" s="1">
        <v>7817.3</v>
      </c>
      <c r="H520" s="1">
        <v>352596</v>
      </c>
      <c r="I520" s="1">
        <v>384674</v>
      </c>
      <c r="J520" s="1">
        <v>41416.199999999997</v>
      </c>
      <c r="K520" s="1">
        <v>85817.600000000006</v>
      </c>
      <c r="L520" s="1">
        <v>71113.100000000006</v>
      </c>
      <c r="M520" s="1">
        <v>31641</v>
      </c>
      <c r="N520" s="1">
        <v>44726</v>
      </c>
      <c r="O520" s="1">
        <v>63771.9</v>
      </c>
      <c r="P520" s="1">
        <v>49644</v>
      </c>
      <c r="Q520" s="1">
        <v>77294</v>
      </c>
      <c r="R520" s="1">
        <v>0</v>
      </c>
    </row>
    <row r="521" spans="1:18">
      <c r="A521" s="2">
        <v>0.45833333333333331</v>
      </c>
      <c r="B521" s="1">
        <v>794238</v>
      </c>
      <c r="C521" s="1">
        <v>916449</v>
      </c>
      <c r="D521" s="1">
        <v>24891.200000000001</v>
      </c>
      <c r="E521" s="1">
        <v>0</v>
      </c>
      <c r="F521" s="1">
        <v>383659</v>
      </c>
      <c r="G521" s="1">
        <v>7842.8</v>
      </c>
      <c r="H521" s="1">
        <v>352613</v>
      </c>
      <c r="I521" s="1">
        <v>384924</v>
      </c>
      <c r="J521" s="1">
        <v>41426.6</v>
      </c>
      <c r="K521" s="1">
        <v>85817.600000000006</v>
      </c>
      <c r="L521" s="1">
        <v>71136</v>
      </c>
      <c r="M521" s="1">
        <v>31685.4</v>
      </c>
      <c r="N521" s="1">
        <v>44771</v>
      </c>
      <c r="O521" s="1">
        <v>63791.7</v>
      </c>
      <c r="P521" s="1">
        <v>49658</v>
      </c>
      <c r="Q521" s="1">
        <v>77315</v>
      </c>
      <c r="R521" s="1">
        <v>0</v>
      </c>
    </row>
    <row r="522" spans="1:18">
      <c r="A522" s="2">
        <v>0.5</v>
      </c>
      <c r="B522" s="1">
        <v>794970</v>
      </c>
      <c r="C522" s="1">
        <v>916647</v>
      </c>
      <c r="D522" s="1">
        <v>24905.3</v>
      </c>
      <c r="E522" s="1">
        <v>0</v>
      </c>
      <c r="F522" s="1">
        <v>383679</v>
      </c>
      <c r="G522" s="1">
        <v>7868.1</v>
      </c>
      <c r="H522" s="1">
        <v>352630</v>
      </c>
      <c r="I522" s="1">
        <v>385178</v>
      </c>
      <c r="J522" s="1">
        <v>41436.800000000003</v>
      </c>
      <c r="K522" s="1">
        <v>85817.600000000006</v>
      </c>
      <c r="L522" s="1">
        <v>71162.100000000006</v>
      </c>
      <c r="M522" s="1">
        <v>31732.2</v>
      </c>
      <c r="N522" s="1">
        <v>44816.9</v>
      </c>
      <c r="O522" s="1">
        <v>63811</v>
      </c>
      <c r="P522" s="1">
        <v>49673</v>
      </c>
      <c r="Q522" s="1">
        <v>77338</v>
      </c>
      <c r="R522" s="1">
        <v>0</v>
      </c>
    </row>
    <row r="523" spans="1:18">
      <c r="A523" s="2">
        <v>0.54166666666666663</v>
      </c>
      <c r="B523" s="1">
        <v>795715</v>
      </c>
      <c r="C523" s="1">
        <v>916857</v>
      </c>
      <c r="D523" s="1">
        <v>24920.1</v>
      </c>
      <c r="E523" s="1">
        <v>0</v>
      </c>
      <c r="F523" s="1">
        <v>383702</v>
      </c>
      <c r="G523" s="1">
        <v>7896.6</v>
      </c>
      <c r="H523" s="1">
        <v>352648</v>
      </c>
      <c r="I523" s="1">
        <v>385438</v>
      </c>
      <c r="J523" s="1">
        <v>41447.300000000003</v>
      </c>
      <c r="K523" s="1">
        <v>85817.7</v>
      </c>
      <c r="L523" s="1">
        <v>71188.5</v>
      </c>
      <c r="M523" s="1">
        <v>31776.400000000001</v>
      </c>
      <c r="N523" s="1">
        <v>44854.9</v>
      </c>
      <c r="O523" s="1">
        <v>63829.7</v>
      </c>
      <c r="P523" s="1">
        <v>49690</v>
      </c>
      <c r="Q523" s="1">
        <v>77363</v>
      </c>
      <c r="R523" s="1">
        <v>0</v>
      </c>
    </row>
    <row r="524" spans="1:18">
      <c r="A524" s="2">
        <v>0.58333333333333337</v>
      </c>
      <c r="B524" s="1">
        <v>796523</v>
      </c>
      <c r="C524" s="1">
        <v>917093</v>
      </c>
      <c r="D524" s="1">
        <v>24942.9</v>
      </c>
      <c r="E524" s="1">
        <v>0</v>
      </c>
      <c r="F524" s="1">
        <v>383726</v>
      </c>
      <c r="G524" s="1">
        <v>7927.6</v>
      </c>
      <c r="H524" s="1">
        <v>352666</v>
      </c>
      <c r="I524" s="1">
        <v>385718</v>
      </c>
      <c r="J524" s="1">
        <v>41458</v>
      </c>
      <c r="K524" s="1">
        <v>85817.7</v>
      </c>
      <c r="L524" s="1">
        <v>71212.800000000003</v>
      </c>
      <c r="M524" s="1">
        <v>31823.200000000001</v>
      </c>
      <c r="N524" s="1">
        <v>44893.2</v>
      </c>
      <c r="O524" s="1">
        <v>63849</v>
      </c>
      <c r="P524" s="1">
        <v>49706</v>
      </c>
      <c r="Q524" s="1">
        <v>77388</v>
      </c>
      <c r="R524" s="1">
        <v>0</v>
      </c>
    </row>
    <row r="525" spans="1:18">
      <c r="A525" s="2">
        <v>0.625</v>
      </c>
      <c r="B525" s="1">
        <v>797360</v>
      </c>
      <c r="C525" s="1">
        <v>917324</v>
      </c>
      <c r="D525" s="1">
        <v>24967</v>
      </c>
      <c r="E525" s="1">
        <v>0</v>
      </c>
      <c r="F525" s="1">
        <v>383751</v>
      </c>
      <c r="G525" s="1">
        <v>7962.5</v>
      </c>
      <c r="H525" s="1">
        <v>352684</v>
      </c>
      <c r="I525" s="1">
        <v>386010</v>
      </c>
      <c r="J525" s="1">
        <v>41468.699999999997</v>
      </c>
      <c r="K525" s="1">
        <v>85818.2</v>
      </c>
      <c r="L525" s="1">
        <v>71244.3</v>
      </c>
      <c r="M525" s="1">
        <v>31872.400000000001</v>
      </c>
      <c r="N525" s="1">
        <v>44932.9</v>
      </c>
      <c r="O525" s="1">
        <v>63869.1</v>
      </c>
      <c r="P525" s="1">
        <v>49722</v>
      </c>
      <c r="Q525" s="1">
        <v>77412</v>
      </c>
      <c r="R525" s="1">
        <v>0</v>
      </c>
    </row>
    <row r="526" spans="1:18">
      <c r="A526" s="2">
        <v>0.66666666666666663</v>
      </c>
      <c r="B526" s="1">
        <v>798225</v>
      </c>
      <c r="C526" s="1">
        <v>917551</v>
      </c>
      <c r="D526" s="1">
        <v>24994</v>
      </c>
      <c r="E526" s="1">
        <v>0</v>
      </c>
      <c r="F526" s="1">
        <v>383775</v>
      </c>
      <c r="G526" s="1">
        <v>8004.9</v>
      </c>
      <c r="H526" s="1">
        <v>352702</v>
      </c>
      <c r="I526" s="1">
        <v>386321</v>
      </c>
      <c r="J526" s="1">
        <v>41479.9</v>
      </c>
      <c r="K526" s="1">
        <v>85822.7</v>
      </c>
      <c r="L526" s="1">
        <v>71274.7</v>
      </c>
      <c r="M526" s="1">
        <v>31919.9</v>
      </c>
      <c r="N526" s="1">
        <v>44974.400000000001</v>
      </c>
      <c r="O526" s="1">
        <v>63889.599999999999</v>
      </c>
      <c r="P526" s="1">
        <v>49735</v>
      </c>
      <c r="Q526" s="1">
        <v>77433</v>
      </c>
      <c r="R526" s="1">
        <v>0</v>
      </c>
    </row>
    <row r="527" spans="1:18">
      <c r="A527" s="2">
        <v>0.70833333333333337</v>
      </c>
      <c r="B527" s="1">
        <v>799121</v>
      </c>
      <c r="C527" s="1">
        <v>917783</v>
      </c>
      <c r="D527" s="1">
        <v>25018.5</v>
      </c>
      <c r="E527" s="1">
        <v>0</v>
      </c>
      <c r="F527" s="1">
        <v>383796</v>
      </c>
      <c r="G527" s="1">
        <v>8053.4</v>
      </c>
      <c r="H527" s="1">
        <v>352720</v>
      </c>
      <c r="I527" s="1">
        <v>386641</v>
      </c>
      <c r="J527" s="1">
        <v>41491.199999999997</v>
      </c>
      <c r="K527" s="1">
        <v>85833.8</v>
      </c>
      <c r="L527" s="1">
        <v>71306.600000000006</v>
      </c>
      <c r="M527" s="1">
        <v>31969.4</v>
      </c>
      <c r="N527" s="1">
        <v>45020.4</v>
      </c>
      <c r="O527" s="1">
        <v>63910</v>
      </c>
      <c r="P527" s="1">
        <v>49746</v>
      </c>
      <c r="Q527" s="1">
        <v>77448</v>
      </c>
      <c r="R527" s="1">
        <v>0</v>
      </c>
    </row>
    <row r="528" spans="1:18">
      <c r="A528" s="2">
        <v>0.75</v>
      </c>
      <c r="B528" s="1">
        <v>800008</v>
      </c>
      <c r="C528" s="1">
        <v>918011</v>
      </c>
      <c r="D528" s="1">
        <v>25044.3</v>
      </c>
      <c r="E528" s="1">
        <v>0</v>
      </c>
      <c r="F528" s="1">
        <v>383816</v>
      </c>
      <c r="G528" s="1">
        <v>8111.2</v>
      </c>
      <c r="H528" s="1">
        <v>352738</v>
      </c>
      <c r="I528" s="1">
        <v>386942</v>
      </c>
      <c r="J528" s="1">
        <v>41502.1</v>
      </c>
      <c r="K528" s="1">
        <v>85853.1</v>
      </c>
      <c r="L528" s="1">
        <v>71334.2</v>
      </c>
      <c r="M528" s="1">
        <v>32018.2</v>
      </c>
      <c r="N528" s="1">
        <v>45071.5</v>
      </c>
      <c r="O528" s="1">
        <v>63929.3</v>
      </c>
      <c r="P528" s="1">
        <v>49752</v>
      </c>
      <c r="Q528" s="1">
        <v>77457</v>
      </c>
      <c r="R528" s="1">
        <v>0</v>
      </c>
    </row>
    <row r="529" spans="1:18">
      <c r="A529" s="2">
        <v>0.79166666666666663</v>
      </c>
      <c r="B529" s="1">
        <v>800866</v>
      </c>
      <c r="C529" s="1">
        <v>918239</v>
      </c>
      <c r="D529" s="1">
        <v>25066.400000000001</v>
      </c>
      <c r="E529" s="1">
        <v>0</v>
      </c>
      <c r="F529" s="1">
        <v>383834</v>
      </c>
      <c r="G529" s="1">
        <v>8174.8</v>
      </c>
      <c r="H529" s="1">
        <v>352756</v>
      </c>
      <c r="I529" s="1">
        <v>387218</v>
      </c>
      <c r="J529" s="1">
        <v>41511.599999999999</v>
      </c>
      <c r="K529" s="1">
        <v>85873.9</v>
      </c>
      <c r="L529" s="1">
        <v>71359.100000000006</v>
      </c>
      <c r="M529" s="1">
        <v>32065.9</v>
      </c>
      <c r="N529" s="1">
        <v>45125.9</v>
      </c>
      <c r="O529" s="1">
        <v>63947.1</v>
      </c>
      <c r="P529" s="1">
        <v>49753</v>
      </c>
      <c r="Q529" s="1">
        <v>77460</v>
      </c>
      <c r="R529" s="1">
        <v>0</v>
      </c>
    </row>
    <row r="530" spans="1:18">
      <c r="A530" s="2">
        <v>0.83333333333333337</v>
      </c>
      <c r="B530" s="1">
        <v>801693</v>
      </c>
      <c r="C530" s="1">
        <v>918458</v>
      </c>
      <c r="D530" s="1">
        <v>25086.2</v>
      </c>
      <c r="E530" s="1">
        <v>0</v>
      </c>
      <c r="F530" s="1">
        <v>383852</v>
      </c>
      <c r="G530" s="1">
        <v>8242</v>
      </c>
      <c r="H530" s="1">
        <v>352775</v>
      </c>
      <c r="I530" s="1">
        <v>387488</v>
      </c>
      <c r="J530" s="1">
        <v>41520.6</v>
      </c>
      <c r="K530" s="1">
        <v>85878.1</v>
      </c>
      <c r="L530" s="1">
        <v>71382.3</v>
      </c>
      <c r="M530" s="1">
        <v>32112.5</v>
      </c>
      <c r="N530" s="1">
        <v>45181.2</v>
      </c>
      <c r="O530" s="1">
        <v>63968</v>
      </c>
      <c r="P530" s="1">
        <v>49753</v>
      </c>
      <c r="Q530" s="1">
        <v>77460</v>
      </c>
      <c r="R530" s="1">
        <v>0</v>
      </c>
    </row>
    <row r="531" spans="1:18">
      <c r="A531" s="2">
        <v>0.875</v>
      </c>
      <c r="B531" s="1">
        <v>802489</v>
      </c>
      <c r="C531" s="1">
        <v>918660</v>
      </c>
      <c r="D531" s="1">
        <v>25103.3</v>
      </c>
      <c r="E531" s="1">
        <v>0</v>
      </c>
      <c r="F531" s="1">
        <v>383871</v>
      </c>
      <c r="G531" s="1">
        <v>8302.2999999999993</v>
      </c>
      <c r="H531" s="1">
        <v>352796</v>
      </c>
      <c r="I531" s="1">
        <v>387752</v>
      </c>
      <c r="J531" s="1">
        <v>41529.699999999997</v>
      </c>
      <c r="K531" s="1">
        <v>85881.4</v>
      </c>
      <c r="L531" s="1">
        <v>71408.899999999994</v>
      </c>
      <c r="M531" s="1">
        <v>32156.3</v>
      </c>
      <c r="N531" s="1">
        <v>45236.4</v>
      </c>
      <c r="O531" s="1">
        <v>63988.5</v>
      </c>
      <c r="P531" s="1">
        <v>49753</v>
      </c>
      <c r="Q531" s="1">
        <v>77460</v>
      </c>
      <c r="R531" s="1">
        <v>0</v>
      </c>
    </row>
    <row r="532" spans="1:18">
      <c r="A532" s="2">
        <v>0.91666666666666663</v>
      </c>
      <c r="B532" s="1">
        <v>803264</v>
      </c>
      <c r="C532" s="1">
        <v>918851</v>
      </c>
      <c r="D532" s="1">
        <v>25120</v>
      </c>
      <c r="E532" s="1">
        <v>0</v>
      </c>
      <c r="F532" s="1">
        <v>383889</v>
      </c>
      <c r="G532" s="1">
        <v>8365.7999999999993</v>
      </c>
      <c r="H532" s="1">
        <v>352815</v>
      </c>
      <c r="I532" s="1">
        <v>388005</v>
      </c>
      <c r="J532" s="1">
        <v>41538.5</v>
      </c>
      <c r="K532" s="1">
        <v>85884.4</v>
      </c>
      <c r="L532" s="1">
        <v>71436.5</v>
      </c>
      <c r="M532" s="1">
        <v>32200.400000000001</v>
      </c>
      <c r="N532" s="1">
        <v>45291.4</v>
      </c>
      <c r="O532" s="1">
        <v>64008.5</v>
      </c>
      <c r="P532" s="1">
        <v>49753</v>
      </c>
      <c r="Q532" s="1">
        <v>77460</v>
      </c>
      <c r="R532" s="1">
        <v>0</v>
      </c>
    </row>
    <row r="533" spans="1:18">
      <c r="A533" s="2">
        <v>0.95833333333333337</v>
      </c>
      <c r="B533" s="1">
        <v>804021</v>
      </c>
      <c r="C533" s="1">
        <v>919041</v>
      </c>
      <c r="D533" s="1">
        <v>25136.799999999999</v>
      </c>
      <c r="E533" s="1">
        <v>0</v>
      </c>
      <c r="F533" s="1">
        <v>383906</v>
      </c>
      <c r="G533" s="1">
        <v>8426.7000000000007</v>
      </c>
      <c r="H533" s="1">
        <v>352835</v>
      </c>
      <c r="I533" s="1">
        <v>388247</v>
      </c>
      <c r="J533" s="1">
        <v>41547.4</v>
      </c>
      <c r="K533" s="1">
        <v>85887.5</v>
      </c>
      <c r="L533" s="1">
        <v>71462.7</v>
      </c>
      <c r="M533" s="1">
        <v>32244.6</v>
      </c>
      <c r="N533" s="1">
        <v>45346.1</v>
      </c>
      <c r="O533" s="1">
        <v>64028.9</v>
      </c>
      <c r="P533" s="1">
        <v>49753</v>
      </c>
      <c r="Q533" s="1">
        <v>77460</v>
      </c>
      <c r="R533" s="1">
        <v>0</v>
      </c>
    </row>
    <row r="534" spans="1:18">
      <c r="A534" s="2">
        <v>0</v>
      </c>
      <c r="B534" s="1">
        <v>804771</v>
      </c>
      <c r="C534" s="1">
        <v>919227</v>
      </c>
      <c r="D534" s="1">
        <v>25151.8</v>
      </c>
      <c r="E534" s="1">
        <v>0</v>
      </c>
      <c r="F534" s="1">
        <v>383924</v>
      </c>
      <c r="G534" s="1">
        <v>8486.7000000000007</v>
      </c>
      <c r="H534" s="1">
        <v>352854</v>
      </c>
      <c r="I534" s="1">
        <v>388491</v>
      </c>
      <c r="J534" s="1">
        <v>41556</v>
      </c>
      <c r="K534" s="1">
        <v>85890.6</v>
      </c>
      <c r="L534" s="1">
        <v>71487.600000000006</v>
      </c>
      <c r="M534" s="1">
        <v>32288.5</v>
      </c>
      <c r="N534" s="1">
        <v>45400.9</v>
      </c>
      <c r="O534" s="1">
        <v>64049.4</v>
      </c>
      <c r="P534" s="1">
        <v>49753</v>
      </c>
      <c r="Q534" s="1">
        <v>77460</v>
      </c>
      <c r="R534" s="1">
        <v>0</v>
      </c>
    </row>
    <row r="535" spans="1:18">
      <c r="A535" s="2">
        <v>4.1666666666666664E-2</v>
      </c>
      <c r="B535" s="1">
        <v>805502</v>
      </c>
      <c r="C535" s="1">
        <v>919406</v>
      </c>
      <c r="D535" s="1">
        <v>25165</v>
      </c>
      <c r="E535" s="1">
        <v>0</v>
      </c>
      <c r="F535" s="1">
        <v>383941</v>
      </c>
      <c r="G535" s="1">
        <v>8543</v>
      </c>
      <c r="H535" s="1">
        <v>352872</v>
      </c>
      <c r="I535" s="1">
        <v>388735</v>
      </c>
      <c r="J535" s="1">
        <v>41564.699999999997</v>
      </c>
      <c r="K535" s="1">
        <v>85893.7</v>
      </c>
      <c r="L535" s="1">
        <v>71513.399999999994</v>
      </c>
      <c r="M535" s="1">
        <v>32332</v>
      </c>
      <c r="N535" s="1">
        <v>45455.199999999997</v>
      </c>
      <c r="O535" s="1">
        <v>64068.2</v>
      </c>
      <c r="P535" s="1">
        <v>49753</v>
      </c>
      <c r="Q535" s="1">
        <v>77460</v>
      </c>
      <c r="R535" s="1">
        <v>0</v>
      </c>
    </row>
    <row r="536" spans="1:18">
      <c r="A536" s="2">
        <v>8.3333333333333329E-2</v>
      </c>
      <c r="B536" s="1">
        <v>806225</v>
      </c>
      <c r="C536" s="1">
        <v>919580</v>
      </c>
      <c r="D536" s="1">
        <v>25177.599999999999</v>
      </c>
      <c r="E536" s="1">
        <v>0</v>
      </c>
      <c r="F536" s="1">
        <v>383958</v>
      </c>
      <c r="G536" s="1">
        <v>8597.9</v>
      </c>
      <c r="H536" s="1">
        <v>352888</v>
      </c>
      <c r="I536" s="1">
        <v>388974</v>
      </c>
      <c r="J536" s="1">
        <v>41572.6</v>
      </c>
      <c r="K536" s="1">
        <v>85896.8</v>
      </c>
      <c r="L536" s="1">
        <v>71539.199999999997</v>
      </c>
      <c r="M536" s="1">
        <v>32378.2</v>
      </c>
      <c r="N536" s="1">
        <v>45509.1</v>
      </c>
      <c r="O536" s="1">
        <v>64089.599999999999</v>
      </c>
      <c r="P536" s="1">
        <v>49753</v>
      </c>
      <c r="Q536" s="1">
        <v>77460</v>
      </c>
      <c r="R536" s="1">
        <v>0</v>
      </c>
    </row>
    <row r="537" spans="1:18">
      <c r="A537" s="2">
        <v>0.125</v>
      </c>
      <c r="B537" s="1">
        <v>806932</v>
      </c>
      <c r="C537" s="1">
        <v>919753</v>
      </c>
      <c r="D537" s="1">
        <v>25190.5</v>
      </c>
      <c r="E537" s="1">
        <v>0</v>
      </c>
      <c r="F537" s="1">
        <v>383976</v>
      </c>
      <c r="G537" s="1">
        <v>8651.4</v>
      </c>
      <c r="H537" s="1">
        <v>352905</v>
      </c>
      <c r="I537" s="1">
        <v>389205</v>
      </c>
      <c r="J537" s="1">
        <v>41581</v>
      </c>
      <c r="K537" s="1">
        <v>85899.8</v>
      </c>
      <c r="L537" s="1">
        <v>71561.899999999994</v>
      </c>
      <c r="M537" s="1">
        <v>32423.7</v>
      </c>
      <c r="N537" s="1">
        <v>45563.5</v>
      </c>
      <c r="O537" s="1">
        <v>64109.1</v>
      </c>
      <c r="P537" s="1">
        <v>49753</v>
      </c>
      <c r="Q537" s="1">
        <v>77460</v>
      </c>
      <c r="R537" s="1">
        <v>0</v>
      </c>
    </row>
    <row r="538" spans="1:18">
      <c r="A538" s="2">
        <v>0.16666666666666666</v>
      </c>
      <c r="B538" s="1">
        <v>807621</v>
      </c>
      <c r="C538" s="1">
        <v>919924</v>
      </c>
      <c r="D538" s="1">
        <v>25202.2</v>
      </c>
      <c r="E538" s="1">
        <v>0</v>
      </c>
      <c r="F538" s="1">
        <v>383993</v>
      </c>
      <c r="G538" s="1">
        <v>8703.7999999999993</v>
      </c>
      <c r="H538" s="1">
        <v>352923</v>
      </c>
      <c r="I538" s="1">
        <v>389426</v>
      </c>
      <c r="J538" s="1">
        <v>41588.800000000003</v>
      </c>
      <c r="K538" s="1">
        <v>85902.9</v>
      </c>
      <c r="L538" s="1">
        <v>71583.8</v>
      </c>
      <c r="M538" s="1">
        <v>32467.3</v>
      </c>
      <c r="N538" s="1">
        <v>45617.5</v>
      </c>
      <c r="O538" s="1">
        <v>64128.5</v>
      </c>
      <c r="P538" s="1">
        <v>49753</v>
      </c>
      <c r="Q538" s="1">
        <v>77460</v>
      </c>
      <c r="R538" s="1">
        <v>0</v>
      </c>
    </row>
    <row r="539" spans="1:18">
      <c r="A539" s="2">
        <v>0.20833333333333334</v>
      </c>
      <c r="B539" s="1">
        <v>808310</v>
      </c>
      <c r="C539" s="1">
        <v>920096</v>
      </c>
      <c r="D539" s="1">
        <v>25214.5</v>
      </c>
      <c r="E539" s="1">
        <v>0</v>
      </c>
      <c r="F539" s="1">
        <v>384010</v>
      </c>
      <c r="G539" s="1">
        <v>8755.1</v>
      </c>
      <c r="H539" s="1">
        <v>352939</v>
      </c>
      <c r="I539" s="1">
        <v>389645</v>
      </c>
      <c r="J539" s="1">
        <v>41597.199999999997</v>
      </c>
      <c r="K539" s="1">
        <v>85906.2</v>
      </c>
      <c r="L539" s="1">
        <v>71605.7</v>
      </c>
      <c r="M539" s="1">
        <v>32510.1</v>
      </c>
      <c r="N539" s="1">
        <v>45671.5</v>
      </c>
      <c r="O539" s="1">
        <v>64149.3</v>
      </c>
      <c r="P539" s="1">
        <v>49753</v>
      </c>
      <c r="Q539" s="1">
        <v>77460</v>
      </c>
      <c r="R539" s="1">
        <v>0</v>
      </c>
    </row>
    <row r="540" spans="1:18">
      <c r="A540" s="2">
        <v>0.25</v>
      </c>
      <c r="B540" s="1">
        <v>808983</v>
      </c>
      <c r="C540" s="1">
        <v>920266</v>
      </c>
      <c r="D540" s="1">
        <v>25227.3</v>
      </c>
      <c r="E540" s="1">
        <v>0</v>
      </c>
      <c r="F540" s="1">
        <v>384028</v>
      </c>
      <c r="G540" s="1">
        <v>8806.6</v>
      </c>
      <c r="H540" s="1">
        <v>352956</v>
      </c>
      <c r="I540" s="1">
        <v>389852</v>
      </c>
      <c r="J540" s="1">
        <v>41604.699999999997</v>
      </c>
      <c r="K540" s="1">
        <v>85909.4</v>
      </c>
      <c r="L540" s="1">
        <v>71626.5</v>
      </c>
      <c r="M540" s="1">
        <v>32551.9</v>
      </c>
      <c r="N540" s="1">
        <v>45726.1</v>
      </c>
      <c r="O540" s="1">
        <v>64170.6</v>
      </c>
      <c r="P540" s="1">
        <v>49753</v>
      </c>
      <c r="Q540" s="1">
        <v>77460</v>
      </c>
      <c r="R540" s="1">
        <v>0</v>
      </c>
    </row>
    <row r="541" spans="1:18">
      <c r="A541" s="2">
        <v>0.29166666666666669</v>
      </c>
      <c r="B541" s="1">
        <v>809704</v>
      </c>
      <c r="C541" s="1">
        <v>920442</v>
      </c>
      <c r="D541" s="1">
        <v>25239.4</v>
      </c>
      <c r="E541" s="1">
        <v>0</v>
      </c>
      <c r="F541" s="1">
        <v>384046</v>
      </c>
      <c r="G541" s="1">
        <v>8859.4</v>
      </c>
      <c r="H541" s="1">
        <v>352972</v>
      </c>
      <c r="I541" s="1">
        <v>390070</v>
      </c>
      <c r="J541" s="1">
        <v>41613.1</v>
      </c>
      <c r="K541" s="1">
        <v>85912.3</v>
      </c>
      <c r="L541" s="1">
        <v>71647</v>
      </c>
      <c r="M541" s="1">
        <v>32593.8</v>
      </c>
      <c r="N541" s="1">
        <v>45779.3</v>
      </c>
      <c r="O541" s="1">
        <v>64216.6</v>
      </c>
      <c r="P541" s="1">
        <v>49754</v>
      </c>
      <c r="Q541" s="1">
        <v>77460</v>
      </c>
      <c r="R541" s="1">
        <v>0</v>
      </c>
    </row>
    <row r="542" spans="1:18">
      <c r="A542" s="2">
        <v>0.33333333333333331</v>
      </c>
      <c r="B542" s="1">
        <v>810482</v>
      </c>
      <c r="C542" s="1">
        <v>920629</v>
      </c>
      <c r="D542" s="1">
        <v>25251.9</v>
      </c>
      <c r="E542" s="1">
        <v>0</v>
      </c>
      <c r="F542" s="1">
        <v>384067</v>
      </c>
      <c r="G542" s="1">
        <v>8912.5</v>
      </c>
      <c r="H542" s="1">
        <v>352990</v>
      </c>
      <c r="I542" s="1">
        <v>390319</v>
      </c>
      <c r="J542" s="1">
        <v>41622.400000000001</v>
      </c>
      <c r="K542" s="1">
        <v>85912.9</v>
      </c>
      <c r="L542" s="1">
        <v>71668.3</v>
      </c>
      <c r="M542" s="1">
        <v>32635.599999999999</v>
      </c>
      <c r="N542" s="1">
        <v>45829.8</v>
      </c>
      <c r="O542" s="1">
        <v>64272.800000000003</v>
      </c>
      <c r="P542" s="1">
        <v>49754</v>
      </c>
      <c r="Q542" s="1">
        <v>77463</v>
      </c>
      <c r="R542" s="1">
        <v>0</v>
      </c>
    </row>
    <row r="543" spans="1:18">
      <c r="A543" s="2">
        <v>0.375</v>
      </c>
      <c r="B543" s="1">
        <v>811446</v>
      </c>
      <c r="C543" s="1">
        <v>920859</v>
      </c>
      <c r="D543" s="1">
        <v>25279.7</v>
      </c>
      <c r="E543" s="1">
        <v>0</v>
      </c>
      <c r="F543" s="1">
        <v>384093</v>
      </c>
      <c r="G543" s="1">
        <v>8966.9</v>
      </c>
      <c r="H543" s="1">
        <v>353018</v>
      </c>
      <c r="I543" s="1">
        <v>390616</v>
      </c>
      <c r="J543" s="1">
        <v>41632</v>
      </c>
      <c r="K543" s="1">
        <v>85914.7</v>
      </c>
      <c r="L543" s="1">
        <v>71715.7</v>
      </c>
      <c r="M543" s="1">
        <v>32686.9</v>
      </c>
      <c r="N543" s="1">
        <v>45877.599999999999</v>
      </c>
      <c r="O543" s="1">
        <v>64340.5</v>
      </c>
      <c r="P543" s="1">
        <v>49757</v>
      </c>
      <c r="Q543" s="1">
        <v>77473</v>
      </c>
      <c r="R543" s="1">
        <v>0</v>
      </c>
    </row>
    <row r="544" spans="1:18">
      <c r="A544" s="2">
        <v>0.41666666666666669</v>
      </c>
      <c r="B544" s="1">
        <v>812716</v>
      </c>
      <c r="C544" s="1">
        <v>921167</v>
      </c>
      <c r="D544" s="1">
        <v>25318</v>
      </c>
      <c r="E544" s="1">
        <v>0</v>
      </c>
      <c r="F544" s="1">
        <v>384133</v>
      </c>
      <c r="G544" s="1">
        <v>9029.4</v>
      </c>
      <c r="H544" s="1">
        <v>353089</v>
      </c>
      <c r="I544" s="1">
        <v>391017</v>
      </c>
      <c r="J544" s="1">
        <v>41641.5</v>
      </c>
      <c r="K544" s="1">
        <v>85916.2</v>
      </c>
      <c r="L544" s="1">
        <v>71778.100000000006</v>
      </c>
      <c r="M544" s="1">
        <v>32742.2</v>
      </c>
      <c r="N544" s="1">
        <v>45923.9</v>
      </c>
      <c r="O544" s="1">
        <v>64417.5</v>
      </c>
      <c r="P544" s="1">
        <v>49768</v>
      </c>
      <c r="Q544" s="1">
        <v>77489</v>
      </c>
      <c r="R544" s="1">
        <v>0</v>
      </c>
    </row>
    <row r="545" spans="1:18">
      <c r="A545" s="2">
        <v>0.45833333333333331</v>
      </c>
      <c r="B545" s="1">
        <v>814194</v>
      </c>
      <c r="C545" s="1">
        <v>921546</v>
      </c>
      <c r="D545" s="1">
        <v>25359</v>
      </c>
      <c r="E545" s="1">
        <v>0</v>
      </c>
      <c r="F545" s="1">
        <v>384193</v>
      </c>
      <c r="G545" s="1">
        <v>9105.5</v>
      </c>
      <c r="H545" s="1">
        <v>353166</v>
      </c>
      <c r="I545" s="1">
        <v>391472</v>
      </c>
      <c r="J545" s="1">
        <v>41652.5</v>
      </c>
      <c r="K545" s="1">
        <v>85916.6</v>
      </c>
      <c r="L545" s="1">
        <v>71859.600000000006</v>
      </c>
      <c r="M545" s="1">
        <v>32809.800000000003</v>
      </c>
      <c r="N545" s="1">
        <v>45971.5</v>
      </c>
      <c r="O545" s="1">
        <v>64493.4</v>
      </c>
      <c r="P545" s="1">
        <v>49782</v>
      </c>
      <c r="Q545" s="1">
        <v>77510</v>
      </c>
      <c r="R545" s="1">
        <v>0</v>
      </c>
    </row>
    <row r="546" spans="1:18">
      <c r="A546" s="2">
        <v>0.5</v>
      </c>
      <c r="B546" s="1">
        <v>815727</v>
      </c>
      <c r="C546" s="1">
        <v>921925</v>
      </c>
      <c r="D546" s="1">
        <v>25397.5</v>
      </c>
      <c r="E546" s="1">
        <v>0</v>
      </c>
      <c r="F546" s="1">
        <v>384256</v>
      </c>
      <c r="G546" s="1">
        <v>9196</v>
      </c>
      <c r="H546" s="1">
        <v>353237</v>
      </c>
      <c r="I546" s="1">
        <v>391949</v>
      </c>
      <c r="J546" s="1">
        <v>41663.5</v>
      </c>
      <c r="K546" s="1">
        <v>85916.6</v>
      </c>
      <c r="L546" s="1">
        <v>71937</v>
      </c>
      <c r="M546" s="1">
        <v>32876.199999999997</v>
      </c>
      <c r="N546" s="1">
        <v>46017.4</v>
      </c>
      <c r="O546" s="1">
        <v>64580.2</v>
      </c>
      <c r="P546" s="1">
        <v>49797</v>
      </c>
      <c r="Q546" s="1">
        <v>77534</v>
      </c>
      <c r="R546" s="1">
        <v>0</v>
      </c>
    </row>
    <row r="547" spans="1:18">
      <c r="A547" s="2">
        <v>0.54166666666666663</v>
      </c>
      <c r="B547" s="1">
        <v>817273</v>
      </c>
      <c r="C547" s="1">
        <v>922294</v>
      </c>
      <c r="D547" s="1">
        <v>25443.599999999999</v>
      </c>
      <c r="E547" s="1">
        <v>0</v>
      </c>
      <c r="F547" s="1">
        <v>384322</v>
      </c>
      <c r="G547" s="1">
        <v>9289.4</v>
      </c>
      <c r="H547" s="1">
        <v>353327</v>
      </c>
      <c r="I547" s="1">
        <v>392422</v>
      </c>
      <c r="J547" s="1">
        <v>41674.6</v>
      </c>
      <c r="K547" s="1">
        <v>85916.6</v>
      </c>
      <c r="L547" s="1">
        <v>72020.3</v>
      </c>
      <c r="M547" s="1">
        <v>32938.9</v>
      </c>
      <c r="N547" s="1">
        <v>46059.8</v>
      </c>
      <c r="O547" s="1">
        <v>64667.5</v>
      </c>
      <c r="P547" s="1">
        <v>49814</v>
      </c>
      <c r="Q547" s="1">
        <v>77560</v>
      </c>
      <c r="R547" s="1">
        <v>0</v>
      </c>
    </row>
    <row r="548" spans="1:18">
      <c r="A548" s="2">
        <v>0.58333333333333337</v>
      </c>
      <c r="B548" s="1">
        <v>818922</v>
      </c>
      <c r="C548" s="1">
        <v>922703</v>
      </c>
      <c r="D548" s="1">
        <v>25493.8</v>
      </c>
      <c r="E548" s="1">
        <v>0</v>
      </c>
      <c r="F548" s="1">
        <v>384390</v>
      </c>
      <c r="G548" s="1">
        <v>9386.7000000000007</v>
      </c>
      <c r="H548" s="1">
        <v>353437</v>
      </c>
      <c r="I548" s="1">
        <v>392908</v>
      </c>
      <c r="J548" s="1">
        <v>41686.1</v>
      </c>
      <c r="K548" s="1">
        <v>85916.6</v>
      </c>
      <c r="L548" s="1">
        <v>72111</v>
      </c>
      <c r="M548" s="1">
        <v>33013.199999999997</v>
      </c>
      <c r="N548" s="1">
        <v>46102.7</v>
      </c>
      <c r="O548" s="1">
        <v>64752.3</v>
      </c>
      <c r="P548" s="1">
        <v>49831</v>
      </c>
      <c r="Q548" s="1">
        <v>77585</v>
      </c>
      <c r="R548" s="1">
        <v>0</v>
      </c>
    </row>
    <row r="549" spans="1:18">
      <c r="A549" s="2">
        <v>0.625</v>
      </c>
      <c r="B549" s="1">
        <v>820588</v>
      </c>
      <c r="C549" s="1">
        <v>923113</v>
      </c>
      <c r="D549" s="1">
        <v>25543.200000000001</v>
      </c>
      <c r="E549" s="1">
        <v>0</v>
      </c>
      <c r="F549" s="1">
        <v>384458</v>
      </c>
      <c r="G549" s="1">
        <v>9498.7000000000007</v>
      </c>
      <c r="H549" s="1">
        <v>353534</v>
      </c>
      <c r="I549" s="1">
        <v>393416</v>
      </c>
      <c r="J549" s="1">
        <v>41697.4</v>
      </c>
      <c r="K549" s="1">
        <v>85917.4</v>
      </c>
      <c r="L549" s="1">
        <v>72195.199999999997</v>
      </c>
      <c r="M549" s="1">
        <v>33087.5</v>
      </c>
      <c r="N549" s="1">
        <v>46146.400000000001</v>
      </c>
      <c r="O549" s="1">
        <v>64831.1</v>
      </c>
      <c r="P549" s="1">
        <v>49846</v>
      </c>
      <c r="Q549" s="1">
        <v>77609</v>
      </c>
      <c r="R549" s="1">
        <v>0</v>
      </c>
    </row>
    <row r="550" spans="1:18">
      <c r="A550" s="2">
        <v>0.66666666666666663</v>
      </c>
      <c r="B550" s="1">
        <v>822216</v>
      </c>
      <c r="C550" s="1">
        <v>923500</v>
      </c>
      <c r="D550" s="1">
        <v>25592.400000000001</v>
      </c>
      <c r="E550" s="1">
        <v>0</v>
      </c>
      <c r="F550" s="1">
        <v>384527</v>
      </c>
      <c r="G550" s="1">
        <v>9612.2999999999993</v>
      </c>
      <c r="H550" s="1">
        <v>353623</v>
      </c>
      <c r="I550" s="1">
        <v>393935</v>
      </c>
      <c r="J550" s="1">
        <v>41708.5</v>
      </c>
      <c r="K550" s="1">
        <v>85921.3</v>
      </c>
      <c r="L550" s="1">
        <v>72279.100000000006</v>
      </c>
      <c r="M550" s="1">
        <v>33162.6</v>
      </c>
      <c r="N550" s="1">
        <v>46193.3</v>
      </c>
      <c r="O550" s="1">
        <v>64900.6</v>
      </c>
      <c r="P550" s="1">
        <v>49860</v>
      </c>
      <c r="Q550" s="1">
        <v>77629</v>
      </c>
      <c r="R550" s="1">
        <v>0</v>
      </c>
    </row>
    <row r="551" spans="1:18">
      <c r="A551" s="2">
        <v>0.70833333333333337</v>
      </c>
      <c r="B551" s="1">
        <v>823818</v>
      </c>
      <c r="C551" s="1">
        <v>923893</v>
      </c>
      <c r="D551" s="1">
        <v>25636.1</v>
      </c>
      <c r="E551" s="1">
        <v>0</v>
      </c>
      <c r="F551" s="1">
        <v>384595</v>
      </c>
      <c r="G551" s="1">
        <v>9722.7000000000007</v>
      </c>
      <c r="H551" s="1">
        <v>353721</v>
      </c>
      <c r="I551" s="1">
        <v>394431</v>
      </c>
      <c r="J551" s="1">
        <v>41721.5</v>
      </c>
      <c r="K551" s="1">
        <v>85931.3</v>
      </c>
      <c r="L551" s="1">
        <v>72359</v>
      </c>
      <c r="M551" s="1">
        <v>33234.699999999997</v>
      </c>
      <c r="N551" s="1">
        <v>46243</v>
      </c>
      <c r="O551" s="1">
        <v>64969.2</v>
      </c>
      <c r="P551" s="1">
        <v>49870</v>
      </c>
      <c r="Q551" s="1">
        <v>77645</v>
      </c>
      <c r="R551" s="1">
        <v>0</v>
      </c>
    </row>
    <row r="552" spans="1:18">
      <c r="A552" s="2">
        <v>0.75</v>
      </c>
      <c r="B552" s="1">
        <v>825288</v>
      </c>
      <c r="C552" s="1">
        <v>924273</v>
      </c>
      <c r="D552" s="1">
        <v>25669.200000000001</v>
      </c>
      <c r="E552" s="1">
        <v>0</v>
      </c>
      <c r="F552" s="1">
        <v>384649</v>
      </c>
      <c r="G552" s="1">
        <v>9821.4</v>
      </c>
      <c r="H552" s="1">
        <v>353802</v>
      </c>
      <c r="I552" s="1">
        <v>394871</v>
      </c>
      <c r="J552" s="1">
        <v>41733.699999999997</v>
      </c>
      <c r="K552" s="1">
        <v>85947.6</v>
      </c>
      <c r="L552" s="1">
        <v>72430.899999999994</v>
      </c>
      <c r="M552" s="1">
        <v>33299.9</v>
      </c>
      <c r="N552" s="1">
        <v>46296.1</v>
      </c>
      <c r="O552" s="1">
        <v>65038.6</v>
      </c>
      <c r="P552" s="1">
        <v>49876</v>
      </c>
      <c r="Q552" s="1">
        <v>77654</v>
      </c>
      <c r="R552" s="1">
        <v>0</v>
      </c>
    </row>
    <row r="553" spans="1:18">
      <c r="A553" s="2">
        <v>0.79166666666666663</v>
      </c>
      <c r="B553" s="1">
        <v>826530</v>
      </c>
      <c r="C553" s="1">
        <v>924586</v>
      </c>
      <c r="D553" s="1">
        <v>25695.5</v>
      </c>
      <c r="E553" s="1">
        <v>0</v>
      </c>
      <c r="F553" s="1">
        <v>384694</v>
      </c>
      <c r="G553" s="1">
        <v>9908.2999999999993</v>
      </c>
      <c r="H553" s="1">
        <v>353839</v>
      </c>
      <c r="I553" s="1">
        <v>395265</v>
      </c>
      <c r="J553" s="1">
        <v>41745.4</v>
      </c>
      <c r="K553" s="1">
        <v>85966.1</v>
      </c>
      <c r="L553" s="1">
        <v>72480.5</v>
      </c>
      <c r="M553" s="1">
        <v>33353.800000000003</v>
      </c>
      <c r="N553" s="1">
        <v>46350.6</v>
      </c>
      <c r="O553" s="1">
        <v>65109.8</v>
      </c>
      <c r="P553" s="1">
        <v>49878</v>
      </c>
      <c r="Q553" s="1">
        <v>77657</v>
      </c>
      <c r="R553" s="1">
        <v>0</v>
      </c>
    </row>
    <row r="554" spans="1:18">
      <c r="A554" s="2">
        <v>0.83333333333333337</v>
      </c>
      <c r="B554" s="1">
        <v>827651</v>
      </c>
      <c r="C554" s="1">
        <v>924856</v>
      </c>
      <c r="D554" s="1">
        <v>25717.1</v>
      </c>
      <c r="E554" s="1">
        <v>0</v>
      </c>
      <c r="F554" s="1">
        <v>384731</v>
      </c>
      <c r="G554" s="1">
        <v>9989.5</v>
      </c>
      <c r="H554" s="1">
        <v>353866</v>
      </c>
      <c r="I554" s="1">
        <v>395613</v>
      </c>
      <c r="J554" s="1">
        <v>41787.199999999997</v>
      </c>
      <c r="K554" s="1">
        <v>85984.3</v>
      </c>
      <c r="L554" s="1">
        <v>72521.5</v>
      </c>
      <c r="M554" s="1">
        <v>33400.9</v>
      </c>
      <c r="N554" s="1">
        <v>46406.5</v>
      </c>
      <c r="O554" s="1">
        <v>65177.4</v>
      </c>
      <c r="P554" s="1">
        <v>49878</v>
      </c>
      <c r="Q554" s="1">
        <v>77657</v>
      </c>
      <c r="R554" s="1">
        <v>0</v>
      </c>
    </row>
    <row r="555" spans="1:18">
      <c r="A555" s="2">
        <v>0.875</v>
      </c>
      <c r="B555" s="1">
        <v>828677</v>
      </c>
      <c r="C555" s="1">
        <v>925105</v>
      </c>
      <c r="D555" s="1">
        <v>25735.599999999999</v>
      </c>
      <c r="E555" s="1">
        <v>0</v>
      </c>
      <c r="F555" s="1">
        <v>384766</v>
      </c>
      <c r="G555" s="1">
        <v>10064.299999999999</v>
      </c>
      <c r="H555" s="1">
        <v>353880</v>
      </c>
      <c r="I555" s="1">
        <v>395921</v>
      </c>
      <c r="J555" s="1">
        <v>41832.199999999997</v>
      </c>
      <c r="K555" s="1">
        <v>86003.6</v>
      </c>
      <c r="L555" s="1">
        <v>72560</v>
      </c>
      <c r="M555" s="1">
        <v>33448</v>
      </c>
      <c r="N555" s="1">
        <v>46462.5</v>
      </c>
      <c r="O555" s="1">
        <v>65237.9</v>
      </c>
      <c r="P555" s="1">
        <v>49878</v>
      </c>
      <c r="Q555" s="1">
        <v>77657</v>
      </c>
      <c r="R555" s="1">
        <v>0</v>
      </c>
    </row>
    <row r="556" spans="1:18">
      <c r="A556" s="2">
        <v>0.91666666666666663</v>
      </c>
      <c r="B556" s="1">
        <v>829613</v>
      </c>
      <c r="C556" s="1">
        <v>925340</v>
      </c>
      <c r="D556" s="1">
        <v>25753.7</v>
      </c>
      <c r="E556" s="1">
        <v>0</v>
      </c>
      <c r="F556" s="1">
        <v>384793</v>
      </c>
      <c r="G556" s="1">
        <v>10135.5</v>
      </c>
      <c r="H556" s="1">
        <v>353892</v>
      </c>
      <c r="I556" s="1">
        <v>396218</v>
      </c>
      <c r="J556" s="1">
        <v>41859.1</v>
      </c>
      <c r="K556" s="1">
        <v>86015.1</v>
      </c>
      <c r="L556" s="1">
        <v>72594.899999999994</v>
      </c>
      <c r="M556" s="1">
        <v>33494.400000000001</v>
      </c>
      <c r="N556" s="1">
        <v>46518.5</v>
      </c>
      <c r="O556" s="1">
        <v>65281.8</v>
      </c>
      <c r="P556" s="1">
        <v>49878</v>
      </c>
      <c r="Q556" s="1">
        <v>77657</v>
      </c>
      <c r="R556" s="1">
        <v>0</v>
      </c>
    </row>
    <row r="557" spans="1:18">
      <c r="A557" s="2">
        <v>0.95833333333333337</v>
      </c>
      <c r="B557" s="1">
        <v>830474</v>
      </c>
      <c r="C557" s="1">
        <v>925565</v>
      </c>
      <c r="D557" s="1">
        <v>25770.400000000001</v>
      </c>
      <c r="E557" s="1">
        <v>0</v>
      </c>
      <c r="F557" s="1">
        <v>384816</v>
      </c>
      <c r="G557" s="1">
        <v>10205.4</v>
      </c>
      <c r="H557" s="1">
        <v>353906</v>
      </c>
      <c r="I557" s="1">
        <v>396503</v>
      </c>
      <c r="J557" s="1">
        <v>41869.5</v>
      </c>
      <c r="K557" s="1">
        <v>86019.6</v>
      </c>
      <c r="L557" s="1">
        <v>72626.600000000006</v>
      </c>
      <c r="M557" s="1">
        <v>33541.4</v>
      </c>
      <c r="N557" s="1">
        <v>46574.3</v>
      </c>
      <c r="O557" s="1">
        <v>65305.1</v>
      </c>
      <c r="P557" s="1">
        <v>49878</v>
      </c>
      <c r="Q557" s="1">
        <v>77657</v>
      </c>
      <c r="R557" s="1">
        <v>0</v>
      </c>
    </row>
    <row r="558" spans="1:18">
      <c r="A558" s="2">
        <v>0</v>
      </c>
      <c r="B558" s="1">
        <v>831296</v>
      </c>
      <c r="C558" s="1">
        <v>925770</v>
      </c>
      <c r="D558" s="1">
        <v>25787.1</v>
      </c>
      <c r="E558" s="1">
        <v>0</v>
      </c>
      <c r="F558" s="1">
        <v>384838</v>
      </c>
      <c r="G558" s="1">
        <v>10274.9</v>
      </c>
      <c r="H558" s="1">
        <v>353922</v>
      </c>
      <c r="I558" s="1">
        <v>396776</v>
      </c>
      <c r="J558" s="1">
        <v>41879.800000000003</v>
      </c>
      <c r="K558" s="1">
        <v>86024.1</v>
      </c>
      <c r="L558" s="1">
        <v>72656.2</v>
      </c>
      <c r="M558" s="1">
        <v>33588.6</v>
      </c>
      <c r="N558" s="1">
        <v>46629.599999999999</v>
      </c>
      <c r="O558" s="1">
        <v>65325.2</v>
      </c>
      <c r="P558" s="1">
        <v>49878</v>
      </c>
      <c r="Q558" s="1">
        <v>77657</v>
      </c>
      <c r="R558" s="1">
        <v>0</v>
      </c>
    </row>
    <row r="559" spans="1:18">
      <c r="A559" s="2">
        <v>4.1666666666666664E-2</v>
      </c>
      <c r="B559" s="1">
        <v>832092</v>
      </c>
      <c r="C559" s="1">
        <v>925971</v>
      </c>
      <c r="D559" s="1">
        <v>25802.2</v>
      </c>
      <c r="E559" s="1">
        <v>0</v>
      </c>
      <c r="F559" s="1">
        <v>384859</v>
      </c>
      <c r="G559" s="1">
        <v>10341.5</v>
      </c>
      <c r="H559" s="1">
        <v>353938</v>
      </c>
      <c r="I559" s="1">
        <v>397035</v>
      </c>
      <c r="J559" s="1">
        <v>41890.1</v>
      </c>
      <c r="K559" s="1">
        <v>86028.5</v>
      </c>
      <c r="L559" s="1">
        <v>72683.5</v>
      </c>
      <c r="M559" s="1">
        <v>33637.300000000003</v>
      </c>
      <c r="N559" s="1">
        <v>46684</v>
      </c>
      <c r="O559" s="1">
        <v>65344</v>
      </c>
      <c r="P559" s="1">
        <v>49878</v>
      </c>
      <c r="Q559" s="1">
        <v>77657</v>
      </c>
      <c r="R559" s="1">
        <v>0</v>
      </c>
    </row>
    <row r="560" spans="1:18">
      <c r="A560" s="2">
        <v>8.3333333333333329E-2</v>
      </c>
      <c r="B560" s="1">
        <v>832854</v>
      </c>
      <c r="C560" s="1">
        <v>926159</v>
      </c>
      <c r="D560" s="1">
        <v>25815.8</v>
      </c>
      <c r="E560" s="1">
        <v>0</v>
      </c>
      <c r="F560" s="1">
        <v>384877</v>
      </c>
      <c r="G560" s="1">
        <v>10406.6</v>
      </c>
      <c r="H560" s="1">
        <v>353954</v>
      </c>
      <c r="I560" s="1">
        <v>397284</v>
      </c>
      <c r="J560" s="1">
        <v>41900.199999999997</v>
      </c>
      <c r="K560" s="1">
        <v>86033.4</v>
      </c>
      <c r="L560" s="1">
        <v>72708.399999999994</v>
      </c>
      <c r="M560" s="1">
        <v>33685.1</v>
      </c>
      <c r="N560" s="1">
        <v>46738.5</v>
      </c>
      <c r="O560" s="1">
        <v>65363.9</v>
      </c>
      <c r="P560" s="1">
        <v>49878</v>
      </c>
      <c r="Q560" s="1">
        <v>77657</v>
      </c>
      <c r="R560" s="1">
        <v>0</v>
      </c>
    </row>
    <row r="561" spans="1:18">
      <c r="A561" s="2">
        <v>0.125</v>
      </c>
      <c r="B561" s="1">
        <v>833590</v>
      </c>
      <c r="C561" s="1">
        <v>926340</v>
      </c>
      <c r="D561" s="1">
        <v>25828.9</v>
      </c>
      <c r="E561" s="1">
        <v>0</v>
      </c>
      <c r="F561" s="1">
        <v>384896</v>
      </c>
      <c r="G561" s="1">
        <v>10469.6</v>
      </c>
      <c r="H561" s="1">
        <v>353969</v>
      </c>
      <c r="I561" s="1">
        <v>397521</v>
      </c>
      <c r="J561" s="1">
        <v>41910.300000000003</v>
      </c>
      <c r="K561" s="1">
        <v>86038.3</v>
      </c>
      <c r="L561" s="1">
        <v>72733.899999999994</v>
      </c>
      <c r="M561" s="1">
        <v>33730.300000000003</v>
      </c>
      <c r="N561" s="1">
        <v>46792.800000000003</v>
      </c>
      <c r="O561" s="1">
        <v>65383.3</v>
      </c>
      <c r="P561" s="1">
        <v>49878</v>
      </c>
      <c r="Q561" s="1">
        <v>77657</v>
      </c>
      <c r="R561" s="1">
        <v>0</v>
      </c>
    </row>
    <row r="562" spans="1:18">
      <c r="A562" s="2">
        <v>0.16666666666666666</v>
      </c>
      <c r="B562" s="1">
        <v>834315</v>
      </c>
      <c r="C562" s="1">
        <v>926519</v>
      </c>
      <c r="D562" s="1">
        <v>25842.2</v>
      </c>
      <c r="E562" s="1">
        <v>0</v>
      </c>
      <c r="F562" s="1">
        <v>384914</v>
      </c>
      <c r="G562" s="1">
        <v>10531.6</v>
      </c>
      <c r="H562" s="1">
        <v>353981</v>
      </c>
      <c r="I562" s="1">
        <v>397755</v>
      </c>
      <c r="J562" s="1">
        <v>41920.1</v>
      </c>
      <c r="K562" s="1">
        <v>86042.5</v>
      </c>
      <c r="L562" s="1">
        <v>72759</v>
      </c>
      <c r="M562" s="1">
        <v>33775.1</v>
      </c>
      <c r="N562" s="1">
        <v>46847.9</v>
      </c>
      <c r="O562" s="1">
        <v>65402.6</v>
      </c>
      <c r="P562" s="1">
        <v>49878</v>
      </c>
      <c r="Q562" s="1">
        <v>77657</v>
      </c>
      <c r="R562" s="1">
        <v>0</v>
      </c>
    </row>
    <row r="563" spans="1:18">
      <c r="A563" s="2">
        <v>0.20833333333333334</v>
      </c>
      <c r="B563" s="1">
        <v>835030</v>
      </c>
      <c r="C563" s="1">
        <v>926702</v>
      </c>
      <c r="D563" s="1">
        <v>25855.4</v>
      </c>
      <c r="E563" s="1">
        <v>0</v>
      </c>
      <c r="F563" s="1">
        <v>384933</v>
      </c>
      <c r="G563" s="1">
        <v>10592.2</v>
      </c>
      <c r="H563" s="1">
        <v>353992</v>
      </c>
      <c r="I563" s="1">
        <v>397974</v>
      </c>
      <c r="J563" s="1">
        <v>41930.1</v>
      </c>
      <c r="K563" s="1">
        <v>86046.399999999994</v>
      </c>
      <c r="L563" s="1">
        <v>72784.600000000006</v>
      </c>
      <c r="M563" s="1">
        <v>33819.800000000003</v>
      </c>
      <c r="N563" s="1">
        <v>46903.1</v>
      </c>
      <c r="O563" s="1">
        <v>65423.3</v>
      </c>
      <c r="P563" s="1">
        <v>49878</v>
      </c>
      <c r="Q563" s="1">
        <v>77657</v>
      </c>
      <c r="R563" s="1">
        <v>0</v>
      </c>
    </row>
    <row r="564" spans="1:18">
      <c r="A564" s="2">
        <v>0.25</v>
      </c>
      <c r="B564" s="1">
        <v>835745</v>
      </c>
      <c r="C564" s="1">
        <v>926882</v>
      </c>
      <c r="D564" s="1">
        <v>25868.5</v>
      </c>
      <c r="E564" s="1">
        <v>0</v>
      </c>
      <c r="F564" s="1">
        <v>384952</v>
      </c>
      <c r="G564" s="1">
        <v>10653.7</v>
      </c>
      <c r="H564" s="1">
        <v>354003</v>
      </c>
      <c r="I564" s="1">
        <v>398197</v>
      </c>
      <c r="J564" s="1">
        <v>41939</v>
      </c>
      <c r="K564" s="1">
        <v>86050.3</v>
      </c>
      <c r="L564" s="1">
        <v>72809.100000000006</v>
      </c>
      <c r="M564" s="1">
        <v>33864.1</v>
      </c>
      <c r="N564" s="1">
        <v>46958.1</v>
      </c>
      <c r="O564" s="1">
        <v>65444</v>
      </c>
      <c r="P564" s="1">
        <v>49878</v>
      </c>
      <c r="Q564" s="1">
        <v>77657</v>
      </c>
      <c r="R564" s="1">
        <v>0</v>
      </c>
    </row>
    <row r="565" spans="1:18">
      <c r="A565" s="2">
        <v>0.29166666666666669</v>
      </c>
      <c r="B565" s="1">
        <v>836495</v>
      </c>
      <c r="C565" s="1">
        <v>927073</v>
      </c>
      <c r="D565" s="1">
        <v>25881.3</v>
      </c>
      <c r="E565" s="1">
        <v>0</v>
      </c>
      <c r="F565" s="1">
        <v>384971</v>
      </c>
      <c r="G565" s="1">
        <v>10713.4</v>
      </c>
      <c r="H565" s="1">
        <v>354015</v>
      </c>
      <c r="I565" s="1">
        <v>398425</v>
      </c>
      <c r="J565" s="1">
        <v>41949.3</v>
      </c>
      <c r="K565" s="1">
        <v>86053.4</v>
      </c>
      <c r="L565" s="1">
        <v>72831.899999999994</v>
      </c>
      <c r="M565" s="1">
        <v>33908.400000000001</v>
      </c>
      <c r="N565" s="1">
        <v>47012.1</v>
      </c>
      <c r="O565" s="1">
        <v>65489.9</v>
      </c>
      <c r="P565" s="1">
        <v>49878</v>
      </c>
      <c r="Q565" s="1">
        <v>77657</v>
      </c>
      <c r="R565" s="1">
        <v>0</v>
      </c>
    </row>
    <row r="566" spans="1:18">
      <c r="A566" s="2">
        <v>0.33333333333333331</v>
      </c>
      <c r="B566" s="1">
        <v>837309</v>
      </c>
      <c r="C566" s="1">
        <v>927277</v>
      </c>
      <c r="D566" s="1">
        <v>25896.3</v>
      </c>
      <c r="E566" s="1">
        <v>0</v>
      </c>
      <c r="F566" s="1">
        <v>384994</v>
      </c>
      <c r="G566" s="1">
        <v>10771.8</v>
      </c>
      <c r="H566" s="1">
        <v>354028</v>
      </c>
      <c r="I566" s="1">
        <v>398679</v>
      </c>
      <c r="J566" s="1">
        <v>41960.3</v>
      </c>
      <c r="K566" s="1">
        <v>86054.399999999994</v>
      </c>
      <c r="L566" s="1">
        <v>72856.3</v>
      </c>
      <c r="M566" s="1">
        <v>33953.199999999997</v>
      </c>
      <c r="N566" s="1">
        <v>47063.1</v>
      </c>
      <c r="O566" s="1">
        <v>65548.3</v>
      </c>
      <c r="P566" s="1">
        <v>49879</v>
      </c>
      <c r="Q566" s="1">
        <v>77660</v>
      </c>
      <c r="R566" s="1">
        <v>0</v>
      </c>
    </row>
    <row r="567" spans="1:18">
      <c r="A567" s="2">
        <v>0.375</v>
      </c>
      <c r="B567" s="1">
        <v>838315</v>
      </c>
      <c r="C567" s="1">
        <v>927532</v>
      </c>
      <c r="D567" s="1">
        <v>25912</v>
      </c>
      <c r="E567" s="1">
        <v>0</v>
      </c>
      <c r="F567" s="1">
        <v>385025</v>
      </c>
      <c r="G567" s="1">
        <v>10827.3</v>
      </c>
      <c r="H567" s="1">
        <v>354063</v>
      </c>
      <c r="I567" s="1">
        <v>398969</v>
      </c>
      <c r="J567" s="1">
        <v>41971.1</v>
      </c>
      <c r="K567" s="1">
        <v>86056.4</v>
      </c>
      <c r="L567" s="1">
        <v>72913.100000000006</v>
      </c>
      <c r="M567" s="1">
        <v>34009.199999999997</v>
      </c>
      <c r="N567" s="1">
        <v>47111</v>
      </c>
      <c r="O567" s="1">
        <v>65615</v>
      </c>
      <c r="P567" s="1">
        <v>49882</v>
      </c>
      <c r="Q567" s="1">
        <v>77670</v>
      </c>
      <c r="R567" s="1">
        <v>0</v>
      </c>
    </row>
    <row r="568" spans="1:18">
      <c r="A568" s="2">
        <v>0.41666666666666669</v>
      </c>
      <c r="B568" s="1">
        <v>839501</v>
      </c>
      <c r="C568" s="1">
        <v>927838</v>
      </c>
      <c r="D568" s="1">
        <v>25942</v>
      </c>
      <c r="E568" s="1">
        <v>0</v>
      </c>
      <c r="F568" s="1">
        <v>385064</v>
      </c>
      <c r="G568" s="1">
        <v>10887.1</v>
      </c>
      <c r="H568" s="1">
        <v>354096</v>
      </c>
      <c r="I568" s="1">
        <v>399322</v>
      </c>
      <c r="J568" s="1">
        <v>41982.5</v>
      </c>
      <c r="K568" s="1">
        <v>86058.2</v>
      </c>
      <c r="L568" s="1">
        <v>72976.5</v>
      </c>
      <c r="M568" s="1">
        <v>34074.1</v>
      </c>
      <c r="N568" s="1">
        <v>47159</v>
      </c>
      <c r="O568" s="1">
        <v>65694.3</v>
      </c>
      <c r="P568" s="1">
        <v>49893</v>
      </c>
      <c r="Q568" s="1">
        <v>77686</v>
      </c>
      <c r="R568" s="1">
        <v>0</v>
      </c>
    </row>
    <row r="569" spans="1:18">
      <c r="A569" s="2">
        <v>0.45833333333333331</v>
      </c>
      <c r="B569" s="1">
        <v>840952</v>
      </c>
      <c r="C569" s="1">
        <v>928211</v>
      </c>
      <c r="D569" s="1">
        <v>25974.6</v>
      </c>
      <c r="E569" s="1">
        <v>0</v>
      </c>
      <c r="F569" s="1">
        <v>385123</v>
      </c>
      <c r="G569" s="1">
        <v>10963.9</v>
      </c>
      <c r="H569" s="1">
        <v>354176</v>
      </c>
      <c r="I569" s="1">
        <v>399750</v>
      </c>
      <c r="J569" s="1">
        <v>41996.1</v>
      </c>
      <c r="K569" s="1">
        <v>86058.5</v>
      </c>
      <c r="L569" s="1">
        <v>73053.100000000006</v>
      </c>
      <c r="M569" s="1">
        <v>34140.6</v>
      </c>
      <c r="N569" s="1">
        <v>47205.9</v>
      </c>
      <c r="O569" s="1">
        <v>65772.600000000006</v>
      </c>
      <c r="P569" s="1">
        <v>49906</v>
      </c>
      <c r="Q569" s="1">
        <v>77708</v>
      </c>
      <c r="R569" s="1">
        <v>0</v>
      </c>
    </row>
    <row r="570" spans="1:18">
      <c r="A570" s="2">
        <v>0.5</v>
      </c>
      <c r="B570" s="1">
        <v>842427</v>
      </c>
      <c r="C570" s="1">
        <v>928568</v>
      </c>
      <c r="D570" s="1">
        <v>26012.3</v>
      </c>
      <c r="E570" s="1">
        <v>0</v>
      </c>
      <c r="F570" s="1">
        <v>385187</v>
      </c>
      <c r="G570" s="1">
        <v>11048.3</v>
      </c>
      <c r="H570" s="1">
        <v>354263</v>
      </c>
      <c r="I570" s="1">
        <v>400183</v>
      </c>
      <c r="J570" s="1">
        <v>42011.3</v>
      </c>
      <c r="K570" s="1">
        <v>86058.6</v>
      </c>
      <c r="L570" s="1">
        <v>73142</v>
      </c>
      <c r="M570" s="1">
        <v>34205</v>
      </c>
      <c r="N570" s="1">
        <v>47251.4</v>
      </c>
      <c r="O570" s="1">
        <v>65857.3</v>
      </c>
      <c r="P570" s="1">
        <v>49922</v>
      </c>
      <c r="Q570" s="1">
        <v>77732</v>
      </c>
      <c r="R570" s="1">
        <v>0</v>
      </c>
    </row>
    <row r="571" spans="1:18">
      <c r="A571" s="2">
        <v>0.54166666666666663</v>
      </c>
      <c r="B571" s="1">
        <v>843884</v>
      </c>
      <c r="C571" s="1">
        <v>928922</v>
      </c>
      <c r="D571" s="1">
        <v>26058.7</v>
      </c>
      <c r="E571" s="1">
        <v>0</v>
      </c>
      <c r="F571" s="1">
        <v>385247</v>
      </c>
      <c r="G571" s="1">
        <v>11130.8</v>
      </c>
      <c r="H571" s="1">
        <v>354344</v>
      </c>
      <c r="I571" s="1">
        <v>400638</v>
      </c>
      <c r="J571" s="1">
        <v>42026.5</v>
      </c>
      <c r="K571" s="1">
        <v>86058.6</v>
      </c>
      <c r="L571" s="1">
        <v>73223</v>
      </c>
      <c r="M571" s="1">
        <v>34264.800000000003</v>
      </c>
      <c r="N571" s="1">
        <v>47293.1</v>
      </c>
      <c r="O571" s="1">
        <v>65943.7</v>
      </c>
      <c r="P571" s="1">
        <v>49939</v>
      </c>
      <c r="Q571" s="1">
        <v>77757</v>
      </c>
      <c r="R571" s="1">
        <v>0</v>
      </c>
    </row>
    <row r="572" spans="1:18">
      <c r="A572" s="2">
        <v>0.58333333333333337</v>
      </c>
      <c r="B572" s="1">
        <v>845456</v>
      </c>
      <c r="C572" s="1">
        <v>929313</v>
      </c>
      <c r="D572" s="1">
        <v>26101.9</v>
      </c>
      <c r="E572" s="1">
        <v>0</v>
      </c>
      <c r="F572" s="1">
        <v>385308</v>
      </c>
      <c r="G572" s="1">
        <v>11229.9</v>
      </c>
      <c r="H572" s="1">
        <v>354440</v>
      </c>
      <c r="I572" s="1">
        <v>401102</v>
      </c>
      <c r="J572" s="1">
        <v>42041.8</v>
      </c>
      <c r="K572" s="1">
        <v>86058.7</v>
      </c>
      <c r="L572" s="1">
        <v>73321.399999999994</v>
      </c>
      <c r="M572" s="1">
        <v>34329.5</v>
      </c>
      <c r="N572" s="1">
        <v>47337.7</v>
      </c>
      <c r="O572" s="1">
        <v>66024</v>
      </c>
      <c r="P572" s="1">
        <v>49956</v>
      </c>
      <c r="Q572" s="1">
        <v>77783</v>
      </c>
      <c r="R572" s="1">
        <v>0</v>
      </c>
    </row>
    <row r="573" spans="1:18">
      <c r="A573" s="2">
        <v>0.625</v>
      </c>
      <c r="B573" s="1">
        <v>847079</v>
      </c>
      <c r="C573" s="1">
        <v>929717</v>
      </c>
      <c r="D573" s="1">
        <v>26142.5</v>
      </c>
      <c r="E573" s="1">
        <v>0</v>
      </c>
      <c r="F573" s="1">
        <v>385375</v>
      </c>
      <c r="G573" s="1">
        <v>11333.3</v>
      </c>
      <c r="H573" s="1">
        <v>354537</v>
      </c>
      <c r="I573" s="1">
        <v>401582</v>
      </c>
      <c r="J573" s="1">
        <v>42057.4</v>
      </c>
      <c r="K573" s="1">
        <v>86059.1</v>
      </c>
      <c r="L573" s="1">
        <v>73409.399999999994</v>
      </c>
      <c r="M573" s="1">
        <v>34397.9</v>
      </c>
      <c r="N573" s="1">
        <v>47382.3</v>
      </c>
      <c r="O573" s="1">
        <v>66098.899999999994</v>
      </c>
      <c r="P573" s="1">
        <v>49971</v>
      </c>
      <c r="Q573" s="1">
        <v>77806</v>
      </c>
      <c r="R573" s="1">
        <v>0</v>
      </c>
    </row>
    <row r="574" spans="1:18">
      <c r="A574" s="2">
        <v>0.66666666666666663</v>
      </c>
      <c r="B574" s="1">
        <v>848694</v>
      </c>
      <c r="C574" s="1">
        <v>930132</v>
      </c>
      <c r="D574" s="1">
        <v>26182.1</v>
      </c>
      <c r="E574" s="1">
        <v>0</v>
      </c>
      <c r="F574" s="1">
        <v>385441</v>
      </c>
      <c r="G574" s="1">
        <v>11442</v>
      </c>
      <c r="H574" s="1">
        <v>354633</v>
      </c>
      <c r="I574" s="1">
        <v>402052</v>
      </c>
      <c r="J574" s="1">
        <v>42072.9</v>
      </c>
      <c r="K574" s="1">
        <v>86062</v>
      </c>
      <c r="L574" s="1">
        <v>73501.899999999994</v>
      </c>
      <c r="M574" s="1">
        <v>34470.800000000003</v>
      </c>
      <c r="N574" s="1">
        <v>47428.4</v>
      </c>
      <c r="O574" s="1">
        <v>66163.600000000006</v>
      </c>
      <c r="P574" s="1">
        <v>49985</v>
      </c>
      <c r="Q574" s="1">
        <v>77827</v>
      </c>
      <c r="R574" s="1">
        <v>0</v>
      </c>
    </row>
    <row r="575" spans="1:18">
      <c r="A575" s="2">
        <v>0.70833333333333337</v>
      </c>
      <c r="B575" s="1">
        <v>850263</v>
      </c>
      <c r="C575" s="1">
        <v>930536</v>
      </c>
      <c r="D575" s="1">
        <v>26221</v>
      </c>
      <c r="E575" s="1">
        <v>0</v>
      </c>
      <c r="F575" s="1">
        <v>385503</v>
      </c>
      <c r="G575" s="1">
        <v>11550.6</v>
      </c>
      <c r="H575" s="1">
        <v>354714</v>
      </c>
      <c r="I575" s="1">
        <v>402514</v>
      </c>
      <c r="J575" s="1">
        <v>42085.4</v>
      </c>
      <c r="K575" s="1">
        <v>86071.4</v>
      </c>
      <c r="L575" s="1">
        <v>73598.2</v>
      </c>
      <c r="M575" s="1">
        <v>34539.699999999997</v>
      </c>
      <c r="N575" s="1">
        <v>47477.3</v>
      </c>
      <c r="O575" s="1">
        <v>66228.800000000003</v>
      </c>
      <c r="P575" s="1">
        <v>49995</v>
      </c>
      <c r="Q575" s="1">
        <v>77843</v>
      </c>
      <c r="R575" s="1">
        <v>0</v>
      </c>
    </row>
    <row r="576" spans="1:18">
      <c r="A576" s="2">
        <v>0.75</v>
      </c>
      <c r="B576" s="1">
        <v>851693</v>
      </c>
      <c r="C576" s="1">
        <v>930897</v>
      </c>
      <c r="D576" s="1">
        <v>26258.2</v>
      </c>
      <c r="E576" s="1">
        <v>0</v>
      </c>
      <c r="F576" s="1">
        <v>385550</v>
      </c>
      <c r="G576" s="1">
        <v>11648.2</v>
      </c>
      <c r="H576" s="1">
        <v>354785</v>
      </c>
      <c r="I576" s="1">
        <v>402937</v>
      </c>
      <c r="J576" s="1">
        <v>42097.3</v>
      </c>
      <c r="K576" s="1">
        <v>86087.9</v>
      </c>
      <c r="L576" s="1">
        <v>73685.600000000006</v>
      </c>
      <c r="M576" s="1">
        <v>34601.1</v>
      </c>
      <c r="N576" s="1">
        <v>47529.9</v>
      </c>
      <c r="O576" s="1">
        <v>66302.8</v>
      </c>
      <c r="P576" s="1">
        <v>50002</v>
      </c>
      <c r="Q576" s="1">
        <v>77852</v>
      </c>
      <c r="R576" s="1">
        <v>0</v>
      </c>
    </row>
    <row r="577" spans="1:18">
      <c r="A577" s="2">
        <v>0.79166666666666663</v>
      </c>
      <c r="B577" s="1">
        <v>852930</v>
      </c>
      <c r="C577" s="1">
        <v>931203</v>
      </c>
      <c r="D577" s="1">
        <v>26290</v>
      </c>
      <c r="E577" s="1">
        <v>0</v>
      </c>
      <c r="F577" s="1">
        <v>385591</v>
      </c>
      <c r="G577" s="1">
        <v>11730.3</v>
      </c>
      <c r="H577" s="1">
        <v>354839</v>
      </c>
      <c r="I577" s="1">
        <v>403323</v>
      </c>
      <c r="J577" s="1">
        <v>42108.1</v>
      </c>
      <c r="K577" s="1">
        <v>86104.7</v>
      </c>
      <c r="L577" s="1">
        <v>73736.600000000006</v>
      </c>
      <c r="M577" s="1">
        <v>34654.199999999997</v>
      </c>
      <c r="N577" s="1">
        <v>47584.800000000003</v>
      </c>
      <c r="O577" s="1">
        <v>66372.899999999994</v>
      </c>
      <c r="P577" s="1">
        <v>50003</v>
      </c>
      <c r="Q577" s="1">
        <v>77855</v>
      </c>
      <c r="R577" s="1">
        <v>0</v>
      </c>
    </row>
    <row r="578" spans="1:18">
      <c r="A578" s="2">
        <v>0.83333333333333337</v>
      </c>
      <c r="B578" s="1">
        <v>854029</v>
      </c>
      <c r="C578" s="1">
        <v>931471</v>
      </c>
      <c r="D578" s="1">
        <v>26310.9</v>
      </c>
      <c r="E578" s="1">
        <v>0</v>
      </c>
      <c r="F578" s="1">
        <v>385623</v>
      </c>
      <c r="G578" s="1">
        <v>11809.3</v>
      </c>
      <c r="H578" s="1">
        <v>354891</v>
      </c>
      <c r="I578" s="1">
        <v>403665</v>
      </c>
      <c r="J578" s="1">
        <v>42119.1</v>
      </c>
      <c r="K578" s="1">
        <v>86122</v>
      </c>
      <c r="L578" s="1">
        <v>73773.5</v>
      </c>
      <c r="M578" s="1">
        <v>34706.800000000003</v>
      </c>
      <c r="N578" s="1">
        <v>47640.7</v>
      </c>
      <c r="O578" s="1">
        <v>66438.5</v>
      </c>
      <c r="P578" s="1">
        <v>50003</v>
      </c>
      <c r="Q578" s="1">
        <v>77855</v>
      </c>
      <c r="R578" s="1">
        <v>0</v>
      </c>
    </row>
    <row r="579" spans="1:18">
      <c r="A579" s="2">
        <v>0.875</v>
      </c>
      <c r="B579" s="1">
        <v>855017</v>
      </c>
      <c r="C579" s="1">
        <v>931707</v>
      </c>
      <c r="D579" s="1">
        <v>26331.599999999999</v>
      </c>
      <c r="E579" s="1">
        <v>0</v>
      </c>
      <c r="F579" s="1">
        <v>385650</v>
      </c>
      <c r="G579" s="1">
        <v>11882</v>
      </c>
      <c r="H579" s="1">
        <v>354922</v>
      </c>
      <c r="I579" s="1">
        <v>403974</v>
      </c>
      <c r="J579" s="1">
        <v>42130.2</v>
      </c>
      <c r="K579" s="1">
        <v>86139.199999999997</v>
      </c>
      <c r="L579" s="1">
        <v>73805.8</v>
      </c>
      <c r="M579" s="1">
        <v>34759.4</v>
      </c>
      <c r="N579" s="1">
        <v>47696.9</v>
      </c>
      <c r="O579" s="1">
        <v>66498.5</v>
      </c>
      <c r="P579" s="1">
        <v>50003</v>
      </c>
      <c r="Q579" s="1">
        <v>77855</v>
      </c>
      <c r="R579" s="1">
        <v>0</v>
      </c>
    </row>
    <row r="580" spans="1:18">
      <c r="A580" s="2">
        <v>0.91666666666666663</v>
      </c>
      <c r="B580" s="1">
        <v>855882</v>
      </c>
      <c r="C580" s="1">
        <v>931927</v>
      </c>
      <c r="D580" s="1">
        <v>26349.1</v>
      </c>
      <c r="E580" s="1">
        <v>0</v>
      </c>
      <c r="F580" s="1">
        <v>385675</v>
      </c>
      <c r="G580" s="1">
        <v>11948.3</v>
      </c>
      <c r="H580" s="1">
        <v>354933</v>
      </c>
      <c r="I580" s="1">
        <v>404258</v>
      </c>
      <c r="J580" s="1">
        <v>42140.9</v>
      </c>
      <c r="K580" s="1">
        <v>86148.9</v>
      </c>
      <c r="L580" s="1">
        <v>73835.100000000006</v>
      </c>
      <c r="M580" s="1">
        <v>34809.300000000003</v>
      </c>
      <c r="N580" s="1">
        <v>47752.9</v>
      </c>
      <c r="O580" s="1">
        <v>66528.399999999994</v>
      </c>
      <c r="P580" s="1">
        <v>50003</v>
      </c>
      <c r="Q580" s="1">
        <v>77855</v>
      </c>
      <c r="R580" s="1">
        <v>0</v>
      </c>
    </row>
    <row r="581" spans="1:18">
      <c r="A581" s="2">
        <v>0.95833333333333337</v>
      </c>
      <c r="B581" s="1">
        <v>856706</v>
      </c>
      <c r="C581" s="1">
        <v>932141</v>
      </c>
      <c r="D581" s="1">
        <v>26365.3</v>
      </c>
      <c r="E581" s="1">
        <v>0</v>
      </c>
      <c r="F581" s="1">
        <v>385700</v>
      </c>
      <c r="G581" s="1">
        <v>12009.7</v>
      </c>
      <c r="H581" s="1">
        <v>354945</v>
      </c>
      <c r="I581" s="1">
        <v>404534</v>
      </c>
      <c r="J581" s="1">
        <v>42151.5</v>
      </c>
      <c r="K581" s="1">
        <v>86152.1</v>
      </c>
      <c r="L581" s="1">
        <v>73860.800000000003</v>
      </c>
      <c r="M581" s="1">
        <v>34857.300000000003</v>
      </c>
      <c r="N581" s="1">
        <v>47809.8</v>
      </c>
      <c r="O581" s="1">
        <v>66550.2</v>
      </c>
      <c r="P581" s="1">
        <v>50003</v>
      </c>
      <c r="Q581" s="1">
        <v>77855</v>
      </c>
      <c r="R581" s="1">
        <v>0</v>
      </c>
    </row>
    <row r="582" spans="1:18">
      <c r="A582" s="2">
        <v>0</v>
      </c>
      <c r="B582" s="1">
        <v>857510</v>
      </c>
      <c r="C582" s="1">
        <v>932345</v>
      </c>
      <c r="D582" s="1">
        <v>26379.4</v>
      </c>
      <c r="E582" s="1">
        <v>0</v>
      </c>
      <c r="F582" s="1">
        <v>385725</v>
      </c>
      <c r="G582" s="1">
        <v>12069.3</v>
      </c>
      <c r="H582" s="1">
        <v>354958</v>
      </c>
      <c r="I582" s="1">
        <v>404808</v>
      </c>
      <c r="J582" s="1">
        <v>42162</v>
      </c>
      <c r="K582" s="1">
        <v>86155.5</v>
      </c>
      <c r="L582" s="1">
        <v>73888</v>
      </c>
      <c r="M582" s="1">
        <v>34903.1</v>
      </c>
      <c r="N582" s="1">
        <v>47865.4</v>
      </c>
      <c r="O582" s="1">
        <v>66571.899999999994</v>
      </c>
      <c r="P582" s="1">
        <v>50003</v>
      </c>
      <c r="Q582" s="1">
        <v>77855</v>
      </c>
      <c r="R582" s="1">
        <v>0</v>
      </c>
    </row>
    <row r="583" spans="1:18">
      <c r="A583" s="2">
        <v>4.1666666666666664E-2</v>
      </c>
      <c r="B583" s="1">
        <v>858290</v>
      </c>
      <c r="C583" s="1">
        <v>932544</v>
      </c>
      <c r="D583" s="1">
        <v>26392.6</v>
      </c>
      <c r="E583" s="1">
        <v>0</v>
      </c>
      <c r="F583" s="1">
        <v>385751</v>
      </c>
      <c r="G583" s="1">
        <v>12130.5</v>
      </c>
      <c r="H583" s="1">
        <v>354970</v>
      </c>
      <c r="I583" s="1">
        <v>405065</v>
      </c>
      <c r="J583" s="1">
        <v>42172.6</v>
      </c>
      <c r="K583" s="1">
        <v>86158.9</v>
      </c>
      <c r="L583" s="1">
        <v>73913.399999999994</v>
      </c>
      <c r="M583" s="1">
        <v>34947.300000000003</v>
      </c>
      <c r="N583" s="1">
        <v>47920.2</v>
      </c>
      <c r="O583" s="1">
        <v>66592.2</v>
      </c>
      <c r="P583" s="1">
        <v>50003</v>
      </c>
      <c r="Q583" s="1">
        <v>77855</v>
      </c>
      <c r="R583" s="1">
        <v>0</v>
      </c>
    </row>
    <row r="584" spans="1:18">
      <c r="A584" s="2">
        <v>8.3333333333333329E-2</v>
      </c>
      <c r="B584" s="1">
        <v>859039</v>
      </c>
      <c r="C584" s="1">
        <v>932730</v>
      </c>
      <c r="D584" s="1">
        <v>26406</v>
      </c>
      <c r="E584" s="1">
        <v>0</v>
      </c>
      <c r="F584" s="1">
        <v>385777</v>
      </c>
      <c r="G584" s="1">
        <v>12187.1</v>
      </c>
      <c r="H584" s="1">
        <v>354983</v>
      </c>
      <c r="I584" s="1">
        <v>405314</v>
      </c>
      <c r="J584" s="1">
        <v>42183.1</v>
      </c>
      <c r="K584" s="1">
        <v>86162.1</v>
      </c>
      <c r="L584" s="1">
        <v>73937.3</v>
      </c>
      <c r="M584" s="1">
        <v>34990.400000000001</v>
      </c>
      <c r="N584" s="1">
        <v>47974.8</v>
      </c>
      <c r="O584" s="1">
        <v>66612.899999999994</v>
      </c>
      <c r="P584" s="1">
        <v>50003</v>
      </c>
      <c r="Q584" s="1">
        <v>77855</v>
      </c>
      <c r="R584" s="1">
        <v>0</v>
      </c>
    </row>
    <row r="585" spans="1:18">
      <c r="A585" s="2">
        <v>0.125</v>
      </c>
      <c r="B585" s="1">
        <v>859758</v>
      </c>
      <c r="C585" s="1">
        <v>932909</v>
      </c>
      <c r="D585" s="1">
        <v>26419.599999999999</v>
      </c>
      <c r="E585" s="1">
        <v>0</v>
      </c>
      <c r="F585" s="1">
        <v>385801</v>
      </c>
      <c r="G585" s="1">
        <v>12242.2</v>
      </c>
      <c r="H585" s="1">
        <v>354996</v>
      </c>
      <c r="I585" s="1">
        <v>405547</v>
      </c>
      <c r="J585" s="1">
        <v>42195</v>
      </c>
      <c r="K585" s="1">
        <v>86165.3</v>
      </c>
      <c r="L585" s="1">
        <v>73960.3</v>
      </c>
      <c r="M585" s="1">
        <v>35033.300000000003</v>
      </c>
      <c r="N585" s="1">
        <v>48028.800000000003</v>
      </c>
      <c r="O585" s="1">
        <v>66633</v>
      </c>
      <c r="P585" s="1">
        <v>50003</v>
      </c>
      <c r="Q585" s="1">
        <v>77855</v>
      </c>
      <c r="R585" s="1">
        <v>0</v>
      </c>
    </row>
    <row r="586" spans="1:18">
      <c r="A586" s="2">
        <v>0.16666666666666666</v>
      </c>
      <c r="B586" s="1">
        <v>860462</v>
      </c>
      <c r="C586" s="1">
        <v>933083</v>
      </c>
      <c r="D586" s="1">
        <v>26433</v>
      </c>
      <c r="E586" s="1">
        <v>0</v>
      </c>
      <c r="F586" s="1">
        <v>385824</v>
      </c>
      <c r="G586" s="1">
        <v>12296</v>
      </c>
      <c r="H586" s="1">
        <v>355008</v>
      </c>
      <c r="I586" s="1">
        <v>405774</v>
      </c>
      <c r="J586" s="1">
        <v>42205</v>
      </c>
      <c r="K586" s="1">
        <v>86168.5</v>
      </c>
      <c r="L586" s="1">
        <v>73983.600000000006</v>
      </c>
      <c r="M586" s="1">
        <v>35076</v>
      </c>
      <c r="N586" s="1">
        <v>48082.7</v>
      </c>
      <c r="O586" s="1">
        <v>66652.3</v>
      </c>
      <c r="P586" s="1">
        <v>50003</v>
      </c>
      <c r="Q586" s="1">
        <v>77855</v>
      </c>
      <c r="R586" s="1">
        <v>0</v>
      </c>
    </row>
    <row r="587" spans="1:18">
      <c r="A587" s="2">
        <v>0.20833333333333334</v>
      </c>
      <c r="B587" s="1">
        <v>861160</v>
      </c>
      <c r="C587" s="1">
        <v>933255</v>
      </c>
      <c r="D587" s="1">
        <v>26445.9</v>
      </c>
      <c r="E587" s="1">
        <v>0</v>
      </c>
      <c r="F587" s="1">
        <v>385847</v>
      </c>
      <c r="G587" s="1">
        <v>12350.3</v>
      </c>
      <c r="H587" s="1">
        <v>355020</v>
      </c>
      <c r="I587" s="1">
        <v>405995</v>
      </c>
      <c r="J587" s="1">
        <v>42214.6</v>
      </c>
      <c r="K587" s="1">
        <v>86171.5</v>
      </c>
      <c r="L587" s="1">
        <v>74006.2</v>
      </c>
      <c r="M587" s="1">
        <v>35118.6</v>
      </c>
      <c r="N587" s="1">
        <v>48137.8</v>
      </c>
      <c r="O587" s="1">
        <v>66674.399999999994</v>
      </c>
      <c r="P587" s="1">
        <v>50003</v>
      </c>
      <c r="Q587" s="1">
        <v>77855</v>
      </c>
      <c r="R587" s="1">
        <v>0</v>
      </c>
    </row>
    <row r="588" spans="1:18">
      <c r="A588" s="2">
        <v>0.25</v>
      </c>
      <c r="B588" s="1">
        <v>861842</v>
      </c>
      <c r="C588" s="1">
        <v>933423</v>
      </c>
      <c r="D588" s="1">
        <v>26458.1</v>
      </c>
      <c r="E588" s="1">
        <v>0</v>
      </c>
      <c r="F588" s="1">
        <v>385870</v>
      </c>
      <c r="G588" s="1">
        <v>12400.5</v>
      </c>
      <c r="H588" s="1">
        <v>355032</v>
      </c>
      <c r="I588" s="1">
        <v>406213</v>
      </c>
      <c r="J588" s="1">
        <v>42224.9</v>
      </c>
      <c r="K588" s="1">
        <v>86174.399999999994</v>
      </c>
      <c r="L588" s="1">
        <v>74027.399999999994</v>
      </c>
      <c r="M588" s="1">
        <v>35160.6</v>
      </c>
      <c r="N588" s="1">
        <v>48191</v>
      </c>
      <c r="O588" s="1">
        <v>66696.100000000006</v>
      </c>
      <c r="P588" s="1">
        <v>50003</v>
      </c>
      <c r="Q588" s="1">
        <v>77855</v>
      </c>
      <c r="R588" s="1">
        <v>0</v>
      </c>
    </row>
    <row r="589" spans="1:18">
      <c r="A589" s="2">
        <v>0.29166666666666669</v>
      </c>
      <c r="B589" s="1">
        <v>862573</v>
      </c>
      <c r="C589" s="1">
        <v>933599</v>
      </c>
      <c r="D589" s="1">
        <v>26471</v>
      </c>
      <c r="E589" s="1">
        <v>0</v>
      </c>
      <c r="F589" s="1">
        <v>385894</v>
      </c>
      <c r="G589" s="1">
        <v>12453</v>
      </c>
      <c r="H589" s="1">
        <v>355044</v>
      </c>
      <c r="I589" s="1">
        <v>406438</v>
      </c>
      <c r="J589" s="1">
        <v>42235.7</v>
      </c>
      <c r="K589" s="1">
        <v>86177.1</v>
      </c>
      <c r="L589" s="1">
        <v>74049.100000000006</v>
      </c>
      <c r="M589" s="1">
        <v>35202.800000000003</v>
      </c>
      <c r="N589" s="1">
        <v>48244.7</v>
      </c>
      <c r="O589" s="1">
        <v>66740.5</v>
      </c>
      <c r="P589" s="1">
        <v>50003</v>
      </c>
      <c r="Q589" s="1">
        <v>77855</v>
      </c>
      <c r="R589" s="1">
        <v>0</v>
      </c>
    </row>
    <row r="590" spans="1:18">
      <c r="A590" s="2">
        <v>0.33333333333333331</v>
      </c>
      <c r="B590" s="1">
        <v>863364</v>
      </c>
      <c r="C590" s="1">
        <v>933793</v>
      </c>
      <c r="D590" s="1">
        <v>26485.1</v>
      </c>
      <c r="E590" s="1">
        <v>0</v>
      </c>
      <c r="F590" s="1">
        <v>385926</v>
      </c>
      <c r="G590" s="1">
        <v>12506.3</v>
      </c>
      <c r="H590" s="1">
        <v>355062</v>
      </c>
      <c r="I590" s="1">
        <v>406683</v>
      </c>
      <c r="J590" s="1">
        <v>42248.4</v>
      </c>
      <c r="K590" s="1">
        <v>86178</v>
      </c>
      <c r="L590" s="1">
        <v>74070.399999999994</v>
      </c>
      <c r="M590" s="1">
        <v>35245.199999999997</v>
      </c>
      <c r="N590" s="1">
        <v>48293.7</v>
      </c>
      <c r="O590" s="1">
        <v>66796</v>
      </c>
      <c r="P590" s="1">
        <v>50004</v>
      </c>
      <c r="Q590" s="1">
        <v>77858</v>
      </c>
      <c r="R590" s="1">
        <v>0</v>
      </c>
    </row>
    <row r="591" spans="1:18">
      <c r="A591" s="2">
        <v>0.375</v>
      </c>
      <c r="B591" s="1">
        <v>864329</v>
      </c>
      <c r="C591" s="1">
        <v>934028</v>
      </c>
      <c r="D591" s="1">
        <v>26506.6</v>
      </c>
      <c r="E591" s="1">
        <v>0</v>
      </c>
      <c r="F591" s="1">
        <v>385964</v>
      </c>
      <c r="G591" s="1">
        <v>12555.1</v>
      </c>
      <c r="H591" s="1">
        <v>355109</v>
      </c>
      <c r="I591" s="1">
        <v>406975</v>
      </c>
      <c r="J591" s="1">
        <v>42259.3</v>
      </c>
      <c r="K591" s="1">
        <v>86179.1</v>
      </c>
      <c r="L591" s="1">
        <v>74108.800000000003</v>
      </c>
      <c r="M591" s="1">
        <v>35296.5</v>
      </c>
      <c r="N591" s="1">
        <v>48339.9</v>
      </c>
      <c r="O591" s="1">
        <v>66861.100000000006</v>
      </c>
      <c r="P591" s="1">
        <v>50007</v>
      </c>
      <c r="Q591" s="1">
        <v>77868</v>
      </c>
      <c r="R591" s="1">
        <v>0</v>
      </c>
    </row>
    <row r="592" spans="1:18">
      <c r="A592" s="2">
        <v>0.41666666666666669</v>
      </c>
      <c r="B592" s="1">
        <v>865550</v>
      </c>
      <c r="C592" s="1">
        <v>934337</v>
      </c>
      <c r="D592" s="1">
        <v>26533</v>
      </c>
      <c r="E592" s="1">
        <v>0</v>
      </c>
      <c r="F592" s="1">
        <v>386006</v>
      </c>
      <c r="G592" s="1">
        <v>12614.7</v>
      </c>
      <c r="H592" s="1">
        <v>355186</v>
      </c>
      <c r="I592" s="1">
        <v>407331</v>
      </c>
      <c r="J592" s="1">
        <v>42270.1</v>
      </c>
      <c r="K592" s="1">
        <v>86181.9</v>
      </c>
      <c r="L592" s="1">
        <v>74171.600000000006</v>
      </c>
      <c r="M592" s="1">
        <v>35356.800000000003</v>
      </c>
      <c r="N592" s="1">
        <v>48386.9</v>
      </c>
      <c r="O592" s="1">
        <v>66938.8</v>
      </c>
      <c r="P592" s="1">
        <v>50018</v>
      </c>
      <c r="Q592" s="1">
        <v>77885</v>
      </c>
      <c r="R592" s="1">
        <v>0</v>
      </c>
    </row>
    <row r="593" spans="1:18">
      <c r="A593" s="2">
        <v>0.45833333333333331</v>
      </c>
      <c r="B593" s="1">
        <v>866923</v>
      </c>
      <c r="C593" s="1">
        <v>934677</v>
      </c>
      <c r="D593" s="1">
        <v>26565.1</v>
      </c>
      <c r="E593" s="1">
        <v>0</v>
      </c>
      <c r="F593" s="1">
        <v>386068</v>
      </c>
      <c r="G593" s="1">
        <v>12687.6</v>
      </c>
      <c r="H593" s="1">
        <v>355268</v>
      </c>
      <c r="I593" s="1">
        <v>407734</v>
      </c>
      <c r="J593" s="1">
        <v>42282.9</v>
      </c>
      <c r="K593" s="1">
        <v>86182.8</v>
      </c>
      <c r="L593" s="1">
        <v>74234.100000000006</v>
      </c>
      <c r="M593" s="1">
        <v>35425.300000000003</v>
      </c>
      <c r="N593" s="1">
        <v>48433.599999999999</v>
      </c>
      <c r="O593" s="1">
        <v>67020</v>
      </c>
      <c r="P593" s="1">
        <v>50032</v>
      </c>
      <c r="Q593" s="1">
        <v>77906</v>
      </c>
      <c r="R593" s="1">
        <v>0</v>
      </c>
    </row>
    <row r="594" spans="1:18">
      <c r="A594" s="2">
        <v>0.5</v>
      </c>
      <c r="B594" s="1">
        <v>868275</v>
      </c>
      <c r="C594" s="1">
        <v>935013</v>
      </c>
      <c r="D594" s="1">
        <v>26601.3</v>
      </c>
      <c r="E594" s="1">
        <v>0</v>
      </c>
      <c r="F594" s="1">
        <v>386131</v>
      </c>
      <c r="G594" s="1">
        <v>12757.6</v>
      </c>
      <c r="H594" s="1">
        <v>355348</v>
      </c>
      <c r="I594" s="1">
        <v>408150</v>
      </c>
      <c r="J594" s="1">
        <v>42295.1</v>
      </c>
      <c r="K594" s="1">
        <v>86182.9</v>
      </c>
      <c r="L594" s="1">
        <v>74292.800000000003</v>
      </c>
      <c r="M594" s="1">
        <v>35483.4</v>
      </c>
      <c r="N594" s="1">
        <v>48474.400000000001</v>
      </c>
      <c r="O594" s="1">
        <v>67106.100000000006</v>
      </c>
      <c r="P594" s="1">
        <v>50048</v>
      </c>
      <c r="Q594" s="1">
        <v>77930</v>
      </c>
      <c r="R594" s="1">
        <v>0</v>
      </c>
    </row>
    <row r="595" spans="1:18">
      <c r="A595" s="2">
        <v>0.54166666666666663</v>
      </c>
      <c r="B595" s="1">
        <v>869625</v>
      </c>
      <c r="C595" s="1">
        <v>935355</v>
      </c>
      <c r="D595" s="1">
        <v>26650.1</v>
      </c>
      <c r="E595" s="1">
        <v>0</v>
      </c>
      <c r="F595" s="1">
        <v>386184</v>
      </c>
      <c r="G595" s="1">
        <v>12826.9</v>
      </c>
      <c r="H595" s="1">
        <v>355405</v>
      </c>
      <c r="I595" s="1">
        <v>408585</v>
      </c>
      <c r="J595" s="1">
        <v>42306.5</v>
      </c>
      <c r="K595" s="1">
        <v>86182.9</v>
      </c>
      <c r="L595" s="1">
        <v>74359.600000000006</v>
      </c>
      <c r="M595" s="1">
        <v>35542.400000000001</v>
      </c>
      <c r="N595" s="1">
        <v>48515</v>
      </c>
      <c r="O595" s="1">
        <v>67188.100000000006</v>
      </c>
      <c r="P595" s="1">
        <v>50065</v>
      </c>
      <c r="Q595" s="1">
        <v>77956</v>
      </c>
      <c r="R595" s="1">
        <v>0</v>
      </c>
    </row>
    <row r="596" spans="1:18">
      <c r="A596" s="2">
        <v>0.58333333333333337</v>
      </c>
      <c r="B596" s="1">
        <v>871060</v>
      </c>
      <c r="C596" s="1">
        <v>935727</v>
      </c>
      <c r="D596" s="1">
        <v>26687.5</v>
      </c>
      <c r="E596" s="1">
        <v>0</v>
      </c>
      <c r="F596" s="1">
        <v>386239</v>
      </c>
      <c r="G596" s="1">
        <v>12926.2</v>
      </c>
      <c r="H596" s="1">
        <v>355459</v>
      </c>
      <c r="I596" s="1">
        <v>409038</v>
      </c>
      <c r="J596" s="1">
        <v>42318</v>
      </c>
      <c r="K596" s="1">
        <v>86182.9</v>
      </c>
      <c r="L596" s="1">
        <v>74437.5</v>
      </c>
      <c r="M596" s="1">
        <v>35601</v>
      </c>
      <c r="N596" s="1">
        <v>48556.800000000003</v>
      </c>
      <c r="O596" s="1">
        <v>67272.2</v>
      </c>
      <c r="P596" s="1">
        <v>50082</v>
      </c>
      <c r="Q596" s="1">
        <v>77982</v>
      </c>
      <c r="R596" s="1">
        <v>0</v>
      </c>
    </row>
    <row r="597" spans="1:18">
      <c r="A597" s="2">
        <v>0.625</v>
      </c>
      <c r="B597" s="1">
        <v>872543</v>
      </c>
      <c r="C597" s="1">
        <v>936113</v>
      </c>
      <c r="D597" s="1">
        <v>26728.2</v>
      </c>
      <c r="E597" s="1">
        <v>0</v>
      </c>
      <c r="F597" s="1">
        <v>386290</v>
      </c>
      <c r="G597" s="1">
        <v>13027.5</v>
      </c>
      <c r="H597" s="1">
        <v>355504</v>
      </c>
      <c r="I597" s="1">
        <v>409521</v>
      </c>
      <c r="J597" s="1">
        <v>42329.9</v>
      </c>
      <c r="K597" s="1">
        <v>86183.5</v>
      </c>
      <c r="L597" s="1">
        <v>74518.899999999994</v>
      </c>
      <c r="M597" s="1">
        <v>35661</v>
      </c>
      <c r="N597" s="1">
        <v>48599.199999999997</v>
      </c>
      <c r="O597" s="1">
        <v>67350.8</v>
      </c>
      <c r="P597" s="1">
        <v>50098</v>
      </c>
      <c r="Q597" s="1">
        <v>78006</v>
      </c>
      <c r="R597" s="1">
        <v>0</v>
      </c>
    </row>
    <row r="598" spans="1:18">
      <c r="A598" s="2">
        <v>0.66666666666666663</v>
      </c>
      <c r="B598" s="1">
        <v>874012</v>
      </c>
      <c r="C598" s="1">
        <v>936503</v>
      </c>
      <c r="D598" s="1">
        <v>26763.8</v>
      </c>
      <c r="E598" s="1">
        <v>0</v>
      </c>
      <c r="F598" s="1">
        <v>386349</v>
      </c>
      <c r="G598" s="1">
        <v>13122.7</v>
      </c>
      <c r="H598" s="1">
        <v>355557</v>
      </c>
      <c r="I598" s="1">
        <v>409997</v>
      </c>
      <c r="J598" s="1">
        <v>42341.599999999999</v>
      </c>
      <c r="K598" s="1">
        <v>86187.6</v>
      </c>
      <c r="L598" s="1">
        <v>74584.2</v>
      </c>
      <c r="M598" s="1">
        <v>35722.5</v>
      </c>
      <c r="N598" s="1">
        <v>48642.9</v>
      </c>
      <c r="O598" s="1">
        <v>67419.899999999994</v>
      </c>
      <c r="P598" s="1">
        <v>50111</v>
      </c>
      <c r="Q598" s="1">
        <v>78026</v>
      </c>
      <c r="R598" s="1">
        <v>0</v>
      </c>
    </row>
    <row r="599" spans="1:18">
      <c r="A599" s="2">
        <v>0.70833333333333337</v>
      </c>
      <c r="B599" s="1">
        <v>875463</v>
      </c>
      <c r="C599" s="1">
        <v>936888</v>
      </c>
      <c r="D599" s="1">
        <v>26797.1</v>
      </c>
      <c r="E599" s="1">
        <v>0</v>
      </c>
      <c r="F599" s="1">
        <v>386409</v>
      </c>
      <c r="G599" s="1">
        <v>13218</v>
      </c>
      <c r="H599" s="1">
        <v>355603</v>
      </c>
      <c r="I599" s="1">
        <v>410464</v>
      </c>
      <c r="J599" s="1">
        <v>42353</v>
      </c>
      <c r="K599" s="1">
        <v>86197.4</v>
      </c>
      <c r="L599" s="1">
        <v>74647.100000000006</v>
      </c>
      <c r="M599" s="1">
        <v>35775.599999999999</v>
      </c>
      <c r="N599" s="1">
        <v>48692.6</v>
      </c>
      <c r="O599" s="1">
        <v>67493</v>
      </c>
      <c r="P599" s="1">
        <v>50122</v>
      </c>
      <c r="Q599" s="1">
        <v>78042</v>
      </c>
      <c r="R599" s="1">
        <v>0</v>
      </c>
    </row>
    <row r="600" spans="1:18">
      <c r="A600" s="2">
        <v>0.75</v>
      </c>
      <c r="B600" s="1">
        <v>876797</v>
      </c>
      <c r="C600" s="1">
        <v>937227</v>
      </c>
      <c r="D600" s="1">
        <v>26825.7</v>
      </c>
      <c r="E600" s="1">
        <v>0</v>
      </c>
      <c r="F600" s="1">
        <v>386460</v>
      </c>
      <c r="G600" s="1">
        <v>13301.1</v>
      </c>
      <c r="H600" s="1">
        <v>355644</v>
      </c>
      <c r="I600" s="1">
        <v>410911</v>
      </c>
      <c r="J600" s="1">
        <v>42364.9</v>
      </c>
      <c r="K600" s="1">
        <v>86213</v>
      </c>
      <c r="L600" s="1">
        <v>74702.7</v>
      </c>
      <c r="M600" s="1">
        <v>35824.199999999997</v>
      </c>
      <c r="N600" s="1">
        <v>48745.3</v>
      </c>
      <c r="O600" s="1">
        <v>67564.5</v>
      </c>
      <c r="P600" s="1">
        <v>50128</v>
      </c>
      <c r="Q600" s="1">
        <v>78051</v>
      </c>
      <c r="R600" s="1">
        <v>0</v>
      </c>
    </row>
    <row r="601" spans="1:18">
      <c r="A601" s="2">
        <v>0.79166666666666663</v>
      </c>
      <c r="B601" s="1">
        <v>877990</v>
      </c>
      <c r="C601" s="1">
        <v>937525</v>
      </c>
      <c r="D601" s="1">
        <v>26853.4</v>
      </c>
      <c r="E601" s="1">
        <v>0</v>
      </c>
      <c r="F601" s="1">
        <v>386500</v>
      </c>
      <c r="G601" s="1">
        <v>13384.8</v>
      </c>
      <c r="H601" s="1">
        <v>355668</v>
      </c>
      <c r="I601" s="1">
        <v>411295</v>
      </c>
      <c r="J601" s="1">
        <v>42387.9</v>
      </c>
      <c r="K601" s="1">
        <v>86230.1</v>
      </c>
      <c r="L601" s="1">
        <v>74747.8</v>
      </c>
      <c r="M601" s="1">
        <v>35872.300000000003</v>
      </c>
      <c r="N601" s="1">
        <v>48798.8</v>
      </c>
      <c r="O601" s="1">
        <v>67638.899999999994</v>
      </c>
      <c r="P601" s="1">
        <v>50129</v>
      </c>
      <c r="Q601" s="1">
        <v>78054</v>
      </c>
      <c r="R601" s="1">
        <v>0</v>
      </c>
    </row>
    <row r="602" spans="1:18">
      <c r="A602" s="2">
        <v>0.83333333333333337</v>
      </c>
      <c r="B602" s="1">
        <v>879067</v>
      </c>
      <c r="C602" s="1">
        <v>937781</v>
      </c>
      <c r="D602" s="1">
        <v>26878.400000000001</v>
      </c>
      <c r="E602" s="1">
        <v>0</v>
      </c>
      <c r="F602" s="1">
        <v>386534</v>
      </c>
      <c r="G602" s="1">
        <v>13466.4</v>
      </c>
      <c r="H602" s="1">
        <v>355688</v>
      </c>
      <c r="I602" s="1">
        <v>411639</v>
      </c>
      <c r="J602" s="1">
        <v>42431.199999999997</v>
      </c>
      <c r="K602" s="1">
        <v>86247</v>
      </c>
      <c r="L602" s="1">
        <v>74778.3</v>
      </c>
      <c r="M602" s="1">
        <v>35917.300000000003</v>
      </c>
      <c r="N602" s="1">
        <v>48854</v>
      </c>
      <c r="O602" s="1">
        <v>67704.5</v>
      </c>
      <c r="P602" s="1">
        <v>50129</v>
      </c>
      <c r="Q602" s="1">
        <v>78054</v>
      </c>
      <c r="R602" s="1">
        <v>0</v>
      </c>
    </row>
    <row r="603" spans="1:18">
      <c r="A603" s="2">
        <v>0.875</v>
      </c>
      <c r="B603" s="1">
        <v>880060</v>
      </c>
      <c r="C603" s="1">
        <v>938007</v>
      </c>
      <c r="D603" s="1">
        <v>26899.3</v>
      </c>
      <c r="E603" s="1">
        <v>0</v>
      </c>
      <c r="F603" s="1">
        <v>386565</v>
      </c>
      <c r="G603" s="1">
        <v>13549</v>
      </c>
      <c r="H603" s="1">
        <v>355704</v>
      </c>
      <c r="I603" s="1">
        <v>411950</v>
      </c>
      <c r="J603" s="1">
        <v>42475.199999999997</v>
      </c>
      <c r="K603" s="1">
        <v>86263.8</v>
      </c>
      <c r="L603" s="1">
        <v>74807.600000000006</v>
      </c>
      <c r="M603" s="1">
        <v>35960</v>
      </c>
      <c r="N603" s="1">
        <v>48909.7</v>
      </c>
      <c r="O603" s="1">
        <v>67763.899999999994</v>
      </c>
      <c r="P603" s="1">
        <v>50129</v>
      </c>
      <c r="Q603" s="1">
        <v>78054</v>
      </c>
      <c r="R603" s="1">
        <v>0</v>
      </c>
    </row>
    <row r="604" spans="1:18">
      <c r="A604" s="2">
        <v>0.91666666666666663</v>
      </c>
      <c r="B604" s="1">
        <v>880960</v>
      </c>
      <c r="C604" s="1">
        <v>938222</v>
      </c>
      <c r="D604" s="1">
        <v>26914.799999999999</v>
      </c>
      <c r="E604" s="1">
        <v>0</v>
      </c>
      <c r="F604" s="1">
        <v>386593</v>
      </c>
      <c r="G604" s="1">
        <v>13624.6</v>
      </c>
      <c r="H604" s="1">
        <v>355719</v>
      </c>
      <c r="I604" s="1">
        <v>412247</v>
      </c>
      <c r="J604" s="1">
        <v>42504.2</v>
      </c>
      <c r="K604" s="1">
        <v>86274.2</v>
      </c>
      <c r="L604" s="1">
        <v>74833.2</v>
      </c>
      <c r="M604" s="1">
        <v>36003</v>
      </c>
      <c r="N604" s="1">
        <v>48965.3</v>
      </c>
      <c r="O604" s="1">
        <v>67797.8</v>
      </c>
      <c r="P604" s="1">
        <v>50129</v>
      </c>
      <c r="Q604" s="1">
        <v>78054</v>
      </c>
      <c r="R604" s="1">
        <v>0</v>
      </c>
    </row>
    <row r="605" spans="1:18">
      <c r="A605" s="2">
        <v>0.95833333333333337</v>
      </c>
      <c r="B605" s="1">
        <v>881775</v>
      </c>
      <c r="C605" s="1">
        <v>938426</v>
      </c>
      <c r="D605" s="1">
        <v>26930.7</v>
      </c>
      <c r="E605" s="1">
        <v>0</v>
      </c>
      <c r="F605" s="1">
        <v>386616</v>
      </c>
      <c r="G605" s="1">
        <v>13692.2</v>
      </c>
      <c r="H605" s="1">
        <v>355731</v>
      </c>
      <c r="I605" s="1">
        <v>412527</v>
      </c>
      <c r="J605" s="1">
        <v>42513.9</v>
      </c>
      <c r="K605" s="1">
        <v>86277.7</v>
      </c>
      <c r="L605" s="1">
        <v>74859.399999999994</v>
      </c>
      <c r="M605" s="1">
        <v>36045.800000000003</v>
      </c>
      <c r="N605" s="1">
        <v>49020.2</v>
      </c>
      <c r="O605" s="1">
        <v>67818.7</v>
      </c>
      <c r="P605" s="1">
        <v>50129</v>
      </c>
      <c r="Q605" s="1">
        <v>78054</v>
      </c>
      <c r="R605" s="1">
        <v>0</v>
      </c>
    </row>
    <row r="606" spans="1:18">
      <c r="A606" s="2">
        <v>0</v>
      </c>
      <c r="B606" s="1">
        <v>882559</v>
      </c>
      <c r="C606" s="1">
        <v>938617</v>
      </c>
      <c r="D606" s="1">
        <v>26943.9</v>
      </c>
      <c r="E606" s="1">
        <v>0</v>
      </c>
      <c r="F606" s="1">
        <v>386637</v>
      </c>
      <c r="G606" s="1">
        <v>13753.6</v>
      </c>
      <c r="H606" s="1">
        <v>355747</v>
      </c>
      <c r="I606" s="1">
        <v>412801</v>
      </c>
      <c r="J606" s="1">
        <v>42523.3</v>
      </c>
      <c r="K606" s="1">
        <v>86280.9</v>
      </c>
      <c r="L606" s="1">
        <v>74886.2</v>
      </c>
      <c r="M606" s="1">
        <v>36089.300000000003</v>
      </c>
      <c r="N606" s="1">
        <v>49074.2</v>
      </c>
      <c r="O606" s="1">
        <v>67837.8</v>
      </c>
      <c r="P606" s="1">
        <v>50129</v>
      </c>
      <c r="Q606" s="1">
        <v>78054</v>
      </c>
      <c r="R606" s="1">
        <v>0</v>
      </c>
    </row>
    <row r="607" spans="1:18">
      <c r="A607" s="2">
        <v>4.1666666666666664E-2</v>
      </c>
      <c r="B607" s="1">
        <v>883314</v>
      </c>
      <c r="C607" s="1">
        <v>938805</v>
      </c>
      <c r="D607" s="1">
        <v>26957.1</v>
      </c>
      <c r="E607" s="1">
        <v>0</v>
      </c>
      <c r="F607" s="1">
        <v>386656</v>
      </c>
      <c r="G607" s="1">
        <v>13816</v>
      </c>
      <c r="H607" s="1">
        <v>355760</v>
      </c>
      <c r="I607" s="1">
        <v>413054</v>
      </c>
      <c r="J607" s="1">
        <v>42532.800000000003</v>
      </c>
      <c r="K607" s="1">
        <v>86284.1</v>
      </c>
      <c r="L607" s="1">
        <v>74913</v>
      </c>
      <c r="M607" s="1">
        <v>36132.199999999997</v>
      </c>
      <c r="N607" s="1">
        <v>49129.2</v>
      </c>
      <c r="O607" s="1">
        <v>67856</v>
      </c>
      <c r="P607" s="1">
        <v>50129</v>
      </c>
      <c r="Q607" s="1">
        <v>78054</v>
      </c>
      <c r="R607" s="1">
        <v>0</v>
      </c>
    </row>
    <row r="608" spans="1:18">
      <c r="A608" s="2">
        <v>8.3333333333333329E-2</v>
      </c>
      <c r="B608" s="1">
        <v>884033</v>
      </c>
      <c r="C608" s="1">
        <v>938985</v>
      </c>
      <c r="D608" s="1">
        <v>26969.8</v>
      </c>
      <c r="E608" s="1">
        <v>0</v>
      </c>
      <c r="F608" s="1">
        <v>386674</v>
      </c>
      <c r="G608" s="1">
        <v>13876.9</v>
      </c>
      <c r="H608" s="1">
        <v>355773</v>
      </c>
      <c r="I608" s="1">
        <v>413286</v>
      </c>
      <c r="J608" s="1">
        <v>42541.8</v>
      </c>
      <c r="K608" s="1">
        <v>86287.3</v>
      </c>
      <c r="L608" s="1">
        <v>74939.3</v>
      </c>
      <c r="M608" s="1">
        <v>36174.699999999997</v>
      </c>
      <c r="N608" s="1">
        <v>49183.199999999997</v>
      </c>
      <c r="O608" s="1">
        <v>67874.3</v>
      </c>
      <c r="P608" s="1">
        <v>50129</v>
      </c>
      <c r="Q608" s="1">
        <v>78054</v>
      </c>
      <c r="R608" s="1">
        <v>0</v>
      </c>
    </row>
    <row r="609" spans="1:18">
      <c r="A609" s="2">
        <v>0.125</v>
      </c>
      <c r="B609" s="1">
        <v>884726</v>
      </c>
      <c r="C609" s="1">
        <v>939161</v>
      </c>
      <c r="D609" s="1">
        <v>26984</v>
      </c>
      <c r="E609" s="1">
        <v>0</v>
      </c>
      <c r="F609" s="1">
        <v>386693</v>
      </c>
      <c r="G609" s="1">
        <v>13936.2</v>
      </c>
      <c r="H609" s="1">
        <v>355785</v>
      </c>
      <c r="I609" s="1">
        <v>413499</v>
      </c>
      <c r="J609" s="1">
        <v>42550.3</v>
      </c>
      <c r="K609" s="1">
        <v>86290.5</v>
      </c>
      <c r="L609" s="1">
        <v>74965</v>
      </c>
      <c r="M609" s="1">
        <v>36216.800000000003</v>
      </c>
      <c r="N609" s="1">
        <v>49237</v>
      </c>
      <c r="O609" s="1">
        <v>67893</v>
      </c>
      <c r="P609" s="1">
        <v>50129</v>
      </c>
      <c r="Q609" s="1">
        <v>78054</v>
      </c>
      <c r="R609" s="1">
        <v>0</v>
      </c>
    </row>
    <row r="610" spans="1:18">
      <c r="A610" s="2">
        <v>0.16666666666666666</v>
      </c>
      <c r="B610" s="1">
        <v>885416</v>
      </c>
      <c r="C610" s="1">
        <v>939336</v>
      </c>
      <c r="D610" s="1">
        <v>26997.3</v>
      </c>
      <c r="E610" s="1">
        <v>0</v>
      </c>
      <c r="F610" s="1">
        <v>386711</v>
      </c>
      <c r="G610" s="1">
        <v>13995.2</v>
      </c>
      <c r="H610" s="1">
        <v>355797</v>
      </c>
      <c r="I610" s="1">
        <v>413711</v>
      </c>
      <c r="J610" s="1">
        <v>42559.1</v>
      </c>
      <c r="K610" s="1">
        <v>86293.6</v>
      </c>
      <c r="L610" s="1">
        <v>74991.199999999997</v>
      </c>
      <c r="M610" s="1">
        <v>36259.300000000003</v>
      </c>
      <c r="N610" s="1">
        <v>49291</v>
      </c>
      <c r="O610" s="1">
        <v>67911</v>
      </c>
      <c r="P610" s="1">
        <v>50129</v>
      </c>
      <c r="Q610" s="1">
        <v>78054</v>
      </c>
      <c r="R610" s="1">
        <v>0</v>
      </c>
    </row>
    <row r="611" spans="1:18">
      <c r="A611" s="2">
        <v>0.20833333333333334</v>
      </c>
      <c r="B611" s="1">
        <v>886107</v>
      </c>
      <c r="C611" s="1">
        <v>939511</v>
      </c>
      <c r="D611" s="1">
        <v>27010.9</v>
      </c>
      <c r="E611" s="1">
        <v>0</v>
      </c>
      <c r="F611" s="1">
        <v>386729</v>
      </c>
      <c r="G611" s="1">
        <v>14053.7</v>
      </c>
      <c r="H611" s="1">
        <v>355809</v>
      </c>
      <c r="I611" s="1">
        <v>413923</v>
      </c>
      <c r="J611" s="1">
        <v>42567.9</v>
      </c>
      <c r="K611" s="1">
        <v>86296.8</v>
      </c>
      <c r="L611" s="1">
        <v>75016.899999999994</v>
      </c>
      <c r="M611" s="1">
        <v>36301.800000000003</v>
      </c>
      <c r="N611" s="1">
        <v>49344.7</v>
      </c>
      <c r="O611" s="1">
        <v>67929.7</v>
      </c>
      <c r="P611" s="1">
        <v>50129</v>
      </c>
      <c r="Q611" s="1">
        <v>78054</v>
      </c>
      <c r="R611" s="1">
        <v>0</v>
      </c>
    </row>
    <row r="612" spans="1:18">
      <c r="A612" s="2">
        <v>0.25</v>
      </c>
      <c r="B612" s="1">
        <v>886795</v>
      </c>
      <c r="C612" s="1">
        <v>939686</v>
      </c>
      <c r="D612" s="1">
        <v>27024.2</v>
      </c>
      <c r="E612" s="1">
        <v>0</v>
      </c>
      <c r="F612" s="1">
        <v>386749</v>
      </c>
      <c r="G612" s="1">
        <v>14109.1</v>
      </c>
      <c r="H612" s="1">
        <v>355821</v>
      </c>
      <c r="I612" s="1">
        <v>414134</v>
      </c>
      <c r="J612" s="1">
        <v>42576.3</v>
      </c>
      <c r="K612" s="1">
        <v>86300.3</v>
      </c>
      <c r="L612" s="1">
        <v>75040.7</v>
      </c>
      <c r="M612" s="1">
        <v>36343.800000000003</v>
      </c>
      <c r="N612" s="1">
        <v>49400</v>
      </c>
      <c r="O612" s="1">
        <v>67949.5</v>
      </c>
      <c r="P612" s="1">
        <v>50129</v>
      </c>
      <c r="Q612" s="1">
        <v>78054</v>
      </c>
      <c r="R612" s="1">
        <v>0</v>
      </c>
    </row>
    <row r="613" spans="1:18">
      <c r="A613" s="2">
        <v>0.29166666666666669</v>
      </c>
      <c r="B613" s="1">
        <v>887513</v>
      </c>
      <c r="C613" s="1">
        <v>939868</v>
      </c>
      <c r="D613" s="1">
        <v>27036.400000000001</v>
      </c>
      <c r="E613" s="1">
        <v>0</v>
      </c>
      <c r="F613" s="1">
        <v>386770</v>
      </c>
      <c r="G613" s="1">
        <v>14165</v>
      </c>
      <c r="H613" s="1">
        <v>355833</v>
      </c>
      <c r="I613" s="1">
        <v>414352</v>
      </c>
      <c r="J613" s="1">
        <v>42585.7</v>
      </c>
      <c r="K613" s="1">
        <v>86303</v>
      </c>
      <c r="L613" s="1">
        <v>75064</v>
      </c>
      <c r="M613" s="1">
        <v>36385.800000000003</v>
      </c>
      <c r="N613" s="1">
        <v>49451.199999999997</v>
      </c>
      <c r="O613" s="1">
        <v>67990.3</v>
      </c>
      <c r="P613" s="1">
        <v>50130</v>
      </c>
      <c r="Q613" s="1">
        <v>78055</v>
      </c>
      <c r="R613" s="1">
        <v>0</v>
      </c>
    </row>
    <row r="614" spans="1:18">
      <c r="A614" s="2">
        <v>0.33333333333333331</v>
      </c>
      <c r="B614" s="1">
        <v>888300</v>
      </c>
      <c r="C614" s="1">
        <v>940068</v>
      </c>
      <c r="D614" s="1">
        <v>27049.599999999999</v>
      </c>
      <c r="E614" s="1">
        <v>0</v>
      </c>
      <c r="F614" s="1">
        <v>386796</v>
      </c>
      <c r="G614" s="1">
        <v>14218.1</v>
      </c>
      <c r="H614" s="1">
        <v>355855</v>
      </c>
      <c r="I614" s="1">
        <v>414585</v>
      </c>
      <c r="J614" s="1">
        <v>42595.3</v>
      </c>
      <c r="K614" s="1">
        <v>86303.9</v>
      </c>
      <c r="L614" s="1">
        <v>75089</v>
      </c>
      <c r="M614" s="1">
        <v>36431</v>
      </c>
      <c r="N614" s="1">
        <v>49501.2</v>
      </c>
      <c r="O614" s="1">
        <v>68045.3</v>
      </c>
      <c r="P614" s="1">
        <v>50131</v>
      </c>
      <c r="Q614" s="1">
        <v>78057</v>
      </c>
      <c r="R614" s="1">
        <v>0</v>
      </c>
    </row>
    <row r="615" spans="1:18">
      <c r="A615" s="2">
        <v>0.375</v>
      </c>
      <c r="B615" s="1">
        <v>889271</v>
      </c>
      <c r="C615" s="1">
        <v>940314</v>
      </c>
      <c r="D615" s="1">
        <v>27066.3</v>
      </c>
      <c r="E615" s="1">
        <v>0</v>
      </c>
      <c r="F615" s="1">
        <v>386829</v>
      </c>
      <c r="G615" s="1">
        <v>14271.8</v>
      </c>
      <c r="H615" s="1">
        <v>355898</v>
      </c>
      <c r="I615" s="1">
        <v>414878</v>
      </c>
      <c r="J615" s="1">
        <v>42604.3</v>
      </c>
      <c r="K615" s="1">
        <v>86306.5</v>
      </c>
      <c r="L615" s="1">
        <v>75131.899999999994</v>
      </c>
      <c r="M615" s="1">
        <v>36481</v>
      </c>
      <c r="N615" s="1">
        <v>49549.3</v>
      </c>
      <c r="O615" s="1">
        <v>68111.3</v>
      </c>
      <c r="P615" s="1">
        <v>50134</v>
      </c>
      <c r="Q615" s="1">
        <v>78067</v>
      </c>
      <c r="R615" s="1">
        <v>0</v>
      </c>
    </row>
    <row r="616" spans="1:18">
      <c r="A616" s="2">
        <v>0.41666666666666669</v>
      </c>
      <c r="B616" s="1">
        <v>890506</v>
      </c>
      <c r="C616" s="1">
        <v>940642</v>
      </c>
      <c r="D616" s="1">
        <v>27091.200000000001</v>
      </c>
      <c r="E616" s="1">
        <v>0</v>
      </c>
      <c r="F616" s="1">
        <v>386867</v>
      </c>
      <c r="G616" s="1">
        <v>14337.1</v>
      </c>
      <c r="H616" s="1">
        <v>355970</v>
      </c>
      <c r="I616" s="1">
        <v>415231</v>
      </c>
      <c r="J616" s="1">
        <v>42615</v>
      </c>
      <c r="K616" s="1">
        <v>86310.5</v>
      </c>
      <c r="L616" s="1">
        <v>75195.100000000006</v>
      </c>
      <c r="M616" s="1">
        <v>36532.6</v>
      </c>
      <c r="N616" s="1">
        <v>49597.9</v>
      </c>
      <c r="O616" s="1">
        <v>68188.899999999994</v>
      </c>
      <c r="P616" s="1">
        <v>50144</v>
      </c>
      <c r="Q616" s="1">
        <v>78082</v>
      </c>
      <c r="R616" s="1">
        <v>0</v>
      </c>
    </row>
    <row r="617" spans="1:18">
      <c r="A617" s="2">
        <v>0.45833333333333331</v>
      </c>
      <c r="B617" s="1">
        <v>891881</v>
      </c>
      <c r="C617" s="1">
        <v>941017</v>
      </c>
      <c r="D617" s="1">
        <v>27123.599999999999</v>
      </c>
      <c r="E617" s="1">
        <v>0</v>
      </c>
      <c r="F617" s="1">
        <v>386915</v>
      </c>
      <c r="G617" s="1">
        <v>14421.3</v>
      </c>
      <c r="H617" s="1">
        <v>356054</v>
      </c>
      <c r="I617" s="1">
        <v>415645</v>
      </c>
      <c r="J617" s="1">
        <v>42628.5</v>
      </c>
      <c r="K617" s="1">
        <v>86310.6</v>
      </c>
      <c r="L617" s="1">
        <v>75249.7</v>
      </c>
      <c r="M617" s="1">
        <v>36583.599999999999</v>
      </c>
      <c r="N617" s="1">
        <v>49646.1</v>
      </c>
      <c r="O617" s="1">
        <v>68264.600000000006</v>
      </c>
      <c r="P617" s="1">
        <v>50157</v>
      </c>
      <c r="Q617" s="1">
        <v>78102</v>
      </c>
      <c r="R617" s="1">
        <v>0</v>
      </c>
    </row>
    <row r="618" spans="1:18">
      <c r="A618" s="2">
        <v>0.5</v>
      </c>
      <c r="B618" s="1">
        <v>893290</v>
      </c>
      <c r="C618" s="1">
        <v>941395</v>
      </c>
      <c r="D618" s="1">
        <v>27153.4</v>
      </c>
      <c r="E618" s="1">
        <v>0</v>
      </c>
      <c r="F618" s="1">
        <v>386963</v>
      </c>
      <c r="G618" s="1">
        <v>14520.9</v>
      </c>
      <c r="H618" s="1">
        <v>356125</v>
      </c>
      <c r="I618" s="1">
        <v>416082</v>
      </c>
      <c r="J618" s="1">
        <v>42640.9</v>
      </c>
      <c r="K618" s="1">
        <v>86310.7</v>
      </c>
      <c r="L618" s="1">
        <v>75301.5</v>
      </c>
      <c r="M618" s="1">
        <v>36637.800000000003</v>
      </c>
      <c r="N618" s="1">
        <v>49692.2</v>
      </c>
      <c r="O618" s="1">
        <v>68350.2</v>
      </c>
      <c r="P618" s="1">
        <v>50172</v>
      </c>
      <c r="Q618" s="1">
        <v>78124</v>
      </c>
      <c r="R618" s="1">
        <v>0</v>
      </c>
    </row>
    <row r="619" spans="1:18">
      <c r="A619" s="2">
        <v>0.54166666666666663</v>
      </c>
      <c r="B619" s="1">
        <v>894674</v>
      </c>
      <c r="C619" s="1">
        <v>941765</v>
      </c>
      <c r="D619" s="1">
        <v>27194.1</v>
      </c>
      <c r="E619" s="1">
        <v>0</v>
      </c>
      <c r="F619" s="1">
        <v>387019</v>
      </c>
      <c r="G619" s="1">
        <v>14608.2</v>
      </c>
      <c r="H619" s="1">
        <v>356175</v>
      </c>
      <c r="I619" s="1">
        <v>416525</v>
      </c>
      <c r="J619" s="1">
        <v>42652.6</v>
      </c>
      <c r="K619" s="1">
        <v>86310.8</v>
      </c>
      <c r="L619" s="1">
        <v>75358.5</v>
      </c>
      <c r="M619" s="1">
        <v>36694.199999999997</v>
      </c>
      <c r="N619" s="1">
        <v>49736.5</v>
      </c>
      <c r="O619" s="1">
        <v>68431.7</v>
      </c>
      <c r="P619" s="1">
        <v>50187</v>
      </c>
      <c r="Q619" s="1">
        <v>78148</v>
      </c>
      <c r="R619" s="1">
        <v>0</v>
      </c>
    </row>
    <row r="620" spans="1:18">
      <c r="A620" s="2">
        <v>0.58333333333333337</v>
      </c>
      <c r="B620" s="1">
        <v>896180</v>
      </c>
      <c r="C620" s="1">
        <v>942149</v>
      </c>
      <c r="D620" s="1">
        <v>27250.1</v>
      </c>
      <c r="E620" s="1">
        <v>0</v>
      </c>
      <c r="F620" s="1">
        <v>387075</v>
      </c>
      <c r="G620" s="1">
        <v>14709</v>
      </c>
      <c r="H620" s="1">
        <v>356229</v>
      </c>
      <c r="I620" s="1">
        <v>417001</v>
      </c>
      <c r="J620" s="1">
        <v>42665</v>
      </c>
      <c r="K620" s="1">
        <v>86311.1</v>
      </c>
      <c r="L620" s="1">
        <v>75438.8</v>
      </c>
      <c r="M620" s="1">
        <v>36761.1</v>
      </c>
      <c r="N620" s="1">
        <v>49781</v>
      </c>
      <c r="O620" s="1">
        <v>68511.899999999994</v>
      </c>
      <c r="P620" s="1">
        <v>50203</v>
      </c>
      <c r="Q620" s="1">
        <v>78172</v>
      </c>
      <c r="R620" s="1">
        <v>0</v>
      </c>
    </row>
    <row r="621" spans="1:18">
      <c r="A621" s="2">
        <v>0.625</v>
      </c>
      <c r="B621" s="1">
        <v>897725</v>
      </c>
      <c r="C621" s="1">
        <v>942542</v>
      </c>
      <c r="D621" s="1">
        <v>27302.3</v>
      </c>
      <c r="E621" s="1">
        <v>0</v>
      </c>
      <c r="F621" s="1">
        <v>387133</v>
      </c>
      <c r="G621" s="1">
        <v>14815</v>
      </c>
      <c r="H621" s="1">
        <v>356277</v>
      </c>
      <c r="I621" s="1">
        <v>417504</v>
      </c>
      <c r="J621" s="1">
        <v>42680.1</v>
      </c>
      <c r="K621" s="1">
        <v>86312.8</v>
      </c>
      <c r="L621" s="1">
        <v>75511.3</v>
      </c>
      <c r="M621" s="1">
        <v>36831.699999999997</v>
      </c>
      <c r="N621" s="1">
        <v>49826.8</v>
      </c>
      <c r="O621" s="1">
        <v>68587.8</v>
      </c>
      <c r="P621" s="1">
        <v>50218</v>
      </c>
      <c r="Q621" s="1">
        <v>78195</v>
      </c>
      <c r="R621" s="1">
        <v>0</v>
      </c>
    </row>
    <row r="622" spans="1:18">
      <c r="A622" s="2">
        <v>0.66666666666666663</v>
      </c>
      <c r="B622" s="1">
        <v>899258</v>
      </c>
      <c r="C622" s="1">
        <v>942931</v>
      </c>
      <c r="D622" s="1">
        <v>27353</v>
      </c>
      <c r="E622" s="1">
        <v>0</v>
      </c>
      <c r="F622" s="1">
        <v>387189</v>
      </c>
      <c r="G622" s="1">
        <v>14916</v>
      </c>
      <c r="H622" s="1">
        <v>356330</v>
      </c>
      <c r="I622" s="1">
        <v>418001</v>
      </c>
      <c r="J622" s="1">
        <v>42693.2</v>
      </c>
      <c r="K622" s="1">
        <v>86319.4</v>
      </c>
      <c r="L622" s="1">
        <v>75588.800000000003</v>
      </c>
      <c r="M622" s="1">
        <v>36898.800000000003</v>
      </c>
      <c r="N622" s="1">
        <v>49878.1</v>
      </c>
      <c r="O622" s="1">
        <v>68654.7</v>
      </c>
      <c r="P622" s="1">
        <v>50230</v>
      </c>
      <c r="Q622" s="1">
        <v>78213</v>
      </c>
      <c r="R622" s="1">
        <v>0</v>
      </c>
    </row>
    <row r="623" spans="1:18">
      <c r="A623" s="2">
        <v>0.70833333333333337</v>
      </c>
      <c r="B623" s="1">
        <v>900747</v>
      </c>
      <c r="C623" s="1">
        <v>943312</v>
      </c>
      <c r="D623" s="1">
        <v>27396.1</v>
      </c>
      <c r="E623" s="1">
        <v>0</v>
      </c>
      <c r="F623" s="1">
        <v>387242</v>
      </c>
      <c r="G623" s="1">
        <v>15014.7</v>
      </c>
      <c r="H623" s="1">
        <v>356369</v>
      </c>
      <c r="I623" s="1">
        <v>418499</v>
      </c>
      <c r="J623" s="1">
        <v>42705.3</v>
      </c>
      <c r="K623" s="1">
        <v>86329.7</v>
      </c>
      <c r="L623" s="1">
        <v>75659.199999999997</v>
      </c>
      <c r="M623" s="1">
        <v>36960.5</v>
      </c>
      <c r="N623" s="1">
        <v>49932.7</v>
      </c>
      <c r="O623" s="1">
        <v>68723.5</v>
      </c>
      <c r="P623" s="1">
        <v>50240</v>
      </c>
      <c r="Q623" s="1">
        <v>78227</v>
      </c>
      <c r="R623" s="1">
        <v>0</v>
      </c>
    </row>
    <row r="624" spans="1:18">
      <c r="A624" s="2">
        <v>0.75</v>
      </c>
      <c r="B624" s="1">
        <v>902123</v>
      </c>
      <c r="C624" s="1">
        <v>943664</v>
      </c>
      <c r="D624" s="1">
        <v>27428.2</v>
      </c>
      <c r="E624" s="1">
        <v>0</v>
      </c>
      <c r="F624" s="1">
        <v>387286</v>
      </c>
      <c r="G624" s="1">
        <v>15099.7</v>
      </c>
      <c r="H624" s="1">
        <v>356404</v>
      </c>
      <c r="I624" s="1">
        <v>418969</v>
      </c>
      <c r="J624" s="1">
        <v>42716.800000000003</v>
      </c>
      <c r="K624" s="1">
        <v>86345.9</v>
      </c>
      <c r="L624" s="1">
        <v>75716.5</v>
      </c>
      <c r="M624" s="1">
        <v>37016.199999999997</v>
      </c>
      <c r="N624" s="1">
        <v>49990</v>
      </c>
      <c r="O624" s="1">
        <v>68794.8</v>
      </c>
      <c r="P624" s="1">
        <v>50245</v>
      </c>
      <c r="Q624" s="1">
        <v>78235</v>
      </c>
      <c r="R624" s="1">
        <v>0</v>
      </c>
    </row>
    <row r="625" spans="1:18">
      <c r="A625" s="2">
        <v>0.79166666666666663</v>
      </c>
      <c r="B625" s="1">
        <v>903327</v>
      </c>
      <c r="C625" s="1">
        <v>943949</v>
      </c>
      <c r="D625" s="1">
        <v>27455.599999999999</v>
      </c>
      <c r="E625" s="1">
        <v>0</v>
      </c>
      <c r="F625" s="1">
        <v>387325</v>
      </c>
      <c r="G625" s="1">
        <v>15178.7</v>
      </c>
      <c r="H625" s="1">
        <v>356425</v>
      </c>
      <c r="I625" s="1">
        <v>419393</v>
      </c>
      <c r="J625" s="1">
        <v>42727.6</v>
      </c>
      <c r="K625" s="1">
        <v>86362</v>
      </c>
      <c r="L625" s="1">
        <v>75760.800000000003</v>
      </c>
      <c r="M625" s="1">
        <v>37068.699999999997</v>
      </c>
      <c r="N625" s="1">
        <v>50049</v>
      </c>
      <c r="O625" s="1">
        <v>68863.399999999994</v>
      </c>
      <c r="P625" s="1">
        <v>50246</v>
      </c>
      <c r="Q625" s="1">
        <v>78237</v>
      </c>
      <c r="R625" s="1">
        <v>0</v>
      </c>
    </row>
    <row r="626" spans="1:18">
      <c r="A626" s="2">
        <v>0.83333333333333337</v>
      </c>
      <c r="B626" s="1">
        <v>904391</v>
      </c>
      <c r="C626" s="1">
        <v>944201</v>
      </c>
      <c r="D626" s="1">
        <v>27478.1</v>
      </c>
      <c r="E626" s="1">
        <v>0</v>
      </c>
      <c r="F626" s="1">
        <v>387356</v>
      </c>
      <c r="G626" s="1">
        <v>15259.8</v>
      </c>
      <c r="H626" s="1">
        <v>356443</v>
      </c>
      <c r="I626" s="1">
        <v>419748</v>
      </c>
      <c r="J626" s="1">
        <v>42738</v>
      </c>
      <c r="K626" s="1">
        <v>86377.600000000006</v>
      </c>
      <c r="L626" s="1">
        <v>75798.5</v>
      </c>
      <c r="M626" s="1">
        <v>37115.1</v>
      </c>
      <c r="N626" s="1">
        <v>50108.6</v>
      </c>
      <c r="O626" s="1">
        <v>68931.199999999997</v>
      </c>
      <c r="P626" s="1">
        <v>50246</v>
      </c>
      <c r="Q626" s="1">
        <v>78237</v>
      </c>
      <c r="R626" s="1">
        <v>0</v>
      </c>
    </row>
    <row r="627" spans="1:18">
      <c r="A627" s="2">
        <v>0.875</v>
      </c>
      <c r="B627" s="1">
        <v>905361</v>
      </c>
      <c r="C627" s="1">
        <v>944426</v>
      </c>
      <c r="D627" s="1">
        <v>27494.400000000001</v>
      </c>
      <c r="E627" s="1">
        <v>0</v>
      </c>
      <c r="F627" s="1">
        <v>387385</v>
      </c>
      <c r="G627" s="1">
        <v>15338.8</v>
      </c>
      <c r="H627" s="1">
        <v>356458</v>
      </c>
      <c r="I627" s="1">
        <v>420061</v>
      </c>
      <c r="J627" s="1">
        <v>42748.5</v>
      </c>
      <c r="K627" s="1">
        <v>86393.4</v>
      </c>
      <c r="L627" s="1">
        <v>75837.5</v>
      </c>
      <c r="M627" s="1">
        <v>37162.5</v>
      </c>
      <c r="N627" s="1">
        <v>50167.7</v>
      </c>
      <c r="O627" s="1">
        <v>68991.3</v>
      </c>
      <c r="P627" s="1">
        <v>50246</v>
      </c>
      <c r="Q627" s="1">
        <v>78237</v>
      </c>
      <c r="R627" s="1">
        <v>0</v>
      </c>
    </row>
    <row r="628" spans="1:18">
      <c r="A628" s="2">
        <v>0.91666666666666663</v>
      </c>
      <c r="B628" s="1">
        <v>906263</v>
      </c>
      <c r="C628" s="1">
        <v>944640</v>
      </c>
      <c r="D628" s="1">
        <v>27509.1</v>
      </c>
      <c r="E628" s="1">
        <v>0</v>
      </c>
      <c r="F628" s="1">
        <v>387412</v>
      </c>
      <c r="G628" s="1">
        <v>15415.9</v>
      </c>
      <c r="H628" s="1">
        <v>356470</v>
      </c>
      <c r="I628" s="1">
        <v>420359</v>
      </c>
      <c r="J628" s="1">
        <v>42758.5</v>
      </c>
      <c r="K628" s="1">
        <v>86402.8</v>
      </c>
      <c r="L628" s="1">
        <v>75875.5</v>
      </c>
      <c r="M628" s="1">
        <v>37212.300000000003</v>
      </c>
      <c r="N628" s="1">
        <v>50226.400000000001</v>
      </c>
      <c r="O628" s="1">
        <v>69027.399999999994</v>
      </c>
      <c r="P628" s="1">
        <v>50246</v>
      </c>
      <c r="Q628" s="1">
        <v>78237</v>
      </c>
      <c r="R628" s="1">
        <v>0</v>
      </c>
    </row>
    <row r="629" spans="1:18">
      <c r="A629" s="2">
        <v>0.95833333333333337</v>
      </c>
      <c r="B629" s="1">
        <v>907095</v>
      </c>
      <c r="C629" s="1">
        <v>944838</v>
      </c>
      <c r="D629" s="1">
        <v>27525.200000000001</v>
      </c>
      <c r="E629" s="1">
        <v>0</v>
      </c>
      <c r="F629" s="1">
        <v>387436</v>
      </c>
      <c r="G629" s="1">
        <v>15488.9</v>
      </c>
      <c r="H629" s="1">
        <v>356482</v>
      </c>
      <c r="I629" s="1">
        <v>420636</v>
      </c>
      <c r="J629" s="1">
        <v>42768.7</v>
      </c>
      <c r="K629" s="1">
        <v>86406.1</v>
      </c>
      <c r="L629" s="1">
        <v>75910.7</v>
      </c>
      <c r="M629" s="1">
        <v>37260.800000000003</v>
      </c>
      <c r="N629" s="1">
        <v>50283.9</v>
      </c>
      <c r="O629" s="1">
        <v>69048.399999999994</v>
      </c>
      <c r="P629" s="1">
        <v>50246</v>
      </c>
      <c r="Q629" s="1">
        <v>78237</v>
      </c>
      <c r="R629" s="1">
        <v>0</v>
      </c>
    </row>
    <row r="630" spans="1:18">
      <c r="A630" s="2">
        <v>0</v>
      </c>
      <c r="B630" s="1">
        <v>907893</v>
      </c>
      <c r="C630" s="1">
        <v>945033</v>
      </c>
      <c r="D630" s="1">
        <v>27539.200000000001</v>
      </c>
      <c r="E630" s="1">
        <v>0</v>
      </c>
      <c r="F630" s="1">
        <v>387459</v>
      </c>
      <c r="G630" s="1">
        <v>15556.5</v>
      </c>
      <c r="H630" s="1">
        <v>356494</v>
      </c>
      <c r="I630" s="1">
        <v>420902</v>
      </c>
      <c r="J630" s="1">
        <v>42778.5</v>
      </c>
      <c r="K630" s="1">
        <v>86409.4</v>
      </c>
      <c r="L630" s="1">
        <v>75940.600000000006</v>
      </c>
      <c r="M630" s="1">
        <v>37308.9</v>
      </c>
      <c r="N630" s="1">
        <v>50340.3</v>
      </c>
      <c r="O630" s="1">
        <v>69069.399999999994</v>
      </c>
      <c r="P630" s="1">
        <v>50246</v>
      </c>
      <c r="Q630" s="1">
        <v>78237</v>
      </c>
      <c r="R630" s="1">
        <v>0</v>
      </c>
    </row>
    <row r="631" spans="1:18">
      <c r="A631" s="2">
        <v>4.1666666666666664E-2</v>
      </c>
      <c r="B631" s="1">
        <v>908658</v>
      </c>
      <c r="C631" s="1">
        <v>945222</v>
      </c>
      <c r="D631" s="1">
        <v>27553.200000000001</v>
      </c>
      <c r="E631" s="1">
        <v>0</v>
      </c>
      <c r="F631" s="1">
        <v>387480</v>
      </c>
      <c r="G631" s="1">
        <v>15618</v>
      </c>
      <c r="H631" s="1">
        <v>356506</v>
      </c>
      <c r="I631" s="1">
        <v>421154</v>
      </c>
      <c r="J631" s="1">
        <v>42788.4</v>
      </c>
      <c r="K631" s="1">
        <v>86412.6</v>
      </c>
      <c r="L631" s="1">
        <v>75969.600000000006</v>
      </c>
      <c r="M631" s="1">
        <v>37355.9</v>
      </c>
      <c r="N631" s="1">
        <v>50396.7</v>
      </c>
      <c r="O631" s="1">
        <v>69087.899999999994</v>
      </c>
      <c r="P631" s="1">
        <v>50246</v>
      </c>
      <c r="Q631" s="1">
        <v>78237</v>
      </c>
      <c r="R631" s="1">
        <v>0</v>
      </c>
    </row>
    <row r="632" spans="1:18">
      <c r="A632" s="2">
        <v>8.3333333333333329E-2</v>
      </c>
      <c r="B632" s="1">
        <v>909395</v>
      </c>
      <c r="C632" s="1">
        <v>945404</v>
      </c>
      <c r="D632" s="1">
        <v>27566.400000000001</v>
      </c>
      <c r="E632" s="1">
        <v>0</v>
      </c>
      <c r="F632" s="1">
        <v>387502</v>
      </c>
      <c r="G632" s="1">
        <v>15676.5</v>
      </c>
      <c r="H632" s="1">
        <v>356518</v>
      </c>
      <c r="I632" s="1">
        <v>421391</v>
      </c>
      <c r="J632" s="1">
        <v>42798.1</v>
      </c>
      <c r="K632" s="1">
        <v>86415.9</v>
      </c>
      <c r="L632" s="1">
        <v>75997.600000000006</v>
      </c>
      <c r="M632" s="1">
        <v>37401.699999999997</v>
      </c>
      <c r="N632" s="1">
        <v>50453</v>
      </c>
      <c r="O632" s="1">
        <v>69107.399999999994</v>
      </c>
      <c r="P632" s="1">
        <v>50246</v>
      </c>
      <c r="Q632" s="1">
        <v>78237</v>
      </c>
      <c r="R632" s="1">
        <v>0</v>
      </c>
    </row>
    <row r="633" spans="1:18">
      <c r="A633" s="2">
        <v>0.125</v>
      </c>
      <c r="B633" s="1">
        <v>910116</v>
      </c>
      <c r="C633" s="1">
        <v>945583</v>
      </c>
      <c r="D633" s="1">
        <v>27579.3</v>
      </c>
      <c r="E633" s="1">
        <v>0</v>
      </c>
      <c r="F633" s="1">
        <v>387523</v>
      </c>
      <c r="G633" s="1">
        <v>15733.6</v>
      </c>
      <c r="H633" s="1">
        <v>356530</v>
      </c>
      <c r="I633" s="1">
        <v>421624</v>
      </c>
      <c r="J633" s="1">
        <v>42807.5</v>
      </c>
      <c r="K633" s="1">
        <v>86419.1</v>
      </c>
      <c r="L633" s="1">
        <v>76023.5</v>
      </c>
      <c r="M633" s="1">
        <v>37445.199999999997</v>
      </c>
      <c r="N633" s="1">
        <v>50508.800000000003</v>
      </c>
      <c r="O633" s="1">
        <v>69128.2</v>
      </c>
      <c r="P633" s="1">
        <v>50246</v>
      </c>
      <c r="Q633" s="1">
        <v>78237</v>
      </c>
      <c r="R633" s="1">
        <v>0</v>
      </c>
    </row>
    <row r="634" spans="1:18">
      <c r="A634" s="2">
        <v>0.16666666666666666</v>
      </c>
      <c r="B634" s="1">
        <v>910833</v>
      </c>
      <c r="C634" s="1">
        <v>945757</v>
      </c>
      <c r="D634" s="1">
        <v>27592.7</v>
      </c>
      <c r="E634" s="1">
        <v>0</v>
      </c>
      <c r="F634" s="1">
        <v>387542</v>
      </c>
      <c r="G634" s="1">
        <v>15789.1</v>
      </c>
      <c r="H634" s="1">
        <v>356543</v>
      </c>
      <c r="I634" s="1">
        <v>421859</v>
      </c>
      <c r="J634" s="1">
        <v>42817.1</v>
      </c>
      <c r="K634" s="1">
        <v>86422.399999999994</v>
      </c>
      <c r="L634" s="1">
        <v>76051.399999999994</v>
      </c>
      <c r="M634" s="1">
        <v>37489.199999999997</v>
      </c>
      <c r="N634" s="1">
        <v>50564.7</v>
      </c>
      <c r="O634" s="1">
        <v>69146.899999999994</v>
      </c>
      <c r="P634" s="1">
        <v>50246</v>
      </c>
      <c r="Q634" s="1">
        <v>78237</v>
      </c>
      <c r="R634" s="1">
        <v>0</v>
      </c>
    </row>
    <row r="635" spans="1:18">
      <c r="A635" s="2">
        <v>0.20833333333333334</v>
      </c>
      <c r="B635" s="1">
        <v>911536</v>
      </c>
      <c r="C635" s="1">
        <v>945931</v>
      </c>
      <c r="D635" s="1">
        <v>27605.5</v>
      </c>
      <c r="E635" s="1">
        <v>0</v>
      </c>
      <c r="F635" s="1">
        <v>387561</v>
      </c>
      <c r="G635" s="1">
        <v>15844.5</v>
      </c>
      <c r="H635" s="1">
        <v>356554</v>
      </c>
      <c r="I635" s="1">
        <v>422084</v>
      </c>
      <c r="J635" s="1">
        <v>42825.3</v>
      </c>
      <c r="K635" s="1">
        <v>86425.600000000006</v>
      </c>
      <c r="L635" s="1">
        <v>76078.7</v>
      </c>
      <c r="M635" s="1">
        <v>37532.199999999997</v>
      </c>
      <c r="N635" s="1">
        <v>50619.8</v>
      </c>
      <c r="O635" s="1">
        <v>69166.399999999994</v>
      </c>
      <c r="P635" s="1">
        <v>50246</v>
      </c>
      <c r="Q635" s="1">
        <v>78237</v>
      </c>
      <c r="R635" s="1">
        <v>0</v>
      </c>
    </row>
    <row r="636" spans="1:18">
      <c r="A636" s="2">
        <v>0.25</v>
      </c>
      <c r="B636" s="1">
        <v>912235</v>
      </c>
      <c r="C636" s="1">
        <v>946105</v>
      </c>
      <c r="D636" s="1">
        <v>27618.6</v>
      </c>
      <c r="E636" s="1">
        <v>0</v>
      </c>
      <c r="F636" s="1">
        <v>387581</v>
      </c>
      <c r="G636" s="1">
        <v>15899.2</v>
      </c>
      <c r="H636" s="1">
        <v>356566</v>
      </c>
      <c r="I636" s="1">
        <v>422306</v>
      </c>
      <c r="J636" s="1">
        <v>42834.6</v>
      </c>
      <c r="K636" s="1">
        <v>86428.6</v>
      </c>
      <c r="L636" s="1">
        <v>76105.3</v>
      </c>
      <c r="M636" s="1">
        <v>37574.9</v>
      </c>
      <c r="N636" s="1">
        <v>50675.3</v>
      </c>
      <c r="O636" s="1">
        <v>69186.8</v>
      </c>
      <c r="P636" s="1">
        <v>50246</v>
      </c>
      <c r="Q636" s="1">
        <v>78237</v>
      </c>
      <c r="R636" s="1">
        <v>0</v>
      </c>
    </row>
    <row r="637" spans="1:18">
      <c r="A637" s="2">
        <v>0.29166666666666669</v>
      </c>
      <c r="B637" s="1">
        <v>912968</v>
      </c>
      <c r="C637" s="1">
        <v>946283</v>
      </c>
      <c r="D637" s="1">
        <v>27632</v>
      </c>
      <c r="E637" s="1">
        <v>0</v>
      </c>
      <c r="F637" s="1">
        <v>387602</v>
      </c>
      <c r="G637" s="1">
        <v>15956.1</v>
      </c>
      <c r="H637" s="1">
        <v>356578</v>
      </c>
      <c r="I637" s="1">
        <v>422535</v>
      </c>
      <c r="J637" s="1">
        <v>42843.6</v>
      </c>
      <c r="K637" s="1">
        <v>86431.2</v>
      </c>
      <c r="L637" s="1">
        <v>76131.100000000006</v>
      </c>
      <c r="M637" s="1">
        <v>37616.6</v>
      </c>
      <c r="N637" s="1">
        <v>50729.599999999999</v>
      </c>
      <c r="O637" s="1">
        <v>69228.800000000003</v>
      </c>
      <c r="P637" s="1">
        <v>50247</v>
      </c>
      <c r="Q637" s="1">
        <v>78238</v>
      </c>
      <c r="R637" s="1">
        <v>0</v>
      </c>
    </row>
    <row r="638" spans="1:18">
      <c r="A638" s="2">
        <v>0.33333333333333331</v>
      </c>
      <c r="B638" s="1">
        <v>913787</v>
      </c>
      <c r="C638" s="1">
        <v>946479</v>
      </c>
      <c r="D638" s="1">
        <v>27646</v>
      </c>
      <c r="E638" s="1">
        <v>0</v>
      </c>
      <c r="F638" s="1">
        <v>387626</v>
      </c>
      <c r="G638" s="1">
        <v>16013.4</v>
      </c>
      <c r="H638" s="1">
        <v>356595</v>
      </c>
      <c r="I638" s="1">
        <v>422796</v>
      </c>
      <c r="J638" s="1">
        <v>42853.8</v>
      </c>
      <c r="K638" s="1">
        <v>86432.1</v>
      </c>
      <c r="L638" s="1">
        <v>76164.7</v>
      </c>
      <c r="M638" s="1">
        <v>37661.300000000003</v>
      </c>
      <c r="N638" s="1">
        <v>50781.3</v>
      </c>
      <c r="O638" s="1">
        <v>69285.8</v>
      </c>
      <c r="P638" s="1">
        <v>50247</v>
      </c>
      <c r="Q638" s="1">
        <v>78241</v>
      </c>
      <c r="R638" s="1">
        <v>0</v>
      </c>
    </row>
    <row r="639" spans="1:18">
      <c r="A639" s="2">
        <v>0.375</v>
      </c>
      <c r="B639" s="1">
        <v>914814</v>
      </c>
      <c r="C639" s="1">
        <v>946726</v>
      </c>
      <c r="D639" s="1">
        <v>27662.9</v>
      </c>
      <c r="E639" s="1">
        <v>0</v>
      </c>
      <c r="F639" s="1">
        <v>387659</v>
      </c>
      <c r="G639" s="1">
        <v>16067.6</v>
      </c>
      <c r="H639" s="1">
        <v>356654</v>
      </c>
      <c r="I639" s="1">
        <v>423116</v>
      </c>
      <c r="J639" s="1">
        <v>42864.5</v>
      </c>
      <c r="K639" s="1">
        <v>86433.8</v>
      </c>
      <c r="L639" s="1">
        <v>76211</v>
      </c>
      <c r="M639" s="1">
        <v>37710.199999999997</v>
      </c>
      <c r="N639" s="1">
        <v>50831</v>
      </c>
      <c r="O639" s="1">
        <v>69353.3</v>
      </c>
      <c r="P639" s="1">
        <v>50251</v>
      </c>
      <c r="Q639" s="1">
        <v>78250</v>
      </c>
      <c r="R639" s="1">
        <v>0</v>
      </c>
    </row>
    <row r="640" spans="1:18">
      <c r="A640" s="2">
        <v>0.41666666666666669</v>
      </c>
      <c r="B640" s="1">
        <v>916123</v>
      </c>
      <c r="C640" s="1">
        <v>947068</v>
      </c>
      <c r="D640" s="1">
        <v>27698.2</v>
      </c>
      <c r="E640" s="1">
        <v>0</v>
      </c>
      <c r="F640" s="1">
        <v>387698</v>
      </c>
      <c r="G640" s="1">
        <v>16127.3</v>
      </c>
      <c r="H640" s="1">
        <v>356749</v>
      </c>
      <c r="I640" s="1">
        <v>423509</v>
      </c>
      <c r="J640" s="1">
        <v>42875.8</v>
      </c>
      <c r="K640" s="1">
        <v>86434.9</v>
      </c>
      <c r="L640" s="1">
        <v>76270.8</v>
      </c>
      <c r="M640" s="1">
        <v>37762.5</v>
      </c>
      <c r="N640" s="1">
        <v>50879.1</v>
      </c>
      <c r="O640" s="1">
        <v>69436.7</v>
      </c>
      <c r="P640" s="1">
        <v>50261</v>
      </c>
      <c r="Q640" s="1">
        <v>78266</v>
      </c>
      <c r="R640" s="1">
        <v>0</v>
      </c>
    </row>
    <row r="641" spans="1:18">
      <c r="A641" s="2">
        <v>0.45833333333333331</v>
      </c>
      <c r="B641" s="1">
        <v>917578</v>
      </c>
      <c r="C641" s="1">
        <v>947463</v>
      </c>
      <c r="D641" s="1">
        <v>27743.8</v>
      </c>
      <c r="E641" s="1">
        <v>0</v>
      </c>
      <c r="F641" s="1">
        <v>387750</v>
      </c>
      <c r="G641" s="1">
        <v>16200.4</v>
      </c>
      <c r="H641" s="1">
        <v>356833</v>
      </c>
      <c r="I641" s="1">
        <v>423961</v>
      </c>
      <c r="J641" s="1">
        <v>42890.2</v>
      </c>
      <c r="K641" s="1">
        <v>86435</v>
      </c>
      <c r="L641" s="1">
        <v>76328.899999999994</v>
      </c>
      <c r="M641" s="1">
        <v>37819.1</v>
      </c>
      <c r="N641" s="1">
        <v>50924.2</v>
      </c>
      <c r="O641" s="1">
        <v>69517.2</v>
      </c>
      <c r="P641" s="1">
        <v>50275</v>
      </c>
      <c r="Q641" s="1">
        <v>78287</v>
      </c>
      <c r="R641" s="1">
        <v>0</v>
      </c>
    </row>
    <row r="642" spans="1:18">
      <c r="A642" s="2">
        <v>0.5</v>
      </c>
      <c r="B642" s="1">
        <v>919065</v>
      </c>
      <c r="C642" s="1">
        <v>947866</v>
      </c>
      <c r="D642" s="1">
        <v>27783.8</v>
      </c>
      <c r="E642" s="1">
        <v>0</v>
      </c>
      <c r="F642" s="1">
        <v>387803</v>
      </c>
      <c r="G642" s="1">
        <v>16271</v>
      </c>
      <c r="H642" s="1">
        <v>356927</v>
      </c>
      <c r="I642" s="1">
        <v>424429</v>
      </c>
      <c r="J642" s="1">
        <v>42904.7</v>
      </c>
      <c r="K642" s="1">
        <v>86435</v>
      </c>
      <c r="L642" s="1">
        <v>76386.100000000006</v>
      </c>
      <c r="M642" s="1">
        <v>37878.1</v>
      </c>
      <c r="N642" s="1">
        <v>50968.6</v>
      </c>
      <c r="O642" s="1">
        <v>69605.600000000006</v>
      </c>
      <c r="P642" s="1">
        <v>50290</v>
      </c>
      <c r="Q642" s="1">
        <v>78310</v>
      </c>
      <c r="R642" s="1">
        <v>0</v>
      </c>
    </row>
    <row r="643" spans="1:18">
      <c r="A643" s="2">
        <v>0.54166666666666663</v>
      </c>
      <c r="B643" s="1">
        <v>920513</v>
      </c>
      <c r="C643" s="1">
        <v>948239</v>
      </c>
      <c r="D643" s="1">
        <v>27829.9</v>
      </c>
      <c r="E643" s="1">
        <v>0</v>
      </c>
      <c r="F643" s="1">
        <v>387857</v>
      </c>
      <c r="G643" s="1">
        <v>16354.1</v>
      </c>
      <c r="H643" s="1">
        <v>356981</v>
      </c>
      <c r="I643" s="1">
        <v>424908</v>
      </c>
      <c r="J643" s="1">
        <v>42916.7</v>
      </c>
      <c r="K643" s="1">
        <v>86435</v>
      </c>
      <c r="L643" s="1">
        <v>76454.899999999994</v>
      </c>
      <c r="M643" s="1">
        <v>37939.4</v>
      </c>
      <c r="N643" s="1">
        <v>51012.9</v>
      </c>
      <c r="O643" s="1">
        <v>69692.7</v>
      </c>
      <c r="P643" s="1">
        <v>50306</v>
      </c>
      <c r="Q643" s="1">
        <v>78334</v>
      </c>
      <c r="R643" s="1">
        <v>0</v>
      </c>
    </row>
    <row r="644" spans="1:18">
      <c r="A644" s="2">
        <v>0.58333333333333337</v>
      </c>
      <c r="B644" s="1">
        <v>922072</v>
      </c>
      <c r="C644" s="1">
        <v>948619</v>
      </c>
      <c r="D644" s="1">
        <v>27883.200000000001</v>
      </c>
      <c r="E644" s="1">
        <v>0</v>
      </c>
      <c r="F644" s="1">
        <v>387911</v>
      </c>
      <c r="G644" s="1">
        <v>16458.3</v>
      </c>
      <c r="H644" s="1">
        <v>357078</v>
      </c>
      <c r="I644" s="1">
        <v>425385</v>
      </c>
      <c r="J644" s="1">
        <v>42929.2</v>
      </c>
      <c r="K644" s="1">
        <v>86435.1</v>
      </c>
      <c r="L644" s="1">
        <v>76554.7</v>
      </c>
      <c r="M644" s="1">
        <v>38002.6</v>
      </c>
      <c r="N644" s="1">
        <v>51057.599999999999</v>
      </c>
      <c r="O644" s="1">
        <v>69776.399999999994</v>
      </c>
      <c r="P644" s="1">
        <v>50322</v>
      </c>
      <c r="Q644" s="1">
        <v>78358</v>
      </c>
      <c r="R644" s="1">
        <v>0</v>
      </c>
    </row>
    <row r="645" spans="1:18">
      <c r="A645" s="2">
        <v>0.625</v>
      </c>
      <c r="B645" s="1">
        <v>923675</v>
      </c>
      <c r="C645" s="1">
        <v>949020</v>
      </c>
      <c r="D645" s="1">
        <v>27933.8</v>
      </c>
      <c r="E645" s="1">
        <v>0</v>
      </c>
      <c r="F645" s="1">
        <v>387969</v>
      </c>
      <c r="G645" s="1">
        <v>16565.7</v>
      </c>
      <c r="H645" s="1">
        <v>357147</v>
      </c>
      <c r="I645" s="1">
        <v>425900</v>
      </c>
      <c r="J645" s="1">
        <v>42942.3</v>
      </c>
      <c r="K645" s="1">
        <v>86435.4</v>
      </c>
      <c r="L645" s="1">
        <v>76653.600000000006</v>
      </c>
      <c r="M645" s="1">
        <v>38068.5</v>
      </c>
      <c r="N645" s="1">
        <v>51103.6</v>
      </c>
      <c r="O645" s="1">
        <v>69855.8</v>
      </c>
      <c r="P645" s="1">
        <v>50336</v>
      </c>
      <c r="Q645" s="1">
        <v>78380</v>
      </c>
      <c r="R645" s="1">
        <v>0</v>
      </c>
    </row>
    <row r="646" spans="1:18">
      <c r="A646" s="2">
        <v>0.66666666666666663</v>
      </c>
      <c r="B646" s="1">
        <v>925279</v>
      </c>
      <c r="C646" s="1">
        <v>949430</v>
      </c>
      <c r="D646" s="1">
        <v>27980.9</v>
      </c>
      <c r="E646" s="1">
        <v>0</v>
      </c>
      <c r="F646" s="1">
        <v>388026</v>
      </c>
      <c r="G646" s="1">
        <v>16677</v>
      </c>
      <c r="H646" s="1">
        <v>357185</v>
      </c>
      <c r="I646" s="1">
        <v>426434</v>
      </c>
      <c r="J646" s="1">
        <v>42955.5</v>
      </c>
      <c r="K646" s="1">
        <v>86438.8</v>
      </c>
      <c r="L646" s="1">
        <v>76746.8</v>
      </c>
      <c r="M646" s="1">
        <v>38137.199999999997</v>
      </c>
      <c r="N646" s="1">
        <v>51154.2</v>
      </c>
      <c r="O646" s="1">
        <v>69925.600000000006</v>
      </c>
      <c r="P646" s="1">
        <v>50348</v>
      </c>
      <c r="Q646" s="1">
        <v>78398</v>
      </c>
      <c r="R646" s="1">
        <v>0</v>
      </c>
    </row>
    <row r="647" spans="1:18">
      <c r="A647" s="2">
        <v>0.70833333333333337</v>
      </c>
      <c r="B647" s="1">
        <v>926833</v>
      </c>
      <c r="C647" s="1">
        <v>949848</v>
      </c>
      <c r="D647" s="1">
        <v>28029.4</v>
      </c>
      <c r="E647" s="1">
        <v>0</v>
      </c>
      <c r="F647" s="1">
        <v>388081</v>
      </c>
      <c r="G647" s="1">
        <v>16784.900000000001</v>
      </c>
      <c r="H647" s="1">
        <v>357229</v>
      </c>
      <c r="I647" s="1">
        <v>426921</v>
      </c>
      <c r="J647" s="1">
        <v>42968.9</v>
      </c>
      <c r="K647" s="1">
        <v>86446.5</v>
      </c>
      <c r="L647" s="1">
        <v>76832.2</v>
      </c>
      <c r="M647" s="1">
        <v>38203.699999999997</v>
      </c>
      <c r="N647" s="1">
        <v>51208.1</v>
      </c>
      <c r="O647" s="1">
        <v>69997.8</v>
      </c>
      <c r="P647" s="1">
        <v>50357</v>
      </c>
      <c r="Q647" s="1">
        <v>78412</v>
      </c>
      <c r="R647" s="1">
        <v>0</v>
      </c>
    </row>
    <row r="648" spans="1:18">
      <c r="A648" s="2">
        <v>0.75</v>
      </c>
      <c r="B648" s="1">
        <v>928244</v>
      </c>
      <c r="C648" s="1">
        <v>950224</v>
      </c>
      <c r="D648" s="1">
        <v>28068.3</v>
      </c>
      <c r="E648" s="1">
        <v>0</v>
      </c>
      <c r="F648" s="1">
        <v>388128</v>
      </c>
      <c r="G648" s="1">
        <v>16882.7</v>
      </c>
      <c r="H648" s="1">
        <v>357255</v>
      </c>
      <c r="I648" s="1">
        <v>427375</v>
      </c>
      <c r="J648" s="1">
        <v>42980.2</v>
      </c>
      <c r="K648" s="1">
        <v>86458.2</v>
      </c>
      <c r="L648" s="1">
        <v>76897.7</v>
      </c>
      <c r="M648" s="1">
        <v>38264.5</v>
      </c>
      <c r="N648" s="1">
        <v>51264.7</v>
      </c>
      <c r="O648" s="1">
        <v>70073.600000000006</v>
      </c>
      <c r="P648" s="1">
        <v>50361</v>
      </c>
      <c r="Q648" s="1">
        <v>78418</v>
      </c>
      <c r="R648" s="1">
        <v>0</v>
      </c>
    </row>
    <row r="649" spans="1:18">
      <c r="A649" s="2">
        <v>0.79166666666666663</v>
      </c>
      <c r="B649" s="1">
        <v>929465</v>
      </c>
      <c r="C649" s="1">
        <v>950546</v>
      </c>
      <c r="D649" s="1">
        <v>28096</v>
      </c>
      <c r="E649" s="1">
        <v>0</v>
      </c>
      <c r="F649" s="1">
        <v>388165</v>
      </c>
      <c r="G649" s="1">
        <v>16966.5</v>
      </c>
      <c r="H649" s="1">
        <v>357286</v>
      </c>
      <c r="I649" s="1">
        <v>427765</v>
      </c>
      <c r="J649" s="1">
        <v>42991.199999999997</v>
      </c>
      <c r="K649" s="1">
        <v>86471.8</v>
      </c>
      <c r="L649" s="1">
        <v>76940.3</v>
      </c>
      <c r="M649" s="1">
        <v>38314.699999999997</v>
      </c>
      <c r="N649" s="1">
        <v>51320.6</v>
      </c>
      <c r="O649" s="1">
        <v>70146.2</v>
      </c>
      <c r="P649" s="1">
        <v>50363</v>
      </c>
      <c r="Q649" s="1">
        <v>78420</v>
      </c>
      <c r="R649" s="1">
        <v>0</v>
      </c>
    </row>
    <row r="650" spans="1:18">
      <c r="A650" s="2">
        <v>0.83333333333333337</v>
      </c>
      <c r="B650" s="1">
        <v>930543</v>
      </c>
      <c r="C650" s="1">
        <v>950820</v>
      </c>
      <c r="D650" s="1">
        <v>28116.9</v>
      </c>
      <c r="E650" s="1">
        <v>0</v>
      </c>
      <c r="F650" s="1">
        <v>388197</v>
      </c>
      <c r="G650" s="1">
        <v>17041</v>
      </c>
      <c r="H650" s="1">
        <v>357308</v>
      </c>
      <c r="I650" s="1">
        <v>428115</v>
      </c>
      <c r="J650" s="1">
        <v>43001.4</v>
      </c>
      <c r="K650" s="1">
        <v>86487.4</v>
      </c>
      <c r="L650" s="1">
        <v>76976.600000000006</v>
      </c>
      <c r="M650" s="1">
        <v>38360.800000000003</v>
      </c>
      <c r="N650" s="1">
        <v>51377.1</v>
      </c>
      <c r="O650" s="1">
        <v>70214</v>
      </c>
      <c r="P650" s="1">
        <v>50363</v>
      </c>
      <c r="Q650" s="1">
        <v>78420</v>
      </c>
      <c r="R650" s="1">
        <v>0</v>
      </c>
    </row>
    <row r="651" spans="1:18">
      <c r="A651" s="2">
        <v>0.875</v>
      </c>
      <c r="B651" s="1">
        <v>931495</v>
      </c>
      <c r="C651" s="1">
        <v>951056</v>
      </c>
      <c r="D651" s="1">
        <v>28135.9</v>
      </c>
      <c r="E651" s="1">
        <v>0</v>
      </c>
      <c r="F651" s="1">
        <v>388224</v>
      </c>
      <c r="G651" s="1">
        <v>17105.5</v>
      </c>
      <c r="H651" s="1">
        <v>357324</v>
      </c>
      <c r="I651" s="1">
        <v>428419</v>
      </c>
      <c r="J651" s="1">
        <v>43011.5</v>
      </c>
      <c r="K651" s="1">
        <v>86503.1</v>
      </c>
      <c r="L651" s="1">
        <v>77011</v>
      </c>
      <c r="M651" s="1">
        <v>38406.6</v>
      </c>
      <c r="N651" s="1">
        <v>51433.2</v>
      </c>
      <c r="O651" s="1">
        <v>70273.3</v>
      </c>
      <c r="P651" s="1">
        <v>50363</v>
      </c>
      <c r="Q651" s="1">
        <v>78420</v>
      </c>
      <c r="R651" s="1">
        <v>0</v>
      </c>
    </row>
    <row r="652" spans="1:18">
      <c r="A652" s="2">
        <v>0.91666666666666663</v>
      </c>
      <c r="B652" s="1">
        <v>932351</v>
      </c>
      <c r="C652" s="1">
        <v>951278</v>
      </c>
      <c r="D652" s="1">
        <v>28152.1</v>
      </c>
      <c r="E652" s="1">
        <v>0</v>
      </c>
      <c r="F652" s="1">
        <v>388248</v>
      </c>
      <c r="G652" s="1">
        <v>17165.7</v>
      </c>
      <c r="H652" s="1">
        <v>357335</v>
      </c>
      <c r="I652" s="1">
        <v>428702</v>
      </c>
      <c r="J652" s="1">
        <v>43021.7</v>
      </c>
      <c r="K652" s="1">
        <v>86511.4</v>
      </c>
      <c r="L652" s="1">
        <v>77042.399999999994</v>
      </c>
      <c r="M652" s="1">
        <v>38452</v>
      </c>
      <c r="N652" s="1">
        <v>51489.4</v>
      </c>
      <c r="O652" s="1">
        <v>70302.7</v>
      </c>
      <c r="P652" s="1">
        <v>50363</v>
      </c>
      <c r="Q652" s="1">
        <v>78420</v>
      </c>
      <c r="R652" s="1">
        <v>0</v>
      </c>
    </row>
    <row r="653" spans="1:18">
      <c r="A653" s="2">
        <v>0.95833333333333337</v>
      </c>
      <c r="B653" s="1">
        <v>933154</v>
      </c>
      <c r="C653" s="1">
        <v>951481</v>
      </c>
      <c r="D653" s="1">
        <v>28167.7</v>
      </c>
      <c r="E653" s="1">
        <v>0</v>
      </c>
      <c r="F653" s="1">
        <v>388270</v>
      </c>
      <c r="G653" s="1">
        <v>17222</v>
      </c>
      <c r="H653" s="1">
        <v>357347</v>
      </c>
      <c r="I653" s="1">
        <v>428973</v>
      </c>
      <c r="J653" s="1">
        <v>43031.3</v>
      </c>
      <c r="K653" s="1">
        <v>86514.5</v>
      </c>
      <c r="L653" s="1">
        <v>77070.600000000006</v>
      </c>
      <c r="M653" s="1">
        <v>38500.1</v>
      </c>
      <c r="N653" s="1">
        <v>51545.7</v>
      </c>
      <c r="O653" s="1">
        <v>70324.600000000006</v>
      </c>
      <c r="P653" s="1">
        <v>50363</v>
      </c>
      <c r="Q653" s="1">
        <v>78420</v>
      </c>
      <c r="R653" s="1">
        <v>0</v>
      </c>
    </row>
    <row r="654" spans="1:18">
      <c r="A654" s="2">
        <v>0</v>
      </c>
      <c r="B654" s="1">
        <v>933917</v>
      </c>
      <c r="C654" s="1">
        <v>951677</v>
      </c>
      <c r="D654" s="1">
        <v>28183.3</v>
      </c>
      <c r="E654" s="1">
        <v>0</v>
      </c>
      <c r="F654" s="1">
        <v>388288</v>
      </c>
      <c r="G654" s="1">
        <v>17276.3</v>
      </c>
      <c r="H654" s="1">
        <v>357359</v>
      </c>
      <c r="I654" s="1">
        <v>429226</v>
      </c>
      <c r="J654" s="1">
        <v>43041</v>
      </c>
      <c r="K654" s="1">
        <v>86517.6</v>
      </c>
      <c r="L654" s="1">
        <v>77095.7</v>
      </c>
      <c r="M654" s="1">
        <v>38545.300000000003</v>
      </c>
      <c r="N654" s="1">
        <v>51600.800000000003</v>
      </c>
      <c r="O654" s="1">
        <v>70346</v>
      </c>
      <c r="P654" s="1">
        <v>50363</v>
      </c>
      <c r="Q654" s="1">
        <v>78420</v>
      </c>
      <c r="R654" s="1">
        <v>0</v>
      </c>
    </row>
    <row r="655" spans="1:18">
      <c r="A655" s="2">
        <v>4.1666666666666664E-2</v>
      </c>
      <c r="B655" s="1">
        <v>934652</v>
      </c>
      <c r="C655" s="1">
        <v>951867</v>
      </c>
      <c r="D655" s="1">
        <v>28196.799999999999</v>
      </c>
      <c r="E655" s="1">
        <v>0</v>
      </c>
      <c r="F655" s="1">
        <v>388305</v>
      </c>
      <c r="G655" s="1">
        <v>17329.5</v>
      </c>
      <c r="H655" s="1">
        <v>357370</v>
      </c>
      <c r="I655" s="1">
        <v>429469</v>
      </c>
      <c r="J655" s="1">
        <v>43050.400000000001</v>
      </c>
      <c r="K655" s="1">
        <v>86520.8</v>
      </c>
      <c r="L655" s="1">
        <v>77119.399999999994</v>
      </c>
      <c r="M655" s="1">
        <v>38589.9</v>
      </c>
      <c r="N655" s="1">
        <v>51655.3</v>
      </c>
      <c r="O655" s="1">
        <v>70364.5</v>
      </c>
      <c r="P655" s="1">
        <v>50363</v>
      </c>
      <c r="Q655" s="1">
        <v>78420</v>
      </c>
      <c r="R655" s="1">
        <v>0</v>
      </c>
    </row>
    <row r="656" spans="1:18">
      <c r="A656" s="2">
        <v>8.3333333333333329E-2</v>
      </c>
      <c r="B656" s="1">
        <v>935374</v>
      </c>
      <c r="C656" s="1">
        <v>952048</v>
      </c>
      <c r="D656" s="1">
        <v>28210.2</v>
      </c>
      <c r="E656" s="1">
        <v>0</v>
      </c>
      <c r="F656" s="1">
        <v>388323</v>
      </c>
      <c r="G656" s="1">
        <v>17381.400000000001</v>
      </c>
      <c r="H656" s="1">
        <v>357382</v>
      </c>
      <c r="I656" s="1">
        <v>429710</v>
      </c>
      <c r="J656" s="1">
        <v>43059.6</v>
      </c>
      <c r="K656" s="1">
        <v>86523.8</v>
      </c>
      <c r="L656" s="1">
        <v>77142.399999999994</v>
      </c>
      <c r="M656" s="1">
        <v>38633.9</v>
      </c>
      <c r="N656" s="1">
        <v>51709.8</v>
      </c>
      <c r="O656" s="1">
        <v>70385.3</v>
      </c>
      <c r="P656" s="1">
        <v>50363</v>
      </c>
      <c r="Q656" s="1">
        <v>78420</v>
      </c>
      <c r="R656" s="1">
        <v>0</v>
      </c>
    </row>
    <row r="657" spans="1:18">
      <c r="A657" s="2">
        <v>0.125</v>
      </c>
      <c r="B657" s="1">
        <v>936064</v>
      </c>
      <c r="C657" s="1">
        <v>952216</v>
      </c>
      <c r="D657" s="1">
        <v>28224.3</v>
      </c>
      <c r="E657" s="1">
        <v>0</v>
      </c>
      <c r="F657" s="1">
        <v>388341</v>
      </c>
      <c r="G657" s="1">
        <v>17431</v>
      </c>
      <c r="H657" s="1">
        <v>357393</v>
      </c>
      <c r="I657" s="1">
        <v>429937</v>
      </c>
      <c r="J657" s="1">
        <v>43069</v>
      </c>
      <c r="K657" s="1">
        <v>86526.9</v>
      </c>
      <c r="L657" s="1">
        <v>77164.5</v>
      </c>
      <c r="M657" s="1">
        <v>38677.4</v>
      </c>
      <c r="N657" s="1">
        <v>51764.2</v>
      </c>
      <c r="O657" s="1">
        <v>70405.8</v>
      </c>
      <c r="P657" s="1">
        <v>50363</v>
      </c>
      <c r="Q657" s="1">
        <v>78420</v>
      </c>
      <c r="R657" s="1">
        <v>0</v>
      </c>
    </row>
    <row r="658" spans="1:18">
      <c r="A658" s="2">
        <v>0.16666666666666666</v>
      </c>
      <c r="B658" s="1">
        <v>936738</v>
      </c>
      <c r="C658" s="1">
        <v>952379</v>
      </c>
      <c r="D658" s="1">
        <v>28238.400000000001</v>
      </c>
      <c r="E658" s="1">
        <v>0</v>
      </c>
      <c r="F658" s="1">
        <v>388357</v>
      </c>
      <c r="G658" s="1">
        <v>17480.400000000001</v>
      </c>
      <c r="H658" s="1">
        <v>357405</v>
      </c>
      <c r="I658" s="1">
        <v>430159</v>
      </c>
      <c r="J658" s="1">
        <v>43077.9</v>
      </c>
      <c r="K658" s="1">
        <v>86529.9</v>
      </c>
      <c r="L658" s="1">
        <v>77186.3</v>
      </c>
      <c r="M658" s="1">
        <v>38720.800000000003</v>
      </c>
      <c r="N658" s="1">
        <v>51818.400000000001</v>
      </c>
      <c r="O658" s="1">
        <v>70425.100000000006</v>
      </c>
      <c r="P658" s="1">
        <v>50363</v>
      </c>
      <c r="Q658" s="1">
        <v>78420</v>
      </c>
      <c r="R658" s="1">
        <v>0</v>
      </c>
    </row>
    <row r="659" spans="1:18">
      <c r="A659" s="2">
        <v>0.20833333333333334</v>
      </c>
      <c r="B659" s="1">
        <v>937407</v>
      </c>
      <c r="C659" s="1">
        <v>952543</v>
      </c>
      <c r="D659" s="1">
        <v>28253.599999999999</v>
      </c>
      <c r="E659" s="1">
        <v>0</v>
      </c>
      <c r="F659" s="1">
        <v>388373</v>
      </c>
      <c r="G659" s="1">
        <v>17529.400000000001</v>
      </c>
      <c r="H659" s="1">
        <v>357416</v>
      </c>
      <c r="I659" s="1">
        <v>430372</v>
      </c>
      <c r="J659" s="1">
        <v>43087.199999999997</v>
      </c>
      <c r="K659" s="1">
        <v>86533</v>
      </c>
      <c r="L659" s="1">
        <v>77206.8</v>
      </c>
      <c r="M659" s="1">
        <v>38764.199999999997</v>
      </c>
      <c r="N659" s="1">
        <v>51874</v>
      </c>
      <c r="O659" s="1">
        <v>70446.100000000006</v>
      </c>
      <c r="P659" s="1">
        <v>50363</v>
      </c>
      <c r="Q659" s="1">
        <v>78420</v>
      </c>
      <c r="R659" s="1">
        <v>0</v>
      </c>
    </row>
    <row r="660" spans="1:18">
      <c r="A660" s="2">
        <v>0.25</v>
      </c>
      <c r="B660" s="1">
        <v>938071</v>
      </c>
      <c r="C660" s="1">
        <v>952707</v>
      </c>
      <c r="D660" s="1">
        <v>28268.2</v>
      </c>
      <c r="E660" s="1">
        <v>0</v>
      </c>
      <c r="F660" s="1">
        <v>388389</v>
      </c>
      <c r="G660" s="1">
        <v>17577.900000000001</v>
      </c>
      <c r="H660" s="1">
        <v>357428</v>
      </c>
      <c r="I660" s="1">
        <v>430585</v>
      </c>
      <c r="J660" s="1">
        <v>43096.1</v>
      </c>
      <c r="K660" s="1">
        <v>86535.9</v>
      </c>
      <c r="L660" s="1">
        <v>77226.399999999994</v>
      </c>
      <c r="M660" s="1">
        <v>38807.300000000003</v>
      </c>
      <c r="N660" s="1">
        <v>51927.8</v>
      </c>
      <c r="O660" s="1">
        <v>70465.600000000006</v>
      </c>
      <c r="P660" s="1">
        <v>50363</v>
      </c>
      <c r="Q660" s="1">
        <v>78420</v>
      </c>
      <c r="R660" s="1">
        <v>0</v>
      </c>
    </row>
    <row r="661" spans="1:18">
      <c r="A661" s="2">
        <v>0.29166666666666669</v>
      </c>
      <c r="B661" s="1">
        <v>938746</v>
      </c>
      <c r="C661" s="1">
        <v>952876</v>
      </c>
      <c r="D661" s="1">
        <v>28281.9</v>
      </c>
      <c r="E661" s="1">
        <v>0</v>
      </c>
      <c r="F661" s="1">
        <v>388405</v>
      </c>
      <c r="G661" s="1">
        <v>17627.3</v>
      </c>
      <c r="H661" s="1">
        <v>357439</v>
      </c>
      <c r="I661" s="1">
        <v>430806</v>
      </c>
      <c r="J661" s="1">
        <v>43105.7</v>
      </c>
      <c r="K661" s="1">
        <v>86538.2</v>
      </c>
      <c r="L661" s="1">
        <v>77245.7</v>
      </c>
      <c r="M661" s="1">
        <v>38851.4</v>
      </c>
      <c r="N661" s="1">
        <v>51981.4</v>
      </c>
      <c r="O661" s="1">
        <v>70483.199999999997</v>
      </c>
      <c r="P661" s="1">
        <v>50363</v>
      </c>
      <c r="Q661" s="1">
        <v>78421</v>
      </c>
      <c r="R661" s="1">
        <v>0</v>
      </c>
    </row>
    <row r="662" spans="1:18">
      <c r="A662" s="2">
        <v>0.33333333333333331</v>
      </c>
      <c r="B662" s="1">
        <v>939442</v>
      </c>
      <c r="C662" s="1">
        <v>953054</v>
      </c>
      <c r="D662" s="1">
        <v>28295.8</v>
      </c>
      <c r="E662" s="1">
        <v>0</v>
      </c>
      <c r="F662" s="1">
        <v>388422</v>
      </c>
      <c r="G662" s="1">
        <v>17676</v>
      </c>
      <c r="H662" s="1">
        <v>357451</v>
      </c>
      <c r="I662" s="1">
        <v>431036</v>
      </c>
      <c r="J662" s="1">
        <v>43115.5</v>
      </c>
      <c r="K662" s="1">
        <v>86538.5</v>
      </c>
      <c r="L662" s="1">
        <v>77264.600000000006</v>
      </c>
      <c r="M662" s="1">
        <v>38897.9</v>
      </c>
      <c r="N662" s="1">
        <v>52032</v>
      </c>
      <c r="O662" s="1">
        <v>70503.3</v>
      </c>
      <c r="P662" s="1">
        <v>50363</v>
      </c>
      <c r="Q662" s="1">
        <v>78423</v>
      </c>
      <c r="R662" s="1">
        <v>0</v>
      </c>
    </row>
    <row r="663" spans="1:18">
      <c r="A663" s="2">
        <v>0.375</v>
      </c>
      <c r="B663" s="1">
        <v>940163</v>
      </c>
      <c r="C663" s="1">
        <v>953240</v>
      </c>
      <c r="D663" s="1">
        <v>28310</v>
      </c>
      <c r="E663" s="1">
        <v>0</v>
      </c>
      <c r="F663" s="1">
        <v>388442</v>
      </c>
      <c r="G663" s="1">
        <v>17717</v>
      </c>
      <c r="H663" s="1">
        <v>357462</v>
      </c>
      <c r="I663" s="1">
        <v>431292</v>
      </c>
      <c r="J663" s="1">
        <v>43125.8</v>
      </c>
      <c r="K663" s="1">
        <v>86538.5</v>
      </c>
      <c r="L663" s="1">
        <v>77283.399999999994</v>
      </c>
      <c r="M663" s="1">
        <v>38948.400000000001</v>
      </c>
      <c r="N663" s="1">
        <v>52079.199999999997</v>
      </c>
      <c r="O663" s="1">
        <v>70523.600000000006</v>
      </c>
      <c r="P663" s="1">
        <v>50367</v>
      </c>
      <c r="Q663" s="1">
        <v>78433</v>
      </c>
      <c r="R663" s="1">
        <v>0</v>
      </c>
    </row>
    <row r="664" spans="1:18">
      <c r="A664" s="2">
        <v>0.41666666666666669</v>
      </c>
      <c r="B664" s="1">
        <v>940932</v>
      </c>
      <c r="C664" s="1">
        <v>953431</v>
      </c>
      <c r="D664" s="1">
        <v>28327.599999999999</v>
      </c>
      <c r="E664" s="1">
        <v>0</v>
      </c>
      <c r="F664" s="1">
        <v>388463</v>
      </c>
      <c r="G664" s="1">
        <v>17752.8</v>
      </c>
      <c r="H664" s="1">
        <v>357473</v>
      </c>
      <c r="I664" s="1">
        <v>431574</v>
      </c>
      <c r="J664" s="1">
        <v>43136.6</v>
      </c>
      <c r="K664" s="1">
        <v>86538.5</v>
      </c>
      <c r="L664" s="1">
        <v>77303.899999999994</v>
      </c>
      <c r="M664" s="1">
        <v>38997.9</v>
      </c>
      <c r="N664" s="1">
        <v>52127.3</v>
      </c>
      <c r="O664" s="1">
        <v>70560.7</v>
      </c>
      <c r="P664" s="1">
        <v>50376</v>
      </c>
      <c r="Q664" s="1">
        <v>78447</v>
      </c>
      <c r="R664" s="1">
        <v>0</v>
      </c>
    </row>
    <row r="665" spans="1:18">
      <c r="A665" s="2">
        <v>0.45833333333333331</v>
      </c>
      <c r="B665" s="1">
        <v>941749</v>
      </c>
      <c r="C665" s="1">
        <v>953634</v>
      </c>
      <c r="D665" s="1">
        <v>28351.8</v>
      </c>
      <c r="E665" s="1">
        <v>0</v>
      </c>
      <c r="F665" s="1">
        <v>388484</v>
      </c>
      <c r="G665" s="1">
        <v>17782.3</v>
      </c>
      <c r="H665" s="1">
        <v>357484</v>
      </c>
      <c r="I665" s="1">
        <v>431865</v>
      </c>
      <c r="J665" s="1">
        <v>43147.4</v>
      </c>
      <c r="K665" s="1">
        <v>86538.5</v>
      </c>
      <c r="L665" s="1">
        <v>77326.8</v>
      </c>
      <c r="M665" s="1">
        <v>39047.199999999997</v>
      </c>
      <c r="N665" s="1">
        <v>52172.5</v>
      </c>
      <c r="O665" s="1">
        <v>70620.100000000006</v>
      </c>
      <c r="P665" s="1">
        <v>50389</v>
      </c>
      <c r="Q665" s="1">
        <v>78466</v>
      </c>
      <c r="R665" s="1">
        <v>0</v>
      </c>
    </row>
    <row r="666" spans="1:18">
      <c r="A666" s="2">
        <v>0.5</v>
      </c>
      <c r="B666" s="1">
        <v>942583</v>
      </c>
      <c r="C666" s="1">
        <v>953853</v>
      </c>
      <c r="D666" s="1">
        <v>28373.200000000001</v>
      </c>
      <c r="E666" s="1">
        <v>0</v>
      </c>
      <c r="F666" s="1">
        <v>388507</v>
      </c>
      <c r="G666" s="1">
        <v>17810.5</v>
      </c>
      <c r="H666" s="1">
        <v>357496</v>
      </c>
      <c r="I666" s="1">
        <v>432155</v>
      </c>
      <c r="J666" s="1">
        <v>43158.7</v>
      </c>
      <c r="K666" s="1">
        <v>86538.5</v>
      </c>
      <c r="L666" s="1">
        <v>77350.600000000006</v>
      </c>
      <c r="M666" s="1">
        <v>39098.800000000003</v>
      </c>
      <c r="N666" s="1">
        <v>52218.6</v>
      </c>
      <c r="O666" s="1">
        <v>70679</v>
      </c>
      <c r="P666" s="1">
        <v>50404</v>
      </c>
      <c r="Q666" s="1">
        <v>78489</v>
      </c>
      <c r="R666" s="1">
        <v>0</v>
      </c>
    </row>
    <row r="667" spans="1:18">
      <c r="A667" s="2">
        <v>0.54166666666666663</v>
      </c>
      <c r="B667" s="1">
        <v>943443</v>
      </c>
      <c r="C667" s="1">
        <v>954085</v>
      </c>
      <c r="D667" s="1">
        <v>28397.1</v>
      </c>
      <c r="E667" s="1">
        <v>0</v>
      </c>
      <c r="F667" s="1">
        <v>388531</v>
      </c>
      <c r="G667" s="1">
        <v>17843</v>
      </c>
      <c r="H667" s="1">
        <v>357507</v>
      </c>
      <c r="I667" s="1">
        <v>432445</v>
      </c>
      <c r="J667" s="1">
        <v>43170.1</v>
      </c>
      <c r="K667" s="1">
        <v>86538.5</v>
      </c>
      <c r="L667" s="1">
        <v>77373.600000000006</v>
      </c>
      <c r="M667" s="1">
        <v>39151.300000000003</v>
      </c>
      <c r="N667" s="1">
        <v>52264.9</v>
      </c>
      <c r="O667" s="1">
        <v>70742.600000000006</v>
      </c>
      <c r="P667" s="1">
        <v>50419</v>
      </c>
      <c r="Q667" s="1">
        <v>78513</v>
      </c>
      <c r="R667" s="1">
        <v>0</v>
      </c>
    </row>
    <row r="668" spans="1:18">
      <c r="A668" s="2">
        <v>0.58333333333333337</v>
      </c>
      <c r="B668" s="1">
        <v>944380</v>
      </c>
      <c r="C668" s="1">
        <v>954324</v>
      </c>
      <c r="D668" s="1">
        <v>28421.7</v>
      </c>
      <c r="E668" s="1">
        <v>0</v>
      </c>
      <c r="F668" s="1">
        <v>388569</v>
      </c>
      <c r="G668" s="1">
        <v>17880.400000000001</v>
      </c>
      <c r="H668" s="1">
        <v>357519</v>
      </c>
      <c r="I668" s="1">
        <v>432766</v>
      </c>
      <c r="J668" s="1">
        <v>43181.8</v>
      </c>
      <c r="K668" s="1">
        <v>86538.5</v>
      </c>
      <c r="L668" s="1">
        <v>77396.899999999994</v>
      </c>
      <c r="M668" s="1">
        <v>39205.9</v>
      </c>
      <c r="N668" s="1">
        <v>52311.7</v>
      </c>
      <c r="O668" s="1">
        <v>70811.7</v>
      </c>
      <c r="P668" s="1">
        <v>50435</v>
      </c>
      <c r="Q668" s="1">
        <v>78537</v>
      </c>
      <c r="R668" s="1">
        <v>0</v>
      </c>
    </row>
    <row r="669" spans="1:18">
      <c r="A669" s="2">
        <v>0.625</v>
      </c>
      <c r="B669" s="1">
        <v>945337</v>
      </c>
      <c r="C669" s="1">
        <v>954568</v>
      </c>
      <c r="D669" s="1">
        <v>28450.9</v>
      </c>
      <c r="E669" s="1">
        <v>0</v>
      </c>
      <c r="F669" s="1">
        <v>388599</v>
      </c>
      <c r="G669" s="1">
        <v>17921.400000000001</v>
      </c>
      <c r="H669" s="1">
        <v>357532</v>
      </c>
      <c r="I669" s="1">
        <v>433108</v>
      </c>
      <c r="J669" s="1">
        <v>43193.5</v>
      </c>
      <c r="K669" s="1">
        <v>86539.9</v>
      </c>
      <c r="L669" s="1">
        <v>77422.899999999994</v>
      </c>
      <c r="M669" s="1">
        <v>39261</v>
      </c>
      <c r="N669" s="1">
        <v>52355.5</v>
      </c>
      <c r="O669" s="1">
        <v>70863.100000000006</v>
      </c>
      <c r="P669" s="1">
        <v>50450</v>
      </c>
      <c r="Q669" s="1">
        <v>78559</v>
      </c>
      <c r="R669" s="1">
        <v>0</v>
      </c>
    </row>
    <row r="670" spans="1:18">
      <c r="A670" s="2">
        <v>0.66666666666666663</v>
      </c>
      <c r="B670" s="1">
        <v>946285</v>
      </c>
      <c r="C670" s="1">
        <v>954816</v>
      </c>
      <c r="D670" s="1">
        <v>28481.1</v>
      </c>
      <c r="E670" s="1">
        <v>0</v>
      </c>
      <c r="F670" s="1">
        <v>388628</v>
      </c>
      <c r="G670" s="1">
        <v>17970.400000000001</v>
      </c>
      <c r="H670" s="1">
        <v>357543</v>
      </c>
      <c r="I670" s="1">
        <v>433447</v>
      </c>
      <c r="J670" s="1">
        <v>43206.6</v>
      </c>
      <c r="K670" s="1">
        <v>86545.3</v>
      </c>
      <c r="L670" s="1">
        <v>77449.3</v>
      </c>
      <c r="M670" s="1">
        <v>39316.5</v>
      </c>
      <c r="N670" s="1">
        <v>52402.1</v>
      </c>
      <c r="O670" s="1">
        <v>70891.8</v>
      </c>
      <c r="P670" s="1">
        <v>50463</v>
      </c>
      <c r="Q670" s="1">
        <v>78578</v>
      </c>
      <c r="R670" s="1">
        <v>0</v>
      </c>
    </row>
    <row r="671" spans="1:18">
      <c r="A671" s="2">
        <v>0.70833333333333337</v>
      </c>
      <c r="B671" s="1">
        <v>947216</v>
      </c>
      <c r="C671" s="1">
        <v>955056</v>
      </c>
      <c r="D671" s="1">
        <v>28508.7</v>
      </c>
      <c r="E671" s="1">
        <v>0</v>
      </c>
      <c r="F671" s="1">
        <v>388656</v>
      </c>
      <c r="G671" s="1">
        <v>18019.400000000001</v>
      </c>
      <c r="H671" s="1">
        <v>357555</v>
      </c>
      <c r="I671" s="1">
        <v>433775</v>
      </c>
      <c r="J671" s="1">
        <v>43220.3</v>
      </c>
      <c r="K671" s="1">
        <v>86556.7</v>
      </c>
      <c r="L671" s="1">
        <v>77474.3</v>
      </c>
      <c r="M671" s="1">
        <v>39369.4</v>
      </c>
      <c r="N671" s="1">
        <v>52451</v>
      </c>
      <c r="O671" s="1">
        <v>70920.100000000006</v>
      </c>
      <c r="P671" s="1">
        <v>50473</v>
      </c>
      <c r="Q671" s="1">
        <v>78593</v>
      </c>
      <c r="R671" s="1">
        <v>0</v>
      </c>
    </row>
    <row r="672" spans="1:18">
      <c r="A672" s="2">
        <v>0.75</v>
      </c>
      <c r="B672" s="1">
        <v>948143</v>
      </c>
      <c r="C672" s="1">
        <v>955288</v>
      </c>
      <c r="D672" s="1">
        <v>28536.5</v>
      </c>
      <c r="E672" s="1">
        <v>0</v>
      </c>
      <c r="F672" s="1">
        <v>388680</v>
      </c>
      <c r="G672" s="1">
        <v>18074.5</v>
      </c>
      <c r="H672" s="1">
        <v>357567</v>
      </c>
      <c r="I672" s="1">
        <v>434098</v>
      </c>
      <c r="J672" s="1">
        <v>43232.7</v>
      </c>
      <c r="K672" s="1">
        <v>86574.8</v>
      </c>
      <c r="L672" s="1">
        <v>77503.8</v>
      </c>
      <c r="M672" s="1">
        <v>39418.800000000003</v>
      </c>
      <c r="N672" s="1">
        <v>52503</v>
      </c>
      <c r="O672" s="1">
        <v>70946.8</v>
      </c>
      <c r="P672" s="1">
        <v>50479</v>
      </c>
      <c r="Q672" s="1">
        <v>78602</v>
      </c>
      <c r="R672" s="1">
        <v>0</v>
      </c>
    </row>
    <row r="673" spans="1:18">
      <c r="A673" s="2">
        <v>0.79166666666666663</v>
      </c>
      <c r="B673" s="1">
        <v>949036</v>
      </c>
      <c r="C673" s="1">
        <v>955512</v>
      </c>
      <c r="D673" s="1">
        <v>28558</v>
      </c>
      <c r="E673" s="1">
        <v>0</v>
      </c>
      <c r="F673" s="1">
        <v>388700</v>
      </c>
      <c r="G673" s="1">
        <v>18138.400000000001</v>
      </c>
      <c r="H673" s="1">
        <v>357578</v>
      </c>
      <c r="I673" s="1">
        <v>434404</v>
      </c>
      <c r="J673" s="1">
        <v>43244.4</v>
      </c>
      <c r="K673" s="1">
        <v>86594.6</v>
      </c>
      <c r="L673" s="1">
        <v>77528.5</v>
      </c>
      <c r="M673" s="1">
        <v>39468.1</v>
      </c>
      <c r="N673" s="1">
        <v>52557.9</v>
      </c>
      <c r="O673" s="1">
        <v>70970.399999999994</v>
      </c>
      <c r="P673" s="1">
        <v>50480</v>
      </c>
      <c r="Q673" s="1">
        <v>78605</v>
      </c>
      <c r="R673" s="1">
        <v>0</v>
      </c>
    </row>
    <row r="674" spans="1:18">
      <c r="A674" s="2">
        <v>0.83333333333333337</v>
      </c>
      <c r="B674" s="1">
        <v>949851</v>
      </c>
      <c r="C674" s="1">
        <v>955725</v>
      </c>
      <c r="D674" s="1">
        <v>28577.5</v>
      </c>
      <c r="E674" s="1">
        <v>0</v>
      </c>
      <c r="F674" s="1">
        <v>388717</v>
      </c>
      <c r="G674" s="1">
        <v>18200</v>
      </c>
      <c r="H674" s="1">
        <v>357590</v>
      </c>
      <c r="I674" s="1">
        <v>434675</v>
      </c>
      <c r="J674" s="1">
        <v>43255.199999999997</v>
      </c>
      <c r="K674" s="1">
        <v>86599.4</v>
      </c>
      <c r="L674" s="1">
        <v>77550.600000000006</v>
      </c>
      <c r="M674" s="1">
        <v>39513.9</v>
      </c>
      <c r="N674" s="1">
        <v>52613.8</v>
      </c>
      <c r="O674" s="1">
        <v>70997.899999999994</v>
      </c>
      <c r="P674" s="1">
        <v>50480</v>
      </c>
      <c r="Q674" s="1">
        <v>78605</v>
      </c>
      <c r="R674" s="1">
        <v>0</v>
      </c>
    </row>
    <row r="675" spans="1:18">
      <c r="A675" s="2">
        <v>0.875</v>
      </c>
      <c r="B675" s="1">
        <v>950632</v>
      </c>
      <c r="C675" s="1">
        <v>955935</v>
      </c>
      <c r="D675" s="1">
        <v>28594</v>
      </c>
      <c r="E675" s="1">
        <v>0</v>
      </c>
      <c r="F675" s="1">
        <v>388735</v>
      </c>
      <c r="G675" s="1">
        <v>18257.900000000001</v>
      </c>
      <c r="H675" s="1">
        <v>357601</v>
      </c>
      <c r="I675" s="1">
        <v>434923</v>
      </c>
      <c r="J675" s="1">
        <v>43265.4</v>
      </c>
      <c r="K675" s="1">
        <v>86603.8</v>
      </c>
      <c r="L675" s="1">
        <v>77573.7</v>
      </c>
      <c r="M675" s="1">
        <v>39558.400000000001</v>
      </c>
      <c r="N675" s="1">
        <v>52669.3</v>
      </c>
      <c r="O675" s="1">
        <v>71024.899999999994</v>
      </c>
      <c r="P675" s="1">
        <v>50480</v>
      </c>
      <c r="Q675" s="1">
        <v>78605</v>
      </c>
      <c r="R675" s="1">
        <v>0</v>
      </c>
    </row>
    <row r="676" spans="1:18">
      <c r="A676" s="2">
        <v>0.91666666666666663</v>
      </c>
      <c r="B676" s="1">
        <v>951393</v>
      </c>
      <c r="C676" s="1">
        <v>956133</v>
      </c>
      <c r="D676" s="1">
        <v>28611.599999999999</v>
      </c>
      <c r="E676" s="1">
        <v>0</v>
      </c>
      <c r="F676" s="1">
        <v>388754</v>
      </c>
      <c r="G676" s="1">
        <v>18315.7</v>
      </c>
      <c r="H676" s="1">
        <v>357614</v>
      </c>
      <c r="I676" s="1">
        <v>435165</v>
      </c>
      <c r="J676" s="1">
        <v>43275</v>
      </c>
      <c r="K676" s="1">
        <v>86608</v>
      </c>
      <c r="L676" s="1">
        <v>77598.399999999994</v>
      </c>
      <c r="M676" s="1">
        <v>39602.800000000003</v>
      </c>
      <c r="N676" s="1">
        <v>52724.5</v>
      </c>
      <c r="O676" s="1">
        <v>71050.100000000006</v>
      </c>
      <c r="P676" s="1">
        <v>50480</v>
      </c>
      <c r="Q676" s="1">
        <v>78605</v>
      </c>
      <c r="R676" s="1">
        <v>0</v>
      </c>
    </row>
    <row r="677" spans="1:18">
      <c r="A677" s="2">
        <v>0.95833333333333337</v>
      </c>
      <c r="B677" s="1">
        <v>952136</v>
      </c>
      <c r="C677" s="1">
        <v>956314</v>
      </c>
      <c r="D677" s="1">
        <v>28630.5</v>
      </c>
      <c r="E677" s="1">
        <v>0</v>
      </c>
      <c r="F677" s="1">
        <v>388771</v>
      </c>
      <c r="G677" s="1">
        <v>18370.3</v>
      </c>
      <c r="H677" s="1">
        <v>357625</v>
      </c>
      <c r="I677" s="1">
        <v>435411</v>
      </c>
      <c r="J677" s="1">
        <v>43284.800000000003</v>
      </c>
      <c r="K677" s="1">
        <v>86612.5</v>
      </c>
      <c r="L677" s="1">
        <v>77622.5</v>
      </c>
      <c r="M677" s="1">
        <v>39648.6</v>
      </c>
      <c r="N677" s="1">
        <v>52781.8</v>
      </c>
      <c r="O677" s="1">
        <v>71071.399999999994</v>
      </c>
      <c r="P677" s="1">
        <v>50480</v>
      </c>
      <c r="Q677" s="1">
        <v>78605</v>
      </c>
      <c r="R677" s="1">
        <v>0</v>
      </c>
    </row>
    <row r="678" spans="1:18">
      <c r="A678" s="2">
        <v>0</v>
      </c>
      <c r="B678" s="1">
        <v>952866</v>
      </c>
      <c r="C678" s="1">
        <v>956504</v>
      </c>
      <c r="D678" s="1">
        <v>28648.6</v>
      </c>
      <c r="E678" s="1">
        <v>0</v>
      </c>
      <c r="F678" s="1">
        <v>388788</v>
      </c>
      <c r="G678" s="1">
        <v>18424.099999999999</v>
      </c>
      <c r="H678" s="1">
        <v>357636</v>
      </c>
      <c r="I678" s="1">
        <v>435642</v>
      </c>
      <c r="J678" s="1">
        <v>43294</v>
      </c>
      <c r="K678" s="1">
        <v>86616.8</v>
      </c>
      <c r="L678" s="1">
        <v>77646.5</v>
      </c>
      <c r="M678" s="1">
        <v>39693.9</v>
      </c>
      <c r="N678" s="1">
        <v>52836.5</v>
      </c>
      <c r="O678" s="1">
        <v>71093.100000000006</v>
      </c>
      <c r="P678" s="1">
        <v>50480</v>
      </c>
      <c r="Q678" s="1">
        <v>78605</v>
      </c>
      <c r="R678" s="1">
        <v>0</v>
      </c>
    </row>
    <row r="679" spans="1:18">
      <c r="A679" s="2">
        <v>4.1666666666666664E-2</v>
      </c>
      <c r="B679" s="1">
        <v>953589</v>
      </c>
      <c r="C679" s="1">
        <v>956691</v>
      </c>
      <c r="D679" s="1">
        <v>28666.3</v>
      </c>
      <c r="E679" s="1">
        <v>0</v>
      </c>
      <c r="F679" s="1">
        <v>388803</v>
      </c>
      <c r="G679" s="1">
        <v>18475.599999999999</v>
      </c>
      <c r="H679" s="1">
        <v>357647</v>
      </c>
      <c r="I679" s="1">
        <v>435873</v>
      </c>
      <c r="J679" s="1">
        <v>43303.5</v>
      </c>
      <c r="K679" s="1">
        <v>86621.1</v>
      </c>
      <c r="L679" s="1">
        <v>77671.600000000006</v>
      </c>
      <c r="M679" s="1">
        <v>39738.400000000001</v>
      </c>
      <c r="N679" s="1">
        <v>52891.1</v>
      </c>
      <c r="O679" s="1">
        <v>71112.7</v>
      </c>
      <c r="P679" s="1">
        <v>50480</v>
      </c>
      <c r="Q679" s="1">
        <v>78605</v>
      </c>
      <c r="R679" s="1">
        <v>0</v>
      </c>
    </row>
    <row r="680" spans="1:18">
      <c r="A680" s="2">
        <v>8.3333333333333329E-2</v>
      </c>
      <c r="B680" s="1">
        <v>954281</v>
      </c>
      <c r="C680" s="1">
        <v>956865</v>
      </c>
      <c r="D680" s="1">
        <v>28682.3</v>
      </c>
      <c r="E680" s="1">
        <v>0</v>
      </c>
      <c r="F680" s="1">
        <v>388817</v>
      </c>
      <c r="G680" s="1">
        <v>18526.900000000001</v>
      </c>
      <c r="H680" s="1">
        <v>357659</v>
      </c>
      <c r="I680" s="1">
        <v>436090</v>
      </c>
      <c r="J680" s="1">
        <v>43312.7</v>
      </c>
      <c r="K680" s="1">
        <v>86625.5</v>
      </c>
      <c r="L680" s="1">
        <v>77695.3</v>
      </c>
      <c r="M680" s="1">
        <v>39782</v>
      </c>
      <c r="N680" s="1">
        <v>52945.7</v>
      </c>
      <c r="O680" s="1">
        <v>71133.8</v>
      </c>
      <c r="P680" s="1">
        <v>50480</v>
      </c>
      <c r="Q680" s="1">
        <v>78605</v>
      </c>
      <c r="R680" s="1">
        <v>0</v>
      </c>
    </row>
    <row r="681" spans="1:18">
      <c r="A681" s="2">
        <v>0.125</v>
      </c>
      <c r="B681" s="1">
        <v>954953</v>
      </c>
      <c r="C681" s="1">
        <v>957035</v>
      </c>
      <c r="D681" s="1">
        <v>28695.3</v>
      </c>
      <c r="E681" s="1">
        <v>0</v>
      </c>
      <c r="F681" s="1">
        <v>388832</v>
      </c>
      <c r="G681" s="1">
        <v>18577.3</v>
      </c>
      <c r="H681" s="1">
        <v>357670</v>
      </c>
      <c r="I681" s="1">
        <v>436300</v>
      </c>
      <c r="J681" s="1">
        <v>43322</v>
      </c>
      <c r="K681" s="1">
        <v>86629.9</v>
      </c>
      <c r="L681" s="1">
        <v>77718.2</v>
      </c>
      <c r="M681" s="1">
        <v>39824.9</v>
      </c>
      <c r="N681" s="1">
        <v>53000.2</v>
      </c>
      <c r="O681" s="1">
        <v>71154.600000000006</v>
      </c>
      <c r="P681" s="1">
        <v>50480</v>
      </c>
      <c r="Q681" s="1">
        <v>78605</v>
      </c>
      <c r="R681" s="1">
        <v>0</v>
      </c>
    </row>
    <row r="682" spans="1:18">
      <c r="A682" s="2">
        <v>0.16666666666666666</v>
      </c>
      <c r="B682" s="1">
        <v>955615</v>
      </c>
      <c r="C682" s="1">
        <v>957197</v>
      </c>
      <c r="D682" s="1">
        <v>28708.5</v>
      </c>
      <c r="E682" s="1">
        <v>0</v>
      </c>
      <c r="F682" s="1">
        <v>388847</v>
      </c>
      <c r="G682" s="1">
        <v>18627</v>
      </c>
      <c r="H682" s="1">
        <v>357682</v>
      </c>
      <c r="I682" s="1">
        <v>436509</v>
      </c>
      <c r="J682" s="1">
        <v>43330.8</v>
      </c>
      <c r="K682" s="1">
        <v>86634.8</v>
      </c>
      <c r="L682" s="1">
        <v>77739.100000000006</v>
      </c>
      <c r="M682" s="1">
        <v>39868.199999999997</v>
      </c>
      <c r="N682" s="1">
        <v>53054.8</v>
      </c>
      <c r="O682" s="1">
        <v>71175.600000000006</v>
      </c>
      <c r="P682" s="1">
        <v>50480</v>
      </c>
      <c r="Q682" s="1">
        <v>78605</v>
      </c>
      <c r="R682" s="1">
        <v>0</v>
      </c>
    </row>
    <row r="683" spans="1:18">
      <c r="A683" s="2">
        <v>0.20833333333333334</v>
      </c>
      <c r="B683" s="1">
        <v>956267</v>
      </c>
      <c r="C683" s="1">
        <v>957356</v>
      </c>
      <c r="D683" s="1">
        <v>28721.599999999999</v>
      </c>
      <c r="E683" s="1">
        <v>0</v>
      </c>
      <c r="F683" s="1">
        <v>388862</v>
      </c>
      <c r="G683" s="1">
        <v>18676.900000000001</v>
      </c>
      <c r="H683" s="1">
        <v>357693</v>
      </c>
      <c r="I683" s="1">
        <v>436714</v>
      </c>
      <c r="J683" s="1">
        <v>43338.9</v>
      </c>
      <c r="K683" s="1">
        <v>86639.3</v>
      </c>
      <c r="L683" s="1">
        <v>77758.899999999994</v>
      </c>
      <c r="M683" s="1">
        <v>39910.300000000003</v>
      </c>
      <c r="N683" s="1">
        <v>53109.4</v>
      </c>
      <c r="O683" s="1">
        <v>71197.8</v>
      </c>
      <c r="P683" s="1">
        <v>50480</v>
      </c>
      <c r="Q683" s="1">
        <v>78605</v>
      </c>
      <c r="R683" s="1">
        <v>0</v>
      </c>
    </row>
    <row r="684" spans="1:18">
      <c r="A684" s="2">
        <v>0.25</v>
      </c>
      <c r="B684" s="1">
        <v>956894</v>
      </c>
      <c r="C684" s="1">
        <v>957511</v>
      </c>
      <c r="D684" s="1">
        <v>28734.2</v>
      </c>
      <c r="E684" s="1">
        <v>0</v>
      </c>
      <c r="F684" s="1">
        <v>388875</v>
      </c>
      <c r="G684" s="1">
        <v>18724.8</v>
      </c>
      <c r="H684" s="1">
        <v>357706</v>
      </c>
      <c r="I684" s="1">
        <v>436909</v>
      </c>
      <c r="J684" s="1">
        <v>43346.9</v>
      </c>
      <c r="K684" s="1">
        <v>86643.199999999997</v>
      </c>
      <c r="L684" s="1">
        <v>77776.800000000003</v>
      </c>
      <c r="M684" s="1">
        <v>39951.599999999999</v>
      </c>
      <c r="N684" s="1">
        <v>53163.9</v>
      </c>
      <c r="O684" s="1">
        <v>71217.399999999994</v>
      </c>
      <c r="P684" s="1">
        <v>50480</v>
      </c>
      <c r="Q684" s="1">
        <v>78605</v>
      </c>
      <c r="R684" s="1">
        <v>0</v>
      </c>
    </row>
    <row r="685" spans="1:18">
      <c r="A685" s="2">
        <v>0.29166666666666669</v>
      </c>
      <c r="B685" s="1">
        <v>957532</v>
      </c>
      <c r="C685" s="1">
        <v>957670</v>
      </c>
      <c r="D685" s="1">
        <v>28747.3</v>
      </c>
      <c r="E685" s="1">
        <v>0</v>
      </c>
      <c r="F685" s="1">
        <v>388889</v>
      </c>
      <c r="G685" s="1">
        <v>18772.599999999999</v>
      </c>
      <c r="H685" s="1">
        <v>357717</v>
      </c>
      <c r="I685" s="1">
        <v>437111</v>
      </c>
      <c r="J685" s="1">
        <v>43356.2</v>
      </c>
      <c r="K685" s="1">
        <v>86645.8</v>
      </c>
      <c r="L685" s="1">
        <v>77795.8</v>
      </c>
      <c r="M685" s="1">
        <v>39993.9</v>
      </c>
      <c r="N685" s="1">
        <v>53216.5</v>
      </c>
      <c r="O685" s="1">
        <v>71235.399999999994</v>
      </c>
      <c r="P685" s="1">
        <v>50481</v>
      </c>
      <c r="Q685" s="1">
        <v>78606</v>
      </c>
      <c r="R685" s="1">
        <v>0</v>
      </c>
    </row>
    <row r="686" spans="1:18">
      <c r="A686" s="2">
        <v>0.33333333333333331</v>
      </c>
      <c r="B686" s="1">
        <v>958193</v>
      </c>
      <c r="C686" s="1">
        <v>957835</v>
      </c>
      <c r="D686" s="1">
        <v>28760.2</v>
      </c>
      <c r="E686" s="1">
        <v>0</v>
      </c>
      <c r="F686" s="1">
        <v>388903</v>
      </c>
      <c r="G686" s="1">
        <v>18819.5</v>
      </c>
      <c r="H686" s="1">
        <v>357727</v>
      </c>
      <c r="I686" s="1">
        <v>437329</v>
      </c>
      <c r="J686" s="1">
        <v>43366.1</v>
      </c>
      <c r="K686" s="1">
        <v>86646.1</v>
      </c>
      <c r="L686" s="1">
        <v>77814.7</v>
      </c>
      <c r="M686" s="1">
        <v>40038.199999999997</v>
      </c>
      <c r="N686" s="1">
        <v>53266.6</v>
      </c>
      <c r="O686" s="1">
        <v>71255.399999999994</v>
      </c>
      <c r="P686" s="1">
        <v>50482</v>
      </c>
      <c r="Q686" s="1">
        <v>78610</v>
      </c>
      <c r="R686" s="1">
        <v>0</v>
      </c>
    </row>
    <row r="687" spans="1:18">
      <c r="A687" s="2">
        <v>0.375</v>
      </c>
      <c r="B687" s="1">
        <v>958875</v>
      </c>
      <c r="C687" s="1">
        <v>958017</v>
      </c>
      <c r="D687" s="1">
        <v>28772.9</v>
      </c>
      <c r="E687" s="1">
        <v>0</v>
      </c>
      <c r="F687" s="1">
        <v>388918</v>
      </c>
      <c r="G687" s="1">
        <v>18861.400000000001</v>
      </c>
      <c r="H687" s="1">
        <v>357738</v>
      </c>
      <c r="I687" s="1">
        <v>437558</v>
      </c>
      <c r="J687" s="1">
        <v>43375.9</v>
      </c>
      <c r="K687" s="1">
        <v>86646.1</v>
      </c>
      <c r="L687" s="1">
        <v>77833.8</v>
      </c>
      <c r="M687" s="1">
        <v>40081.5</v>
      </c>
      <c r="N687" s="1">
        <v>53316.6</v>
      </c>
      <c r="O687" s="1">
        <v>71276.600000000006</v>
      </c>
      <c r="P687" s="1">
        <v>50486</v>
      </c>
      <c r="Q687" s="1">
        <v>78617</v>
      </c>
      <c r="R687" s="1">
        <v>0</v>
      </c>
    </row>
    <row r="688" spans="1:18">
      <c r="A688" s="2">
        <v>0.41666666666666669</v>
      </c>
      <c r="B688" s="1">
        <v>959565</v>
      </c>
      <c r="C688" s="1">
        <v>958205</v>
      </c>
      <c r="D688" s="1">
        <v>28786.1</v>
      </c>
      <c r="E688" s="1">
        <v>0</v>
      </c>
      <c r="F688" s="1">
        <v>388933</v>
      </c>
      <c r="G688" s="1">
        <v>18896.400000000001</v>
      </c>
      <c r="H688" s="1">
        <v>357749</v>
      </c>
      <c r="I688" s="1">
        <v>437797</v>
      </c>
      <c r="J688" s="1">
        <v>43386.1</v>
      </c>
      <c r="K688" s="1">
        <v>86646.1</v>
      </c>
      <c r="L688" s="1">
        <v>77852.399999999994</v>
      </c>
      <c r="M688" s="1">
        <v>40124.9</v>
      </c>
      <c r="N688" s="1">
        <v>53363</v>
      </c>
      <c r="O688" s="1">
        <v>71298</v>
      </c>
      <c r="P688" s="1">
        <v>50493</v>
      </c>
      <c r="Q688" s="1">
        <v>78629</v>
      </c>
      <c r="R688" s="1">
        <v>0</v>
      </c>
    </row>
    <row r="689" spans="1:18">
      <c r="A689" s="2">
        <v>0.45833333333333331</v>
      </c>
      <c r="B689" s="1">
        <v>960302</v>
      </c>
      <c r="C689" s="1">
        <v>958402</v>
      </c>
      <c r="D689" s="1">
        <v>28806.7</v>
      </c>
      <c r="E689" s="1">
        <v>0</v>
      </c>
      <c r="F689" s="1">
        <v>388950</v>
      </c>
      <c r="G689" s="1">
        <v>18927.900000000001</v>
      </c>
      <c r="H689" s="1">
        <v>357760</v>
      </c>
      <c r="I689" s="1">
        <v>438054</v>
      </c>
      <c r="J689" s="1">
        <v>43396.7</v>
      </c>
      <c r="K689" s="1">
        <v>86648.5</v>
      </c>
      <c r="L689" s="1">
        <v>77876</v>
      </c>
      <c r="M689" s="1">
        <v>40172</v>
      </c>
      <c r="N689" s="1">
        <v>53407.3</v>
      </c>
      <c r="O689" s="1">
        <v>71319.600000000006</v>
      </c>
      <c r="P689" s="1">
        <v>50503</v>
      </c>
      <c r="Q689" s="1">
        <v>78644</v>
      </c>
      <c r="R689" s="1">
        <v>0</v>
      </c>
    </row>
    <row r="690" spans="1:18">
      <c r="A690" s="2">
        <v>0.5</v>
      </c>
      <c r="B690" s="1">
        <v>961074</v>
      </c>
      <c r="C690" s="1">
        <v>958615</v>
      </c>
      <c r="D690" s="1">
        <v>28827.4</v>
      </c>
      <c r="E690" s="1">
        <v>0</v>
      </c>
      <c r="F690" s="1">
        <v>388968</v>
      </c>
      <c r="G690" s="1">
        <v>18955</v>
      </c>
      <c r="H690" s="1">
        <v>357772</v>
      </c>
      <c r="I690" s="1">
        <v>438331</v>
      </c>
      <c r="J690" s="1">
        <v>43407.9</v>
      </c>
      <c r="K690" s="1">
        <v>86649.5</v>
      </c>
      <c r="L690" s="1">
        <v>77898.8</v>
      </c>
      <c r="M690" s="1">
        <v>40218.800000000003</v>
      </c>
      <c r="N690" s="1">
        <v>53448.5</v>
      </c>
      <c r="O690" s="1">
        <v>71341</v>
      </c>
      <c r="P690" s="1">
        <v>50517</v>
      </c>
      <c r="Q690" s="1">
        <v>78664</v>
      </c>
      <c r="R690" s="1">
        <v>0</v>
      </c>
    </row>
    <row r="691" spans="1:18">
      <c r="A691" s="2">
        <v>0.54166666666666663</v>
      </c>
      <c r="B691" s="1">
        <v>961883</v>
      </c>
      <c r="C691" s="1">
        <v>958839</v>
      </c>
      <c r="D691" s="1">
        <v>28852.9</v>
      </c>
      <c r="E691" s="1">
        <v>0</v>
      </c>
      <c r="F691" s="1">
        <v>388989</v>
      </c>
      <c r="G691" s="1">
        <v>18990.099999999999</v>
      </c>
      <c r="H691" s="1">
        <v>357784</v>
      </c>
      <c r="I691" s="1">
        <v>438611</v>
      </c>
      <c r="J691" s="1">
        <v>43419.5</v>
      </c>
      <c r="K691" s="1">
        <v>86651.9</v>
      </c>
      <c r="L691" s="1">
        <v>77921.899999999994</v>
      </c>
      <c r="M691" s="1">
        <v>40265.699999999997</v>
      </c>
      <c r="N691" s="1">
        <v>53491</v>
      </c>
      <c r="O691" s="1">
        <v>71361.100000000006</v>
      </c>
      <c r="P691" s="1">
        <v>50528</v>
      </c>
      <c r="Q691" s="1">
        <v>78682</v>
      </c>
      <c r="R691" s="1">
        <v>0</v>
      </c>
    </row>
    <row r="692" spans="1:18">
      <c r="A692" s="2">
        <v>0.58333333333333337</v>
      </c>
      <c r="B692" s="1">
        <v>962710</v>
      </c>
      <c r="C692" s="1">
        <v>959070</v>
      </c>
      <c r="D692" s="1">
        <v>28876.7</v>
      </c>
      <c r="E692" s="1">
        <v>0</v>
      </c>
      <c r="F692" s="1">
        <v>389011</v>
      </c>
      <c r="G692" s="1">
        <v>19021.7</v>
      </c>
      <c r="H692" s="1">
        <v>357796</v>
      </c>
      <c r="I692" s="1">
        <v>438905</v>
      </c>
      <c r="J692" s="1">
        <v>43430.9</v>
      </c>
      <c r="K692" s="1">
        <v>86653.6</v>
      </c>
      <c r="L692" s="1">
        <v>77945.2</v>
      </c>
      <c r="M692" s="1">
        <v>40317.699999999997</v>
      </c>
      <c r="N692" s="1">
        <v>53533.4</v>
      </c>
      <c r="O692" s="1">
        <v>71384.399999999994</v>
      </c>
      <c r="P692" s="1">
        <v>50544</v>
      </c>
      <c r="Q692" s="1">
        <v>78705</v>
      </c>
      <c r="R692" s="1">
        <v>0</v>
      </c>
    </row>
    <row r="693" spans="1:18">
      <c r="A693" s="2">
        <v>0.625</v>
      </c>
      <c r="B693" s="1">
        <v>963571</v>
      </c>
      <c r="C693" s="1">
        <v>959309</v>
      </c>
      <c r="D693" s="1">
        <v>28906.799999999999</v>
      </c>
      <c r="E693" s="1">
        <v>0</v>
      </c>
      <c r="F693" s="1">
        <v>389034</v>
      </c>
      <c r="G693" s="1">
        <v>19061.8</v>
      </c>
      <c r="H693" s="1">
        <v>357807</v>
      </c>
      <c r="I693" s="1">
        <v>439205</v>
      </c>
      <c r="J693" s="1">
        <v>43442.5</v>
      </c>
      <c r="K693" s="1">
        <v>86658.7</v>
      </c>
      <c r="L693" s="1">
        <v>77969.2</v>
      </c>
      <c r="M693" s="1">
        <v>40368.300000000003</v>
      </c>
      <c r="N693" s="1">
        <v>53576.2</v>
      </c>
      <c r="O693" s="1">
        <v>71406.600000000006</v>
      </c>
      <c r="P693" s="1">
        <v>50556</v>
      </c>
      <c r="Q693" s="1">
        <v>78724</v>
      </c>
      <c r="R693" s="1">
        <v>0</v>
      </c>
    </row>
    <row r="694" spans="1:18">
      <c r="A694" s="2">
        <v>0.66666666666666663</v>
      </c>
      <c r="B694" s="1">
        <v>964468</v>
      </c>
      <c r="C694" s="1">
        <v>959548</v>
      </c>
      <c r="D694" s="1">
        <v>28940.3</v>
      </c>
      <c r="E694" s="1">
        <v>0</v>
      </c>
      <c r="F694" s="1">
        <v>389059</v>
      </c>
      <c r="G694" s="1">
        <v>19107.3</v>
      </c>
      <c r="H694" s="1">
        <v>357819</v>
      </c>
      <c r="I694" s="1">
        <v>439518</v>
      </c>
      <c r="J694" s="1">
        <v>43454.1</v>
      </c>
      <c r="K694" s="1">
        <v>86664.6</v>
      </c>
      <c r="L694" s="1">
        <v>78002.2</v>
      </c>
      <c r="M694" s="1">
        <v>40420.699999999997</v>
      </c>
      <c r="N694" s="1">
        <v>53620.2</v>
      </c>
      <c r="O694" s="1">
        <v>71428.399999999994</v>
      </c>
      <c r="P694" s="1">
        <v>50569</v>
      </c>
      <c r="Q694" s="1">
        <v>78744</v>
      </c>
      <c r="R694" s="1">
        <v>0</v>
      </c>
    </row>
    <row r="695" spans="1:18">
      <c r="A695" s="2">
        <v>0.70833333333333337</v>
      </c>
      <c r="B695" s="1">
        <v>965404</v>
      </c>
      <c r="C695" s="1">
        <v>959785</v>
      </c>
      <c r="D695" s="1">
        <v>28971</v>
      </c>
      <c r="E695" s="1">
        <v>0</v>
      </c>
      <c r="F695" s="1">
        <v>389085</v>
      </c>
      <c r="G695" s="1">
        <v>19161.400000000001</v>
      </c>
      <c r="H695" s="1">
        <v>357831</v>
      </c>
      <c r="I695" s="1">
        <v>439838</v>
      </c>
      <c r="J695" s="1">
        <v>43466.3</v>
      </c>
      <c r="K695" s="1">
        <v>86677.5</v>
      </c>
      <c r="L695" s="1">
        <v>78039.5</v>
      </c>
      <c r="M695" s="1">
        <v>40472.400000000001</v>
      </c>
      <c r="N695" s="1">
        <v>53670.3</v>
      </c>
      <c r="O695" s="1">
        <v>71451.600000000006</v>
      </c>
      <c r="P695" s="1">
        <v>50578</v>
      </c>
      <c r="Q695" s="1">
        <v>78758</v>
      </c>
      <c r="R695" s="1">
        <v>0</v>
      </c>
    </row>
    <row r="696" spans="1:18">
      <c r="A696" s="2">
        <v>0.75</v>
      </c>
      <c r="B696" s="1">
        <v>966337</v>
      </c>
      <c r="C696" s="1">
        <v>960026</v>
      </c>
      <c r="D696" s="1">
        <v>29000.799999999999</v>
      </c>
      <c r="E696" s="1">
        <v>0</v>
      </c>
      <c r="F696" s="1">
        <v>389109</v>
      </c>
      <c r="G696" s="1">
        <v>19224.8</v>
      </c>
      <c r="H696" s="1">
        <v>357842</v>
      </c>
      <c r="I696" s="1">
        <v>440152</v>
      </c>
      <c r="J696" s="1">
        <v>43477.8</v>
      </c>
      <c r="K696" s="1">
        <v>86697.1</v>
      </c>
      <c r="L696" s="1">
        <v>78067.8</v>
      </c>
      <c r="M696" s="1">
        <v>40522</v>
      </c>
      <c r="N696" s="1">
        <v>53722.7</v>
      </c>
      <c r="O696" s="1">
        <v>71474.2</v>
      </c>
      <c r="P696" s="1">
        <v>50583</v>
      </c>
      <c r="Q696" s="1">
        <v>78765</v>
      </c>
      <c r="R696" s="1">
        <v>0</v>
      </c>
    </row>
    <row r="697" spans="1:18">
      <c r="A697" s="2">
        <v>0.79166666666666663</v>
      </c>
      <c r="B697" s="1">
        <v>967240</v>
      </c>
      <c r="C697" s="1">
        <v>960256</v>
      </c>
      <c r="D697" s="1">
        <v>29021.7</v>
      </c>
      <c r="E697" s="1">
        <v>0</v>
      </c>
      <c r="F697" s="1">
        <v>389130</v>
      </c>
      <c r="G697" s="1">
        <v>19297.599999999999</v>
      </c>
      <c r="H697" s="1">
        <v>357854</v>
      </c>
      <c r="I697" s="1">
        <v>440459</v>
      </c>
      <c r="J697" s="1">
        <v>43489.2</v>
      </c>
      <c r="K697" s="1">
        <v>86717.6</v>
      </c>
      <c r="L697" s="1">
        <v>78093.7</v>
      </c>
      <c r="M697" s="1">
        <v>40570.800000000003</v>
      </c>
      <c r="N697" s="1">
        <v>53778.2</v>
      </c>
      <c r="O697" s="1">
        <v>71493.100000000006</v>
      </c>
      <c r="P697" s="1">
        <v>50584</v>
      </c>
      <c r="Q697" s="1">
        <v>78766</v>
      </c>
      <c r="R697" s="1">
        <v>0</v>
      </c>
    </row>
    <row r="698" spans="1:18">
      <c r="A698" s="2">
        <v>0.83333333333333337</v>
      </c>
      <c r="B698" s="1">
        <v>968097</v>
      </c>
      <c r="C698" s="1">
        <v>960468</v>
      </c>
      <c r="D698" s="1">
        <v>29038.2</v>
      </c>
      <c r="E698" s="1">
        <v>0</v>
      </c>
      <c r="F698" s="1">
        <v>389150</v>
      </c>
      <c r="G698" s="1">
        <v>19369.8</v>
      </c>
      <c r="H698" s="1">
        <v>357867</v>
      </c>
      <c r="I698" s="1">
        <v>440740</v>
      </c>
      <c r="J698" s="1">
        <v>43522.8</v>
      </c>
      <c r="K698" s="1">
        <v>86722.4</v>
      </c>
      <c r="L698" s="1">
        <v>78115.100000000006</v>
      </c>
      <c r="M698" s="1">
        <v>40617.300000000003</v>
      </c>
      <c r="N698" s="1">
        <v>53834.5</v>
      </c>
      <c r="O698" s="1">
        <v>71514.399999999994</v>
      </c>
      <c r="P698" s="1">
        <v>50584</v>
      </c>
      <c r="Q698" s="1">
        <v>78766</v>
      </c>
      <c r="R698" s="1">
        <v>0</v>
      </c>
    </row>
    <row r="699" spans="1:18">
      <c r="A699" s="2">
        <v>0.875</v>
      </c>
      <c r="B699" s="1">
        <v>968883</v>
      </c>
      <c r="C699" s="1">
        <v>960663</v>
      </c>
      <c r="D699" s="1">
        <v>29058.7</v>
      </c>
      <c r="E699" s="1">
        <v>0</v>
      </c>
      <c r="F699" s="1">
        <v>389170</v>
      </c>
      <c r="G699" s="1">
        <v>19438.7</v>
      </c>
      <c r="H699" s="1">
        <v>357878</v>
      </c>
      <c r="I699" s="1">
        <v>440987</v>
      </c>
      <c r="J699" s="1">
        <v>43538.400000000001</v>
      </c>
      <c r="K699" s="1">
        <v>86726.7</v>
      </c>
      <c r="L699" s="1">
        <v>78136.7</v>
      </c>
      <c r="M699" s="1">
        <v>40662.800000000003</v>
      </c>
      <c r="N699" s="1">
        <v>53890.6</v>
      </c>
      <c r="O699" s="1">
        <v>71537.3</v>
      </c>
      <c r="P699" s="1">
        <v>50584</v>
      </c>
      <c r="Q699" s="1">
        <v>78766</v>
      </c>
      <c r="R699" s="1">
        <v>0</v>
      </c>
    </row>
    <row r="700" spans="1:18">
      <c r="A700" s="2">
        <v>0.91666666666666663</v>
      </c>
      <c r="B700" s="1">
        <v>969650</v>
      </c>
      <c r="C700" s="1">
        <v>960857</v>
      </c>
      <c r="D700" s="1">
        <v>29076.3</v>
      </c>
      <c r="E700" s="1">
        <v>0</v>
      </c>
      <c r="F700" s="1">
        <v>389190</v>
      </c>
      <c r="G700" s="1">
        <v>19503.400000000001</v>
      </c>
      <c r="H700" s="1">
        <v>357889</v>
      </c>
      <c r="I700" s="1">
        <v>441230</v>
      </c>
      <c r="J700" s="1">
        <v>43548.4</v>
      </c>
      <c r="K700" s="1">
        <v>86730.8</v>
      </c>
      <c r="L700" s="1">
        <v>78159.199999999997</v>
      </c>
      <c r="M700" s="1">
        <v>40710.400000000001</v>
      </c>
      <c r="N700" s="1">
        <v>53946.3</v>
      </c>
      <c r="O700" s="1">
        <v>71559.199999999997</v>
      </c>
      <c r="P700" s="1">
        <v>50584</v>
      </c>
      <c r="Q700" s="1">
        <v>78766</v>
      </c>
      <c r="R700" s="1">
        <v>0</v>
      </c>
    </row>
    <row r="701" spans="1:18">
      <c r="A701" s="2">
        <v>0.95833333333333337</v>
      </c>
      <c r="B701" s="1">
        <v>970408</v>
      </c>
      <c r="C701" s="1">
        <v>961054</v>
      </c>
      <c r="D701" s="1">
        <v>29092.400000000001</v>
      </c>
      <c r="E701" s="1">
        <v>0</v>
      </c>
      <c r="F701" s="1">
        <v>389207</v>
      </c>
      <c r="G701" s="1">
        <v>19566.5</v>
      </c>
      <c r="H701" s="1">
        <v>357901</v>
      </c>
      <c r="I701" s="1">
        <v>441468</v>
      </c>
      <c r="J701" s="1">
        <v>43558.6</v>
      </c>
      <c r="K701" s="1">
        <v>86735.1</v>
      </c>
      <c r="L701" s="1">
        <v>78182.100000000006</v>
      </c>
      <c r="M701" s="1">
        <v>40756.300000000003</v>
      </c>
      <c r="N701" s="1">
        <v>54001.7</v>
      </c>
      <c r="O701" s="1">
        <v>71581.8</v>
      </c>
      <c r="P701" s="1">
        <v>50584</v>
      </c>
      <c r="Q701" s="1">
        <v>78766</v>
      </c>
      <c r="R701" s="1">
        <v>0</v>
      </c>
    </row>
    <row r="702" spans="1:18">
      <c r="A702" s="2">
        <v>0</v>
      </c>
      <c r="B702" s="1">
        <v>971169</v>
      </c>
      <c r="C702" s="1">
        <v>961254</v>
      </c>
      <c r="D702" s="1">
        <v>29108.2</v>
      </c>
      <c r="E702" s="1">
        <v>0</v>
      </c>
      <c r="F702" s="1">
        <v>389223</v>
      </c>
      <c r="G702" s="1">
        <v>19627.900000000001</v>
      </c>
      <c r="H702" s="1">
        <v>357912</v>
      </c>
      <c r="I702" s="1">
        <v>441709</v>
      </c>
      <c r="J702" s="1">
        <v>43568.6</v>
      </c>
      <c r="K702" s="1">
        <v>86739.4</v>
      </c>
      <c r="L702" s="1">
        <v>78206.100000000006</v>
      </c>
      <c r="M702" s="1">
        <v>40801.4</v>
      </c>
      <c r="N702" s="1">
        <v>54057.3</v>
      </c>
      <c r="O702" s="1">
        <v>71604.100000000006</v>
      </c>
      <c r="P702" s="1">
        <v>50584</v>
      </c>
      <c r="Q702" s="1">
        <v>78766</v>
      </c>
      <c r="R702" s="1">
        <v>0</v>
      </c>
    </row>
    <row r="703" spans="1:18">
      <c r="A703" s="2">
        <v>4.1666666666666664E-2</v>
      </c>
      <c r="B703" s="1">
        <v>971919</v>
      </c>
      <c r="C703" s="1">
        <v>961453</v>
      </c>
      <c r="D703" s="1">
        <v>29127.200000000001</v>
      </c>
      <c r="E703" s="1">
        <v>0</v>
      </c>
      <c r="F703" s="1">
        <v>389240</v>
      </c>
      <c r="G703" s="1">
        <v>19686.099999999999</v>
      </c>
      <c r="H703" s="1">
        <v>357923</v>
      </c>
      <c r="I703" s="1">
        <v>441945</v>
      </c>
      <c r="J703" s="1">
        <v>43578.8</v>
      </c>
      <c r="K703" s="1">
        <v>86743.6</v>
      </c>
      <c r="L703" s="1">
        <v>78229.600000000006</v>
      </c>
      <c r="M703" s="1">
        <v>40847.199999999997</v>
      </c>
      <c r="N703" s="1">
        <v>54112.7</v>
      </c>
      <c r="O703" s="1">
        <v>71624.800000000003</v>
      </c>
      <c r="P703" s="1">
        <v>50584</v>
      </c>
      <c r="Q703" s="1">
        <v>78766</v>
      </c>
      <c r="R703" s="1">
        <v>0</v>
      </c>
    </row>
    <row r="704" spans="1:18">
      <c r="A704" s="2">
        <v>8.3333333333333329E-2</v>
      </c>
      <c r="B704" s="1">
        <v>972661</v>
      </c>
      <c r="C704" s="1">
        <v>961647</v>
      </c>
      <c r="D704" s="1">
        <v>29144.3</v>
      </c>
      <c r="E704" s="1">
        <v>0</v>
      </c>
      <c r="F704" s="1">
        <v>389256</v>
      </c>
      <c r="G704" s="1">
        <v>19743.7</v>
      </c>
      <c r="H704" s="1">
        <v>357934</v>
      </c>
      <c r="I704" s="1">
        <v>442175</v>
      </c>
      <c r="J704" s="1">
        <v>43588.5</v>
      </c>
      <c r="K704" s="1">
        <v>86747.8</v>
      </c>
      <c r="L704" s="1">
        <v>78253.399999999994</v>
      </c>
      <c r="M704" s="1">
        <v>40893.9</v>
      </c>
      <c r="N704" s="1">
        <v>54168.1</v>
      </c>
      <c r="O704" s="1">
        <v>71648.7</v>
      </c>
      <c r="P704" s="1">
        <v>50584</v>
      </c>
      <c r="Q704" s="1">
        <v>78766</v>
      </c>
      <c r="R704" s="1">
        <v>0</v>
      </c>
    </row>
    <row r="705" spans="1:18">
      <c r="A705" s="2">
        <v>0.125</v>
      </c>
      <c r="B705" s="1">
        <v>973382</v>
      </c>
      <c r="C705" s="1">
        <v>961836</v>
      </c>
      <c r="D705" s="1">
        <v>29159.4</v>
      </c>
      <c r="E705" s="1">
        <v>0</v>
      </c>
      <c r="F705" s="1">
        <v>389271</v>
      </c>
      <c r="G705" s="1">
        <v>19800.2</v>
      </c>
      <c r="H705" s="1">
        <v>357945</v>
      </c>
      <c r="I705" s="1">
        <v>442396</v>
      </c>
      <c r="J705" s="1">
        <v>43598.3</v>
      </c>
      <c r="K705" s="1">
        <v>86752</v>
      </c>
      <c r="L705" s="1">
        <v>78278</v>
      </c>
      <c r="M705" s="1">
        <v>40939</v>
      </c>
      <c r="N705" s="1">
        <v>54223.199999999997</v>
      </c>
      <c r="O705" s="1">
        <v>71671.199999999997</v>
      </c>
      <c r="P705" s="1">
        <v>50584</v>
      </c>
      <c r="Q705" s="1">
        <v>78766</v>
      </c>
      <c r="R705" s="1">
        <v>0</v>
      </c>
    </row>
    <row r="706" spans="1:18">
      <c r="A706" s="2">
        <v>0.16666666666666666</v>
      </c>
      <c r="B706" s="1">
        <v>974103</v>
      </c>
      <c r="C706" s="1">
        <v>962027</v>
      </c>
      <c r="D706" s="1">
        <v>29173.5</v>
      </c>
      <c r="E706" s="1">
        <v>0</v>
      </c>
      <c r="F706" s="1">
        <v>389287</v>
      </c>
      <c r="G706" s="1">
        <v>19856.599999999999</v>
      </c>
      <c r="H706" s="1">
        <v>357957</v>
      </c>
      <c r="I706" s="1">
        <v>442615</v>
      </c>
      <c r="J706" s="1">
        <v>43608.3</v>
      </c>
      <c r="K706" s="1">
        <v>86756.2</v>
      </c>
      <c r="L706" s="1">
        <v>78301.100000000006</v>
      </c>
      <c r="M706" s="1">
        <v>40984.300000000003</v>
      </c>
      <c r="N706" s="1">
        <v>54278.7</v>
      </c>
      <c r="O706" s="1">
        <v>71693</v>
      </c>
      <c r="P706" s="1">
        <v>50584</v>
      </c>
      <c r="Q706" s="1">
        <v>78766</v>
      </c>
      <c r="R706" s="1">
        <v>0</v>
      </c>
    </row>
    <row r="707" spans="1:18">
      <c r="A707" s="2">
        <v>0.20833333333333334</v>
      </c>
      <c r="B707" s="1">
        <v>974828</v>
      </c>
      <c r="C707" s="1">
        <v>962218</v>
      </c>
      <c r="D707" s="1">
        <v>29187.7</v>
      </c>
      <c r="E707" s="1">
        <v>0</v>
      </c>
      <c r="F707" s="1">
        <v>389303</v>
      </c>
      <c r="G707" s="1">
        <v>19913.8</v>
      </c>
      <c r="H707" s="1">
        <v>357969</v>
      </c>
      <c r="I707" s="1">
        <v>442838</v>
      </c>
      <c r="J707" s="1">
        <v>43618</v>
      </c>
      <c r="K707" s="1">
        <v>86760.3</v>
      </c>
      <c r="L707" s="1">
        <v>78321.3</v>
      </c>
      <c r="M707" s="1">
        <v>41030.5</v>
      </c>
      <c r="N707" s="1">
        <v>54336</v>
      </c>
      <c r="O707" s="1">
        <v>71716.3</v>
      </c>
      <c r="P707" s="1">
        <v>50584</v>
      </c>
      <c r="Q707" s="1">
        <v>78766</v>
      </c>
      <c r="R707" s="1">
        <v>0</v>
      </c>
    </row>
    <row r="708" spans="1:18">
      <c r="A708" s="2">
        <v>0.25</v>
      </c>
      <c r="B708" s="1">
        <v>975536</v>
      </c>
      <c r="C708" s="1">
        <v>962406</v>
      </c>
      <c r="D708" s="1">
        <v>29201.7</v>
      </c>
      <c r="E708" s="1">
        <v>0</v>
      </c>
      <c r="F708" s="1">
        <v>389318</v>
      </c>
      <c r="G708" s="1">
        <v>19969.2</v>
      </c>
      <c r="H708" s="1">
        <v>357980</v>
      </c>
      <c r="I708" s="1">
        <v>443052</v>
      </c>
      <c r="J708" s="1">
        <v>43627.7</v>
      </c>
      <c r="K708" s="1">
        <v>86764.3</v>
      </c>
      <c r="L708" s="1">
        <v>78340.600000000006</v>
      </c>
      <c r="M708" s="1">
        <v>41077</v>
      </c>
      <c r="N708" s="1">
        <v>54390.5</v>
      </c>
      <c r="O708" s="1">
        <v>71740.800000000003</v>
      </c>
      <c r="P708" s="1">
        <v>50584</v>
      </c>
      <c r="Q708" s="1">
        <v>78766</v>
      </c>
      <c r="R708" s="1">
        <v>0</v>
      </c>
    </row>
    <row r="709" spans="1:18">
      <c r="A709" s="2">
        <v>0.29166666666666669</v>
      </c>
      <c r="B709" s="1">
        <v>976269</v>
      </c>
      <c r="C709" s="1">
        <v>962593</v>
      </c>
      <c r="D709" s="1">
        <v>29215.599999999999</v>
      </c>
      <c r="E709" s="1">
        <v>0</v>
      </c>
      <c r="F709" s="1">
        <v>389334</v>
      </c>
      <c r="G709" s="1">
        <v>20024</v>
      </c>
      <c r="H709" s="1">
        <v>357992</v>
      </c>
      <c r="I709" s="1">
        <v>443273</v>
      </c>
      <c r="J709" s="1">
        <v>43637.7</v>
      </c>
      <c r="K709" s="1">
        <v>86767.2</v>
      </c>
      <c r="L709" s="1">
        <v>78359.399999999994</v>
      </c>
      <c r="M709" s="1">
        <v>41121.199999999997</v>
      </c>
      <c r="N709" s="1">
        <v>54444</v>
      </c>
      <c r="O709" s="1">
        <v>71784.7</v>
      </c>
      <c r="P709" s="1">
        <v>50584</v>
      </c>
      <c r="Q709" s="1">
        <v>78767</v>
      </c>
      <c r="R709" s="1">
        <v>0</v>
      </c>
    </row>
    <row r="710" spans="1:18">
      <c r="A710" s="2">
        <v>0.33333333333333331</v>
      </c>
      <c r="B710" s="1">
        <v>977058</v>
      </c>
      <c r="C710" s="1">
        <v>962790</v>
      </c>
      <c r="D710" s="1">
        <v>29231.7</v>
      </c>
      <c r="E710" s="1">
        <v>0</v>
      </c>
      <c r="F710" s="1">
        <v>389351</v>
      </c>
      <c r="G710" s="1">
        <v>20076.2</v>
      </c>
      <c r="H710" s="1">
        <v>358003</v>
      </c>
      <c r="I710" s="1">
        <v>443523</v>
      </c>
      <c r="J710" s="1">
        <v>43647.6</v>
      </c>
      <c r="K710" s="1">
        <v>86768.9</v>
      </c>
      <c r="L710" s="1">
        <v>78379.600000000006</v>
      </c>
      <c r="M710" s="1">
        <v>41165.800000000003</v>
      </c>
      <c r="N710" s="1">
        <v>54495.5</v>
      </c>
      <c r="O710" s="1">
        <v>71840.7</v>
      </c>
      <c r="P710" s="1">
        <v>50586</v>
      </c>
      <c r="Q710" s="1">
        <v>78770</v>
      </c>
      <c r="R710" s="1">
        <v>0</v>
      </c>
    </row>
    <row r="711" spans="1:18">
      <c r="A711" s="2">
        <v>0.375</v>
      </c>
      <c r="B711" s="1">
        <v>978033</v>
      </c>
      <c r="C711" s="1">
        <v>963036</v>
      </c>
      <c r="D711" s="1">
        <v>29253.9</v>
      </c>
      <c r="E711" s="1">
        <v>0</v>
      </c>
      <c r="F711" s="1">
        <v>389374</v>
      </c>
      <c r="G711" s="1">
        <v>20139</v>
      </c>
      <c r="H711" s="1">
        <v>358026</v>
      </c>
      <c r="I711" s="1">
        <v>443820</v>
      </c>
      <c r="J711" s="1">
        <v>43658.6</v>
      </c>
      <c r="K711" s="1">
        <v>86776.9</v>
      </c>
      <c r="L711" s="1">
        <v>78417.5</v>
      </c>
      <c r="M711" s="1">
        <v>41220.400000000001</v>
      </c>
      <c r="N711" s="1">
        <v>54549.8</v>
      </c>
      <c r="O711" s="1">
        <v>71907.899999999994</v>
      </c>
      <c r="P711" s="1">
        <v>50588</v>
      </c>
      <c r="Q711" s="1">
        <v>78773</v>
      </c>
      <c r="R711" s="1">
        <v>0</v>
      </c>
    </row>
    <row r="712" spans="1:18">
      <c r="A712" s="2">
        <v>0.41666666666666669</v>
      </c>
      <c r="B712" s="1">
        <v>979301</v>
      </c>
      <c r="C712" s="1">
        <v>963377</v>
      </c>
      <c r="D712" s="1">
        <v>29282.799999999999</v>
      </c>
      <c r="E712" s="1">
        <v>0</v>
      </c>
      <c r="F712" s="1">
        <v>389406</v>
      </c>
      <c r="G712" s="1">
        <v>20217.8</v>
      </c>
      <c r="H712" s="1">
        <v>358091</v>
      </c>
      <c r="I712" s="1">
        <v>444196</v>
      </c>
      <c r="J712" s="1">
        <v>43671.8</v>
      </c>
      <c r="K712" s="1">
        <v>86790.2</v>
      </c>
      <c r="L712" s="1">
        <v>78460.7</v>
      </c>
      <c r="M712" s="1">
        <v>41273.699999999997</v>
      </c>
      <c r="N712" s="1">
        <v>54606.3</v>
      </c>
      <c r="O712" s="1">
        <v>71989.399999999994</v>
      </c>
      <c r="P712" s="1">
        <v>50590</v>
      </c>
      <c r="Q712" s="1">
        <v>78776</v>
      </c>
      <c r="R712" s="1">
        <v>0</v>
      </c>
    </row>
    <row r="713" spans="1:18">
      <c r="A713" s="2">
        <v>0.45833333333333331</v>
      </c>
      <c r="B713" s="1">
        <v>980745</v>
      </c>
      <c r="C713" s="1">
        <v>963761</v>
      </c>
      <c r="D713" s="1">
        <v>29325.3</v>
      </c>
      <c r="E713" s="1">
        <v>0</v>
      </c>
      <c r="F713" s="1">
        <v>389466</v>
      </c>
      <c r="G713" s="1">
        <v>20306</v>
      </c>
      <c r="H713" s="1">
        <v>358154</v>
      </c>
      <c r="I713" s="1">
        <v>444613</v>
      </c>
      <c r="J713" s="1">
        <v>43682.3</v>
      </c>
      <c r="K713" s="1">
        <v>86806.1</v>
      </c>
      <c r="L713" s="1">
        <v>78529.5</v>
      </c>
      <c r="M713" s="1">
        <v>41337.300000000003</v>
      </c>
      <c r="N713" s="1">
        <v>54663.1</v>
      </c>
      <c r="O713" s="1">
        <v>72068.600000000006</v>
      </c>
      <c r="P713" s="1">
        <v>50592</v>
      </c>
      <c r="Q713" s="1">
        <v>78779</v>
      </c>
      <c r="R713" s="1">
        <v>0</v>
      </c>
    </row>
    <row r="714" spans="1:18">
      <c r="A714" s="2">
        <v>0.5</v>
      </c>
      <c r="B714" s="1">
        <v>982227</v>
      </c>
      <c r="C714" s="1">
        <v>964147</v>
      </c>
      <c r="D714" s="1">
        <v>29373.9</v>
      </c>
      <c r="E714" s="1">
        <v>0</v>
      </c>
      <c r="F714" s="1">
        <v>389522</v>
      </c>
      <c r="G714" s="1">
        <v>20393.900000000001</v>
      </c>
      <c r="H714" s="1">
        <v>358229</v>
      </c>
      <c r="I714" s="1">
        <v>445058</v>
      </c>
      <c r="J714" s="1">
        <v>43695.3</v>
      </c>
      <c r="K714" s="1">
        <v>86822.9</v>
      </c>
      <c r="L714" s="1">
        <v>78590.3</v>
      </c>
      <c r="M714" s="1">
        <v>41399.9</v>
      </c>
      <c r="N714" s="1">
        <v>54719</v>
      </c>
      <c r="O714" s="1">
        <v>72151.199999999997</v>
      </c>
      <c r="P714" s="1">
        <v>50595</v>
      </c>
      <c r="Q714" s="1">
        <v>78785</v>
      </c>
      <c r="R714" s="1">
        <v>0</v>
      </c>
    </row>
    <row r="715" spans="1:18">
      <c r="A715" s="2">
        <v>0.54166666666666663</v>
      </c>
      <c r="B715" s="1">
        <v>983715</v>
      </c>
      <c r="C715" s="1">
        <v>964512</v>
      </c>
      <c r="D715" s="1">
        <v>29416.2</v>
      </c>
      <c r="E715" s="1">
        <v>0</v>
      </c>
      <c r="F715" s="1">
        <v>389574</v>
      </c>
      <c r="G715" s="1">
        <v>20487.5</v>
      </c>
      <c r="H715" s="1">
        <v>358306</v>
      </c>
      <c r="I715" s="1">
        <v>445526</v>
      </c>
      <c r="J715" s="1">
        <v>43706.3</v>
      </c>
      <c r="K715" s="1">
        <v>86841.4</v>
      </c>
      <c r="L715" s="1">
        <v>78662.3</v>
      </c>
      <c r="M715" s="1">
        <v>41458.5</v>
      </c>
      <c r="N715" s="1">
        <v>54774.7</v>
      </c>
      <c r="O715" s="1">
        <v>72236.800000000003</v>
      </c>
      <c r="P715" s="1">
        <v>50598</v>
      </c>
      <c r="Q715" s="1">
        <v>78789</v>
      </c>
      <c r="R715" s="1">
        <v>0</v>
      </c>
    </row>
    <row r="716" spans="1:18">
      <c r="A716" s="2">
        <v>0.58333333333333337</v>
      </c>
      <c r="B716" s="1">
        <v>985215</v>
      </c>
      <c r="C716" s="1">
        <v>964895</v>
      </c>
      <c r="D716" s="1">
        <v>29454.7</v>
      </c>
      <c r="E716" s="1">
        <v>0</v>
      </c>
      <c r="F716" s="1">
        <v>389622</v>
      </c>
      <c r="G716" s="1">
        <v>20579.099999999999</v>
      </c>
      <c r="H716" s="1">
        <v>358397</v>
      </c>
      <c r="I716" s="1">
        <v>445991</v>
      </c>
      <c r="J716" s="1">
        <v>43716.5</v>
      </c>
      <c r="K716" s="1">
        <v>86857</v>
      </c>
      <c r="L716" s="1">
        <v>78725.899999999994</v>
      </c>
      <c r="M716" s="1">
        <v>41519.1</v>
      </c>
      <c r="N716" s="1">
        <v>54829.599999999999</v>
      </c>
      <c r="O716" s="1">
        <v>72321.600000000006</v>
      </c>
      <c r="P716" s="1">
        <v>50602</v>
      </c>
      <c r="Q716" s="1">
        <v>78796</v>
      </c>
      <c r="R716" s="1">
        <v>0</v>
      </c>
    </row>
    <row r="717" spans="1:18">
      <c r="A717" s="2">
        <v>0.625</v>
      </c>
      <c r="B717" s="1">
        <v>986744</v>
      </c>
      <c r="C717" s="1">
        <v>965303</v>
      </c>
      <c r="D717" s="1">
        <v>29491.7</v>
      </c>
      <c r="E717" s="1">
        <v>0</v>
      </c>
      <c r="F717" s="1">
        <v>389668</v>
      </c>
      <c r="G717" s="1">
        <v>20677.099999999999</v>
      </c>
      <c r="H717" s="1">
        <v>358471</v>
      </c>
      <c r="I717" s="1">
        <v>446467</v>
      </c>
      <c r="J717" s="1">
        <v>43726.8</v>
      </c>
      <c r="K717" s="1">
        <v>86872.3</v>
      </c>
      <c r="L717" s="1">
        <v>78789.5</v>
      </c>
      <c r="M717" s="1">
        <v>41591.1</v>
      </c>
      <c r="N717" s="1">
        <v>54883</v>
      </c>
      <c r="O717" s="1">
        <v>72400.3</v>
      </c>
      <c r="P717" s="1">
        <v>50608</v>
      </c>
      <c r="Q717" s="1">
        <v>78805</v>
      </c>
      <c r="R717" s="1">
        <v>0</v>
      </c>
    </row>
    <row r="718" spans="1:18">
      <c r="A718" s="2">
        <v>0.66666666666666663</v>
      </c>
      <c r="B718" s="1">
        <v>988289</v>
      </c>
      <c r="C718" s="1">
        <v>965723</v>
      </c>
      <c r="D718" s="1">
        <v>29529.200000000001</v>
      </c>
      <c r="E718" s="1">
        <v>0</v>
      </c>
      <c r="F718" s="1">
        <v>389720</v>
      </c>
      <c r="G718" s="1">
        <v>20789.599999999999</v>
      </c>
      <c r="H718" s="1">
        <v>358558</v>
      </c>
      <c r="I718" s="1">
        <v>446928</v>
      </c>
      <c r="J718" s="1">
        <v>43739.6</v>
      </c>
      <c r="K718" s="1">
        <v>86892</v>
      </c>
      <c r="L718" s="1">
        <v>78854.100000000006</v>
      </c>
      <c r="M718" s="1">
        <v>41654.5</v>
      </c>
      <c r="N718" s="1">
        <v>54938.9</v>
      </c>
      <c r="O718" s="1">
        <v>72469.7</v>
      </c>
      <c r="P718" s="1">
        <v>50610</v>
      </c>
      <c r="Q718" s="1">
        <v>78808</v>
      </c>
      <c r="R718" s="1">
        <v>0</v>
      </c>
    </row>
    <row r="719" spans="1:18">
      <c r="A719" s="2">
        <v>0.70833333333333337</v>
      </c>
      <c r="B719" s="1">
        <v>989709</v>
      </c>
      <c r="C719" s="1">
        <v>966113</v>
      </c>
      <c r="D719" s="1">
        <v>29568</v>
      </c>
      <c r="E719" s="1">
        <v>0</v>
      </c>
      <c r="F719" s="1">
        <v>389768</v>
      </c>
      <c r="G719" s="1">
        <v>20892.400000000001</v>
      </c>
      <c r="H719" s="1">
        <v>358595</v>
      </c>
      <c r="I719" s="1">
        <v>447375</v>
      </c>
      <c r="J719" s="1">
        <v>43752.800000000003</v>
      </c>
      <c r="K719" s="1">
        <v>86915.3</v>
      </c>
      <c r="L719" s="1">
        <v>78906.8</v>
      </c>
      <c r="M719" s="1">
        <v>41711.599999999999</v>
      </c>
      <c r="N719" s="1">
        <v>54994.8</v>
      </c>
      <c r="O719" s="1">
        <v>72539.199999999997</v>
      </c>
      <c r="P719" s="1">
        <v>50611</v>
      </c>
      <c r="Q719" s="1">
        <v>78810</v>
      </c>
      <c r="R719" s="1">
        <v>0</v>
      </c>
    </row>
    <row r="720" spans="1:18">
      <c r="A720" s="2">
        <v>0.75</v>
      </c>
      <c r="B720" s="1">
        <v>991011</v>
      </c>
      <c r="C720" s="1">
        <v>966470</v>
      </c>
      <c r="D720" s="1">
        <v>29605.3</v>
      </c>
      <c r="E720" s="1">
        <v>0</v>
      </c>
      <c r="F720" s="1">
        <v>389813</v>
      </c>
      <c r="G720" s="1">
        <v>20980.9</v>
      </c>
      <c r="H720" s="1">
        <v>358608</v>
      </c>
      <c r="I720" s="1">
        <v>447795</v>
      </c>
      <c r="J720" s="1">
        <v>43765.5</v>
      </c>
      <c r="K720" s="1">
        <v>86934.8</v>
      </c>
      <c r="L720" s="1">
        <v>78955.199999999997</v>
      </c>
      <c r="M720" s="1">
        <v>41766.699999999997</v>
      </c>
      <c r="N720" s="1">
        <v>55049.599999999999</v>
      </c>
      <c r="O720" s="1">
        <v>72610.100000000006</v>
      </c>
      <c r="P720" s="1">
        <v>50613</v>
      </c>
      <c r="Q720" s="1">
        <v>78813</v>
      </c>
      <c r="R720" s="1">
        <v>0</v>
      </c>
    </row>
    <row r="721" spans="1:18">
      <c r="A721" s="2">
        <v>0.79166666666666663</v>
      </c>
      <c r="B721" s="1">
        <v>992171</v>
      </c>
      <c r="C721" s="1">
        <v>966758</v>
      </c>
      <c r="D721" s="1">
        <v>29638.5</v>
      </c>
      <c r="E721" s="1">
        <v>0</v>
      </c>
      <c r="F721" s="1">
        <v>389849</v>
      </c>
      <c r="G721" s="1">
        <v>21059.3</v>
      </c>
      <c r="H721" s="1">
        <v>358621</v>
      </c>
      <c r="I721" s="1">
        <v>448189</v>
      </c>
      <c r="J721" s="1">
        <v>43778.3</v>
      </c>
      <c r="K721" s="1">
        <v>86952.7</v>
      </c>
      <c r="L721" s="1">
        <v>78997</v>
      </c>
      <c r="M721" s="1">
        <v>41813.9</v>
      </c>
      <c r="N721" s="1">
        <v>55104.800000000003</v>
      </c>
      <c r="O721" s="1">
        <v>72682.399999999994</v>
      </c>
      <c r="P721" s="1">
        <v>50613</v>
      </c>
      <c r="Q721" s="1">
        <v>78814</v>
      </c>
      <c r="R721" s="1">
        <v>0</v>
      </c>
    </row>
    <row r="722" spans="1:18">
      <c r="A722" s="2">
        <v>0.83333333333333337</v>
      </c>
      <c r="B722" s="1">
        <v>993242</v>
      </c>
      <c r="C722" s="1">
        <v>967028</v>
      </c>
      <c r="D722" s="1">
        <v>29664</v>
      </c>
      <c r="E722" s="1">
        <v>0</v>
      </c>
      <c r="F722" s="1">
        <v>389880</v>
      </c>
      <c r="G722" s="1">
        <v>21135.4</v>
      </c>
      <c r="H722" s="1">
        <v>358633</v>
      </c>
      <c r="I722" s="1">
        <v>448550</v>
      </c>
      <c r="J722" s="1">
        <v>43790.8</v>
      </c>
      <c r="K722" s="1">
        <v>86970</v>
      </c>
      <c r="L722" s="1">
        <v>79035.7</v>
      </c>
      <c r="M722" s="1">
        <v>41859.9</v>
      </c>
      <c r="N722" s="1">
        <v>55159.3</v>
      </c>
      <c r="O722" s="1">
        <v>72747.8</v>
      </c>
      <c r="P722" s="1">
        <v>50613</v>
      </c>
      <c r="Q722" s="1">
        <v>78814</v>
      </c>
      <c r="R722" s="1">
        <v>0</v>
      </c>
    </row>
    <row r="723" spans="1:18">
      <c r="A723" s="2">
        <v>0.875</v>
      </c>
      <c r="B723" s="1">
        <v>994238</v>
      </c>
      <c r="C723" s="1">
        <v>967279</v>
      </c>
      <c r="D723" s="1">
        <v>29684.5</v>
      </c>
      <c r="E723" s="1">
        <v>0</v>
      </c>
      <c r="F723" s="1">
        <v>389911</v>
      </c>
      <c r="G723" s="1">
        <v>21209.3</v>
      </c>
      <c r="H723" s="1">
        <v>358646</v>
      </c>
      <c r="I723" s="1">
        <v>448871</v>
      </c>
      <c r="J723" s="1">
        <v>43802.8</v>
      </c>
      <c r="K723" s="1">
        <v>86987.5</v>
      </c>
      <c r="L723" s="1">
        <v>79072.600000000006</v>
      </c>
      <c r="M723" s="1">
        <v>41905.4</v>
      </c>
      <c r="N723" s="1">
        <v>55214.6</v>
      </c>
      <c r="O723" s="1">
        <v>72806.5</v>
      </c>
      <c r="P723" s="1">
        <v>50613</v>
      </c>
      <c r="Q723" s="1">
        <v>78814</v>
      </c>
      <c r="R723" s="1">
        <v>0</v>
      </c>
    </row>
    <row r="724" spans="1:18">
      <c r="A724" s="2">
        <v>0.91666666666666663</v>
      </c>
      <c r="B724" s="1">
        <v>995136</v>
      </c>
      <c r="C724" s="1">
        <v>967508</v>
      </c>
      <c r="D724" s="1">
        <v>29704.1</v>
      </c>
      <c r="E724" s="1">
        <v>0</v>
      </c>
      <c r="F724" s="1">
        <v>389940</v>
      </c>
      <c r="G724" s="1">
        <v>21284</v>
      </c>
      <c r="H724" s="1">
        <v>358661</v>
      </c>
      <c r="I724" s="1">
        <v>449160</v>
      </c>
      <c r="J724" s="1">
        <v>43814.1</v>
      </c>
      <c r="K724" s="1">
        <v>86997.1</v>
      </c>
      <c r="L724" s="1">
        <v>79104.7</v>
      </c>
      <c r="M724" s="1">
        <v>41953</v>
      </c>
      <c r="N724" s="1">
        <v>55270.3</v>
      </c>
      <c r="O724" s="1">
        <v>72834.600000000006</v>
      </c>
      <c r="P724" s="1">
        <v>50613</v>
      </c>
      <c r="Q724" s="1">
        <v>78814</v>
      </c>
      <c r="R724" s="1">
        <v>0</v>
      </c>
    </row>
    <row r="725" spans="1:18">
      <c r="A725" s="2">
        <v>0.95833333333333337</v>
      </c>
      <c r="B725" s="1">
        <v>995989</v>
      </c>
      <c r="C725" s="1">
        <v>967737</v>
      </c>
      <c r="D725" s="1">
        <v>29723.3</v>
      </c>
      <c r="E725" s="1">
        <v>0</v>
      </c>
      <c r="F725" s="1">
        <v>389965</v>
      </c>
      <c r="G725" s="1">
        <v>21357.200000000001</v>
      </c>
      <c r="H725" s="1">
        <v>358677</v>
      </c>
      <c r="I725" s="1">
        <v>449426</v>
      </c>
      <c r="J725" s="1">
        <v>43824.9</v>
      </c>
      <c r="K725" s="1">
        <v>87000.9</v>
      </c>
      <c r="L725" s="1">
        <v>79134</v>
      </c>
      <c r="M725" s="1">
        <v>42001.3</v>
      </c>
      <c r="N725" s="1">
        <v>55325.4</v>
      </c>
      <c r="O725" s="1">
        <v>72855.899999999994</v>
      </c>
      <c r="P725" s="1">
        <v>50613</v>
      </c>
      <c r="Q725" s="1">
        <v>78814</v>
      </c>
      <c r="R725" s="1">
        <v>0</v>
      </c>
    </row>
    <row r="726" spans="1:18">
      <c r="A726" s="2">
        <v>0</v>
      </c>
      <c r="B726" s="1">
        <v>996807</v>
      </c>
      <c r="C726" s="1">
        <v>967949</v>
      </c>
      <c r="D726" s="1">
        <v>29740.3</v>
      </c>
      <c r="E726" s="1">
        <v>0</v>
      </c>
      <c r="F726" s="1">
        <v>389991</v>
      </c>
      <c r="G726" s="1">
        <v>21425.200000000001</v>
      </c>
      <c r="H726" s="1">
        <v>358688</v>
      </c>
      <c r="I726" s="1">
        <v>449692</v>
      </c>
      <c r="J726" s="1">
        <v>43835.4</v>
      </c>
      <c r="K726" s="1">
        <v>87004.2</v>
      </c>
      <c r="L726" s="1">
        <v>79163.100000000006</v>
      </c>
      <c r="M726" s="1">
        <v>42046.9</v>
      </c>
      <c r="N726" s="1">
        <v>55379.9</v>
      </c>
      <c r="O726" s="1">
        <v>72876.2</v>
      </c>
      <c r="P726" s="1">
        <v>50613</v>
      </c>
      <c r="Q726" s="1">
        <v>78814</v>
      </c>
      <c r="R726" s="1">
        <v>0</v>
      </c>
    </row>
    <row r="727" spans="1:18">
      <c r="A727" s="2">
        <v>4.1666666666666664E-2</v>
      </c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</row>
    <row r="728" spans="1:18">
      <c r="A728" s="2">
        <v>8.3333333333333329E-2</v>
      </c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</row>
    <row r="729" spans="1:18">
      <c r="A729" s="2">
        <v>0.125</v>
      </c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</row>
    <row r="730" spans="1:18">
      <c r="A730" s="2">
        <v>0.16666666666666666</v>
      </c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</row>
    <row r="731" spans="1:18">
      <c r="A731" s="2">
        <v>0.20833333333333334</v>
      </c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</row>
    <row r="732" spans="1:18">
      <c r="A732" s="2">
        <v>0.25</v>
      </c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</row>
    <row r="733" spans="1:18">
      <c r="A733" s="2">
        <v>0.29166666666666669</v>
      </c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</row>
    <row r="734" spans="1:18">
      <c r="A734" s="2">
        <v>0.33333333333333331</v>
      </c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</row>
    <row r="735" spans="1:18">
      <c r="A735" s="2">
        <v>0.375</v>
      </c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</row>
    <row r="736" spans="1:18">
      <c r="A736" s="2">
        <v>0.41666666666666669</v>
      </c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</row>
    <row r="737" spans="1:18">
      <c r="A737" s="2">
        <v>0.45833333333333331</v>
      </c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</row>
    <row r="738" spans="1:18">
      <c r="A738" s="2">
        <v>0.5</v>
      </c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</row>
    <row r="739" spans="1:18">
      <c r="A739" s="2">
        <v>0.54166666666666663</v>
      </c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</row>
    <row r="740" spans="1:18">
      <c r="A740" s="2">
        <v>0.58333333333333337</v>
      </c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</row>
    <row r="741" spans="1:18">
      <c r="A741" s="2">
        <v>0.625</v>
      </c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</row>
    <row r="742" spans="1:18">
      <c r="A742" s="2">
        <v>0.66666666666666663</v>
      </c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</row>
    <row r="743" spans="1:18">
      <c r="A743" s="2">
        <v>0.70833333333333337</v>
      </c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</row>
    <row r="744" spans="1:18">
      <c r="A744" s="2">
        <v>0.75</v>
      </c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</row>
    <row r="745" spans="1:18">
      <c r="A745" s="2">
        <v>0.79166666666666663</v>
      </c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</row>
    <row r="746" spans="1:18">
      <c r="A746" s="2">
        <v>0.83333333333333337</v>
      </c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</row>
    <row r="747" spans="1:18">
      <c r="A747" s="2">
        <v>0.875</v>
      </c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</row>
    <row r="748" spans="1:18">
      <c r="A748" s="2">
        <v>0.91666666666666663</v>
      </c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</row>
    <row r="749" spans="1:18">
      <c r="A749" s="2">
        <v>0.95833333333333337</v>
      </c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</row>
    <row r="750" spans="1:18">
      <c r="A750" s="2">
        <v>0</v>
      </c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</row>
    <row r="751" spans="1:18">
      <c r="A751" s="2">
        <v>4.1666666666666664E-2</v>
      </c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</row>
    <row r="752" spans="1:18">
      <c r="A752" s="2">
        <v>8.3333333333333329E-2</v>
      </c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</row>
    <row r="753" spans="1:18">
      <c r="A753" s="2">
        <v>0.125</v>
      </c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</row>
    <row r="754" spans="1:18">
      <c r="A754" s="2">
        <v>0.16666666666666666</v>
      </c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</row>
    <row r="755" spans="1:18">
      <c r="A755" s="2">
        <v>0.20833333333333334</v>
      </c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</row>
    <row r="756" spans="1:18">
      <c r="A756" s="2">
        <v>0.25</v>
      </c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</row>
    <row r="757" spans="1:18">
      <c r="A757" s="2">
        <v>0.29166666666666669</v>
      </c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</row>
    <row r="758" spans="1:18">
      <c r="A758" s="2">
        <v>0.33333333333333331</v>
      </c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</row>
    <row r="759" spans="1:18">
      <c r="A759" s="2">
        <v>0.375</v>
      </c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</row>
    <row r="760" spans="1:18">
      <c r="A760" s="2">
        <v>0.41666666666666669</v>
      </c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</row>
    <row r="761" spans="1:18">
      <c r="A761" s="2">
        <v>0.45833333333333331</v>
      </c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</row>
    <row r="762" spans="1:18">
      <c r="A762" s="2">
        <v>0.5</v>
      </c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</row>
    <row r="763" spans="1:18">
      <c r="A763" s="2">
        <v>0.54166666666666663</v>
      </c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</row>
    <row r="764" spans="1:18">
      <c r="A764" s="2">
        <v>0.58333333333333337</v>
      </c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</row>
    <row r="765" spans="1:18">
      <c r="A765" s="2">
        <v>0.625</v>
      </c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</row>
    <row r="766" spans="1:18">
      <c r="A766" s="2">
        <v>0.66666666666666663</v>
      </c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</row>
    <row r="767" spans="1:18">
      <c r="A767" s="2">
        <v>0.70833333333333337</v>
      </c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</row>
    <row r="768" spans="1:18">
      <c r="A768" s="2">
        <v>0.75</v>
      </c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</row>
    <row r="769" spans="1:18">
      <c r="A769" s="2">
        <v>0.79166666666666663</v>
      </c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</row>
    <row r="770" spans="1:18">
      <c r="A770" s="2">
        <v>0.83333333333333337</v>
      </c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</row>
    <row r="771" spans="1:18">
      <c r="A771" s="2">
        <v>0.875</v>
      </c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</row>
    <row r="772" spans="1:18">
      <c r="A772" s="2">
        <v>0.91666666666666663</v>
      </c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</row>
    <row r="773" spans="1:18">
      <c r="A773" s="2">
        <v>0.95833333333333337</v>
      </c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</row>
    <row r="774" spans="1:18">
      <c r="A774" s="2">
        <v>0</v>
      </c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</row>
    <row r="775" spans="1:18">
      <c r="A775" s="7"/>
      <c r="B775" s="8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52571-1868-4E20-A680-55870104507F}">
  <dimension ref="A1:V764"/>
  <sheetViews>
    <sheetView workbookViewId="0">
      <pane xSplit="1" ySplit="1" topLeftCell="B494" activePane="bottomRight" state="frozen"/>
      <selection pane="topRight" activeCell="B1" sqref="B1"/>
      <selection pane="bottomLeft" activeCell="A2" sqref="A2"/>
      <selection pane="bottomRight" activeCell="N226" sqref="N226:N227"/>
    </sheetView>
  </sheetViews>
  <sheetFormatPr defaultRowHeight="18.75"/>
  <cols>
    <col min="1" max="1" width="15.625" customWidth="1"/>
  </cols>
  <sheetData>
    <row r="1" spans="1:18">
      <c r="A1" s="1" t="s">
        <v>23</v>
      </c>
      <c r="B1" s="1" t="s">
        <v>24</v>
      </c>
      <c r="C1" s="1" t="s">
        <v>25</v>
      </c>
      <c r="D1" s="1" t="s">
        <v>26</v>
      </c>
      <c r="E1" s="1" t="s">
        <v>27</v>
      </c>
      <c r="F1" s="1" t="s">
        <v>28</v>
      </c>
      <c r="G1" s="1" t="s">
        <v>29</v>
      </c>
      <c r="H1" s="1" t="s">
        <v>30</v>
      </c>
      <c r="I1" s="1" t="s">
        <v>31</v>
      </c>
      <c r="J1" s="1" t="s">
        <v>32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37</v>
      </c>
      <c r="P1" s="1" t="s">
        <v>38</v>
      </c>
      <c r="Q1" s="1" t="s">
        <v>39</v>
      </c>
      <c r="R1" s="1" t="s">
        <v>40</v>
      </c>
    </row>
    <row r="2" spans="1:18">
      <c r="A2" s="3">
        <v>45900</v>
      </c>
      <c r="B2" s="1">
        <v>532760</v>
      </c>
      <c r="C2" s="1">
        <v>107287</v>
      </c>
      <c r="D2" s="1">
        <v>42241</v>
      </c>
      <c r="E2" s="1">
        <v>0</v>
      </c>
      <c r="F2" s="1">
        <v>406834</v>
      </c>
      <c r="G2" s="1">
        <v>62643.5</v>
      </c>
      <c r="H2" s="1">
        <v>371761</v>
      </c>
      <c r="I2" s="1">
        <v>622420</v>
      </c>
      <c r="J2" s="1">
        <v>50484</v>
      </c>
      <c r="K2" s="1">
        <v>88565</v>
      </c>
      <c r="L2" s="1">
        <v>96349.8</v>
      </c>
      <c r="M2" s="1">
        <v>70125.399999999994</v>
      </c>
      <c r="N2" s="1">
        <v>88175.5</v>
      </c>
      <c r="O2" s="1">
        <v>89364.9</v>
      </c>
      <c r="P2" s="1">
        <v>52946</v>
      </c>
      <c r="Q2" s="1">
        <v>82430</v>
      </c>
      <c r="R2" s="1">
        <v>0</v>
      </c>
    </row>
    <row r="3" spans="1:18">
      <c r="A3" s="3">
        <v>45900.041666666664</v>
      </c>
      <c r="B3" s="1">
        <v>533479</v>
      </c>
      <c r="C3" s="1">
        <v>107477</v>
      </c>
      <c r="D3" s="1">
        <v>42256.1</v>
      </c>
      <c r="E3" s="1">
        <v>0</v>
      </c>
      <c r="F3" s="1">
        <v>406856</v>
      </c>
      <c r="G3" s="1">
        <v>62698.5</v>
      </c>
      <c r="H3" s="1">
        <v>371773</v>
      </c>
      <c r="I3" s="1">
        <v>622648</v>
      </c>
      <c r="J3" s="1">
        <v>50490.8</v>
      </c>
      <c r="K3" s="1">
        <v>88568.6</v>
      </c>
      <c r="L3" s="1">
        <v>96371.8</v>
      </c>
      <c r="M3" s="1">
        <v>70164.100000000006</v>
      </c>
      <c r="N3" s="1">
        <v>88231.2</v>
      </c>
      <c r="O3" s="1">
        <v>89383.2</v>
      </c>
      <c r="P3" s="1">
        <v>52946</v>
      </c>
      <c r="Q3" s="1">
        <v>82430</v>
      </c>
      <c r="R3" s="1">
        <v>0</v>
      </c>
    </row>
    <row r="4" spans="1:18">
      <c r="A4" s="3">
        <v>45900.083333333336</v>
      </c>
      <c r="B4" s="1">
        <v>534179</v>
      </c>
      <c r="C4" s="1">
        <v>107663</v>
      </c>
      <c r="D4" s="1">
        <v>42270.7</v>
      </c>
      <c r="E4" s="1">
        <v>0</v>
      </c>
      <c r="F4" s="1">
        <v>406877</v>
      </c>
      <c r="G4" s="1">
        <v>62751.6</v>
      </c>
      <c r="H4" s="1">
        <v>371785</v>
      </c>
      <c r="I4" s="1">
        <v>622866</v>
      </c>
      <c r="J4" s="1">
        <v>50497.3</v>
      </c>
      <c r="K4" s="1">
        <v>88572.2</v>
      </c>
      <c r="L4" s="1">
        <v>96393.600000000006</v>
      </c>
      <c r="M4" s="1">
        <v>70202.7</v>
      </c>
      <c r="N4" s="1">
        <v>88286.5</v>
      </c>
      <c r="O4" s="1">
        <v>89402.2</v>
      </c>
      <c r="P4" s="1">
        <v>52946</v>
      </c>
      <c r="Q4" s="1">
        <v>82430</v>
      </c>
      <c r="R4" s="1">
        <v>0</v>
      </c>
    </row>
    <row r="5" spans="1:18">
      <c r="A5" s="3">
        <v>45900.124999826388</v>
      </c>
      <c r="B5" s="1">
        <v>534877</v>
      </c>
      <c r="C5" s="1">
        <v>107844</v>
      </c>
      <c r="D5" s="1">
        <v>42287.199999999997</v>
      </c>
      <c r="E5" s="1">
        <v>0</v>
      </c>
      <c r="F5" s="1">
        <v>406898</v>
      </c>
      <c r="G5" s="1">
        <v>62803.5</v>
      </c>
      <c r="H5" s="1">
        <v>371797</v>
      </c>
      <c r="I5" s="1">
        <v>623081</v>
      </c>
      <c r="J5" s="1">
        <v>50503.6</v>
      </c>
      <c r="K5" s="1">
        <v>88575.7</v>
      </c>
      <c r="L5" s="1">
        <v>96418</v>
      </c>
      <c r="M5" s="1">
        <v>70242.7</v>
      </c>
      <c r="N5" s="1">
        <v>88341.5</v>
      </c>
      <c r="O5" s="1">
        <v>89422</v>
      </c>
      <c r="P5" s="1">
        <v>52946</v>
      </c>
      <c r="Q5" s="1">
        <v>82430</v>
      </c>
      <c r="R5" s="1">
        <v>0</v>
      </c>
    </row>
    <row r="6" spans="1:18">
      <c r="A6" s="3">
        <v>45900.166666435187</v>
      </c>
      <c r="B6" s="1">
        <v>535561</v>
      </c>
      <c r="C6" s="1">
        <v>108018</v>
      </c>
      <c r="D6" s="1">
        <v>42301.7</v>
      </c>
      <c r="E6" s="1">
        <v>0</v>
      </c>
      <c r="F6" s="1">
        <v>406919</v>
      </c>
      <c r="G6" s="1">
        <v>62854.9</v>
      </c>
      <c r="H6" s="1">
        <v>371810</v>
      </c>
      <c r="I6" s="1">
        <v>623294</v>
      </c>
      <c r="J6" s="1">
        <v>50510.2</v>
      </c>
      <c r="K6" s="1">
        <v>88579.199999999997</v>
      </c>
      <c r="L6" s="1">
        <v>96443.7</v>
      </c>
      <c r="M6" s="1">
        <v>70282.5</v>
      </c>
      <c r="N6" s="1">
        <v>88396.7</v>
      </c>
      <c r="O6" s="1">
        <v>89441</v>
      </c>
      <c r="P6" s="1">
        <v>52946</v>
      </c>
      <c r="Q6" s="1">
        <v>82430</v>
      </c>
      <c r="R6" s="1">
        <v>0</v>
      </c>
    </row>
    <row r="7" spans="1:18">
      <c r="A7" s="3">
        <v>45900.208333043978</v>
      </c>
      <c r="B7" s="1">
        <v>536233</v>
      </c>
      <c r="C7" s="1">
        <v>108186</v>
      </c>
      <c r="D7" s="1">
        <v>42315.9</v>
      </c>
      <c r="E7" s="1">
        <v>0</v>
      </c>
      <c r="F7" s="1">
        <v>406939</v>
      </c>
      <c r="G7" s="1">
        <v>62906</v>
      </c>
      <c r="H7" s="1">
        <v>371821</v>
      </c>
      <c r="I7" s="1">
        <v>623509</v>
      </c>
      <c r="J7" s="1">
        <v>50516.2</v>
      </c>
      <c r="K7" s="1">
        <v>88582.6</v>
      </c>
      <c r="L7" s="1">
        <v>96464.9</v>
      </c>
      <c r="M7" s="1">
        <v>70319.7</v>
      </c>
      <c r="N7" s="1">
        <v>88451.8</v>
      </c>
      <c r="O7" s="1">
        <v>89460.5</v>
      </c>
      <c r="P7" s="1">
        <v>52946</v>
      </c>
      <c r="Q7" s="1">
        <v>82430</v>
      </c>
      <c r="R7" s="1">
        <v>0</v>
      </c>
    </row>
    <row r="8" spans="1:18">
      <c r="A8" s="3">
        <v>45900.249999652777</v>
      </c>
      <c r="B8" s="1">
        <v>536898</v>
      </c>
      <c r="C8" s="1">
        <v>108354</v>
      </c>
      <c r="D8" s="1">
        <v>42330.1</v>
      </c>
      <c r="E8" s="1">
        <v>0</v>
      </c>
      <c r="F8" s="1">
        <v>406959</v>
      </c>
      <c r="G8" s="1">
        <v>62956.2</v>
      </c>
      <c r="H8" s="1">
        <v>371834</v>
      </c>
      <c r="I8" s="1">
        <v>623722</v>
      </c>
      <c r="J8" s="1">
        <v>50522.400000000001</v>
      </c>
      <c r="K8" s="1">
        <v>88585.9</v>
      </c>
      <c r="L8" s="1">
        <v>96485.8</v>
      </c>
      <c r="M8" s="1">
        <v>70356.3</v>
      </c>
      <c r="N8" s="1">
        <v>88506.8</v>
      </c>
      <c r="O8" s="1">
        <v>89479.5</v>
      </c>
      <c r="P8" s="1">
        <v>52946</v>
      </c>
      <c r="Q8" s="1">
        <v>82430</v>
      </c>
      <c r="R8" s="1">
        <v>0</v>
      </c>
    </row>
    <row r="9" spans="1:18">
      <c r="A9" s="3">
        <v>45900.291666261575</v>
      </c>
      <c r="B9" s="1">
        <v>537552</v>
      </c>
      <c r="C9" s="1">
        <v>108521</v>
      </c>
      <c r="D9" s="1">
        <v>42344.9</v>
      </c>
      <c r="E9" s="1">
        <v>0</v>
      </c>
      <c r="F9" s="1">
        <v>406980</v>
      </c>
      <c r="G9" s="1">
        <v>63005.2</v>
      </c>
      <c r="H9" s="1">
        <v>371846</v>
      </c>
      <c r="I9" s="1">
        <v>623928</v>
      </c>
      <c r="J9" s="1">
        <v>50528.4</v>
      </c>
      <c r="K9" s="1">
        <v>88588.800000000003</v>
      </c>
      <c r="L9" s="1">
        <v>96506.9</v>
      </c>
      <c r="M9" s="1">
        <v>70392.399999999994</v>
      </c>
      <c r="N9" s="1">
        <v>88560.9</v>
      </c>
      <c r="O9" s="1">
        <v>89495.7</v>
      </c>
      <c r="P9" s="1">
        <v>52946</v>
      </c>
      <c r="Q9" s="1">
        <v>82431</v>
      </c>
      <c r="R9" s="1">
        <v>0</v>
      </c>
    </row>
    <row r="10" spans="1:18">
      <c r="A10" s="3">
        <v>45900.333332870374</v>
      </c>
      <c r="B10" s="1">
        <v>538229</v>
      </c>
      <c r="C10" s="1">
        <v>108696</v>
      </c>
      <c r="D10" s="1">
        <v>42358.5</v>
      </c>
      <c r="E10" s="1">
        <v>0</v>
      </c>
      <c r="F10" s="1">
        <v>407001</v>
      </c>
      <c r="G10" s="1">
        <v>63052.4</v>
      </c>
      <c r="H10" s="1">
        <v>371858</v>
      </c>
      <c r="I10" s="1">
        <v>624150</v>
      </c>
      <c r="J10" s="1">
        <v>50535</v>
      </c>
      <c r="K10" s="1">
        <v>88589.5</v>
      </c>
      <c r="L10" s="1">
        <v>96528</v>
      </c>
      <c r="M10" s="1">
        <v>70429.100000000006</v>
      </c>
      <c r="N10" s="1">
        <v>88612.5</v>
      </c>
      <c r="O10" s="1">
        <v>89514.6</v>
      </c>
      <c r="P10" s="1">
        <v>52947</v>
      </c>
      <c r="Q10" s="1">
        <v>82434</v>
      </c>
      <c r="R10" s="1">
        <v>0</v>
      </c>
    </row>
    <row r="11" spans="1:18">
      <c r="A11" s="3">
        <v>45900.374999479165</v>
      </c>
      <c r="B11" s="1">
        <v>538909</v>
      </c>
      <c r="C11" s="1">
        <v>108872</v>
      </c>
      <c r="D11" s="1">
        <v>42372.1</v>
      </c>
      <c r="E11" s="1">
        <v>0</v>
      </c>
      <c r="F11" s="1">
        <v>407023</v>
      </c>
      <c r="G11" s="1">
        <v>63091.6</v>
      </c>
      <c r="H11" s="1">
        <v>371870</v>
      </c>
      <c r="I11" s="1">
        <v>624378</v>
      </c>
      <c r="J11" s="1">
        <v>50541.599999999999</v>
      </c>
      <c r="K11" s="1">
        <v>88589.5</v>
      </c>
      <c r="L11" s="1">
        <v>96549</v>
      </c>
      <c r="M11" s="1">
        <v>70468.100000000006</v>
      </c>
      <c r="N11" s="1">
        <v>88661.7</v>
      </c>
      <c r="O11" s="1">
        <v>89533.5</v>
      </c>
      <c r="P11" s="1">
        <v>52952</v>
      </c>
      <c r="Q11" s="1">
        <v>82442</v>
      </c>
      <c r="R11" s="1">
        <v>0</v>
      </c>
    </row>
    <row r="12" spans="1:18">
      <c r="A12" s="3">
        <v>45900.416666087964</v>
      </c>
      <c r="B12" s="1">
        <v>539590</v>
      </c>
      <c r="C12" s="1">
        <v>109053</v>
      </c>
      <c r="D12" s="1">
        <v>42386.1</v>
      </c>
      <c r="E12" s="1">
        <v>0</v>
      </c>
      <c r="F12" s="1">
        <v>407046</v>
      </c>
      <c r="G12" s="1">
        <v>63121.8</v>
      </c>
      <c r="H12" s="1">
        <v>371882</v>
      </c>
      <c r="I12" s="1">
        <v>624622</v>
      </c>
      <c r="J12" s="1">
        <v>50548.6</v>
      </c>
      <c r="K12" s="1">
        <v>88589.5</v>
      </c>
      <c r="L12" s="1">
        <v>96570.1</v>
      </c>
      <c r="M12" s="1">
        <v>70508.899999999994</v>
      </c>
      <c r="N12" s="1">
        <v>88707.4</v>
      </c>
      <c r="O12" s="1">
        <v>89551.5</v>
      </c>
      <c r="P12" s="1">
        <v>52962</v>
      </c>
      <c r="Q12" s="1">
        <v>82457</v>
      </c>
      <c r="R12" s="1">
        <v>0</v>
      </c>
    </row>
    <row r="13" spans="1:18">
      <c r="A13" s="3">
        <v>45900.458332696762</v>
      </c>
      <c r="B13" s="1">
        <v>540280</v>
      </c>
      <c r="C13" s="1">
        <v>109235</v>
      </c>
      <c r="D13" s="1">
        <v>42403.4</v>
      </c>
      <c r="E13" s="1">
        <v>0</v>
      </c>
      <c r="F13" s="1">
        <v>407070</v>
      </c>
      <c r="G13" s="1">
        <v>63146.9</v>
      </c>
      <c r="H13" s="1">
        <v>371894</v>
      </c>
      <c r="I13" s="1">
        <v>624872</v>
      </c>
      <c r="J13" s="1">
        <v>50555.7</v>
      </c>
      <c r="K13" s="1">
        <v>88589.5</v>
      </c>
      <c r="L13" s="1">
        <v>96597</v>
      </c>
      <c r="M13" s="1">
        <v>70549.600000000006</v>
      </c>
      <c r="N13" s="1">
        <v>88750.1</v>
      </c>
      <c r="O13" s="1">
        <v>89571.199999999997</v>
      </c>
      <c r="P13" s="1">
        <v>52975</v>
      </c>
      <c r="Q13" s="1">
        <v>82476</v>
      </c>
      <c r="R13" s="1">
        <v>0</v>
      </c>
    </row>
    <row r="14" spans="1:18">
      <c r="A14" s="3">
        <v>45900.499999305554</v>
      </c>
      <c r="B14" s="1">
        <v>540973</v>
      </c>
      <c r="C14" s="1">
        <v>109420</v>
      </c>
      <c r="D14" s="1">
        <v>42422.6</v>
      </c>
      <c r="E14" s="1">
        <v>0</v>
      </c>
      <c r="F14" s="1">
        <v>407097</v>
      </c>
      <c r="G14" s="1">
        <v>63168.3</v>
      </c>
      <c r="H14" s="1">
        <v>371907</v>
      </c>
      <c r="I14" s="1">
        <v>625127</v>
      </c>
      <c r="J14" s="1">
        <v>50562.9</v>
      </c>
      <c r="K14" s="1">
        <v>88589.5</v>
      </c>
      <c r="L14" s="1">
        <v>96622.1</v>
      </c>
      <c r="M14" s="1">
        <v>70590.899999999994</v>
      </c>
      <c r="N14" s="1">
        <v>88791.5</v>
      </c>
      <c r="O14" s="1">
        <v>89590.7</v>
      </c>
      <c r="P14" s="1">
        <v>52990</v>
      </c>
      <c r="Q14" s="1">
        <v>82500</v>
      </c>
      <c r="R14" s="1">
        <v>0</v>
      </c>
    </row>
    <row r="15" spans="1:18">
      <c r="A15" s="3">
        <v>45900.541665914352</v>
      </c>
      <c r="B15" s="1">
        <v>541700</v>
      </c>
      <c r="C15" s="1">
        <v>109614</v>
      </c>
      <c r="D15" s="1">
        <v>42443.7</v>
      </c>
      <c r="E15" s="1">
        <v>0</v>
      </c>
      <c r="F15" s="1">
        <v>407124</v>
      </c>
      <c r="G15" s="1">
        <v>63188.9</v>
      </c>
      <c r="H15" s="1">
        <v>371919</v>
      </c>
      <c r="I15" s="1">
        <v>625402</v>
      </c>
      <c r="J15" s="1">
        <v>50570.6</v>
      </c>
      <c r="K15" s="1">
        <v>88589.5</v>
      </c>
      <c r="L15" s="1">
        <v>96651</v>
      </c>
      <c r="M15" s="1">
        <v>70633.7</v>
      </c>
      <c r="N15" s="1">
        <v>88831.5</v>
      </c>
      <c r="O15" s="1">
        <v>89608.4</v>
      </c>
      <c r="P15" s="1">
        <v>53006</v>
      </c>
      <c r="Q15" s="1">
        <v>82524</v>
      </c>
      <c r="R15" s="1">
        <v>0</v>
      </c>
    </row>
    <row r="16" spans="1:18">
      <c r="A16" s="3">
        <v>45900.583332523151</v>
      </c>
      <c r="B16" s="1">
        <v>542478</v>
      </c>
      <c r="C16" s="1">
        <v>109819</v>
      </c>
      <c r="D16" s="1">
        <v>42466.8</v>
      </c>
      <c r="E16" s="1">
        <v>0</v>
      </c>
      <c r="F16" s="1">
        <v>407155</v>
      </c>
      <c r="G16" s="1">
        <v>63215.6</v>
      </c>
      <c r="H16" s="1">
        <v>371932</v>
      </c>
      <c r="I16" s="1">
        <v>625695</v>
      </c>
      <c r="J16" s="1">
        <v>50578.7</v>
      </c>
      <c r="K16" s="1">
        <v>88589.5</v>
      </c>
      <c r="L16" s="1">
        <v>96683.6</v>
      </c>
      <c r="M16" s="1">
        <v>70675.600000000006</v>
      </c>
      <c r="N16" s="1">
        <v>88872.1</v>
      </c>
      <c r="O16" s="1">
        <v>89627.199999999997</v>
      </c>
      <c r="P16" s="1">
        <v>53021</v>
      </c>
      <c r="Q16" s="1">
        <v>82547</v>
      </c>
      <c r="R16" s="1">
        <v>0</v>
      </c>
    </row>
    <row r="17" spans="1:18">
      <c r="A17" s="3">
        <v>45900.624999131942</v>
      </c>
      <c r="B17" s="1">
        <v>543301</v>
      </c>
      <c r="C17" s="1">
        <v>110044</v>
      </c>
      <c r="D17" s="1">
        <v>42489</v>
      </c>
      <c r="E17" s="1">
        <v>0</v>
      </c>
      <c r="F17" s="1">
        <v>407187</v>
      </c>
      <c r="G17" s="1">
        <v>63259.1</v>
      </c>
      <c r="H17" s="1">
        <v>371949</v>
      </c>
      <c r="I17" s="1">
        <v>625980</v>
      </c>
      <c r="J17" s="1">
        <v>50586.9</v>
      </c>
      <c r="K17" s="1">
        <v>88589.5</v>
      </c>
      <c r="L17" s="1">
        <v>96710.8</v>
      </c>
      <c r="M17" s="1">
        <v>70718.8</v>
      </c>
      <c r="N17" s="1">
        <v>88919</v>
      </c>
      <c r="O17" s="1">
        <v>89646.9</v>
      </c>
      <c r="P17" s="1">
        <v>53029</v>
      </c>
      <c r="Q17" s="1">
        <v>82559</v>
      </c>
      <c r="R17" s="1">
        <v>0</v>
      </c>
    </row>
    <row r="18" spans="1:18">
      <c r="A18" s="3">
        <v>45900.66666574074</v>
      </c>
      <c r="B18" s="1">
        <v>544152</v>
      </c>
      <c r="C18" s="1">
        <v>110270</v>
      </c>
      <c r="D18" s="1">
        <v>42516.1</v>
      </c>
      <c r="E18" s="1">
        <v>0</v>
      </c>
      <c r="F18" s="1">
        <v>407217</v>
      </c>
      <c r="G18" s="1">
        <v>63309.2</v>
      </c>
      <c r="H18" s="1">
        <v>371966</v>
      </c>
      <c r="I18" s="1">
        <v>626270</v>
      </c>
      <c r="J18" s="1">
        <v>50594.7</v>
      </c>
      <c r="K18" s="1">
        <v>88589.5</v>
      </c>
      <c r="L18" s="1">
        <v>96739.5</v>
      </c>
      <c r="M18" s="1">
        <v>70764.600000000006</v>
      </c>
      <c r="N18" s="1">
        <v>88967.4</v>
      </c>
      <c r="O18" s="1">
        <v>89667.7</v>
      </c>
      <c r="P18" s="1">
        <v>53035</v>
      </c>
      <c r="Q18" s="1">
        <v>82569</v>
      </c>
      <c r="R18" s="1">
        <v>0</v>
      </c>
    </row>
    <row r="19" spans="1:18">
      <c r="A19" s="3">
        <v>45900.708332349539</v>
      </c>
      <c r="B19" s="1">
        <v>544974</v>
      </c>
      <c r="C19" s="1">
        <v>110486</v>
      </c>
      <c r="D19" s="1">
        <v>42538.1</v>
      </c>
      <c r="E19" s="1">
        <v>0</v>
      </c>
      <c r="F19" s="1">
        <v>407245</v>
      </c>
      <c r="G19" s="1">
        <v>63356.5</v>
      </c>
      <c r="H19" s="1">
        <v>371981</v>
      </c>
      <c r="I19" s="1">
        <v>626553</v>
      </c>
      <c r="J19" s="1">
        <v>50602.3</v>
      </c>
      <c r="K19" s="1">
        <v>88589.9</v>
      </c>
      <c r="L19" s="1">
        <v>96768.7</v>
      </c>
      <c r="M19" s="1">
        <v>70810.2</v>
      </c>
      <c r="N19" s="1">
        <v>89016.7</v>
      </c>
      <c r="O19" s="1">
        <v>89687</v>
      </c>
      <c r="P19" s="1">
        <v>53041</v>
      </c>
      <c r="Q19" s="1">
        <v>82579</v>
      </c>
      <c r="R19" s="1">
        <v>0</v>
      </c>
    </row>
    <row r="20" spans="1:18">
      <c r="A20" s="3">
        <v>45900.74999895833</v>
      </c>
      <c r="B20" s="1">
        <v>545759</v>
      </c>
      <c r="C20" s="1">
        <v>110683</v>
      </c>
      <c r="D20" s="1">
        <v>42555.1</v>
      </c>
      <c r="E20" s="1">
        <v>0</v>
      </c>
      <c r="F20" s="1">
        <v>407268</v>
      </c>
      <c r="G20" s="1">
        <v>63414.3</v>
      </c>
      <c r="H20" s="1">
        <v>371998</v>
      </c>
      <c r="I20" s="1">
        <v>626819</v>
      </c>
      <c r="J20" s="1">
        <v>50609.3</v>
      </c>
      <c r="K20" s="1">
        <v>88593.1</v>
      </c>
      <c r="L20" s="1">
        <v>96792.7</v>
      </c>
      <c r="M20" s="1">
        <v>70853.2</v>
      </c>
      <c r="N20" s="1">
        <v>89070.7</v>
      </c>
      <c r="O20" s="1">
        <v>89705.3</v>
      </c>
      <c r="P20" s="1">
        <v>53042</v>
      </c>
      <c r="Q20" s="1">
        <v>82579</v>
      </c>
      <c r="R20" s="1">
        <v>0</v>
      </c>
    </row>
    <row r="21" spans="1:18">
      <c r="A21" s="3">
        <v>45900.791665567129</v>
      </c>
      <c r="B21" s="1">
        <v>546511</v>
      </c>
      <c r="C21" s="1">
        <v>110873</v>
      </c>
      <c r="D21" s="1">
        <v>42571.199999999997</v>
      </c>
      <c r="E21" s="1">
        <v>0</v>
      </c>
      <c r="F21" s="1">
        <v>407291</v>
      </c>
      <c r="G21" s="1">
        <v>63468.5</v>
      </c>
      <c r="H21" s="1">
        <v>372011</v>
      </c>
      <c r="I21" s="1">
        <v>627075</v>
      </c>
      <c r="J21" s="1">
        <v>50616</v>
      </c>
      <c r="K21" s="1">
        <v>88596.800000000003</v>
      </c>
      <c r="L21" s="1">
        <v>96814.399999999994</v>
      </c>
      <c r="M21" s="1">
        <v>70894</v>
      </c>
      <c r="N21" s="1">
        <v>89125.2</v>
      </c>
      <c r="O21" s="1">
        <v>89721.600000000006</v>
      </c>
      <c r="P21" s="1">
        <v>53042</v>
      </c>
      <c r="Q21" s="1">
        <v>82579</v>
      </c>
      <c r="R21" s="1">
        <v>0</v>
      </c>
    </row>
    <row r="22" spans="1:18">
      <c r="A22" s="3">
        <v>45900.833332175927</v>
      </c>
      <c r="B22" s="1">
        <v>547248</v>
      </c>
      <c r="C22" s="1">
        <v>111059</v>
      </c>
      <c r="D22" s="1">
        <v>42587</v>
      </c>
      <c r="E22" s="1">
        <v>0</v>
      </c>
      <c r="F22" s="1">
        <v>407314</v>
      </c>
      <c r="G22" s="1">
        <v>63524.4</v>
      </c>
      <c r="H22" s="1">
        <v>372024</v>
      </c>
      <c r="I22" s="1">
        <v>627321</v>
      </c>
      <c r="J22" s="1">
        <v>50622.7</v>
      </c>
      <c r="K22" s="1">
        <v>88600.3</v>
      </c>
      <c r="L22" s="1">
        <v>96836.5</v>
      </c>
      <c r="M22" s="1">
        <v>70932.7</v>
      </c>
      <c r="N22" s="1">
        <v>89180</v>
      </c>
      <c r="O22" s="1">
        <v>89741.3</v>
      </c>
      <c r="P22" s="1">
        <v>53042</v>
      </c>
      <c r="Q22" s="1">
        <v>82579</v>
      </c>
      <c r="R22" s="1">
        <v>0</v>
      </c>
    </row>
    <row r="23" spans="1:18">
      <c r="A23" s="3">
        <v>45900.874998784719</v>
      </c>
      <c r="B23" s="1">
        <v>547976</v>
      </c>
      <c r="C23" s="1">
        <v>111242</v>
      </c>
      <c r="D23" s="1">
        <v>42604.4</v>
      </c>
      <c r="E23" s="1">
        <v>0</v>
      </c>
      <c r="F23" s="1">
        <v>407339</v>
      </c>
      <c r="G23" s="1">
        <v>63579.9</v>
      </c>
      <c r="H23" s="1">
        <v>372036</v>
      </c>
      <c r="I23" s="1">
        <v>627560</v>
      </c>
      <c r="J23" s="1">
        <v>50629.2</v>
      </c>
      <c r="K23" s="1">
        <v>88603.8</v>
      </c>
      <c r="L23" s="1">
        <v>96858.8</v>
      </c>
      <c r="M23" s="1">
        <v>70969.3</v>
      </c>
      <c r="N23" s="1">
        <v>89234.7</v>
      </c>
      <c r="O23" s="1">
        <v>89760.4</v>
      </c>
      <c r="P23" s="1">
        <v>53042</v>
      </c>
      <c r="Q23" s="1">
        <v>82579</v>
      </c>
      <c r="R23" s="1">
        <v>0</v>
      </c>
    </row>
    <row r="24" spans="1:18">
      <c r="A24" s="3">
        <v>45900.916665393517</v>
      </c>
      <c r="B24" s="1">
        <v>548705</v>
      </c>
      <c r="C24" s="1">
        <v>111429</v>
      </c>
      <c r="D24" s="1">
        <v>42623.5</v>
      </c>
      <c r="E24" s="1">
        <v>0</v>
      </c>
      <c r="F24" s="1">
        <v>407366</v>
      </c>
      <c r="G24" s="1">
        <v>63635.1</v>
      </c>
      <c r="H24" s="1">
        <v>372049</v>
      </c>
      <c r="I24" s="1">
        <v>627791</v>
      </c>
      <c r="J24" s="1">
        <v>50635.6</v>
      </c>
      <c r="K24" s="1">
        <v>88607.5</v>
      </c>
      <c r="L24" s="1">
        <v>96881.600000000006</v>
      </c>
      <c r="M24" s="1">
        <v>71007</v>
      </c>
      <c r="N24" s="1">
        <v>89290</v>
      </c>
      <c r="O24" s="1">
        <v>89779.3</v>
      </c>
      <c r="P24" s="1">
        <v>53042</v>
      </c>
      <c r="Q24" s="1">
        <v>82579</v>
      </c>
      <c r="R24" s="1">
        <v>0</v>
      </c>
    </row>
    <row r="25" spans="1:18">
      <c r="A25" s="3">
        <v>45900.958332002316</v>
      </c>
      <c r="B25" s="1">
        <v>549427</v>
      </c>
      <c r="C25" s="1">
        <v>111610</v>
      </c>
      <c r="D25" s="1">
        <v>42640.5</v>
      </c>
      <c r="E25" s="1">
        <v>0</v>
      </c>
      <c r="F25" s="1">
        <v>407390</v>
      </c>
      <c r="G25" s="1">
        <v>63690.8</v>
      </c>
      <c r="H25" s="1">
        <v>372061</v>
      </c>
      <c r="I25" s="1">
        <v>628021</v>
      </c>
      <c r="J25" s="1">
        <v>50642.400000000001</v>
      </c>
      <c r="K25" s="1">
        <v>88611.1</v>
      </c>
      <c r="L25" s="1">
        <v>96905.1</v>
      </c>
      <c r="M25" s="1">
        <v>71045.399999999994</v>
      </c>
      <c r="N25" s="1">
        <v>89345</v>
      </c>
      <c r="O25" s="1">
        <v>89799.1</v>
      </c>
      <c r="P25" s="1">
        <v>53042</v>
      </c>
      <c r="Q25" s="1">
        <v>82579</v>
      </c>
      <c r="R25" s="1">
        <v>0</v>
      </c>
    </row>
    <row r="26" spans="1:18">
      <c r="A26" s="3">
        <v>45900.999998611114</v>
      </c>
      <c r="B26" s="1">
        <v>550147</v>
      </c>
      <c r="C26" s="1">
        <v>111792</v>
      </c>
      <c r="D26" s="1">
        <v>42657</v>
      </c>
      <c r="E26" s="1">
        <v>0</v>
      </c>
      <c r="F26" s="1">
        <v>407414</v>
      </c>
      <c r="G26" s="1">
        <v>63747.1</v>
      </c>
      <c r="H26" s="1">
        <v>372074</v>
      </c>
      <c r="I26" s="1">
        <v>628249</v>
      </c>
      <c r="J26" s="1">
        <v>50648.800000000003</v>
      </c>
      <c r="K26" s="1">
        <v>88615.2</v>
      </c>
      <c r="L26" s="1">
        <v>96928.9</v>
      </c>
      <c r="M26" s="1">
        <v>71086</v>
      </c>
      <c r="N26" s="1">
        <v>89399.3</v>
      </c>
      <c r="O26" s="1">
        <v>89818.4</v>
      </c>
      <c r="P26" s="1">
        <v>53042</v>
      </c>
      <c r="Q26" s="1">
        <v>82579</v>
      </c>
      <c r="R26" s="1">
        <v>0</v>
      </c>
    </row>
    <row r="27" spans="1:18">
      <c r="A27" s="3">
        <v>45901.041665219906</v>
      </c>
      <c r="B27" s="1">
        <v>550856</v>
      </c>
      <c r="C27" s="1">
        <v>111969</v>
      </c>
      <c r="D27" s="1">
        <v>42675.9</v>
      </c>
      <c r="E27" s="1">
        <v>0</v>
      </c>
      <c r="F27" s="1">
        <v>407438</v>
      </c>
      <c r="G27" s="1">
        <v>63801.8</v>
      </c>
      <c r="H27" s="1">
        <v>372087</v>
      </c>
      <c r="I27" s="1">
        <v>628474</v>
      </c>
      <c r="J27" s="1">
        <v>50655.5</v>
      </c>
      <c r="K27" s="1">
        <v>88618.7</v>
      </c>
      <c r="L27" s="1">
        <v>96952.6</v>
      </c>
      <c r="M27" s="1">
        <v>71124.600000000006</v>
      </c>
      <c r="N27" s="1">
        <v>89454.399999999994</v>
      </c>
      <c r="O27" s="1">
        <v>89835.9</v>
      </c>
      <c r="P27" s="1">
        <v>53042</v>
      </c>
      <c r="Q27" s="1">
        <v>82579</v>
      </c>
      <c r="R27" s="1">
        <v>0</v>
      </c>
    </row>
    <row r="28" spans="1:18">
      <c r="A28" s="3">
        <v>45901.083331828704</v>
      </c>
      <c r="B28" s="1">
        <v>551532</v>
      </c>
      <c r="C28" s="1">
        <v>112129</v>
      </c>
      <c r="D28" s="1">
        <v>42691.4</v>
      </c>
      <c r="E28" s="1">
        <v>0</v>
      </c>
      <c r="F28" s="1">
        <v>407460</v>
      </c>
      <c r="G28" s="1">
        <v>63855.8</v>
      </c>
      <c r="H28" s="1">
        <v>372099</v>
      </c>
      <c r="I28" s="1">
        <v>628690</v>
      </c>
      <c r="J28" s="1">
        <v>50661.9</v>
      </c>
      <c r="K28" s="1">
        <v>88622.3</v>
      </c>
      <c r="L28" s="1">
        <v>96976.1</v>
      </c>
      <c r="M28" s="1">
        <v>71161.8</v>
      </c>
      <c r="N28" s="1">
        <v>89508.9</v>
      </c>
      <c r="O28" s="1">
        <v>89856.3</v>
      </c>
      <c r="P28" s="1">
        <v>53042</v>
      </c>
      <c r="Q28" s="1">
        <v>82579</v>
      </c>
      <c r="R28" s="1">
        <v>0</v>
      </c>
    </row>
    <row r="29" spans="1:18">
      <c r="A29" s="3">
        <v>45901.124998437503</v>
      </c>
      <c r="B29" s="1">
        <v>552210</v>
      </c>
      <c r="C29" s="1">
        <v>112303</v>
      </c>
      <c r="D29" s="1">
        <v>42705.2</v>
      </c>
      <c r="E29" s="1">
        <v>0</v>
      </c>
      <c r="F29" s="1">
        <v>407482</v>
      </c>
      <c r="G29" s="1">
        <v>63906.400000000001</v>
      </c>
      <c r="H29" s="1">
        <v>372111</v>
      </c>
      <c r="I29" s="1">
        <v>628903</v>
      </c>
      <c r="J29" s="1">
        <v>50668</v>
      </c>
      <c r="K29" s="1">
        <v>88625.7</v>
      </c>
      <c r="L29" s="1">
        <v>96999</v>
      </c>
      <c r="M29" s="1">
        <v>71199.399999999994</v>
      </c>
      <c r="N29" s="1">
        <v>89563.5</v>
      </c>
      <c r="O29" s="1">
        <v>89874.9</v>
      </c>
      <c r="P29" s="1">
        <v>53042</v>
      </c>
      <c r="Q29" s="1">
        <v>82579</v>
      </c>
      <c r="R29" s="1">
        <v>0</v>
      </c>
    </row>
    <row r="30" spans="1:18">
      <c r="A30" s="3">
        <v>45901.166665046294</v>
      </c>
      <c r="B30" s="1">
        <v>552891</v>
      </c>
      <c r="C30" s="1">
        <v>112480</v>
      </c>
      <c r="D30" s="1">
        <v>42719.8</v>
      </c>
      <c r="E30" s="1">
        <v>0</v>
      </c>
      <c r="F30" s="1">
        <v>407503</v>
      </c>
      <c r="G30" s="1">
        <v>63957.9</v>
      </c>
      <c r="H30" s="1">
        <v>372124</v>
      </c>
      <c r="I30" s="1">
        <v>629116</v>
      </c>
      <c r="J30" s="1">
        <v>50674.400000000001</v>
      </c>
      <c r="K30" s="1">
        <v>88629.2</v>
      </c>
      <c r="L30" s="1">
        <v>97020.7</v>
      </c>
      <c r="M30" s="1">
        <v>71236.399999999994</v>
      </c>
      <c r="N30" s="1">
        <v>89618.4</v>
      </c>
      <c r="O30" s="1">
        <v>89894.399999999994</v>
      </c>
      <c r="P30" s="1">
        <v>53042</v>
      </c>
      <c r="Q30" s="1">
        <v>82579</v>
      </c>
      <c r="R30" s="1">
        <v>0</v>
      </c>
    </row>
    <row r="31" spans="1:18">
      <c r="A31" s="3">
        <v>45901.208331655092</v>
      </c>
      <c r="B31" s="1">
        <v>553566</v>
      </c>
      <c r="C31" s="1">
        <v>112657</v>
      </c>
      <c r="D31" s="1">
        <v>42734.2</v>
      </c>
      <c r="E31" s="1">
        <v>0</v>
      </c>
      <c r="F31" s="1">
        <v>407523</v>
      </c>
      <c r="G31" s="1">
        <v>64008.7</v>
      </c>
      <c r="H31" s="1">
        <v>372136</v>
      </c>
      <c r="I31" s="1">
        <v>629324</v>
      </c>
      <c r="J31" s="1">
        <v>50680.3</v>
      </c>
      <c r="K31" s="1">
        <v>88632.6</v>
      </c>
      <c r="L31" s="1">
        <v>97040.4</v>
      </c>
      <c r="M31" s="1">
        <v>71274.3</v>
      </c>
      <c r="N31" s="1">
        <v>89673.2</v>
      </c>
      <c r="O31" s="1">
        <v>89913.9</v>
      </c>
      <c r="P31" s="1">
        <v>53042</v>
      </c>
      <c r="Q31" s="1">
        <v>82579</v>
      </c>
      <c r="R31" s="1">
        <v>0</v>
      </c>
    </row>
    <row r="32" spans="1:18">
      <c r="A32" s="3">
        <v>45901.249998263891</v>
      </c>
      <c r="B32" s="1">
        <v>554244</v>
      </c>
      <c r="C32" s="1">
        <v>112834</v>
      </c>
      <c r="D32" s="1">
        <v>42750.7</v>
      </c>
      <c r="E32" s="1">
        <v>0</v>
      </c>
      <c r="F32" s="1">
        <v>407544</v>
      </c>
      <c r="G32" s="1">
        <v>64059.4</v>
      </c>
      <c r="H32" s="1">
        <v>372148</v>
      </c>
      <c r="I32" s="1">
        <v>629535</v>
      </c>
      <c r="J32" s="1">
        <v>50686.400000000001</v>
      </c>
      <c r="K32" s="1">
        <v>88636.1</v>
      </c>
      <c r="L32" s="1">
        <v>97059.5</v>
      </c>
      <c r="M32" s="1">
        <v>71312.800000000003</v>
      </c>
      <c r="N32" s="1">
        <v>89727.7</v>
      </c>
      <c r="O32" s="1">
        <v>89934.2</v>
      </c>
      <c r="P32" s="1">
        <v>53042</v>
      </c>
      <c r="Q32" s="1">
        <v>82579</v>
      </c>
      <c r="R32" s="1">
        <v>0</v>
      </c>
    </row>
    <row r="33" spans="1:18">
      <c r="A33" s="3">
        <v>45901.291664872682</v>
      </c>
      <c r="B33" s="1">
        <v>554934</v>
      </c>
      <c r="C33" s="1">
        <v>113015</v>
      </c>
      <c r="D33" s="1">
        <v>42767</v>
      </c>
      <c r="E33" s="1">
        <v>0</v>
      </c>
      <c r="F33" s="1">
        <v>407564</v>
      </c>
      <c r="G33" s="1">
        <v>64109.2</v>
      </c>
      <c r="H33" s="1">
        <v>372161</v>
      </c>
      <c r="I33" s="1">
        <v>629749</v>
      </c>
      <c r="J33" s="1">
        <v>50692.4</v>
      </c>
      <c r="K33" s="1">
        <v>88639.1</v>
      </c>
      <c r="L33" s="1">
        <v>97081.3</v>
      </c>
      <c r="M33" s="1">
        <v>71349.2</v>
      </c>
      <c r="N33" s="1">
        <v>89782.2</v>
      </c>
      <c r="O33" s="1">
        <v>89956.1</v>
      </c>
      <c r="P33" s="1">
        <v>53042</v>
      </c>
      <c r="Q33" s="1">
        <v>82580</v>
      </c>
      <c r="R33" s="1">
        <v>0</v>
      </c>
    </row>
    <row r="34" spans="1:18">
      <c r="A34" s="3">
        <v>45901.333331481481</v>
      </c>
      <c r="B34" s="1">
        <v>555664</v>
      </c>
      <c r="C34" s="1">
        <v>113208</v>
      </c>
      <c r="D34" s="1">
        <v>42784.7</v>
      </c>
      <c r="E34" s="1">
        <v>0</v>
      </c>
      <c r="F34" s="1">
        <v>407585</v>
      </c>
      <c r="G34" s="1">
        <v>64158.7</v>
      </c>
      <c r="H34" s="1">
        <v>372173</v>
      </c>
      <c r="I34" s="1">
        <v>629979</v>
      </c>
      <c r="J34" s="1">
        <v>50698.7</v>
      </c>
      <c r="K34" s="1">
        <v>88640.3</v>
      </c>
      <c r="L34" s="1">
        <v>97105.4</v>
      </c>
      <c r="M34" s="1">
        <v>71386.3</v>
      </c>
      <c r="N34" s="1">
        <v>89833.600000000006</v>
      </c>
      <c r="O34" s="1">
        <v>89981.1</v>
      </c>
      <c r="P34" s="1">
        <v>53043</v>
      </c>
      <c r="Q34" s="1">
        <v>82583</v>
      </c>
      <c r="R34" s="1">
        <v>0</v>
      </c>
    </row>
    <row r="35" spans="1:18">
      <c r="A35" s="3">
        <v>45901.374998090279</v>
      </c>
      <c r="B35" s="1">
        <v>556539</v>
      </c>
      <c r="C35" s="1">
        <v>113451</v>
      </c>
      <c r="D35" s="1">
        <v>42804.4</v>
      </c>
      <c r="E35" s="1">
        <v>0</v>
      </c>
      <c r="F35" s="1">
        <v>407613</v>
      </c>
      <c r="G35" s="1">
        <v>64208.2</v>
      </c>
      <c r="H35" s="1">
        <v>372185</v>
      </c>
      <c r="I35" s="1">
        <v>630257</v>
      </c>
      <c r="J35" s="1">
        <v>50705.5</v>
      </c>
      <c r="K35" s="1">
        <v>88640.6</v>
      </c>
      <c r="L35" s="1">
        <v>97136.5</v>
      </c>
      <c r="M35" s="1">
        <v>71435.8</v>
      </c>
      <c r="N35" s="1">
        <v>89883.8</v>
      </c>
      <c r="O35" s="1">
        <v>90016.5</v>
      </c>
      <c r="P35" s="1">
        <v>53049</v>
      </c>
      <c r="Q35" s="1">
        <v>82593</v>
      </c>
      <c r="R35" s="1">
        <v>0</v>
      </c>
    </row>
    <row r="36" spans="1:18">
      <c r="A36" s="3">
        <v>45901.416664699071</v>
      </c>
      <c r="B36" s="1">
        <v>557664</v>
      </c>
      <c r="C36" s="1">
        <v>113790</v>
      </c>
      <c r="D36" s="1">
        <v>42831.6</v>
      </c>
      <c r="E36" s="1">
        <v>0</v>
      </c>
      <c r="F36" s="1">
        <v>407647</v>
      </c>
      <c r="G36" s="1">
        <v>64268</v>
      </c>
      <c r="H36" s="1">
        <v>372200</v>
      </c>
      <c r="I36" s="1">
        <v>630611</v>
      </c>
      <c r="J36" s="1">
        <v>50712.6</v>
      </c>
      <c r="K36" s="1">
        <v>88641.1</v>
      </c>
      <c r="L36" s="1">
        <v>97178.2</v>
      </c>
      <c r="M36" s="1">
        <v>71492</v>
      </c>
      <c r="N36" s="1">
        <v>89935.4</v>
      </c>
      <c r="O36" s="1">
        <v>90068.5</v>
      </c>
      <c r="P36" s="1">
        <v>53059</v>
      </c>
      <c r="Q36" s="1">
        <v>82608</v>
      </c>
      <c r="R36" s="1">
        <v>0</v>
      </c>
    </row>
    <row r="37" spans="1:18">
      <c r="A37" s="3">
        <v>45901.458331307869</v>
      </c>
      <c r="B37" s="1">
        <v>558982</v>
      </c>
      <c r="C37" s="1">
        <v>114163</v>
      </c>
      <c r="D37" s="1">
        <v>42863.3</v>
      </c>
      <c r="E37" s="1">
        <v>0</v>
      </c>
      <c r="F37" s="1">
        <v>407702</v>
      </c>
      <c r="G37" s="1">
        <v>64344.7</v>
      </c>
      <c r="H37" s="1">
        <v>372217</v>
      </c>
      <c r="I37" s="1">
        <v>631041</v>
      </c>
      <c r="J37" s="1">
        <v>50724.6</v>
      </c>
      <c r="K37" s="1">
        <v>88641.1</v>
      </c>
      <c r="L37" s="1">
        <v>97227.7</v>
      </c>
      <c r="M37" s="1">
        <v>71555.3</v>
      </c>
      <c r="N37" s="1">
        <v>89985.600000000006</v>
      </c>
      <c r="O37" s="1">
        <v>90138</v>
      </c>
      <c r="P37" s="1">
        <v>53072</v>
      </c>
      <c r="Q37" s="1">
        <v>82628</v>
      </c>
      <c r="R37" s="1">
        <v>0</v>
      </c>
    </row>
    <row r="38" spans="1:18">
      <c r="A38" s="3">
        <v>45901.499997916668</v>
      </c>
      <c r="B38" s="1">
        <v>560331</v>
      </c>
      <c r="C38" s="1">
        <v>114540</v>
      </c>
      <c r="D38" s="1">
        <v>42901.9</v>
      </c>
      <c r="E38" s="1">
        <v>0</v>
      </c>
      <c r="F38" s="1">
        <v>407755</v>
      </c>
      <c r="G38" s="1">
        <v>64426.3</v>
      </c>
      <c r="H38" s="1">
        <v>372234</v>
      </c>
      <c r="I38" s="1">
        <v>631501</v>
      </c>
      <c r="J38" s="1">
        <v>50737.9</v>
      </c>
      <c r="K38" s="1">
        <v>88641.1</v>
      </c>
      <c r="L38" s="1">
        <v>97272.1</v>
      </c>
      <c r="M38" s="1">
        <v>71618.100000000006</v>
      </c>
      <c r="N38" s="1">
        <v>90036.2</v>
      </c>
      <c r="O38" s="1">
        <v>90205.4</v>
      </c>
      <c r="P38" s="1">
        <v>53087</v>
      </c>
      <c r="Q38" s="1">
        <v>82651</v>
      </c>
      <c r="R38" s="1">
        <v>0</v>
      </c>
    </row>
    <row r="39" spans="1:18">
      <c r="A39" s="3">
        <v>45901.541664525466</v>
      </c>
      <c r="B39" s="1">
        <v>561717</v>
      </c>
      <c r="C39" s="1">
        <v>114921</v>
      </c>
      <c r="D39" s="1">
        <v>42946.8</v>
      </c>
      <c r="E39" s="1">
        <v>0</v>
      </c>
      <c r="F39" s="1">
        <v>407811</v>
      </c>
      <c r="G39" s="1">
        <v>64507</v>
      </c>
      <c r="H39" s="1">
        <v>372248</v>
      </c>
      <c r="I39" s="1">
        <v>631984</v>
      </c>
      <c r="J39" s="1">
        <v>50749.599999999999</v>
      </c>
      <c r="K39" s="1">
        <v>88641.3</v>
      </c>
      <c r="L39" s="1">
        <v>97318.5</v>
      </c>
      <c r="M39" s="1">
        <v>71682.100000000006</v>
      </c>
      <c r="N39" s="1">
        <v>90085.9</v>
      </c>
      <c r="O39" s="1">
        <v>90274.9</v>
      </c>
      <c r="P39" s="1">
        <v>53103</v>
      </c>
      <c r="Q39" s="1">
        <v>82676</v>
      </c>
      <c r="R39" s="1">
        <v>0</v>
      </c>
    </row>
    <row r="40" spans="1:18">
      <c r="A40" s="3">
        <v>45901.583331134258</v>
      </c>
      <c r="B40" s="1">
        <v>563175</v>
      </c>
      <c r="C40" s="1">
        <v>115312</v>
      </c>
      <c r="D40" s="1">
        <v>42991.9</v>
      </c>
      <c r="E40" s="1">
        <v>0</v>
      </c>
      <c r="F40" s="1">
        <v>407864</v>
      </c>
      <c r="G40" s="1">
        <v>64601</v>
      </c>
      <c r="H40" s="1">
        <v>372294</v>
      </c>
      <c r="I40" s="1">
        <v>632465</v>
      </c>
      <c r="J40" s="1">
        <v>50760.800000000003</v>
      </c>
      <c r="K40" s="1">
        <v>88641.3</v>
      </c>
      <c r="L40" s="1">
        <v>97371.1</v>
      </c>
      <c r="M40" s="1">
        <v>71755.399999999994</v>
      </c>
      <c r="N40" s="1">
        <v>90130.6</v>
      </c>
      <c r="O40" s="1">
        <v>90348.2</v>
      </c>
      <c r="P40" s="1">
        <v>53120</v>
      </c>
      <c r="Q40" s="1">
        <v>82700</v>
      </c>
      <c r="R40" s="1">
        <v>0</v>
      </c>
    </row>
    <row r="41" spans="1:18">
      <c r="A41" s="3">
        <v>45901.624997743056</v>
      </c>
      <c r="B41" s="1">
        <v>564639</v>
      </c>
      <c r="C41" s="1">
        <v>115729</v>
      </c>
      <c r="D41" s="1">
        <v>43029.3</v>
      </c>
      <c r="E41" s="1">
        <v>0</v>
      </c>
      <c r="F41" s="1">
        <v>407917</v>
      </c>
      <c r="G41" s="1">
        <v>64706.8</v>
      </c>
      <c r="H41" s="1">
        <v>372317</v>
      </c>
      <c r="I41" s="1">
        <v>632947</v>
      </c>
      <c r="J41" s="1">
        <v>50775.6</v>
      </c>
      <c r="K41" s="1">
        <v>88642.4</v>
      </c>
      <c r="L41" s="1">
        <v>97423.1</v>
      </c>
      <c r="M41" s="1">
        <v>71835.199999999997</v>
      </c>
      <c r="N41" s="1">
        <v>90179.5</v>
      </c>
      <c r="O41" s="1">
        <v>90405.1</v>
      </c>
      <c r="P41" s="1">
        <v>53133</v>
      </c>
      <c r="Q41" s="1">
        <v>82721</v>
      </c>
      <c r="R41" s="1">
        <v>0</v>
      </c>
    </row>
    <row r="42" spans="1:18">
      <c r="A42" s="3">
        <v>45901.666664351855</v>
      </c>
      <c r="B42" s="1">
        <v>566055</v>
      </c>
      <c r="C42" s="1">
        <v>116141</v>
      </c>
      <c r="D42" s="1">
        <v>43064.800000000003</v>
      </c>
      <c r="E42" s="1">
        <v>0</v>
      </c>
      <c r="F42" s="1">
        <v>407968</v>
      </c>
      <c r="G42" s="1">
        <v>64807.1</v>
      </c>
      <c r="H42" s="1">
        <v>372332</v>
      </c>
      <c r="I42" s="1">
        <v>633438</v>
      </c>
      <c r="J42" s="1">
        <v>50792</v>
      </c>
      <c r="K42" s="1">
        <v>88642.4</v>
      </c>
      <c r="L42" s="1">
        <v>97472.9</v>
      </c>
      <c r="M42" s="1">
        <v>71904.899999999994</v>
      </c>
      <c r="N42" s="1">
        <v>90229.8</v>
      </c>
      <c r="O42" s="1">
        <v>90435.4</v>
      </c>
      <c r="P42" s="1">
        <v>53145</v>
      </c>
      <c r="Q42" s="1">
        <v>82739</v>
      </c>
      <c r="R42" s="1">
        <v>0</v>
      </c>
    </row>
    <row r="43" spans="1:18">
      <c r="A43" s="3">
        <v>45901.708330960646</v>
      </c>
      <c r="B43" s="1">
        <v>567393</v>
      </c>
      <c r="C43" s="1">
        <v>116525</v>
      </c>
      <c r="D43" s="1">
        <v>43097.3</v>
      </c>
      <c r="E43" s="1">
        <v>0</v>
      </c>
      <c r="F43" s="1">
        <v>408015</v>
      </c>
      <c r="G43" s="1">
        <v>64909.3</v>
      </c>
      <c r="H43" s="1">
        <v>372345</v>
      </c>
      <c r="I43" s="1">
        <v>633910</v>
      </c>
      <c r="J43" s="1">
        <v>50803.199999999997</v>
      </c>
      <c r="K43" s="1">
        <v>88646.2</v>
      </c>
      <c r="L43" s="1">
        <v>97523.9</v>
      </c>
      <c r="M43" s="1">
        <v>71961.2</v>
      </c>
      <c r="N43" s="1">
        <v>90281.9</v>
      </c>
      <c r="O43" s="1">
        <v>90463.6</v>
      </c>
      <c r="P43" s="1">
        <v>53154</v>
      </c>
      <c r="Q43" s="1">
        <v>82752</v>
      </c>
      <c r="R43" s="1">
        <v>0</v>
      </c>
    </row>
    <row r="44" spans="1:18">
      <c r="A44" s="3">
        <v>45901.749997569445</v>
      </c>
      <c r="B44" s="1">
        <v>568588</v>
      </c>
      <c r="C44" s="1">
        <v>116867</v>
      </c>
      <c r="D44" s="1">
        <v>43123.4</v>
      </c>
      <c r="E44" s="1">
        <v>0</v>
      </c>
      <c r="F44" s="1">
        <v>408057</v>
      </c>
      <c r="G44" s="1">
        <v>64999</v>
      </c>
      <c r="H44" s="1">
        <v>372359</v>
      </c>
      <c r="I44" s="1">
        <v>634323</v>
      </c>
      <c r="J44" s="1">
        <v>50811.1</v>
      </c>
      <c r="K44" s="1">
        <v>88651.3</v>
      </c>
      <c r="L44" s="1">
        <v>97567.1</v>
      </c>
      <c r="M44" s="1">
        <v>72011.3</v>
      </c>
      <c r="N44" s="1">
        <v>90337.5</v>
      </c>
      <c r="O44" s="1">
        <v>90490.2</v>
      </c>
      <c r="P44" s="1">
        <v>53158</v>
      </c>
      <c r="Q44" s="1">
        <v>82759</v>
      </c>
      <c r="R44" s="1">
        <v>0</v>
      </c>
    </row>
    <row r="45" spans="1:18">
      <c r="A45" s="3">
        <v>45901.791664178243</v>
      </c>
      <c r="B45" s="1">
        <v>569623</v>
      </c>
      <c r="C45" s="1">
        <v>117160</v>
      </c>
      <c r="D45" s="1">
        <v>43144.5</v>
      </c>
      <c r="E45" s="1">
        <v>0</v>
      </c>
      <c r="F45" s="1">
        <v>408091</v>
      </c>
      <c r="G45" s="1">
        <v>65079.5</v>
      </c>
      <c r="H45" s="1">
        <v>372378</v>
      </c>
      <c r="I45" s="1">
        <v>634676</v>
      </c>
      <c r="J45" s="1">
        <v>50818.8</v>
      </c>
      <c r="K45" s="1">
        <v>88656.5</v>
      </c>
      <c r="L45" s="1">
        <v>97598.5</v>
      </c>
      <c r="M45" s="1">
        <v>72057.5</v>
      </c>
      <c r="N45" s="1">
        <v>90394.1</v>
      </c>
      <c r="O45" s="1">
        <v>90512</v>
      </c>
      <c r="P45" s="1">
        <v>53158</v>
      </c>
      <c r="Q45" s="1">
        <v>82759</v>
      </c>
      <c r="R45" s="1">
        <v>0</v>
      </c>
    </row>
    <row r="46" spans="1:18">
      <c r="A46" s="3">
        <v>45901.833330787034</v>
      </c>
      <c r="B46" s="1">
        <v>570571</v>
      </c>
      <c r="C46" s="1">
        <v>117414</v>
      </c>
      <c r="D46" s="1">
        <v>43165.7</v>
      </c>
      <c r="E46" s="1">
        <v>0</v>
      </c>
      <c r="F46" s="1">
        <v>408121</v>
      </c>
      <c r="G46" s="1">
        <v>65160.7</v>
      </c>
      <c r="H46" s="1">
        <v>372395</v>
      </c>
      <c r="I46" s="1">
        <v>634993</v>
      </c>
      <c r="J46" s="1">
        <v>50825.7</v>
      </c>
      <c r="K46" s="1">
        <v>88661.7</v>
      </c>
      <c r="L46" s="1">
        <v>97627.8</v>
      </c>
      <c r="M46" s="1">
        <v>72100.2</v>
      </c>
      <c r="N46" s="1">
        <v>90451.1</v>
      </c>
      <c r="O46" s="1">
        <v>90535.3</v>
      </c>
      <c r="P46" s="1">
        <v>53158</v>
      </c>
      <c r="Q46" s="1">
        <v>82759</v>
      </c>
      <c r="R46" s="1">
        <v>0</v>
      </c>
    </row>
    <row r="47" spans="1:18">
      <c r="A47" s="3">
        <v>45901.874997395833</v>
      </c>
      <c r="B47" s="1">
        <v>571459</v>
      </c>
      <c r="C47" s="1">
        <v>117644</v>
      </c>
      <c r="D47" s="1">
        <v>43187.1</v>
      </c>
      <c r="E47" s="1">
        <v>0</v>
      </c>
      <c r="F47" s="1">
        <v>408147</v>
      </c>
      <c r="G47" s="1">
        <v>65235.1</v>
      </c>
      <c r="H47" s="1">
        <v>372412</v>
      </c>
      <c r="I47" s="1">
        <v>635282</v>
      </c>
      <c r="J47" s="1">
        <v>50833.2</v>
      </c>
      <c r="K47" s="1">
        <v>88667</v>
      </c>
      <c r="L47" s="1">
        <v>97661.3</v>
      </c>
      <c r="M47" s="1">
        <v>72141.7</v>
      </c>
      <c r="N47" s="1">
        <v>90507.5</v>
      </c>
      <c r="O47" s="1">
        <v>90559.1</v>
      </c>
      <c r="P47" s="1">
        <v>53158</v>
      </c>
      <c r="Q47" s="1">
        <v>82759</v>
      </c>
      <c r="R47" s="1">
        <v>0</v>
      </c>
    </row>
    <row r="48" spans="1:18">
      <c r="A48" s="3">
        <v>45901.916664004631</v>
      </c>
      <c r="B48" s="1">
        <v>572307</v>
      </c>
      <c r="C48" s="1">
        <v>117872</v>
      </c>
      <c r="D48" s="1">
        <v>43208.5</v>
      </c>
      <c r="E48" s="1">
        <v>0</v>
      </c>
      <c r="F48" s="1">
        <v>408172</v>
      </c>
      <c r="G48" s="1">
        <v>65304.6</v>
      </c>
      <c r="H48" s="1">
        <v>372429</v>
      </c>
      <c r="I48" s="1">
        <v>635550</v>
      </c>
      <c r="J48" s="1">
        <v>50840.6</v>
      </c>
      <c r="K48" s="1">
        <v>88671.9</v>
      </c>
      <c r="L48" s="1">
        <v>97690.4</v>
      </c>
      <c r="M48" s="1">
        <v>72181.2</v>
      </c>
      <c r="N48" s="1">
        <v>90563.9</v>
      </c>
      <c r="O48" s="1">
        <v>90582.3</v>
      </c>
      <c r="P48" s="1">
        <v>53158</v>
      </c>
      <c r="Q48" s="1">
        <v>82759</v>
      </c>
      <c r="R48" s="1">
        <v>0</v>
      </c>
    </row>
    <row r="49" spans="1:18">
      <c r="A49" s="3">
        <v>45901.958330613423</v>
      </c>
      <c r="B49" s="1">
        <v>573127</v>
      </c>
      <c r="C49" s="1">
        <v>118093</v>
      </c>
      <c r="D49" s="1">
        <v>43227.9</v>
      </c>
      <c r="E49" s="1">
        <v>0</v>
      </c>
      <c r="F49" s="1">
        <v>408196</v>
      </c>
      <c r="G49" s="1">
        <v>65369.7</v>
      </c>
      <c r="H49" s="1">
        <v>372445</v>
      </c>
      <c r="I49" s="1">
        <v>635813</v>
      </c>
      <c r="J49" s="1">
        <v>50847.4</v>
      </c>
      <c r="K49" s="1">
        <v>88676.5</v>
      </c>
      <c r="L49" s="1">
        <v>97717.4</v>
      </c>
      <c r="M49" s="1">
        <v>72223.399999999994</v>
      </c>
      <c r="N49" s="1">
        <v>90619.9</v>
      </c>
      <c r="O49" s="1">
        <v>90602</v>
      </c>
      <c r="P49" s="1">
        <v>53158</v>
      </c>
      <c r="Q49" s="1">
        <v>82759</v>
      </c>
      <c r="R49" s="1">
        <v>0</v>
      </c>
    </row>
    <row r="50" spans="1:18">
      <c r="A50" s="3">
        <v>45901.999997222221</v>
      </c>
      <c r="B50" s="1">
        <v>573911</v>
      </c>
      <c r="C50" s="1">
        <v>118299</v>
      </c>
      <c r="D50" s="1">
        <v>43246.400000000001</v>
      </c>
      <c r="E50" s="1">
        <v>0</v>
      </c>
      <c r="F50" s="1">
        <v>408219</v>
      </c>
      <c r="G50" s="1">
        <v>65429.7</v>
      </c>
      <c r="H50" s="1">
        <v>372458</v>
      </c>
      <c r="I50" s="1">
        <v>636070</v>
      </c>
      <c r="J50" s="1">
        <v>50854.400000000001</v>
      </c>
      <c r="K50" s="1">
        <v>88681</v>
      </c>
      <c r="L50" s="1">
        <v>97744.2</v>
      </c>
      <c r="M50" s="1">
        <v>72263.3</v>
      </c>
      <c r="N50" s="1">
        <v>90675.1</v>
      </c>
      <c r="O50" s="1">
        <v>90621.1</v>
      </c>
      <c r="P50" s="1">
        <v>53158</v>
      </c>
      <c r="Q50" s="1">
        <v>82759</v>
      </c>
      <c r="R50" s="1">
        <v>0</v>
      </c>
    </row>
    <row r="51" spans="1:18">
      <c r="A51" s="3">
        <v>45902.04166383102</v>
      </c>
      <c r="B51" s="1">
        <v>574655</v>
      </c>
      <c r="C51" s="1">
        <v>118493</v>
      </c>
      <c r="D51" s="1">
        <v>43263.3</v>
      </c>
      <c r="E51" s="1">
        <v>0</v>
      </c>
      <c r="F51" s="1">
        <v>408240</v>
      </c>
      <c r="G51" s="1">
        <v>65487.5</v>
      </c>
      <c r="H51" s="1">
        <v>372470</v>
      </c>
      <c r="I51" s="1">
        <v>636313</v>
      </c>
      <c r="J51" s="1">
        <v>50860.9</v>
      </c>
      <c r="K51" s="1">
        <v>88685.6</v>
      </c>
      <c r="L51" s="1">
        <v>97770.2</v>
      </c>
      <c r="M51" s="1">
        <v>72301.3</v>
      </c>
      <c r="N51" s="1">
        <v>90730.5</v>
      </c>
      <c r="O51" s="1">
        <v>90640.3</v>
      </c>
      <c r="P51" s="1">
        <v>53158</v>
      </c>
      <c r="Q51" s="1">
        <v>82759</v>
      </c>
      <c r="R51" s="1">
        <v>0</v>
      </c>
    </row>
    <row r="52" spans="1:18">
      <c r="A52" s="3">
        <v>45902.083330439818</v>
      </c>
      <c r="B52" s="1">
        <v>575375</v>
      </c>
      <c r="C52" s="1">
        <v>118678</v>
      </c>
      <c r="D52" s="1">
        <v>43279.5</v>
      </c>
      <c r="E52" s="1">
        <v>0</v>
      </c>
      <c r="F52" s="1">
        <v>408261</v>
      </c>
      <c r="G52" s="1">
        <v>65544</v>
      </c>
      <c r="H52" s="1">
        <v>372484</v>
      </c>
      <c r="I52" s="1">
        <v>636540</v>
      </c>
      <c r="J52" s="1">
        <v>50867.6</v>
      </c>
      <c r="K52" s="1">
        <v>88690.1</v>
      </c>
      <c r="L52" s="1">
        <v>97796.4</v>
      </c>
      <c r="M52" s="1">
        <v>72339.5</v>
      </c>
      <c r="N52" s="1">
        <v>90785.8</v>
      </c>
      <c r="O52" s="1">
        <v>90659.4</v>
      </c>
      <c r="P52" s="1">
        <v>53158</v>
      </c>
      <c r="Q52" s="1">
        <v>82759</v>
      </c>
      <c r="R52" s="1">
        <v>0</v>
      </c>
    </row>
    <row r="53" spans="1:18">
      <c r="A53" s="3">
        <v>45902.12499704861</v>
      </c>
      <c r="B53" s="1">
        <v>576093</v>
      </c>
      <c r="C53" s="1">
        <v>118867</v>
      </c>
      <c r="D53" s="1">
        <v>43296</v>
      </c>
      <c r="E53" s="1">
        <v>0</v>
      </c>
      <c r="F53" s="1">
        <v>408281</v>
      </c>
      <c r="G53" s="1">
        <v>65600.399999999994</v>
      </c>
      <c r="H53" s="1">
        <v>372496</v>
      </c>
      <c r="I53" s="1">
        <v>636763</v>
      </c>
      <c r="J53" s="1">
        <v>50874.2</v>
      </c>
      <c r="K53" s="1">
        <v>88694.7</v>
      </c>
      <c r="L53" s="1">
        <v>97822.2</v>
      </c>
      <c r="M53" s="1">
        <v>72377.8</v>
      </c>
      <c r="N53" s="1">
        <v>90840.9</v>
      </c>
      <c r="O53" s="1">
        <v>90678.9</v>
      </c>
      <c r="P53" s="1">
        <v>53158</v>
      </c>
      <c r="Q53" s="1">
        <v>82759</v>
      </c>
      <c r="R53" s="1">
        <v>0</v>
      </c>
    </row>
    <row r="54" spans="1:18">
      <c r="A54" s="3">
        <v>45902.166663657408</v>
      </c>
      <c r="B54" s="1">
        <v>576813</v>
      </c>
      <c r="C54" s="1">
        <v>119056</v>
      </c>
      <c r="D54" s="1">
        <v>43311.5</v>
      </c>
      <c r="E54" s="1">
        <v>0</v>
      </c>
      <c r="F54" s="1">
        <v>408302</v>
      </c>
      <c r="G54" s="1">
        <v>65656.3</v>
      </c>
      <c r="H54" s="1">
        <v>372508</v>
      </c>
      <c r="I54" s="1">
        <v>636988</v>
      </c>
      <c r="J54" s="1">
        <v>50880.9</v>
      </c>
      <c r="K54" s="1">
        <v>88699.1</v>
      </c>
      <c r="L54" s="1">
        <v>97847.5</v>
      </c>
      <c r="M54" s="1">
        <v>72418.899999999994</v>
      </c>
      <c r="N54" s="1">
        <v>90897.2</v>
      </c>
      <c r="O54" s="1">
        <v>90697.4</v>
      </c>
      <c r="P54" s="1">
        <v>53158</v>
      </c>
      <c r="Q54" s="1">
        <v>82759</v>
      </c>
      <c r="R54" s="1">
        <v>0</v>
      </c>
    </row>
    <row r="55" spans="1:18">
      <c r="A55" s="3">
        <v>45902.208330266207</v>
      </c>
      <c r="B55" s="1">
        <v>577523</v>
      </c>
      <c r="C55" s="1">
        <v>119240</v>
      </c>
      <c r="D55" s="1">
        <v>43325.1</v>
      </c>
      <c r="E55" s="1">
        <v>0</v>
      </c>
      <c r="F55" s="1">
        <v>408322</v>
      </c>
      <c r="G55" s="1">
        <v>65711.5</v>
      </c>
      <c r="H55" s="1">
        <v>372521</v>
      </c>
      <c r="I55" s="1">
        <v>637215</v>
      </c>
      <c r="J55" s="1">
        <v>50887.4</v>
      </c>
      <c r="K55" s="1">
        <v>88703.5</v>
      </c>
      <c r="L55" s="1">
        <v>97871.4</v>
      </c>
      <c r="M55" s="1">
        <v>72457.7</v>
      </c>
      <c r="N55" s="1">
        <v>90953.4</v>
      </c>
      <c r="O55" s="1">
        <v>90716.7</v>
      </c>
      <c r="P55" s="1">
        <v>53158</v>
      </c>
      <c r="Q55" s="1">
        <v>82759</v>
      </c>
      <c r="R55" s="1">
        <v>0</v>
      </c>
    </row>
    <row r="56" spans="1:18">
      <c r="A56" s="3">
        <v>45902.249996874998</v>
      </c>
      <c r="B56" s="1">
        <v>578214</v>
      </c>
      <c r="C56" s="1">
        <v>119424</v>
      </c>
      <c r="D56" s="1">
        <v>43338.5</v>
      </c>
      <c r="E56" s="1">
        <v>0</v>
      </c>
      <c r="F56" s="1">
        <v>408341</v>
      </c>
      <c r="G56" s="1">
        <v>65764</v>
      </c>
      <c r="H56" s="1">
        <v>372533</v>
      </c>
      <c r="I56" s="1">
        <v>637429</v>
      </c>
      <c r="J56" s="1">
        <v>50893.599999999999</v>
      </c>
      <c r="K56" s="1">
        <v>88707.9</v>
      </c>
      <c r="L56" s="1">
        <v>97892.7</v>
      </c>
      <c r="M56" s="1">
        <v>72494.899999999994</v>
      </c>
      <c r="N56" s="1">
        <v>91008.4</v>
      </c>
      <c r="O56" s="1">
        <v>90738.5</v>
      </c>
      <c r="P56" s="1">
        <v>53158</v>
      </c>
      <c r="Q56" s="1">
        <v>82759</v>
      </c>
      <c r="R56" s="1">
        <v>0</v>
      </c>
    </row>
    <row r="57" spans="1:18">
      <c r="A57" s="3">
        <v>45902.291663483797</v>
      </c>
      <c r="B57" s="1">
        <v>578909</v>
      </c>
      <c r="C57" s="1">
        <v>119608</v>
      </c>
      <c r="D57" s="1">
        <v>43353</v>
      </c>
      <c r="E57" s="1">
        <v>0</v>
      </c>
      <c r="F57" s="1">
        <v>408362</v>
      </c>
      <c r="G57" s="1">
        <v>65815</v>
      </c>
      <c r="H57" s="1">
        <v>372545</v>
      </c>
      <c r="I57" s="1">
        <v>637651</v>
      </c>
      <c r="J57" s="1">
        <v>50899.8</v>
      </c>
      <c r="K57" s="1">
        <v>88711.1</v>
      </c>
      <c r="L57" s="1">
        <v>97914.5</v>
      </c>
      <c r="M57" s="1">
        <v>72531.8</v>
      </c>
      <c r="N57" s="1">
        <v>91062.2</v>
      </c>
      <c r="O57" s="1">
        <v>90759.7</v>
      </c>
      <c r="P57" s="1">
        <v>53159</v>
      </c>
      <c r="Q57" s="1">
        <v>82760</v>
      </c>
      <c r="R57" s="1">
        <v>0</v>
      </c>
    </row>
    <row r="58" spans="1:18">
      <c r="A58" s="3">
        <v>45902.333330092595</v>
      </c>
      <c r="B58" s="1">
        <v>579638</v>
      </c>
      <c r="C58" s="1">
        <v>119806</v>
      </c>
      <c r="D58" s="1">
        <v>43367</v>
      </c>
      <c r="E58" s="1">
        <v>0</v>
      </c>
      <c r="F58" s="1">
        <v>408382</v>
      </c>
      <c r="G58" s="1">
        <v>65860.7</v>
      </c>
      <c r="H58" s="1">
        <v>372557</v>
      </c>
      <c r="I58" s="1">
        <v>637887</v>
      </c>
      <c r="J58" s="1">
        <v>50906.7</v>
      </c>
      <c r="K58" s="1">
        <v>88711.6</v>
      </c>
      <c r="L58" s="1">
        <v>97937.600000000006</v>
      </c>
      <c r="M58" s="1">
        <v>72571.600000000006</v>
      </c>
      <c r="N58" s="1">
        <v>91112</v>
      </c>
      <c r="O58" s="1">
        <v>90784.1</v>
      </c>
      <c r="P58" s="1">
        <v>53162</v>
      </c>
      <c r="Q58" s="1">
        <v>82766</v>
      </c>
      <c r="R58" s="1">
        <v>0</v>
      </c>
    </row>
    <row r="59" spans="1:18">
      <c r="A59" s="3">
        <v>45902.374996701386</v>
      </c>
      <c r="B59" s="1">
        <v>580514</v>
      </c>
      <c r="C59" s="1">
        <v>120030</v>
      </c>
      <c r="D59" s="1">
        <v>43383.199999999997</v>
      </c>
      <c r="E59" s="1">
        <v>0</v>
      </c>
      <c r="F59" s="1">
        <v>408408</v>
      </c>
      <c r="G59" s="1">
        <v>65909.399999999994</v>
      </c>
      <c r="H59" s="1">
        <v>372586</v>
      </c>
      <c r="I59" s="1">
        <v>638172</v>
      </c>
      <c r="J59" s="1">
        <v>50913.8</v>
      </c>
      <c r="K59" s="1">
        <v>88711.6</v>
      </c>
      <c r="L59" s="1">
        <v>97967.1</v>
      </c>
      <c r="M59" s="1">
        <v>72619.3</v>
      </c>
      <c r="N59" s="1">
        <v>91161.600000000006</v>
      </c>
      <c r="O59" s="1">
        <v>90820.4</v>
      </c>
      <c r="P59" s="1">
        <v>53168</v>
      </c>
      <c r="Q59" s="1">
        <v>82775</v>
      </c>
      <c r="R59" s="1">
        <v>0</v>
      </c>
    </row>
    <row r="60" spans="1:18">
      <c r="A60" s="3">
        <v>45902.416663310185</v>
      </c>
      <c r="B60" s="1">
        <v>581651</v>
      </c>
      <c r="C60" s="1">
        <v>120348</v>
      </c>
      <c r="D60" s="1">
        <v>43409.5</v>
      </c>
      <c r="E60" s="1">
        <v>0</v>
      </c>
      <c r="F60" s="1">
        <v>408447</v>
      </c>
      <c r="G60" s="1">
        <v>65968.5</v>
      </c>
      <c r="H60" s="1">
        <v>372625</v>
      </c>
      <c r="I60" s="1">
        <v>638521</v>
      </c>
      <c r="J60" s="1">
        <v>50921.1</v>
      </c>
      <c r="K60" s="1">
        <v>88711.8</v>
      </c>
      <c r="L60" s="1">
        <v>98003.9</v>
      </c>
      <c r="M60" s="1">
        <v>72671.100000000006</v>
      </c>
      <c r="N60" s="1">
        <v>91211.1</v>
      </c>
      <c r="O60" s="1">
        <v>90874.8</v>
      </c>
      <c r="P60" s="1">
        <v>53175</v>
      </c>
      <c r="Q60" s="1">
        <v>82787</v>
      </c>
      <c r="R60" s="1">
        <v>0</v>
      </c>
    </row>
    <row r="61" spans="1:18">
      <c r="A61" s="3">
        <v>45902.458329918984</v>
      </c>
      <c r="B61" s="1">
        <v>582928</v>
      </c>
      <c r="C61" s="1">
        <v>120696</v>
      </c>
      <c r="D61" s="1">
        <v>43440.2</v>
      </c>
      <c r="E61" s="1">
        <v>0</v>
      </c>
      <c r="F61" s="1">
        <v>408507</v>
      </c>
      <c r="G61" s="1">
        <v>66031</v>
      </c>
      <c r="H61" s="1">
        <v>372668</v>
      </c>
      <c r="I61" s="1">
        <v>638930</v>
      </c>
      <c r="J61" s="1">
        <v>50934.9</v>
      </c>
      <c r="K61" s="1">
        <v>88713.7</v>
      </c>
      <c r="L61" s="1">
        <v>98038.8</v>
      </c>
      <c r="M61" s="1">
        <v>72719.899999999994</v>
      </c>
      <c r="N61" s="1">
        <v>91261.8</v>
      </c>
      <c r="O61" s="1">
        <v>90943</v>
      </c>
      <c r="P61" s="1">
        <v>53185</v>
      </c>
      <c r="Q61" s="1">
        <v>82802</v>
      </c>
      <c r="R61" s="1">
        <v>0</v>
      </c>
    </row>
    <row r="62" spans="1:18">
      <c r="A62" s="3">
        <v>45902.499996527775</v>
      </c>
      <c r="B62" s="1">
        <v>584261</v>
      </c>
      <c r="C62" s="1">
        <v>121073</v>
      </c>
      <c r="D62" s="1">
        <v>43467.7</v>
      </c>
      <c r="E62" s="1">
        <v>0</v>
      </c>
      <c r="F62" s="1">
        <v>408559</v>
      </c>
      <c r="G62" s="1">
        <v>66106.5</v>
      </c>
      <c r="H62" s="1">
        <v>372705</v>
      </c>
      <c r="I62" s="1">
        <v>639368</v>
      </c>
      <c r="J62" s="1">
        <v>50946.2</v>
      </c>
      <c r="K62" s="1">
        <v>88716.1</v>
      </c>
      <c r="L62" s="1">
        <v>98078.399999999994</v>
      </c>
      <c r="M62" s="1">
        <v>72773.2</v>
      </c>
      <c r="N62" s="1">
        <v>91311.7</v>
      </c>
      <c r="O62" s="1">
        <v>91007</v>
      </c>
      <c r="P62" s="1">
        <v>53194</v>
      </c>
      <c r="Q62" s="1">
        <v>82815</v>
      </c>
      <c r="R62" s="1">
        <v>0</v>
      </c>
    </row>
    <row r="63" spans="1:18">
      <c r="A63" s="3">
        <v>45902.541663136573</v>
      </c>
      <c r="B63" s="1">
        <v>585605</v>
      </c>
      <c r="C63" s="1">
        <v>121449</v>
      </c>
      <c r="D63" s="1">
        <v>43498.2</v>
      </c>
      <c r="E63" s="1">
        <v>0</v>
      </c>
      <c r="F63" s="1">
        <v>408605</v>
      </c>
      <c r="G63" s="1">
        <v>66185.5</v>
      </c>
      <c r="H63" s="1">
        <v>372743</v>
      </c>
      <c r="I63" s="1">
        <v>639814</v>
      </c>
      <c r="J63" s="1">
        <v>50958.5</v>
      </c>
      <c r="K63" s="1">
        <v>88716.3</v>
      </c>
      <c r="L63" s="1">
        <v>98118.8</v>
      </c>
      <c r="M63" s="1">
        <v>72824.5</v>
      </c>
      <c r="N63" s="1">
        <v>91359.3</v>
      </c>
      <c r="O63" s="1">
        <v>91075.4</v>
      </c>
      <c r="P63" s="1">
        <v>53204</v>
      </c>
      <c r="Q63" s="1">
        <v>82832</v>
      </c>
      <c r="R63" s="1">
        <v>0</v>
      </c>
    </row>
    <row r="64" spans="1:18">
      <c r="A64" s="3">
        <v>45902.583329745372</v>
      </c>
      <c r="B64" s="1">
        <v>587050</v>
      </c>
      <c r="C64" s="1">
        <v>121842</v>
      </c>
      <c r="D64" s="1">
        <v>43543.1</v>
      </c>
      <c r="E64" s="1">
        <v>0</v>
      </c>
      <c r="F64" s="1">
        <v>408664</v>
      </c>
      <c r="G64" s="1">
        <v>66275.100000000006</v>
      </c>
      <c r="H64" s="1">
        <v>372781</v>
      </c>
      <c r="I64" s="1">
        <v>640280</v>
      </c>
      <c r="J64" s="1">
        <v>50973.9</v>
      </c>
      <c r="K64" s="1">
        <v>88718.2</v>
      </c>
      <c r="L64" s="1">
        <v>98159.6</v>
      </c>
      <c r="M64" s="1">
        <v>72876</v>
      </c>
      <c r="N64" s="1">
        <v>91412</v>
      </c>
      <c r="O64" s="1">
        <v>91152.3</v>
      </c>
      <c r="P64" s="1">
        <v>53213</v>
      </c>
      <c r="Q64" s="1">
        <v>82845</v>
      </c>
      <c r="R64" s="1">
        <v>0</v>
      </c>
    </row>
    <row r="65" spans="1:18">
      <c r="A65" s="3">
        <v>45902.624996354163</v>
      </c>
      <c r="B65" s="1">
        <v>588467</v>
      </c>
      <c r="C65" s="1">
        <v>122239</v>
      </c>
      <c r="D65" s="1">
        <v>43582.7</v>
      </c>
      <c r="E65" s="1">
        <v>0</v>
      </c>
      <c r="F65" s="1">
        <v>408729</v>
      </c>
      <c r="G65" s="1">
        <v>66364</v>
      </c>
      <c r="H65" s="1">
        <v>372815</v>
      </c>
      <c r="I65" s="1">
        <v>640733</v>
      </c>
      <c r="J65" s="1">
        <v>50988.2</v>
      </c>
      <c r="K65" s="1">
        <v>88722.6</v>
      </c>
      <c r="L65" s="1">
        <v>98207.4</v>
      </c>
      <c r="M65" s="1">
        <v>72928.399999999994</v>
      </c>
      <c r="N65" s="1">
        <v>91461.5</v>
      </c>
      <c r="O65" s="1">
        <v>91207</v>
      </c>
      <c r="P65" s="1">
        <v>53220</v>
      </c>
      <c r="Q65" s="1">
        <v>82857</v>
      </c>
      <c r="R65" s="1">
        <v>0</v>
      </c>
    </row>
    <row r="66" spans="1:18">
      <c r="A66" s="3">
        <v>45902.666662962962</v>
      </c>
      <c r="B66" s="1">
        <v>589894</v>
      </c>
      <c r="C66" s="1">
        <v>122646</v>
      </c>
      <c r="D66" s="1">
        <v>43621.599999999999</v>
      </c>
      <c r="E66" s="1">
        <v>0</v>
      </c>
      <c r="F66" s="1">
        <v>408793</v>
      </c>
      <c r="G66" s="1">
        <v>66453.899999999994</v>
      </c>
      <c r="H66" s="1">
        <v>372848</v>
      </c>
      <c r="I66" s="1">
        <v>641210</v>
      </c>
      <c r="J66" s="1">
        <v>51000.5</v>
      </c>
      <c r="K66" s="1">
        <v>88726</v>
      </c>
      <c r="L66" s="1">
        <v>98253.5</v>
      </c>
      <c r="M66" s="1">
        <v>72988.800000000003</v>
      </c>
      <c r="N66" s="1">
        <v>91514.3</v>
      </c>
      <c r="O66" s="1">
        <v>91240.5</v>
      </c>
      <c r="P66" s="1">
        <v>53229</v>
      </c>
      <c r="Q66" s="1">
        <v>82870</v>
      </c>
      <c r="R66" s="1">
        <v>0</v>
      </c>
    </row>
    <row r="67" spans="1:18">
      <c r="A67" s="3">
        <v>45902.70832957176</v>
      </c>
      <c r="B67" s="1">
        <v>591224</v>
      </c>
      <c r="C67" s="1">
        <v>123017</v>
      </c>
      <c r="D67" s="1">
        <v>43656.3</v>
      </c>
      <c r="E67" s="1">
        <v>0</v>
      </c>
      <c r="F67" s="1">
        <v>408845</v>
      </c>
      <c r="G67" s="1">
        <v>66547.3</v>
      </c>
      <c r="H67" s="1">
        <v>372881</v>
      </c>
      <c r="I67" s="1">
        <v>641645</v>
      </c>
      <c r="J67" s="1">
        <v>51010.5</v>
      </c>
      <c r="K67" s="1">
        <v>88732.6</v>
      </c>
      <c r="L67" s="1">
        <v>98301.6</v>
      </c>
      <c r="M67" s="1">
        <v>73044.3</v>
      </c>
      <c r="N67" s="1">
        <v>91568.7</v>
      </c>
      <c r="O67" s="1">
        <v>91271.4</v>
      </c>
      <c r="P67" s="1">
        <v>53237</v>
      </c>
      <c r="Q67" s="1">
        <v>82882</v>
      </c>
      <c r="R67" s="1">
        <v>0</v>
      </c>
    </row>
    <row r="68" spans="1:18">
      <c r="A68" s="3">
        <v>45902.749996180559</v>
      </c>
      <c r="B68" s="1">
        <v>592437</v>
      </c>
      <c r="C68" s="1">
        <v>123339</v>
      </c>
      <c r="D68" s="1">
        <v>43685.1</v>
      </c>
      <c r="E68" s="1">
        <v>0</v>
      </c>
      <c r="F68" s="1">
        <v>408891</v>
      </c>
      <c r="G68" s="1">
        <v>66635.399999999994</v>
      </c>
      <c r="H68" s="1">
        <v>372922</v>
      </c>
      <c r="I68" s="1">
        <v>642052</v>
      </c>
      <c r="J68" s="1">
        <v>51020.7</v>
      </c>
      <c r="K68" s="1">
        <v>88736.9</v>
      </c>
      <c r="L68" s="1">
        <v>98344.1</v>
      </c>
      <c r="M68" s="1">
        <v>73092.399999999994</v>
      </c>
      <c r="N68" s="1">
        <v>91625.1</v>
      </c>
      <c r="O68" s="1">
        <v>91298.2</v>
      </c>
      <c r="P68" s="1">
        <v>53241</v>
      </c>
      <c r="Q68" s="1">
        <v>82889</v>
      </c>
      <c r="R68" s="1">
        <v>0</v>
      </c>
    </row>
    <row r="69" spans="1:18">
      <c r="A69" s="3">
        <v>45902.79166278935</v>
      </c>
      <c r="B69" s="1">
        <v>593485</v>
      </c>
      <c r="C69" s="1">
        <v>123615</v>
      </c>
      <c r="D69" s="1">
        <v>43712.3</v>
      </c>
      <c r="E69" s="1">
        <v>0</v>
      </c>
      <c r="F69" s="1">
        <v>408928</v>
      </c>
      <c r="G69" s="1">
        <v>66720.5</v>
      </c>
      <c r="H69" s="1">
        <v>372947</v>
      </c>
      <c r="I69" s="1">
        <v>642408</v>
      </c>
      <c r="J69" s="1">
        <v>51029.7</v>
      </c>
      <c r="K69" s="1">
        <v>88741.4</v>
      </c>
      <c r="L69" s="1">
        <v>98372.1</v>
      </c>
      <c r="M69" s="1">
        <v>73137.600000000006</v>
      </c>
      <c r="N69" s="1">
        <v>91679.9</v>
      </c>
      <c r="O69" s="1">
        <v>91319</v>
      </c>
      <c r="P69" s="1">
        <v>53241</v>
      </c>
      <c r="Q69" s="1">
        <v>82889</v>
      </c>
      <c r="R69" s="1">
        <v>0</v>
      </c>
    </row>
    <row r="70" spans="1:18">
      <c r="A70" s="3">
        <v>45902.833329398149</v>
      </c>
      <c r="B70" s="1">
        <v>594381</v>
      </c>
      <c r="C70" s="1">
        <v>123859</v>
      </c>
      <c r="D70" s="1">
        <v>43731.8</v>
      </c>
      <c r="E70" s="1">
        <v>0</v>
      </c>
      <c r="F70" s="1">
        <v>408955</v>
      </c>
      <c r="G70" s="1">
        <v>66794.3</v>
      </c>
      <c r="H70" s="1">
        <v>372960</v>
      </c>
      <c r="I70" s="1">
        <v>642700</v>
      </c>
      <c r="J70" s="1">
        <v>51038.1</v>
      </c>
      <c r="K70" s="1">
        <v>88745.8</v>
      </c>
      <c r="L70" s="1">
        <v>98397.7</v>
      </c>
      <c r="M70" s="1">
        <v>73182.5</v>
      </c>
      <c r="N70" s="1">
        <v>91736.2</v>
      </c>
      <c r="O70" s="1">
        <v>91341.7</v>
      </c>
      <c r="P70" s="1">
        <v>53241</v>
      </c>
      <c r="Q70" s="1">
        <v>82889</v>
      </c>
      <c r="R70" s="1">
        <v>0</v>
      </c>
    </row>
    <row r="71" spans="1:18">
      <c r="A71" s="3">
        <v>45902.874996006947</v>
      </c>
      <c r="B71" s="1">
        <v>595192</v>
      </c>
      <c r="C71" s="1">
        <v>124074</v>
      </c>
      <c r="D71" s="1">
        <v>43749.7</v>
      </c>
      <c r="E71" s="1">
        <v>0</v>
      </c>
      <c r="F71" s="1">
        <v>408978</v>
      </c>
      <c r="G71" s="1">
        <v>66856.600000000006</v>
      </c>
      <c r="H71" s="1">
        <v>372973</v>
      </c>
      <c r="I71" s="1">
        <v>642965</v>
      </c>
      <c r="J71" s="1">
        <v>51046.6</v>
      </c>
      <c r="K71" s="1">
        <v>88750.2</v>
      </c>
      <c r="L71" s="1">
        <v>98424.3</v>
      </c>
      <c r="M71" s="1">
        <v>73224.600000000006</v>
      </c>
      <c r="N71" s="1">
        <v>91789.9</v>
      </c>
      <c r="O71" s="1">
        <v>91364.9</v>
      </c>
      <c r="P71" s="1">
        <v>53241</v>
      </c>
      <c r="Q71" s="1">
        <v>82889</v>
      </c>
      <c r="R71" s="1">
        <v>0</v>
      </c>
    </row>
    <row r="72" spans="1:18">
      <c r="A72" s="3">
        <v>45902.916662615738</v>
      </c>
      <c r="B72" s="1">
        <v>595964</v>
      </c>
      <c r="C72" s="1">
        <v>124279</v>
      </c>
      <c r="D72" s="1">
        <v>43765.8</v>
      </c>
      <c r="E72" s="1">
        <v>0</v>
      </c>
      <c r="F72" s="1">
        <v>409000</v>
      </c>
      <c r="G72" s="1">
        <v>66916.3</v>
      </c>
      <c r="H72" s="1">
        <v>372986</v>
      </c>
      <c r="I72" s="1">
        <v>643205</v>
      </c>
      <c r="J72" s="1">
        <v>51054.5</v>
      </c>
      <c r="K72" s="1">
        <v>88754.1</v>
      </c>
      <c r="L72" s="1">
        <v>98452.1</v>
      </c>
      <c r="M72" s="1">
        <v>73266.899999999994</v>
      </c>
      <c r="N72" s="1">
        <v>91847.3</v>
      </c>
      <c r="O72" s="1">
        <v>91386.9</v>
      </c>
      <c r="P72" s="1">
        <v>53241</v>
      </c>
      <c r="Q72" s="1">
        <v>82889</v>
      </c>
      <c r="R72" s="1">
        <v>0</v>
      </c>
    </row>
    <row r="73" spans="1:18">
      <c r="A73" s="3">
        <v>45902.958329224537</v>
      </c>
      <c r="B73" s="1">
        <v>596709</v>
      </c>
      <c r="C73" s="1">
        <v>124474</v>
      </c>
      <c r="D73" s="1">
        <v>43782.6</v>
      </c>
      <c r="E73" s="1">
        <v>0</v>
      </c>
      <c r="F73" s="1">
        <v>409022</v>
      </c>
      <c r="G73" s="1">
        <v>66973.7</v>
      </c>
      <c r="H73" s="1">
        <v>372998</v>
      </c>
      <c r="I73" s="1">
        <v>643443</v>
      </c>
      <c r="J73" s="1">
        <v>51061</v>
      </c>
      <c r="K73" s="1">
        <v>88757.6</v>
      </c>
      <c r="L73" s="1">
        <v>98479</v>
      </c>
      <c r="M73" s="1">
        <v>73308.800000000003</v>
      </c>
      <c r="N73" s="1">
        <v>91900.9</v>
      </c>
      <c r="O73" s="1">
        <v>91406.8</v>
      </c>
      <c r="P73" s="1">
        <v>53241</v>
      </c>
      <c r="Q73" s="1">
        <v>82889</v>
      </c>
      <c r="R73" s="1">
        <v>0</v>
      </c>
    </row>
    <row r="74" spans="1:18">
      <c r="A74" s="3">
        <v>45902.999995833336</v>
      </c>
      <c r="B74" s="1">
        <v>597451</v>
      </c>
      <c r="C74" s="1">
        <v>124659</v>
      </c>
      <c r="D74" s="1">
        <v>43797.7</v>
      </c>
      <c r="E74" s="1">
        <v>0</v>
      </c>
      <c r="F74" s="1">
        <v>409048</v>
      </c>
      <c r="G74" s="1">
        <v>67030.100000000006</v>
      </c>
      <c r="H74" s="1">
        <v>373010</v>
      </c>
      <c r="I74" s="1">
        <v>643686</v>
      </c>
      <c r="J74" s="1">
        <v>51067.4</v>
      </c>
      <c r="K74" s="1">
        <v>88761</v>
      </c>
      <c r="L74" s="1">
        <v>98505.4</v>
      </c>
      <c r="M74" s="1">
        <v>73350.8</v>
      </c>
      <c r="N74" s="1">
        <v>91954.5</v>
      </c>
      <c r="O74" s="1">
        <v>91426.6</v>
      </c>
      <c r="P74" s="1">
        <v>53241</v>
      </c>
      <c r="Q74" s="1">
        <v>82889</v>
      </c>
      <c r="R74" s="1">
        <v>0</v>
      </c>
    </row>
    <row r="75" spans="1:18">
      <c r="A75" s="3">
        <v>45903.041662442127</v>
      </c>
      <c r="B75" s="1">
        <v>598156</v>
      </c>
      <c r="C75" s="1">
        <v>124837</v>
      </c>
      <c r="D75" s="1">
        <v>43813</v>
      </c>
      <c r="E75" s="1">
        <v>0</v>
      </c>
      <c r="F75" s="1">
        <v>409073</v>
      </c>
      <c r="G75" s="1">
        <v>67086.5</v>
      </c>
      <c r="H75" s="1">
        <v>373022</v>
      </c>
      <c r="I75" s="1">
        <v>643910</v>
      </c>
      <c r="J75" s="1">
        <v>51073.8</v>
      </c>
      <c r="K75" s="1">
        <v>88764.7</v>
      </c>
      <c r="L75" s="1">
        <v>98531.199999999997</v>
      </c>
      <c r="M75" s="1">
        <v>73389.5</v>
      </c>
      <c r="N75" s="1">
        <v>92008.5</v>
      </c>
      <c r="O75" s="1">
        <v>91444.4</v>
      </c>
      <c r="P75" s="1">
        <v>53241</v>
      </c>
      <c r="Q75" s="1">
        <v>82889</v>
      </c>
      <c r="R75" s="1">
        <v>0</v>
      </c>
    </row>
    <row r="76" spans="1:18">
      <c r="A76" s="3">
        <v>45903.083329050925</v>
      </c>
      <c r="B76" s="1">
        <v>598847</v>
      </c>
      <c r="C76" s="1">
        <v>125010</v>
      </c>
      <c r="D76" s="1">
        <v>43829.8</v>
      </c>
      <c r="E76" s="1">
        <v>0</v>
      </c>
      <c r="F76" s="1">
        <v>409097</v>
      </c>
      <c r="G76" s="1">
        <v>67142.600000000006</v>
      </c>
      <c r="H76" s="1">
        <v>373034</v>
      </c>
      <c r="I76" s="1">
        <v>644127</v>
      </c>
      <c r="J76" s="1">
        <v>51079.9</v>
      </c>
      <c r="K76" s="1">
        <v>88768.3</v>
      </c>
      <c r="L76" s="1">
        <v>98556.9</v>
      </c>
      <c r="M76" s="1">
        <v>73424.800000000003</v>
      </c>
      <c r="N76" s="1">
        <v>92062.2</v>
      </c>
      <c r="O76" s="1">
        <v>91463.1</v>
      </c>
      <c r="P76" s="1">
        <v>53241</v>
      </c>
      <c r="Q76" s="1">
        <v>82889</v>
      </c>
      <c r="R76" s="1">
        <v>0</v>
      </c>
    </row>
    <row r="77" spans="1:18">
      <c r="A77" s="3">
        <v>45903.124995659724</v>
      </c>
      <c r="B77" s="1">
        <v>599520</v>
      </c>
      <c r="C77" s="1">
        <v>125179</v>
      </c>
      <c r="D77" s="1">
        <v>43845.5</v>
      </c>
      <c r="E77" s="1">
        <v>0</v>
      </c>
      <c r="F77" s="1">
        <v>409120</v>
      </c>
      <c r="G77" s="1">
        <v>67197.7</v>
      </c>
      <c r="H77" s="1">
        <v>373045</v>
      </c>
      <c r="I77" s="1">
        <v>644336</v>
      </c>
      <c r="J77" s="1">
        <v>51086.2</v>
      </c>
      <c r="K77" s="1">
        <v>88771.7</v>
      </c>
      <c r="L77" s="1">
        <v>98581.3</v>
      </c>
      <c r="M77" s="1">
        <v>73460.3</v>
      </c>
      <c r="N77" s="1">
        <v>92115.6</v>
      </c>
      <c r="O77" s="1">
        <v>91481.2</v>
      </c>
      <c r="P77" s="1">
        <v>53241</v>
      </c>
      <c r="Q77" s="1">
        <v>82889</v>
      </c>
      <c r="R77" s="1">
        <v>0</v>
      </c>
    </row>
    <row r="78" spans="1:18">
      <c r="A78" s="3">
        <v>45903.166662268515</v>
      </c>
      <c r="B78" s="1">
        <v>600190</v>
      </c>
      <c r="C78" s="1">
        <v>125348</v>
      </c>
      <c r="D78" s="1">
        <v>43861</v>
      </c>
      <c r="E78" s="1">
        <v>0</v>
      </c>
      <c r="F78" s="1">
        <v>409140</v>
      </c>
      <c r="G78" s="1">
        <v>67251.399999999994</v>
      </c>
      <c r="H78" s="1">
        <v>373058</v>
      </c>
      <c r="I78" s="1">
        <v>644546</v>
      </c>
      <c r="J78" s="1">
        <v>51092.5</v>
      </c>
      <c r="K78" s="1">
        <v>88775.1</v>
      </c>
      <c r="L78" s="1">
        <v>98604.4</v>
      </c>
      <c r="M78" s="1">
        <v>73496</v>
      </c>
      <c r="N78" s="1">
        <v>92168.9</v>
      </c>
      <c r="O78" s="1">
        <v>91500.2</v>
      </c>
      <c r="P78" s="1">
        <v>53241</v>
      </c>
      <c r="Q78" s="1">
        <v>82889</v>
      </c>
      <c r="R78" s="1">
        <v>0</v>
      </c>
    </row>
    <row r="79" spans="1:18">
      <c r="A79" s="3">
        <v>45903.208328877314</v>
      </c>
      <c r="B79" s="1">
        <v>600862</v>
      </c>
      <c r="C79" s="1">
        <v>125519</v>
      </c>
      <c r="D79" s="1">
        <v>43876</v>
      </c>
      <c r="E79" s="1">
        <v>0</v>
      </c>
      <c r="F79" s="1">
        <v>409160</v>
      </c>
      <c r="G79" s="1">
        <v>67305.899999999994</v>
      </c>
      <c r="H79" s="1">
        <v>373070</v>
      </c>
      <c r="I79" s="1">
        <v>644754</v>
      </c>
      <c r="J79" s="1">
        <v>51098.6</v>
      </c>
      <c r="K79" s="1">
        <v>88778.4</v>
      </c>
      <c r="L79" s="1">
        <v>98626.9</v>
      </c>
      <c r="M79" s="1">
        <v>73531.899999999994</v>
      </c>
      <c r="N79" s="1">
        <v>92225.600000000006</v>
      </c>
      <c r="O79" s="1">
        <v>91519.8</v>
      </c>
      <c r="P79" s="1">
        <v>53241</v>
      </c>
      <c r="Q79" s="1">
        <v>82889</v>
      </c>
      <c r="R79" s="1">
        <v>0</v>
      </c>
    </row>
    <row r="80" spans="1:18">
      <c r="A80" s="3">
        <v>45903.249995486112</v>
      </c>
      <c r="B80" s="1">
        <v>601523</v>
      </c>
      <c r="C80" s="1">
        <v>125689</v>
      </c>
      <c r="D80" s="1">
        <v>43890.400000000001</v>
      </c>
      <c r="E80" s="1">
        <v>0</v>
      </c>
      <c r="F80" s="1">
        <v>409180</v>
      </c>
      <c r="G80" s="1">
        <v>67360.399999999994</v>
      </c>
      <c r="H80" s="1">
        <v>373082</v>
      </c>
      <c r="I80" s="1">
        <v>644958</v>
      </c>
      <c r="J80" s="1">
        <v>51104.6</v>
      </c>
      <c r="K80" s="1">
        <v>88781.7</v>
      </c>
      <c r="L80" s="1">
        <v>98647.8</v>
      </c>
      <c r="M80" s="1">
        <v>73566.7</v>
      </c>
      <c r="N80" s="1">
        <v>92279.1</v>
      </c>
      <c r="O80" s="1">
        <v>91540.4</v>
      </c>
      <c r="P80" s="1">
        <v>53241</v>
      </c>
      <c r="Q80" s="1">
        <v>82889</v>
      </c>
      <c r="R80" s="1">
        <v>0</v>
      </c>
    </row>
    <row r="81" spans="1:18">
      <c r="A81" s="3">
        <v>45903.291662094911</v>
      </c>
      <c r="B81" s="1">
        <v>602200</v>
      </c>
      <c r="C81" s="1">
        <v>125864</v>
      </c>
      <c r="D81" s="1">
        <v>43904.4</v>
      </c>
      <c r="E81" s="1">
        <v>0</v>
      </c>
      <c r="F81" s="1">
        <v>409199</v>
      </c>
      <c r="G81" s="1">
        <v>67414.399999999994</v>
      </c>
      <c r="H81" s="1">
        <v>373094</v>
      </c>
      <c r="I81" s="1">
        <v>645170</v>
      </c>
      <c r="J81" s="1">
        <v>51110.6</v>
      </c>
      <c r="K81" s="1">
        <v>88784.8</v>
      </c>
      <c r="L81" s="1">
        <v>98668.4</v>
      </c>
      <c r="M81" s="1">
        <v>73602</v>
      </c>
      <c r="N81" s="1">
        <v>92332</v>
      </c>
      <c r="O81" s="1">
        <v>91561.8</v>
      </c>
      <c r="P81" s="1">
        <v>53241</v>
      </c>
      <c r="Q81" s="1">
        <v>82889</v>
      </c>
      <c r="R81" s="1">
        <v>0</v>
      </c>
    </row>
    <row r="82" spans="1:18">
      <c r="A82" s="3">
        <v>45903.333328703702</v>
      </c>
      <c r="B82" s="1">
        <v>602914</v>
      </c>
      <c r="C82" s="1">
        <v>126047</v>
      </c>
      <c r="D82" s="1">
        <v>43918.400000000001</v>
      </c>
      <c r="E82" s="1">
        <v>0</v>
      </c>
      <c r="F82" s="1">
        <v>409220</v>
      </c>
      <c r="G82" s="1">
        <v>67468.7</v>
      </c>
      <c r="H82" s="1">
        <v>373105</v>
      </c>
      <c r="I82" s="1">
        <v>645397</v>
      </c>
      <c r="J82" s="1">
        <v>51117.5</v>
      </c>
      <c r="K82" s="1">
        <v>88786.1</v>
      </c>
      <c r="L82" s="1">
        <v>98690.8</v>
      </c>
      <c r="M82" s="1">
        <v>73639.8</v>
      </c>
      <c r="N82" s="1">
        <v>92383.1</v>
      </c>
      <c r="O82" s="1">
        <v>91587.9</v>
      </c>
      <c r="P82" s="1">
        <v>53242</v>
      </c>
      <c r="Q82" s="1">
        <v>82892</v>
      </c>
      <c r="R82" s="1">
        <v>0</v>
      </c>
    </row>
    <row r="83" spans="1:18">
      <c r="A83" s="3">
        <v>45903.374995312501</v>
      </c>
      <c r="B83" s="1">
        <v>603743</v>
      </c>
      <c r="C83" s="1">
        <v>126259</v>
      </c>
      <c r="D83" s="1">
        <v>43939.3</v>
      </c>
      <c r="E83" s="1">
        <v>0</v>
      </c>
      <c r="F83" s="1">
        <v>409247</v>
      </c>
      <c r="G83" s="1">
        <v>67520.2</v>
      </c>
      <c r="H83" s="1">
        <v>373117</v>
      </c>
      <c r="I83" s="1">
        <v>645673</v>
      </c>
      <c r="J83" s="1">
        <v>51124.5</v>
      </c>
      <c r="K83" s="1">
        <v>88786.8</v>
      </c>
      <c r="L83" s="1">
        <v>98718</v>
      </c>
      <c r="M83" s="1">
        <v>73678.899999999994</v>
      </c>
      <c r="N83" s="1">
        <v>92432.5</v>
      </c>
      <c r="O83" s="1">
        <v>91628</v>
      </c>
      <c r="P83" s="1">
        <v>53248</v>
      </c>
      <c r="Q83" s="1">
        <v>82901</v>
      </c>
      <c r="R83" s="1">
        <v>0</v>
      </c>
    </row>
    <row r="84" spans="1:18">
      <c r="A84" s="3">
        <v>45903.416661921299</v>
      </c>
      <c r="B84" s="1">
        <v>604788</v>
      </c>
      <c r="C84" s="1">
        <v>126543</v>
      </c>
      <c r="D84" s="1">
        <v>43965.7</v>
      </c>
      <c r="E84" s="1">
        <v>0</v>
      </c>
      <c r="F84" s="1">
        <v>409287</v>
      </c>
      <c r="G84" s="1">
        <v>67575.399999999994</v>
      </c>
      <c r="H84" s="1">
        <v>373136</v>
      </c>
      <c r="I84" s="1">
        <v>646015</v>
      </c>
      <c r="J84" s="1">
        <v>51131.9</v>
      </c>
      <c r="K84" s="1">
        <v>88787</v>
      </c>
      <c r="L84" s="1">
        <v>98747.4</v>
      </c>
      <c r="M84" s="1">
        <v>73720.5</v>
      </c>
      <c r="N84" s="1">
        <v>92479.8</v>
      </c>
      <c r="O84" s="1">
        <v>91685.8</v>
      </c>
      <c r="P84" s="1">
        <v>53258</v>
      </c>
      <c r="Q84" s="1">
        <v>82917</v>
      </c>
      <c r="R84" s="1">
        <v>0</v>
      </c>
    </row>
    <row r="85" spans="1:18">
      <c r="A85" s="3">
        <v>45903.458328530091</v>
      </c>
      <c r="B85" s="1">
        <v>606015</v>
      </c>
      <c r="C85" s="1">
        <v>126861</v>
      </c>
      <c r="D85" s="1">
        <v>43992.800000000003</v>
      </c>
      <c r="E85" s="1">
        <v>0</v>
      </c>
      <c r="F85" s="1">
        <v>409340</v>
      </c>
      <c r="G85" s="1">
        <v>67649</v>
      </c>
      <c r="H85" s="1">
        <v>373177</v>
      </c>
      <c r="I85" s="1">
        <v>646425</v>
      </c>
      <c r="J85" s="1">
        <v>51144.2</v>
      </c>
      <c r="K85" s="1">
        <v>88787.4</v>
      </c>
      <c r="L85" s="1">
        <v>98780.4</v>
      </c>
      <c r="M85" s="1">
        <v>73764.100000000006</v>
      </c>
      <c r="N85" s="1">
        <v>92525.7</v>
      </c>
      <c r="O85" s="1">
        <v>91755.199999999997</v>
      </c>
      <c r="P85" s="1">
        <v>53271</v>
      </c>
      <c r="Q85" s="1">
        <v>82937</v>
      </c>
      <c r="R85" s="1">
        <v>0</v>
      </c>
    </row>
    <row r="86" spans="1:18">
      <c r="A86" s="3">
        <v>45903.499995138889</v>
      </c>
      <c r="B86" s="1">
        <v>607283</v>
      </c>
      <c r="C86" s="1">
        <v>127189</v>
      </c>
      <c r="D86" s="1">
        <v>44020.4</v>
      </c>
      <c r="E86" s="1">
        <v>0</v>
      </c>
      <c r="F86" s="1">
        <v>409397</v>
      </c>
      <c r="G86" s="1">
        <v>67727.5</v>
      </c>
      <c r="H86" s="1">
        <v>373200</v>
      </c>
      <c r="I86" s="1">
        <v>646874</v>
      </c>
      <c r="J86" s="1">
        <v>51156.7</v>
      </c>
      <c r="K86" s="1">
        <v>88787.5</v>
      </c>
      <c r="L86" s="1">
        <v>98815.8</v>
      </c>
      <c r="M86" s="1">
        <v>73809.2</v>
      </c>
      <c r="N86" s="1">
        <v>92570.2</v>
      </c>
      <c r="O86" s="1">
        <v>91820</v>
      </c>
      <c r="P86" s="1">
        <v>53287</v>
      </c>
      <c r="Q86" s="1">
        <v>82961</v>
      </c>
      <c r="R86" s="1">
        <v>0</v>
      </c>
    </row>
    <row r="87" spans="1:18">
      <c r="A87" s="3">
        <v>45903.541661747688</v>
      </c>
      <c r="B87" s="1">
        <v>608604</v>
      </c>
      <c r="C87" s="1">
        <v>127532</v>
      </c>
      <c r="D87" s="1">
        <v>44056.3</v>
      </c>
      <c r="E87" s="1">
        <v>0</v>
      </c>
      <c r="F87" s="1">
        <v>409463</v>
      </c>
      <c r="G87" s="1">
        <v>67800.5</v>
      </c>
      <c r="H87" s="1">
        <v>373235</v>
      </c>
      <c r="I87" s="1">
        <v>647325</v>
      </c>
      <c r="J87" s="1">
        <v>51168.1</v>
      </c>
      <c r="K87" s="1">
        <v>88787.5</v>
      </c>
      <c r="L87" s="1">
        <v>98857.3</v>
      </c>
      <c r="M87" s="1">
        <v>73858.600000000006</v>
      </c>
      <c r="N87" s="1">
        <v>92613.4</v>
      </c>
      <c r="O87" s="1">
        <v>91891.6</v>
      </c>
      <c r="P87" s="1">
        <v>53303</v>
      </c>
      <c r="Q87" s="1">
        <v>82985</v>
      </c>
      <c r="R87" s="1">
        <v>0</v>
      </c>
    </row>
    <row r="88" spans="1:18">
      <c r="A88" s="3">
        <v>45903.583328356479</v>
      </c>
      <c r="B88" s="1">
        <v>610000</v>
      </c>
      <c r="C88" s="1">
        <v>127892</v>
      </c>
      <c r="D88" s="1">
        <v>44092.3</v>
      </c>
      <c r="E88" s="1">
        <v>0</v>
      </c>
      <c r="F88" s="1">
        <v>409526</v>
      </c>
      <c r="G88" s="1">
        <v>67885.899999999994</v>
      </c>
      <c r="H88" s="1">
        <v>373262</v>
      </c>
      <c r="I88" s="1">
        <v>647787</v>
      </c>
      <c r="J88" s="1">
        <v>51180.5</v>
      </c>
      <c r="K88" s="1">
        <v>88787.5</v>
      </c>
      <c r="L88" s="1">
        <v>98911.9</v>
      </c>
      <c r="M88" s="1">
        <v>73920.7</v>
      </c>
      <c r="N88" s="1">
        <v>92659.3</v>
      </c>
      <c r="O88" s="1">
        <v>91968.3</v>
      </c>
      <c r="P88" s="1">
        <v>53317</v>
      </c>
      <c r="Q88" s="1">
        <v>83007</v>
      </c>
      <c r="R88" s="1">
        <v>0</v>
      </c>
    </row>
    <row r="89" spans="1:18">
      <c r="A89" s="3">
        <v>45903.624994965277</v>
      </c>
      <c r="B89" s="1">
        <v>611476</v>
      </c>
      <c r="C89" s="1">
        <v>128260</v>
      </c>
      <c r="D89" s="1">
        <v>44125.7</v>
      </c>
      <c r="E89" s="1">
        <v>0</v>
      </c>
      <c r="F89" s="1">
        <v>409583</v>
      </c>
      <c r="G89" s="1">
        <v>67985.899999999994</v>
      </c>
      <c r="H89" s="1">
        <v>373347</v>
      </c>
      <c r="I89" s="1">
        <v>648257</v>
      </c>
      <c r="J89" s="1">
        <v>51192.6</v>
      </c>
      <c r="K89" s="1">
        <v>88790.3</v>
      </c>
      <c r="L89" s="1">
        <v>98967.2</v>
      </c>
      <c r="M89" s="1">
        <v>73978.600000000006</v>
      </c>
      <c r="N89" s="1">
        <v>92708.800000000003</v>
      </c>
      <c r="O89" s="1">
        <v>92024.3</v>
      </c>
      <c r="P89" s="1">
        <v>53327</v>
      </c>
      <c r="Q89" s="1">
        <v>83022</v>
      </c>
      <c r="R89" s="1">
        <v>0</v>
      </c>
    </row>
    <row r="90" spans="1:18">
      <c r="A90" s="3">
        <v>45903.666661574076</v>
      </c>
      <c r="B90" s="1">
        <v>612887</v>
      </c>
      <c r="C90" s="1">
        <v>128624</v>
      </c>
      <c r="D90" s="1">
        <v>44162.1</v>
      </c>
      <c r="E90" s="1">
        <v>0</v>
      </c>
      <c r="F90" s="1">
        <v>409640</v>
      </c>
      <c r="G90" s="1">
        <v>68085.600000000006</v>
      </c>
      <c r="H90" s="1">
        <v>373426</v>
      </c>
      <c r="I90" s="1">
        <v>648708</v>
      </c>
      <c r="J90" s="1">
        <v>51204.5</v>
      </c>
      <c r="K90" s="1">
        <v>88790.9</v>
      </c>
      <c r="L90" s="1">
        <v>99014.3</v>
      </c>
      <c r="M90" s="1">
        <v>74034.100000000006</v>
      </c>
      <c r="N90" s="1">
        <v>92758.6</v>
      </c>
      <c r="O90" s="1">
        <v>92057.9</v>
      </c>
      <c r="P90" s="1">
        <v>53338</v>
      </c>
      <c r="Q90" s="1">
        <v>83038</v>
      </c>
      <c r="R90" s="1">
        <v>0</v>
      </c>
    </row>
    <row r="91" spans="1:18">
      <c r="A91" s="3">
        <v>45903.708328182867</v>
      </c>
      <c r="B91" s="1">
        <v>614236</v>
      </c>
      <c r="C91" s="1">
        <v>128970</v>
      </c>
      <c r="D91" s="1">
        <v>44196.7</v>
      </c>
      <c r="E91" s="1">
        <v>0</v>
      </c>
      <c r="F91" s="1">
        <v>409693</v>
      </c>
      <c r="G91" s="1">
        <v>68182.399999999994</v>
      </c>
      <c r="H91" s="1">
        <v>373500</v>
      </c>
      <c r="I91" s="1">
        <v>649137</v>
      </c>
      <c r="J91" s="1">
        <v>51216.4</v>
      </c>
      <c r="K91" s="1">
        <v>88793.3</v>
      </c>
      <c r="L91" s="1">
        <v>99058.7</v>
      </c>
      <c r="M91" s="1">
        <v>74084.399999999994</v>
      </c>
      <c r="N91" s="1">
        <v>92812</v>
      </c>
      <c r="O91" s="1">
        <v>92092.3</v>
      </c>
      <c r="P91" s="1">
        <v>53345</v>
      </c>
      <c r="Q91" s="1">
        <v>83050</v>
      </c>
      <c r="R91" s="1">
        <v>0</v>
      </c>
    </row>
    <row r="92" spans="1:18">
      <c r="A92" s="3">
        <v>45903.749994791666</v>
      </c>
      <c r="B92" s="1">
        <v>615423</v>
      </c>
      <c r="C92" s="1">
        <v>129271</v>
      </c>
      <c r="D92" s="1">
        <v>44220.3</v>
      </c>
      <c r="E92" s="1">
        <v>0</v>
      </c>
      <c r="F92" s="1">
        <v>409733</v>
      </c>
      <c r="G92" s="1">
        <v>68265.600000000006</v>
      </c>
      <c r="H92" s="1">
        <v>373533</v>
      </c>
      <c r="I92" s="1">
        <v>649546</v>
      </c>
      <c r="J92" s="1">
        <v>51225</v>
      </c>
      <c r="K92" s="1">
        <v>88797.1</v>
      </c>
      <c r="L92" s="1">
        <v>99105</v>
      </c>
      <c r="M92" s="1">
        <v>74130.399999999994</v>
      </c>
      <c r="N92" s="1">
        <v>92869.1</v>
      </c>
      <c r="O92" s="1">
        <v>92122.4</v>
      </c>
      <c r="P92" s="1">
        <v>53349</v>
      </c>
      <c r="Q92" s="1">
        <v>83056</v>
      </c>
      <c r="R92" s="1">
        <v>0</v>
      </c>
    </row>
    <row r="93" spans="1:18">
      <c r="A93" s="3">
        <v>45903.791661400464</v>
      </c>
      <c r="B93" s="1">
        <v>616438</v>
      </c>
      <c r="C93" s="1">
        <v>129512</v>
      </c>
      <c r="D93" s="1">
        <v>44239.5</v>
      </c>
      <c r="E93" s="1">
        <v>0</v>
      </c>
      <c r="F93" s="1">
        <v>409767</v>
      </c>
      <c r="G93" s="1">
        <v>68338.7</v>
      </c>
      <c r="H93" s="1">
        <v>373546</v>
      </c>
      <c r="I93" s="1">
        <v>649932</v>
      </c>
      <c r="J93" s="1">
        <v>51232.6</v>
      </c>
      <c r="K93" s="1">
        <v>88800.8</v>
      </c>
      <c r="L93" s="1">
        <v>99142.5</v>
      </c>
      <c r="M93" s="1">
        <v>74174.399999999994</v>
      </c>
      <c r="N93" s="1">
        <v>92925.5</v>
      </c>
      <c r="O93" s="1">
        <v>92148.3</v>
      </c>
      <c r="P93" s="1">
        <v>53349</v>
      </c>
      <c r="Q93" s="1">
        <v>83056</v>
      </c>
      <c r="R93" s="1">
        <v>0</v>
      </c>
    </row>
    <row r="94" spans="1:18">
      <c r="A94" s="3">
        <v>45903.833328009256</v>
      </c>
      <c r="B94" s="1">
        <v>617325</v>
      </c>
      <c r="C94" s="1">
        <v>129729</v>
      </c>
      <c r="D94" s="1">
        <v>44257.2</v>
      </c>
      <c r="E94" s="1">
        <v>0</v>
      </c>
      <c r="F94" s="1">
        <v>409795</v>
      </c>
      <c r="G94" s="1">
        <v>68407.100000000006</v>
      </c>
      <c r="H94" s="1">
        <v>373559</v>
      </c>
      <c r="I94" s="1">
        <v>650248</v>
      </c>
      <c r="J94" s="1">
        <v>51240.1</v>
      </c>
      <c r="K94" s="1">
        <v>88804.4</v>
      </c>
      <c r="L94" s="1">
        <v>99173.6</v>
      </c>
      <c r="M94" s="1">
        <v>74214.3</v>
      </c>
      <c r="N94" s="1">
        <v>92981.8</v>
      </c>
      <c r="O94" s="1">
        <v>92176</v>
      </c>
      <c r="P94" s="1">
        <v>53349</v>
      </c>
      <c r="Q94" s="1">
        <v>83056</v>
      </c>
      <c r="R94" s="1">
        <v>0</v>
      </c>
    </row>
    <row r="95" spans="1:18">
      <c r="A95" s="3">
        <v>45903.874994618054</v>
      </c>
      <c r="B95" s="1">
        <v>618153</v>
      </c>
      <c r="C95" s="1">
        <v>129939</v>
      </c>
      <c r="D95" s="1">
        <v>44275</v>
      </c>
      <c r="E95" s="1">
        <v>0</v>
      </c>
      <c r="F95" s="1">
        <v>409819</v>
      </c>
      <c r="G95" s="1">
        <v>68472.399999999994</v>
      </c>
      <c r="H95" s="1">
        <v>373572</v>
      </c>
      <c r="I95" s="1">
        <v>650522</v>
      </c>
      <c r="J95" s="1">
        <v>51246.9</v>
      </c>
      <c r="K95" s="1">
        <v>88807.9</v>
      </c>
      <c r="L95" s="1">
        <v>99201</v>
      </c>
      <c r="M95" s="1">
        <v>74254</v>
      </c>
      <c r="N95" s="1">
        <v>93037.7</v>
      </c>
      <c r="O95" s="1">
        <v>92205.6</v>
      </c>
      <c r="P95" s="1">
        <v>53349</v>
      </c>
      <c r="Q95" s="1">
        <v>83056</v>
      </c>
      <c r="R95" s="1">
        <v>0</v>
      </c>
    </row>
    <row r="96" spans="1:18">
      <c r="A96" s="3">
        <v>45903.916661226853</v>
      </c>
      <c r="B96" s="1">
        <v>618950</v>
      </c>
      <c r="C96" s="1">
        <v>130146</v>
      </c>
      <c r="D96" s="1">
        <v>44291.1</v>
      </c>
      <c r="E96" s="1">
        <v>0</v>
      </c>
      <c r="F96" s="1">
        <v>409842</v>
      </c>
      <c r="G96" s="1">
        <v>68538.5</v>
      </c>
      <c r="H96" s="1">
        <v>373585</v>
      </c>
      <c r="I96" s="1">
        <v>650773</v>
      </c>
      <c r="J96" s="1">
        <v>51254.1</v>
      </c>
      <c r="K96" s="1">
        <v>88811.3</v>
      </c>
      <c r="L96" s="1">
        <v>99232.2</v>
      </c>
      <c r="M96" s="1">
        <v>74295.100000000006</v>
      </c>
      <c r="N96" s="1">
        <v>93092.9</v>
      </c>
      <c r="O96" s="1">
        <v>92233.1</v>
      </c>
      <c r="P96" s="1">
        <v>53349</v>
      </c>
      <c r="Q96" s="1">
        <v>83056</v>
      </c>
      <c r="R96" s="1">
        <v>0</v>
      </c>
    </row>
    <row r="97" spans="1:18">
      <c r="A97" s="3">
        <v>45903.958327835651</v>
      </c>
      <c r="B97" s="1">
        <v>619721</v>
      </c>
      <c r="C97" s="1">
        <v>130347</v>
      </c>
      <c r="D97" s="1">
        <v>44306.400000000001</v>
      </c>
      <c r="E97" s="1">
        <v>0</v>
      </c>
      <c r="F97" s="1">
        <v>409864</v>
      </c>
      <c r="G97" s="1">
        <v>68598.8</v>
      </c>
      <c r="H97" s="1">
        <v>373597</v>
      </c>
      <c r="I97" s="1">
        <v>651013</v>
      </c>
      <c r="J97" s="1">
        <v>51261.1</v>
      </c>
      <c r="K97" s="1">
        <v>88814.8</v>
      </c>
      <c r="L97" s="1">
        <v>99262.3</v>
      </c>
      <c r="M97" s="1">
        <v>74335.899999999994</v>
      </c>
      <c r="N97" s="1">
        <v>93148.9</v>
      </c>
      <c r="O97" s="1">
        <v>92258.9</v>
      </c>
      <c r="P97" s="1">
        <v>53349</v>
      </c>
      <c r="Q97" s="1">
        <v>83056</v>
      </c>
      <c r="R97" s="1">
        <v>0</v>
      </c>
    </row>
    <row r="98" spans="1:18">
      <c r="A98" s="3">
        <v>45903.999994444443</v>
      </c>
      <c r="B98" s="1">
        <v>620466</v>
      </c>
      <c r="C98" s="1">
        <v>130534</v>
      </c>
      <c r="D98" s="1">
        <v>44319.9</v>
      </c>
      <c r="E98" s="1">
        <v>0</v>
      </c>
      <c r="F98" s="1">
        <v>409887</v>
      </c>
      <c r="G98" s="1">
        <v>68658.899999999994</v>
      </c>
      <c r="H98" s="1">
        <v>373610</v>
      </c>
      <c r="I98" s="1">
        <v>651250</v>
      </c>
      <c r="J98" s="1">
        <v>51267.9</v>
      </c>
      <c r="K98" s="1">
        <v>88818.1</v>
      </c>
      <c r="L98" s="1">
        <v>99290.9</v>
      </c>
      <c r="M98" s="1">
        <v>74373.100000000006</v>
      </c>
      <c r="N98" s="1">
        <v>93204.3</v>
      </c>
      <c r="O98" s="1">
        <v>92284</v>
      </c>
      <c r="P98" s="1">
        <v>53349</v>
      </c>
      <c r="Q98" s="1">
        <v>83056</v>
      </c>
      <c r="R98" s="1">
        <v>0</v>
      </c>
    </row>
    <row r="99" spans="1:18">
      <c r="A99" s="3">
        <v>45904.041661053241</v>
      </c>
      <c r="B99" s="1">
        <v>621186</v>
      </c>
      <c r="C99" s="1">
        <v>130714</v>
      </c>
      <c r="D99" s="1">
        <v>44333</v>
      </c>
      <c r="E99" s="1">
        <v>0</v>
      </c>
      <c r="F99" s="1">
        <v>409909</v>
      </c>
      <c r="G99" s="1">
        <v>68719.7</v>
      </c>
      <c r="H99" s="1">
        <v>373622</v>
      </c>
      <c r="I99" s="1">
        <v>651476</v>
      </c>
      <c r="J99" s="1">
        <v>51274.5</v>
      </c>
      <c r="K99" s="1">
        <v>88821.4</v>
      </c>
      <c r="L99" s="1">
        <v>99318.9</v>
      </c>
      <c r="M99" s="1">
        <v>74410.3</v>
      </c>
      <c r="N99" s="1">
        <v>93259.7</v>
      </c>
      <c r="O99" s="1">
        <v>92307.5</v>
      </c>
      <c r="P99" s="1">
        <v>53349</v>
      </c>
      <c r="Q99" s="1">
        <v>83056</v>
      </c>
      <c r="R99" s="1">
        <v>0</v>
      </c>
    </row>
    <row r="100" spans="1:18">
      <c r="A100" s="3">
        <v>45904.08332766204</v>
      </c>
      <c r="B100" s="1">
        <v>621904</v>
      </c>
      <c r="C100" s="1">
        <v>130900</v>
      </c>
      <c r="D100" s="1">
        <v>44346.5</v>
      </c>
      <c r="E100" s="1">
        <v>0</v>
      </c>
      <c r="F100" s="1">
        <v>409930</v>
      </c>
      <c r="G100" s="1">
        <v>68778.100000000006</v>
      </c>
      <c r="H100" s="1">
        <v>373634</v>
      </c>
      <c r="I100" s="1">
        <v>651698</v>
      </c>
      <c r="J100" s="1">
        <v>51280.800000000003</v>
      </c>
      <c r="K100" s="1">
        <v>88824.6</v>
      </c>
      <c r="L100" s="1">
        <v>99345.8</v>
      </c>
      <c r="M100" s="1">
        <v>74447.100000000006</v>
      </c>
      <c r="N100" s="1">
        <v>93314.4</v>
      </c>
      <c r="O100" s="1">
        <v>92333.4</v>
      </c>
      <c r="P100" s="1">
        <v>53349</v>
      </c>
      <c r="Q100" s="1">
        <v>83056</v>
      </c>
      <c r="R100" s="1">
        <v>0</v>
      </c>
    </row>
    <row r="101" spans="1:18">
      <c r="A101" s="3">
        <v>45904.124994270831</v>
      </c>
      <c r="B101" s="1">
        <v>622600</v>
      </c>
      <c r="C101" s="1">
        <v>131077</v>
      </c>
      <c r="D101" s="1">
        <v>44359.6</v>
      </c>
      <c r="E101" s="1">
        <v>0</v>
      </c>
      <c r="F101" s="1">
        <v>409949</v>
      </c>
      <c r="G101" s="1">
        <v>68833.899999999994</v>
      </c>
      <c r="H101" s="1">
        <v>373646</v>
      </c>
      <c r="I101" s="1">
        <v>651914</v>
      </c>
      <c r="J101" s="1">
        <v>51287.3</v>
      </c>
      <c r="K101" s="1">
        <v>88827.9</v>
      </c>
      <c r="L101" s="1">
        <v>99370.9</v>
      </c>
      <c r="M101" s="1">
        <v>74483.7</v>
      </c>
      <c r="N101" s="1">
        <v>93368.8</v>
      </c>
      <c r="O101" s="1">
        <v>92358.7</v>
      </c>
      <c r="P101" s="1">
        <v>53349</v>
      </c>
      <c r="Q101" s="1">
        <v>83056</v>
      </c>
      <c r="R101" s="1">
        <v>0</v>
      </c>
    </row>
    <row r="102" spans="1:18">
      <c r="A102" s="3">
        <v>45904.166666666664</v>
      </c>
      <c r="B102" s="1">
        <v>623296</v>
      </c>
      <c r="C102" s="1">
        <v>131258</v>
      </c>
      <c r="D102" s="1">
        <v>44372.9</v>
      </c>
      <c r="E102" s="1">
        <v>0</v>
      </c>
      <c r="F102" s="1">
        <v>409968</v>
      </c>
      <c r="G102" s="1">
        <v>68888.3</v>
      </c>
      <c r="H102" s="1">
        <v>373658</v>
      </c>
      <c r="I102" s="1">
        <v>652128</v>
      </c>
      <c r="J102" s="1">
        <v>51293.7</v>
      </c>
      <c r="K102" s="1">
        <v>88831.2</v>
      </c>
      <c r="L102" s="1">
        <v>99396.2</v>
      </c>
      <c r="M102" s="1">
        <v>74521.3</v>
      </c>
      <c r="N102" s="1">
        <v>93423.4</v>
      </c>
      <c r="O102" s="1">
        <v>92383.3</v>
      </c>
      <c r="P102" s="1">
        <v>53349</v>
      </c>
      <c r="Q102" s="1">
        <v>83056</v>
      </c>
      <c r="R102" s="1">
        <v>0</v>
      </c>
    </row>
    <row r="103" spans="1:18">
      <c r="A103" s="3">
        <v>45904.208333333336</v>
      </c>
      <c r="B103" s="1">
        <v>623996</v>
      </c>
      <c r="C103" s="1">
        <v>131435</v>
      </c>
      <c r="D103" s="1">
        <v>44387.199999999997</v>
      </c>
      <c r="E103" s="1">
        <v>0</v>
      </c>
      <c r="F103" s="1">
        <v>409987</v>
      </c>
      <c r="G103" s="1">
        <v>68943.8</v>
      </c>
      <c r="H103" s="1">
        <v>373670</v>
      </c>
      <c r="I103" s="1">
        <v>652343</v>
      </c>
      <c r="J103" s="1">
        <v>51299.8</v>
      </c>
      <c r="K103" s="1">
        <v>88834.5</v>
      </c>
      <c r="L103" s="1">
        <v>99422.3</v>
      </c>
      <c r="M103" s="1">
        <v>74560.600000000006</v>
      </c>
      <c r="N103" s="1">
        <v>93478.399999999994</v>
      </c>
      <c r="O103" s="1">
        <v>92408.9</v>
      </c>
      <c r="P103" s="1">
        <v>53349</v>
      </c>
      <c r="Q103" s="1">
        <v>83056</v>
      </c>
      <c r="R103" s="1">
        <v>0</v>
      </c>
    </row>
    <row r="104" spans="1:18">
      <c r="A104" s="3">
        <v>45904.25</v>
      </c>
      <c r="B104" s="1">
        <v>624702</v>
      </c>
      <c r="C104" s="1">
        <v>131614</v>
      </c>
      <c r="D104" s="1">
        <v>44403.3</v>
      </c>
      <c r="E104" s="1">
        <v>0</v>
      </c>
      <c r="F104" s="1">
        <v>410006</v>
      </c>
      <c r="G104" s="1">
        <v>68999</v>
      </c>
      <c r="H104" s="1">
        <v>373682</v>
      </c>
      <c r="I104" s="1">
        <v>652558</v>
      </c>
      <c r="J104" s="1">
        <v>51306</v>
      </c>
      <c r="K104" s="1">
        <v>88837.7</v>
      </c>
      <c r="L104" s="1">
        <v>99451.3</v>
      </c>
      <c r="M104" s="1">
        <v>74597.399999999994</v>
      </c>
      <c r="N104" s="1">
        <v>93533.2</v>
      </c>
      <c r="O104" s="1">
        <v>92436.6</v>
      </c>
      <c r="P104" s="1">
        <v>53349</v>
      </c>
      <c r="Q104" s="1">
        <v>83056</v>
      </c>
      <c r="R104" s="1">
        <v>0</v>
      </c>
    </row>
    <row r="105" spans="1:18">
      <c r="A105" s="3">
        <v>45904.291666666664</v>
      </c>
      <c r="B105" s="1">
        <v>625412</v>
      </c>
      <c r="C105" s="1">
        <v>131795</v>
      </c>
      <c r="D105" s="1">
        <v>44418</v>
      </c>
      <c r="E105" s="1">
        <v>0</v>
      </c>
      <c r="F105" s="1">
        <v>410024</v>
      </c>
      <c r="G105" s="1">
        <v>69053.100000000006</v>
      </c>
      <c r="H105" s="1">
        <v>373695</v>
      </c>
      <c r="I105" s="1">
        <v>652780</v>
      </c>
      <c r="J105" s="1">
        <v>51312.4</v>
      </c>
      <c r="K105" s="1">
        <v>88841</v>
      </c>
      <c r="L105" s="1">
        <v>99476.3</v>
      </c>
      <c r="M105" s="1">
        <v>74633.5</v>
      </c>
      <c r="N105" s="1">
        <v>93587.6</v>
      </c>
      <c r="O105" s="1">
        <v>92463.1</v>
      </c>
      <c r="P105" s="1">
        <v>53350</v>
      </c>
      <c r="Q105" s="1">
        <v>83057</v>
      </c>
      <c r="R105" s="1">
        <v>0</v>
      </c>
    </row>
    <row r="106" spans="1:18">
      <c r="A106" s="3">
        <v>45904.333333333336</v>
      </c>
      <c r="B106" s="1">
        <v>626150</v>
      </c>
      <c r="C106" s="1">
        <v>131983</v>
      </c>
      <c r="D106" s="1">
        <v>44435.3</v>
      </c>
      <c r="E106" s="1">
        <v>0</v>
      </c>
      <c r="F106" s="1">
        <v>410044</v>
      </c>
      <c r="G106" s="1">
        <v>69107.100000000006</v>
      </c>
      <c r="H106" s="1">
        <v>373725</v>
      </c>
      <c r="I106" s="1">
        <v>653003</v>
      </c>
      <c r="J106" s="1">
        <v>51318.9</v>
      </c>
      <c r="K106" s="1">
        <v>88842.7</v>
      </c>
      <c r="L106" s="1">
        <v>99501.5</v>
      </c>
      <c r="M106" s="1">
        <v>74669.7</v>
      </c>
      <c r="N106" s="1">
        <v>93639.7</v>
      </c>
      <c r="O106" s="1">
        <v>92493.3</v>
      </c>
      <c r="P106" s="1">
        <v>53351</v>
      </c>
      <c r="Q106" s="1">
        <v>83059</v>
      </c>
      <c r="R106" s="1">
        <v>0</v>
      </c>
    </row>
    <row r="107" spans="1:18">
      <c r="A107" s="3">
        <v>45904.374999826388</v>
      </c>
      <c r="B107" s="1">
        <v>627038</v>
      </c>
      <c r="C107" s="1">
        <v>132205</v>
      </c>
      <c r="D107" s="1">
        <v>44454.9</v>
      </c>
      <c r="E107" s="1">
        <v>0</v>
      </c>
      <c r="F107" s="1">
        <v>410067</v>
      </c>
      <c r="G107" s="1">
        <v>69158.7</v>
      </c>
      <c r="H107" s="1">
        <v>373782</v>
      </c>
      <c r="I107" s="1">
        <v>653261</v>
      </c>
      <c r="J107" s="1">
        <v>51325.5</v>
      </c>
      <c r="K107" s="1">
        <v>88845.9</v>
      </c>
      <c r="L107" s="1">
        <v>99540.4</v>
      </c>
      <c r="M107" s="1">
        <v>74713.8</v>
      </c>
      <c r="N107" s="1">
        <v>93691.1</v>
      </c>
      <c r="O107" s="1">
        <v>92532.9</v>
      </c>
      <c r="P107" s="1">
        <v>53354</v>
      </c>
      <c r="Q107" s="1">
        <v>83064</v>
      </c>
      <c r="R107" s="1">
        <v>0</v>
      </c>
    </row>
    <row r="108" spans="1:18">
      <c r="A108" s="3">
        <v>45904.416666435187</v>
      </c>
      <c r="B108" s="1">
        <v>628124</v>
      </c>
      <c r="C108" s="1">
        <v>132480</v>
      </c>
      <c r="D108" s="1">
        <v>44482.2</v>
      </c>
      <c r="E108" s="1">
        <v>0</v>
      </c>
      <c r="F108" s="1">
        <v>410096</v>
      </c>
      <c r="G108" s="1">
        <v>69230.899999999994</v>
      </c>
      <c r="H108" s="1">
        <v>373832</v>
      </c>
      <c r="I108" s="1">
        <v>653591</v>
      </c>
      <c r="J108" s="1">
        <v>51332.1</v>
      </c>
      <c r="K108" s="1">
        <v>88848</v>
      </c>
      <c r="L108" s="1">
        <v>99578.7</v>
      </c>
      <c r="M108" s="1">
        <v>74760.100000000006</v>
      </c>
      <c r="N108" s="1">
        <v>93742.7</v>
      </c>
      <c r="O108" s="1">
        <v>92586.1</v>
      </c>
      <c r="P108" s="1">
        <v>53358</v>
      </c>
      <c r="Q108" s="1">
        <v>83071</v>
      </c>
      <c r="R108" s="1">
        <v>0</v>
      </c>
    </row>
    <row r="109" spans="1:18">
      <c r="A109" s="3">
        <v>45904.458333043978</v>
      </c>
      <c r="B109" s="1">
        <v>629343</v>
      </c>
      <c r="C109" s="1">
        <v>132793</v>
      </c>
      <c r="D109" s="1">
        <v>44510.7</v>
      </c>
      <c r="E109" s="1">
        <v>0</v>
      </c>
      <c r="F109" s="1">
        <v>410139</v>
      </c>
      <c r="G109" s="1">
        <v>69308</v>
      </c>
      <c r="H109" s="1">
        <v>373880</v>
      </c>
      <c r="I109" s="1">
        <v>653960</v>
      </c>
      <c r="J109" s="1">
        <v>51342.3</v>
      </c>
      <c r="K109" s="1">
        <v>88850.8</v>
      </c>
      <c r="L109" s="1">
        <v>99619.5</v>
      </c>
      <c r="M109" s="1">
        <v>74810.100000000006</v>
      </c>
      <c r="N109" s="1">
        <v>93793.2</v>
      </c>
      <c r="O109" s="1">
        <v>92661</v>
      </c>
      <c r="P109" s="1">
        <v>53364</v>
      </c>
      <c r="Q109" s="1">
        <v>83080</v>
      </c>
      <c r="R109" s="1">
        <v>0</v>
      </c>
    </row>
    <row r="110" spans="1:18">
      <c r="A110" s="3">
        <v>45904.499999652777</v>
      </c>
      <c r="B110" s="1">
        <v>630643</v>
      </c>
      <c r="C110" s="1">
        <v>133135</v>
      </c>
      <c r="D110" s="1">
        <v>44539.9</v>
      </c>
      <c r="E110" s="1">
        <v>0</v>
      </c>
      <c r="F110" s="1">
        <v>410188</v>
      </c>
      <c r="G110" s="1">
        <v>69390.399999999994</v>
      </c>
      <c r="H110" s="1">
        <v>373935</v>
      </c>
      <c r="I110" s="1">
        <v>654354</v>
      </c>
      <c r="J110" s="1">
        <v>51352.800000000003</v>
      </c>
      <c r="K110" s="1">
        <v>88853</v>
      </c>
      <c r="L110" s="1">
        <v>99661.8</v>
      </c>
      <c r="M110" s="1">
        <v>74860.600000000006</v>
      </c>
      <c r="N110" s="1">
        <v>93841.9</v>
      </c>
      <c r="O110" s="1">
        <v>92732.7</v>
      </c>
      <c r="P110" s="1">
        <v>53371</v>
      </c>
      <c r="Q110" s="1">
        <v>83091</v>
      </c>
      <c r="R110" s="1">
        <v>0</v>
      </c>
    </row>
    <row r="111" spans="1:18">
      <c r="A111" s="3">
        <v>45904.541666261575</v>
      </c>
      <c r="B111" s="1">
        <v>631969</v>
      </c>
      <c r="C111" s="1">
        <v>133472</v>
      </c>
      <c r="D111" s="1">
        <v>44572.5</v>
      </c>
      <c r="E111" s="1">
        <v>0</v>
      </c>
      <c r="F111" s="1">
        <v>410236</v>
      </c>
      <c r="G111" s="1">
        <v>69481.100000000006</v>
      </c>
      <c r="H111" s="1">
        <v>373988</v>
      </c>
      <c r="I111" s="1">
        <v>654768</v>
      </c>
      <c r="J111" s="1">
        <v>51362.5</v>
      </c>
      <c r="K111" s="1">
        <v>88857.2</v>
      </c>
      <c r="L111" s="1">
        <v>99707.5</v>
      </c>
      <c r="M111" s="1">
        <v>74907</v>
      </c>
      <c r="N111" s="1">
        <v>93893</v>
      </c>
      <c r="O111" s="1">
        <v>92802.8</v>
      </c>
      <c r="P111" s="1">
        <v>53376</v>
      </c>
      <c r="Q111" s="1">
        <v>83099</v>
      </c>
      <c r="R111" s="1">
        <v>0</v>
      </c>
    </row>
    <row r="112" spans="1:18">
      <c r="A112" s="3">
        <v>45904.583332870374</v>
      </c>
      <c r="B112" s="1">
        <v>633343</v>
      </c>
      <c r="C112" s="1">
        <v>133811</v>
      </c>
      <c r="D112" s="1">
        <v>44604.9</v>
      </c>
      <c r="E112" s="1">
        <v>0</v>
      </c>
      <c r="F112" s="1">
        <v>410284</v>
      </c>
      <c r="G112" s="1">
        <v>69586.399999999994</v>
      </c>
      <c r="H112" s="1">
        <v>374046</v>
      </c>
      <c r="I112" s="1">
        <v>655182</v>
      </c>
      <c r="J112" s="1">
        <v>51371.7</v>
      </c>
      <c r="K112" s="1">
        <v>88862.7</v>
      </c>
      <c r="L112" s="1">
        <v>99764.1</v>
      </c>
      <c r="M112" s="1">
        <v>74957.600000000006</v>
      </c>
      <c r="N112" s="1">
        <v>93945.4</v>
      </c>
      <c r="O112" s="1">
        <v>92877.9</v>
      </c>
      <c r="P112" s="1">
        <v>53380</v>
      </c>
      <c r="Q112" s="1">
        <v>83104</v>
      </c>
      <c r="R112" s="1">
        <v>0</v>
      </c>
    </row>
    <row r="113" spans="1:18">
      <c r="A113" s="3">
        <v>45904.624999479165</v>
      </c>
      <c r="B113" s="1">
        <v>634724</v>
      </c>
      <c r="C113" s="1">
        <v>134158</v>
      </c>
      <c r="D113" s="1">
        <v>44635.4</v>
      </c>
      <c r="E113" s="1">
        <v>0</v>
      </c>
      <c r="F113" s="1">
        <v>410338</v>
      </c>
      <c r="G113" s="1">
        <v>69699.3</v>
      </c>
      <c r="H113" s="1">
        <v>374104</v>
      </c>
      <c r="I113" s="1">
        <v>655595</v>
      </c>
      <c r="J113" s="1">
        <v>51380</v>
      </c>
      <c r="K113" s="1">
        <v>88871</v>
      </c>
      <c r="L113" s="1">
        <v>99812.7</v>
      </c>
      <c r="M113" s="1">
        <v>75016.800000000003</v>
      </c>
      <c r="N113" s="1">
        <v>94000.7</v>
      </c>
      <c r="O113" s="1">
        <v>92935.2</v>
      </c>
      <c r="P113" s="1">
        <v>53382</v>
      </c>
      <c r="Q113" s="1">
        <v>83108</v>
      </c>
      <c r="R113" s="1">
        <v>0</v>
      </c>
    </row>
    <row r="114" spans="1:18">
      <c r="A114" s="3">
        <v>45904.666666087964</v>
      </c>
      <c r="B114" s="1">
        <v>636019</v>
      </c>
      <c r="C114" s="1">
        <v>134491</v>
      </c>
      <c r="D114" s="1">
        <v>44662.7</v>
      </c>
      <c r="E114" s="1">
        <v>0</v>
      </c>
      <c r="F114" s="1">
        <v>410387</v>
      </c>
      <c r="G114" s="1">
        <v>69803.7</v>
      </c>
      <c r="H114" s="1">
        <v>374161</v>
      </c>
      <c r="I114" s="1">
        <v>656006</v>
      </c>
      <c r="J114" s="1">
        <v>51387.5</v>
      </c>
      <c r="K114" s="1">
        <v>88880.2</v>
      </c>
      <c r="L114" s="1">
        <v>99862.2</v>
      </c>
      <c r="M114" s="1">
        <v>75073.600000000006</v>
      </c>
      <c r="N114" s="1">
        <v>94055.9</v>
      </c>
      <c r="O114" s="1">
        <v>92964.6</v>
      </c>
      <c r="P114" s="1">
        <v>53382</v>
      </c>
      <c r="Q114" s="1">
        <v>83109</v>
      </c>
      <c r="R114" s="1">
        <v>0</v>
      </c>
    </row>
    <row r="115" spans="1:18">
      <c r="A115" s="3">
        <v>45904.708332696762</v>
      </c>
      <c r="B115" s="1">
        <v>637211</v>
      </c>
      <c r="C115" s="1">
        <v>134802</v>
      </c>
      <c r="D115" s="1">
        <v>44687.7</v>
      </c>
      <c r="E115" s="1">
        <v>0</v>
      </c>
      <c r="F115" s="1">
        <v>410433</v>
      </c>
      <c r="G115" s="1">
        <v>69899</v>
      </c>
      <c r="H115" s="1">
        <v>374212</v>
      </c>
      <c r="I115" s="1">
        <v>656395</v>
      </c>
      <c r="J115" s="1">
        <v>51393.8</v>
      </c>
      <c r="K115" s="1">
        <v>88888.2</v>
      </c>
      <c r="L115" s="1">
        <v>99901.7</v>
      </c>
      <c r="M115" s="1">
        <v>75128.899999999994</v>
      </c>
      <c r="N115" s="1">
        <v>94111.3</v>
      </c>
      <c r="O115" s="1">
        <v>92992.5</v>
      </c>
      <c r="P115" s="1">
        <v>53383</v>
      </c>
      <c r="Q115" s="1">
        <v>83109</v>
      </c>
      <c r="R115" s="1">
        <v>0</v>
      </c>
    </row>
    <row r="116" spans="1:18">
      <c r="A116" s="3">
        <v>45904.749999305554</v>
      </c>
      <c r="B116" s="1">
        <v>638273</v>
      </c>
      <c r="C116" s="1">
        <v>135077</v>
      </c>
      <c r="D116" s="1">
        <v>44712.1</v>
      </c>
      <c r="E116" s="1">
        <v>0</v>
      </c>
      <c r="F116" s="1">
        <v>410473</v>
      </c>
      <c r="G116" s="1">
        <v>69983.899999999994</v>
      </c>
      <c r="H116" s="1">
        <v>374246</v>
      </c>
      <c r="I116" s="1">
        <v>656746</v>
      </c>
      <c r="J116" s="1">
        <v>51400.2</v>
      </c>
      <c r="K116" s="1">
        <v>88892.3</v>
      </c>
      <c r="L116" s="1">
        <v>99935.6</v>
      </c>
      <c r="M116" s="1">
        <v>75176.399999999994</v>
      </c>
      <c r="N116" s="1">
        <v>94167.1</v>
      </c>
      <c r="O116" s="1">
        <v>93016.8</v>
      </c>
      <c r="P116" s="1">
        <v>53383</v>
      </c>
      <c r="Q116" s="1">
        <v>83110</v>
      </c>
      <c r="R116" s="1">
        <v>0</v>
      </c>
    </row>
    <row r="117" spans="1:18">
      <c r="A117" s="3">
        <v>45904.791665914352</v>
      </c>
      <c r="B117" s="1">
        <v>639209</v>
      </c>
      <c r="C117" s="1">
        <v>135314</v>
      </c>
      <c r="D117" s="1">
        <v>44735</v>
      </c>
      <c r="E117" s="1">
        <v>0</v>
      </c>
      <c r="F117" s="1">
        <v>410504</v>
      </c>
      <c r="G117" s="1">
        <v>70061.600000000006</v>
      </c>
      <c r="H117" s="1">
        <v>374264</v>
      </c>
      <c r="I117" s="1">
        <v>657063</v>
      </c>
      <c r="J117" s="1">
        <v>51406.1</v>
      </c>
      <c r="K117" s="1">
        <v>88895.2</v>
      </c>
      <c r="L117" s="1">
        <v>99963.7</v>
      </c>
      <c r="M117" s="1">
        <v>75222.100000000006</v>
      </c>
      <c r="N117" s="1">
        <v>94224.2</v>
      </c>
      <c r="O117" s="1">
        <v>93037.7</v>
      </c>
      <c r="P117" s="1">
        <v>53383</v>
      </c>
      <c r="Q117" s="1">
        <v>83110</v>
      </c>
      <c r="R117" s="1">
        <v>0</v>
      </c>
    </row>
    <row r="118" spans="1:18">
      <c r="A118" s="3">
        <v>45904.833332523151</v>
      </c>
      <c r="B118" s="1">
        <v>640057</v>
      </c>
      <c r="C118" s="1">
        <v>135534</v>
      </c>
      <c r="D118" s="1">
        <v>44754.1</v>
      </c>
      <c r="E118" s="1">
        <v>0</v>
      </c>
      <c r="F118" s="1">
        <v>410530</v>
      </c>
      <c r="G118" s="1">
        <v>70130.2</v>
      </c>
      <c r="H118" s="1">
        <v>374277</v>
      </c>
      <c r="I118" s="1">
        <v>657340</v>
      </c>
      <c r="J118" s="1">
        <v>51413.8</v>
      </c>
      <c r="K118" s="1">
        <v>88898.2</v>
      </c>
      <c r="L118" s="5">
        <v>99989.2</v>
      </c>
      <c r="M118" s="1">
        <v>75266.899999999994</v>
      </c>
      <c r="N118" s="1">
        <v>94278.8</v>
      </c>
      <c r="O118" s="1">
        <v>93060.6</v>
      </c>
      <c r="P118" s="1">
        <v>53383</v>
      </c>
      <c r="Q118" s="1">
        <v>83110</v>
      </c>
      <c r="R118" s="1">
        <v>0</v>
      </c>
    </row>
    <row r="119" spans="1:18">
      <c r="A119" s="3">
        <v>45904.874999131942</v>
      </c>
      <c r="B119" s="1">
        <v>640855</v>
      </c>
      <c r="C119" s="1">
        <v>135732</v>
      </c>
      <c r="D119" s="1">
        <v>44777.8</v>
      </c>
      <c r="E119" s="1">
        <v>0</v>
      </c>
      <c r="F119" s="1">
        <v>410555</v>
      </c>
      <c r="G119" s="1">
        <v>70195.7</v>
      </c>
      <c r="H119" s="1">
        <v>374289</v>
      </c>
      <c r="I119" s="1">
        <v>657599</v>
      </c>
      <c r="J119" s="1">
        <v>51421.1</v>
      </c>
      <c r="K119" s="1">
        <v>88901.3</v>
      </c>
      <c r="L119" s="5">
        <v>13.3</v>
      </c>
      <c r="M119" s="1">
        <v>75311.899999999994</v>
      </c>
      <c r="N119" s="1">
        <v>94332.6</v>
      </c>
      <c r="O119" s="1">
        <v>93084.3</v>
      </c>
      <c r="P119" s="1">
        <v>53383</v>
      </c>
      <c r="Q119" s="1">
        <v>83110</v>
      </c>
      <c r="R119" s="1">
        <v>0</v>
      </c>
    </row>
    <row r="120" spans="1:18">
      <c r="A120" s="3">
        <v>45904.91666574074</v>
      </c>
      <c r="B120" s="1">
        <v>641620</v>
      </c>
      <c r="C120" s="1">
        <v>135917</v>
      </c>
      <c r="D120" s="1">
        <v>44797.7</v>
      </c>
      <c r="E120" s="1">
        <v>0</v>
      </c>
      <c r="F120" s="1">
        <v>410578</v>
      </c>
      <c r="G120" s="1">
        <v>70260.600000000006</v>
      </c>
      <c r="H120" s="1">
        <v>374301</v>
      </c>
      <c r="I120" s="1">
        <v>657849</v>
      </c>
      <c r="J120" s="1">
        <v>51427.3</v>
      </c>
      <c r="K120" s="1">
        <v>88904.8</v>
      </c>
      <c r="L120" s="1">
        <v>36.299999999999997</v>
      </c>
      <c r="M120" s="1">
        <v>75356.600000000006</v>
      </c>
      <c r="N120" s="1">
        <v>94387.6</v>
      </c>
      <c r="O120" s="1">
        <v>93106.6</v>
      </c>
      <c r="P120" s="1">
        <v>53383</v>
      </c>
      <c r="Q120" s="1">
        <v>83110</v>
      </c>
      <c r="R120" s="1">
        <v>0</v>
      </c>
    </row>
    <row r="121" spans="1:18">
      <c r="A121" s="3">
        <v>45904.958332349539</v>
      </c>
      <c r="B121" s="1">
        <v>642344</v>
      </c>
      <c r="C121" s="1">
        <v>136091</v>
      </c>
      <c r="D121" s="1">
        <v>44813.599999999999</v>
      </c>
      <c r="E121" s="1">
        <v>0</v>
      </c>
      <c r="F121" s="1">
        <v>410601</v>
      </c>
      <c r="G121" s="1">
        <v>70322.3</v>
      </c>
      <c r="H121" s="1">
        <v>374313</v>
      </c>
      <c r="I121" s="1">
        <v>658082</v>
      </c>
      <c r="J121" s="1">
        <v>51433.4</v>
      </c>
      <c r="K121" s="1">
        <v>88907.8</v>
      </c>
      <c r="L121" s="1">
        <v>57.8</v>
      </c>
      <c r="M121" s="1">
        <v>75401.3</v>
      </c>
      <c r="N121" s="1">
        <v>94441.9</v>
      </c>
      <c r="O121" s="1">
        <v>93127.7</v>
      </c>
      <c r="P121" s="1">
        <v>53383</v>
      </c>
      <c r="Q121" s="1">
        <v>83110</v>
      </c>
      <c r="R121" s="1">
        <v>0</v>
      </c>
    </row>
    <row r="122" spans="1:18">
      <c r="A122" s="3">
        <v>45904.99999895833</v>
      </c>
      <c r="B122" s="1">
        <v>643054</v>
      </c>
      <c r="C122" s="1">
        <v>136263</v>
      </c>
      <c r="D122" s="1">
        <v>44828.2</v>
      </c>
      <c r="E122" s="1">
        <v>0</v>
      </c>
      <c r="F122" s="1">
        <v>410625</v>
      </c>
      <c r="G122" s="1">
        <v>70380.3</v>
      </c>
      <c r="H122" s="1">
        <v>374325</v>
      </c>
      <c r="I122" s="1">
        <v>658310</v>
      </c>
      <c r="J122" s="1">
        <v>51439.3</v>
      </c>
      <c r="K122" s="1">
        <v>88910.9</v>
      </c>
      <c r="L122" s="1">
        <v>80.2</v>
      </c>
      <c r="M122" s="1">
        <v>75446.100000000006</v>
      </c>
      <c r="N122" s="1">
        <v>94495.5</v>
      </c>
      <c r="O122" s="1">
        <v>93148.3</v>
      </c>
      <c r="P122" s="1">
        <v>53383</v>
      </c>
      <c r="Q122" s="1">
        <v>83110</v>
      </c>
      <c r="R122" s="1">
        <v>0</v>
      </c>
    </row>
    <row r="123" spans="1:18">
      <c r="A123" s="3">
        <v>45905.041665567129</v>
      </c>
      <c r="B123" s="1">
        <v>643751</v>
      </c>
      <c r="C123" s="1">
        <v>136433</v>
      </c>
      <c r="D123" s="1">
        <v>44842.5</v>
      </c>
      <c r="E123" s="1">
        <v>0</v>
      </c>
      <c r="F123" s="1">
        <v>410647</v>
      </c>
      <c r="G123" s="1">
        <v>70436.2</v>
      </c>
      <c r="H123" s="1">
        <v>374337</v>
      </c>
      <c r="I123" s="1">
        <v>658534</v>
      </c>
      <c r="J123" s="1">
        <v>51445.2</v>
      </c>
      <c r="K123" s="1">
        <v>88913.9</v>
      </c>
      <c r="L123" s="1">
        <v>102</v>
      </c>
      <c r="M123" s="1">
        <v>75490.100000000006</v>
      </c>
      <c r="N123" s="1">
        <v>94549</v>
      </c>
      <c r="O123" s="1">
        <v>93167.2</v>
      </c>
      <c r="P123" s="1">
        <v>53383</v>
      </c>
      <c r="Q123" s="1">
        <v>83110</v>
      </c>
      <c r="R123" s="1">
        <v>0</v>
      </c>
    </row>
    <row r="124" spans="1:18">
      <c r="A124" s="3">
        <v>45905.083332175927</v>
      </c>
      <c r="B124" s="1">
        <v>644438</v>
      </c>
      <c r="C124" s="1">
        <v>136600</v>
      </c>
      <c r="D124" s="1">
        <v>44856.9</v>
      </c>
      <c r="E124" s="1">
        <v>0</v>
      </c>
      <c r="F124" s="1">
        <v>410669</v>
      </c>
      <c r="G124" s="1">
        <v>70492.399999999994</v>
      </c>
      <c r="H124" s="1">
        <v>374348</v>
      </c>
      <c r="I124" s="1">
        <v>658750</v>
      </c>
      <c r="J124" s="1">
        <v>51451.1</v>
      </c>
      <c r="K124" s="1">
        <v>88916.9</v>
      </c>
      <c r="L124" s="1">
        <v>123.5</v>
      </c>
      <c r="M124" s="1">
        <v>75534.399999999994</v>
      </c>
      <c r="N124" s="1">
        <v>94602.7</v>
      </c>
      <c r="O124" s="1">
        <v>93187.8</v>
      </c>
      <c r="P124" s="1">
        <v>53383</v>
      </c>
      <c r="Q124" s="1">
        <v>83110</v>
      </c>
      <c r="R124" s="1">
        <v>0</v>
      </c>
    </row>
    <row r="125" spans="1:18">
      <c r="A125" s="3">
        <v>45905.124998784719</v>
      </c>
      <c r="B125" s="1">
        <v>645113</v>
      </c>
      <c r="C125" s="1">
        <v>136765</v>
      </c>
      <c r="D125" s="1">
        <v>44871</v>
      </c>
      <c r="E125" s="1">
        <v>0</v>
      </c>
      <c r="F125" s="1">
        <v>410689</v>
      </c>
      <c r="G125" s="1">
        <v>70547.3</v>
      </c>
      <c r="H125" s="1">
        <v>374360</v>
      </c>
      <c r="I125" s="1">
        <v>658958</v>
      </c>
      <c r="J125" s="1">
        <v>51456.800000000003</v>
      </c>
      <c r="K125" s="1">
        <v>88920</v>
      </c>
      <c r="L125" s="1">
        <v>146</v>
      </c>
      <c r="M125" s="1">
        <v>75579.7</v>
      </c>
      <c r="N125" s="1">
        <v>94656.2</v>
      </c>
      <c r="O125" s="1">
        <v>93208.1</v>
      </c>
      <c r="P125" s="1">
        <v>53383</v>
      </c>
      <c r="Q125" s="1">
        <v>83110</v>
      </c>
      <c r="R125" s="1">
        <v>0</v>
      </c>
    </row>
    <row r="126" spans="1:18">
      <c r="A126" s="3">
        <v>45905.166665393517</v>
      </c>
      <c r="B126" s="1">
        <v>645785</v>
      </c>
      <c r="C126" s="1">
        <v>136929</v>
      </c>
      <c r="D126" s="1">
        <v>44885.9</v>
      </c>
      <c r="E126" s="1">
        <v>0</v>
      </c>
      <c r="F126" s="1">
        <v>410708</v>
      </c>
      <c r="G126" s="1">
        <v>70600.7</v>
      </c>
      <c r="H126" s="1">
        <v>374373</v>
      </c>
      <c r="I126" s="1">
        <v>659167</v>
      </c>
      <c r="J126" s="1">
        <v>51462.7</v>
      </c>
      <c r="K126" s="1">
        <v>88923</v>
      </c>
      <c r="L126" s="1">
        <v>167.8</v>
      </c>
      <c r="M126" s="1">
        <v>75624.3</v>
      </c>
      <c r="N126" s="1">
        <v>94710.3</v>
      </c>
      <c r="O126" s="1">
        <v>93227.9</v>
      </c>
      <c r="P126" s="1">
        <v>53383</v>
      </c>
      <c r="Q126" s="1">
        <v>83110</v>
      </c>
      <c r="R126" s="1">
        <v>0</v>
      </c>
    </row>
    <row r="127" spans="1:18">
      <c r="A127" s="3">
        <v>45905.208332002316</v>
      </c>
      <c r="B127" s="1">
        <v>646444</v>
      </c>
      <c r="C127" s="1">
        <v>137089</v>
      </c>
      <c r="D127" s="1">
        <v>44902.3</v>
      </c>
      <c r="E127" s="1">
        <v>0</v>
      </c>
      <c r="F127" s="1">
        <v>410726</v>
      </c>
      <c r="G127" s="1">
        <v>70652.800000000003</v>
      </c>
      <c r="H127" s="1">
        <v>374385</v>
      </c>
      <c r="I127" s="1">
        <v>659370</v>
      </c>
      <c r="J127" s="1">
        <v>51468.3</v>
      </c>
      <c r="K127" s="1">
        <v>88926</v>
      </c>
      <c r="L127" s="1">
        <v>188.3</v>
      </c>
      <c r="M127" s="1">
        <v>75667.600000000006</v>
      </c>
      <c r="N127" s="1">
        <v>94764.5</v>
      </c>
      <c r="O127" s="1">
        <v>93248.4</v>
      </c>
      <c r="P127" s="1">
        <v>53383</v>
      </c>
      <c r="Q127" s="1">
        <v>83110</v>
      </c>
      <c r="R127" s="1">
        <v>0</v>
      </c>
    </row>
    <row r="128" spans="1:18">
      <c r="A128" s="3">
        <v>45905.249998611114</v>
      </c>
      <c r="B128" s="1">
        <v>647107</v>
      </c>
      <c r="C128" s="1">
        <v>137256</v>
      </c>
      <c r="D128" s="1">
        <v>44917.7</v>
      </c>
      <c r="E128" s="1">
        <v>0</v>
      </c>
      <c r="F128" s="1">
        <v>410745</v>
      </c>
      <c r="G128" s="1">
        <v>70705.7</v>
      </c>
      <c r="H128" s="1">
        <v>374397</v>
      </c>
      <c r="I128" s="1">
        <v>659570</v>
      </c>
      <c r="J128" s="1">
        <v>51473.9</v>
      </c>
      <c r="K128" s="1">
        <v>88929</v>
      </c>
      <c r="L128" s="1">
        <v>208.2</v>
      </c>
      <c r="M128" s="1">
        <v>75709.100000000006</v>
      </c>
      <c r="N128" s="1">
        <v>94818.2</v>
      </c>
      <c r="O128" s="1">
        <v>93271.5</v>
      </c>
      <c r="P128" s="1">
        <v>53383</v>
      </c>
      <c r="Q128" s="1">
        <v>83110</v>
      </c>
      <c r="R128" s="1">
        <v>0</v>
      </c>
    </row>
    <row r="129" spans="1:18">
      <c r="A129" s="3">
        <v>45905.291665219906</v>
      </c>
      <c r="B129" s="1">
        <v>647780</v>
      </c>
      <c r="C129" s="1">
        <v>137430</v>
      </c>
      <c r="D129" s="1">
        <v>44933</v>
      </c>
      <c r="E129" s="1">
        <v>0</v>
      </c>
      <c r="F129" s="1">
        <v>410764</v>
      </c>
      <c r="G129" s="1">
        <v>70760.7</v>
      </c>
      <c r="H129" s="1">
        <v>374409</v>
      </c>
      <c r="I129" s="1">
        <v>659774</v>
      </c>
      <c r="J129" s="1">
        <v>51479.8</v>
      </c>
      <c r="K129" s="1">
        <v>88931.6</v>
      </c>
      <c r="L129" s="1">
        <v>227.6</v>
      </c>
      <c r="M129" s="1">
        <v>75750.8</v>
      </c>
      <c r="N129" s="1">
        <v>94871.7</v>
      </c>
      <c r="O129" s="1">
        <v>93293.4</v>
      </c>
      <c r="P129" s="1">
        <v>53383</v>
      </c>
      <c r="Q129" s="1">
        <v>83110</v>
      </c>
      <c r="R129" s="1">
        <v>0</v>
      </c>
    </row>
    <row r="130" spans="1:18">
      <c r="A130" s="3">
        <v>45905.333331828704</v>
      </c>
      <c r="B130" s="1">
        <v>648479</v>
      </c>
      <c r="C130" s="1">
        <v>137607</v>
      </c>
      <c r="D130" s="1">
        <v>44947.199999999997</v>
      </c>
      <c r="E130" s="1">
        <v>0</v>
      </c>
      <c r="F130" s="1">
        <v>410783</v>
      </c>
      <c r="G130" s="1">
        <v>70814.5</v>
      </c>
      <c r="H130" s="1">
        <v>374421</v>
      </c>
      <c r="I130" s="1">
        <v>659995</v>
      </c>
      <c r="J130" s="1">
        <v>51485.7</v>
      </c>
      <c r="K130" s="1">
        <v>88932.7</v>
      </c>
      <c r="L130" s="1">
        <v>247.6</v>
      </c>
      <c r="M130" s="1">
        <v>75792.899999999994</v>
      </c>
      <c r="N130" s="1">
        <v>94923.199999999997</v>
      </c>
      <c r="O130" s="1">
        <v>93321</v>
      </c>
      <c r="P130" s="1">
        <v>53384</v>
      </c>
      <c r="Q130" s="1">
        <v>83112</v>
      </c>
      <c r="R130" s="1">
        <v>0</v>
      </c>
    </row>
    <row r="131" spans="1:18">
      <c r="A131" s="3">
        <v>45905.374998437503</v>
      </c>
      <c r="B131" s="1">
        <v>649288</v>
      </c>
      <c r="C131" s="1">
        <v>137805</v>
      </c>
      <c r="D131" s="1">
        <v>44966.5</v>
      </c>
      <c r="E131" s="1">
        <v>0</v>
      </c>
      <c r="F131" s="1">
        <v>410808</v>
      </c>
      <c r="G131" s="1">
        <v>70865.3</v>
      </c>
      <c r="H131" s="1">
        <v>374433</v>
      </c>
      <c r="I131" s="1">
        <v>660253</v>
      </c>
      <c r="J131" s="1">
        <v>51492.1</v>
      </c>
      <c r="K131" s="1">
        <v>88934</v>
      </c>
      <c r="L131" s="1">
        <v>279.7</v>
      </c>
      <c r="M131" s="1">
        <v>75842.399999999994</v>
      </c>
      <c r="N131" s="1">
        <v>94972.7</v>
      </c>
      <c r="O131" s="1">
        <v>93358.399999999994</v>
      </c>
      <c r="P131" s="1">
        <v>53390</v>
      </c>
      <c r="Q131" s="1">
        <v>83121</v>
      </c>
      <c r="R131" s="1">
        <v>0</v>
      </c>
    </row>
    <row r="132" spans="1:18">
      <c r="A132" s="3">
        <v>45905.416665046294</v>
      </c>
      <c r="B132" s="1">
        <v>650298</v>
      </c>
      <c r="C132" s="1">
        <v>138073</v>
      </c>
      <c r="D132" s="1">
        <v>44992.5</v>
      </c>
      <c r="E132" s="1">
        <v>0</v>
      </c>
      <c r="F132" s="1">
        <v>410837</v>
      </c>
      <c r="G132" s="1">
        <v>70929.399999999994</v>
      </c>
      <c r="H132" s="1">
        <v>374445</v>
      </c>
      <c r="I132" s="1">
        <v>660583</v>
      </c>
      <c r="J132" s="1">
        <v>51498.9</v>
      </c>
      <c r="K132" s="1">
        <v>88935.6</v>
      </c>
      <c r="L132" s="1">
        <v>312.3</v>
      </c>
      <c r="M132" s="1">
        <v>75895.100000000006</v>
      </c>
      <c r="N132" s="1">
        <v>95022.5</v>
      </c>
      <c r="O132" s="1">
        <v>93409.9</v>
      </c>
      <c r="P132" s="1">
        <v>53397</v>
      </c>
      <c r="Q132" s="1">
        <v>83132</v>
      </c>
      <c r="R132" s="1">
        <v>0</v>
      </c>
    </row>
    <row r="133" spans="1:18">
      <c r="A133" s="3">
        <v>45905.458331655092</v>
      </c>
      <c r="B133" s="1">
        <v>651435</v>
      </c>
      <c r="C133" s="1">
        <v>138364</v>
      </c>
      <c r="D133" s="1">
        <v>45018.1</v>
      </c>
      <c r="E133" s="1">
        <v>0</v>
      </c>
      <c r="F133" s="1">
        <v>410876</v>
      </c>
      <c r="G133" s="1">
        <v>71016</v>
      </c>
      <c r="H133" s="1">
        <v>374458</v>
      </c>
      <c r="I133" s="1">
        <v>660959</v>
      </c>
      <c r="J133" s="1">
        <v>51506.7</v>
      </c>
      <c r="K133" s="1">
        <v>88939.7</v>
      </c>
      <c r="L133" s="1">
        <v>342.1</v>
      </c>
      <c r="M133" s="1">
        <v>75946</v>
      </c>
      <c r="N133" s="1">
        <v>95075.1</v>
      </c>
      <c r="O133" s="1">
        <v>93484.800000000003</v>
      </c>
      <c r="P133" s="1">
        <v>53403</v>
      </c>
      <c r="Q133" s="1">
        <v>83142</v>
      </c>
      <c r="R133" s="1">
        <v>0</v>
      </c>
    </row>
    <row r="134" spans="1:18">
      <c r="A134" s="3">
        <v>45905.499998263891</v>
      </c>
      <c r="B134" s="1">
        <v>652660</v>
      </c>
      <c r="C134" s="1">
        <v>138694</v>
      </c>
      <c r="D134" s="1">
        <v>45045.1</v>
      </c>
      <c r="E134" s="1">
        <v>0</v>
      </c>
      <c r="F134" s="1">
        <v>410918</v>
      </c>
      <c r="G134" s="1">
        <v>71092</v>
      </c>
      <c r="H134" s="1">
        <v>374470</v>
      </c>
      <c r="I134" s="1">
        <v>661389</v>
      </c>
      <c r="J134" s="1">
        <v>51514.6</v>
      </c>
      <c r="K134" s="1">
        <v>88940.1</v>
      </c>
      <c r="L134" s="1">
        <v>373.7</v>
      </c>
      <c r="M134" s="1">
        <v>76003</v>
      </c>
      <c r="N134" s="1">
        <v>95122.3</v>
      </c>
      <c r="O134" s="1">
        <v>93552</v>
      </c>
      <c r="P134" s="1">
        <v>53419</v>
      </c>
      <c r="Q134" s="1">
        <v>83165</v>
      </c>
      <c r="R134" s="1">
        <v>0</v>
      </c>
    </row>
    <row r="135" spans="1:18">
      <c r="A135" s="3">
        <v>45905.541664872682</v>
      </c>
      <c r="B135" s="1">
        <v>653954</v>
      </c>
      <c r="C135" s="1">
        <v>139027</v>
      </c>
      <c r="D135" s="1">
        <v>45087.4</v>
      </c>
      <c r="E135" s="1">
        <v>0</v>
      </c>
      <c r="F135" s="1">
        <v>410965</v>
      </c>
      <c r="G135" s="1">
        <v>71187.3</v>
      </c>
      <c r="H135" s="1">
        <v>374483</v>
      </c>
      <c r="I135" s="1">
        <v>661832</v>
      </c>
      <c r="J135" s="1">
        <v>51521.2</v>
      </c>
      <c r="K135" s="1">
        <v>88941.1</v>
      </c>
      <c r="L135" s="1">
        <v>416</v>
      </c>
      <c r="M135" s="1">
        <v>76066.7</v>
      </c>
      <c r="N135" s="1">
        <v>95169.9</v>
      </c>
      <c r="O135" s="1">
        <v>93622.8</v>
      </c>
      <c r="P135" s="1">
        <v>53432</v>
      </c>
      <c r="Q135" s="1">
        <v>83185</v>
      </c>
      <c r="R135" s="1">
        <v>0</v>
      </c>
    </row>
    <row r="136" spans="1:18">
      <c r="A136" s="3">
        <v>45905.583331481481</v>
      </c>
      <c r="B136" s="1">
        <v>655349</v>
      </c>
      <c r="C136" s="1">
        <v>139373</v>
      </c>
      <c r="D136" s="1">
        <v>45128.5</v>
      </c>
      <c r="E136" s="1">
        <v>0</v>
      </c>
      <c r="F136" s="1">
        <v>411020</v>
      </c>
      <c r="G136" s="1">
        <v>71281.8</v>
      </c>
      <c r="H136" s="1">
        <v>374520</v>
      </c>
      <c r="I136" s="1">
        <v>662290</v>
      </c>
      <c r="J136" s="1">
        <v>51526.7</v>
      </c>
      <c r="K136" s="1">
        <v>88942.7</v>
      </c>
      <c r="L136" s="1">
        <v>469.7</v>
      </c>
      <c r="M136" s="1">
        <v>76135.7</v>
      </c>
      <c r="N136" s="1">
        <v>95223</v>
      </c>
      <c r="O136" s="1">
        <v>93699.5</v>
      </c>
      <c r="P136" s="1">
        <v>53445</v>
      </c>
      <c r="Q136" s="1">
        <v>83205</v>
      </c>
      <c r="R136" s="1">
        <v>0</v>
      </c>
    </row>
    <row r="137" spans="1:18">
      <c r="A137" s="3">
        <v>45905.624998090279</v>
      </c>
      <c r="B137" s="1">
        <v>656707</v>
      </c>
      <c r="C137" s="1">
        <v>139720</v>
      </c>
      <c r="D137" s="1">
        <v>45167.6</v>
      </c>
      <c r="E137" s="1">
        <v>0</v>
      </c>
      <c r="F137" s="1">
        <v>411073</v>
      </c>
      <c r="G137" s="1">
        <v>71378.399999999994</v>
      </c>
      <c r="H137" s="1">
        <v>374554</v>
      </c>
      <c r="I137" s="1">
        <v>662747</v>
      </c>
      <c r="J137" s="1">
        <v>51532.9</v>
      </c>
      <c r="K137" s="1">
        <v>88944.6</v>
      </c>
      <c r="L137" s="1">
        <v>527.29999999999995</v>
      </c>
      <c r="M137" s="1">
        <v>76195.199999999997</v>
      </c>
      <c r="N137" s="1">
        <v>95269.6</v>
      </c>
      <c r="O137" s="1">
        <v>93758.8</v>
      </c>
      <c r="P137" s="1">
        <v>53456</v>
      </c>
      <c r="Q137" s="1">
        <v>83221</v>
      </c>
      <c r="R137" s="1">
        <v>0</v>
      </c>
    </row>
    <row r="138" spans="1:18">
      <c r="A138" s="3">
        <v>45905.666664699071</v>
      </c>
      <c r="B138" s="1">
        <v>658001</v>
      </c>
      <c r="C138" s="1">
        <v>140075</v>
      </c>
      <c r="D138" s="1">
        <v>45204.1</v>
      </c>
      <c r="E138" s="1">
        <v>0</v>
      </c>
      <c r="F138" s="1">
        <v>411124</v>
      </c>
      <c r="G138" s="1">
        <v>71473.3</v>
      </c>
      <c r="H138" s="1">
        <v>374568</v>
      </c>
      <c r="I138" s="1">
        <v>663195</v>
      </c>
      <c r="J138" s="1">
        <v>51539.9</v>
      </c>
      <c r="K138" s="1">
        <v>88945.2</v>
      </c>
      <c r="L138" s="1">
        <v>584.29999999999995</v>
      </c>
      <c r="M138" s="1">
        <v>76254.8</v>
      </c>
      <c r="N138" s="1">
        <v>95316.9</v>
      </c>
      <c r="O138" s="1">
        <v>93786.7</v>
      </c>
      <c r="P138" s="1">
        <v>53468</v>
      </c>
      <c r="Q138" s="1">
        <v>83239</v>
      </c>
      <c r="R138" s="1">
        <v>0</v>
      </c>
    </row>
    <row r="139" spans="1:18">
      <c r="A139" s="3">
        <v>45905.708331307869</v>
      </c>
      <c r="B139" s="1">
        <v>659242</v>
      </c>
      <c r="C139" s="1">
        <v>140408</v>
      </c>
      <c r="D139" s="1">
        <v>45236.7</v>
      </c>
      <c r="E139" s="1">
        <v>0</v>
      </c>
      <c r="F139" s="1">
        <v>411171</v>
      </c>
      <c r="G139" s="1">
        <v>71579.899999999994</v>
      </c>
      <c r="H139" s="1">
        <v>374586</v>
      </c>
      <c r="I139" s="1">
        <v>663620</v>
      </c>
      <c r="J139" s="1">
        <v>51545.5</v>
      </c>
      <c r="K139" s="1">
        <v>88949.4</v>
      </c>
      <c r="L139" s="1">
        <v>631.5</v>
      </c>
      <c r="M139" s="1">
        <v>76308.5</v>
      </c>
      <c r="N139" s="1">
        <v>95368.6</v>
      </c>
      <c r="O139" s="1">
        <v>93813.2</v>
      </c>
      <c r="P139" s="1">
        <v>53474</v>
      </c>
      <c r="Q139" s="1">
        <v>83248</v>
      </c>
      <c r="R139" s="1">
        <v>0</v>
      </c>
    </row>
    <row r="140" spans="1:18">
      <c r="A140" s="3">
        <v>45905.749997916668</v>
      </c>
      <c r="B140" s="1">
        <v>660381</v>
      </c>
      <c r="C140" s="1">
        <v>140723</v>
      </c>
      <c r="D140" s="1">
        <v>45262.5</v>
      </c>
      <c r="E140" s="1">
        <v>0</v>
      </c>
      <c r="F140" s="1">
        <v>411211</v>
      </c>
      <c r="G140" s="1">
        <v>71667.399999999994</v>
      </c>
      <c r="H140" s="1">
        <v>374600</v>
      </c>
      <c r="I140" s="1">
        <v>664022</v>
      </c>
      <c r="J140" s="1">
        <v>51550.9</v>
      </c>
      <c r="K140" s="1">
        <v>88951.3</v>
      </c>
      <c r="L140" s="1">
        <v>667.6</v>
      </c>
      <c r="M140" s="1">
        <v>76360.3</v>
      </c>
      <c r="N140" s="1">
        <v>95420.800000000003</v>
      </c>
      <c r="O140" s="1">
        <v>93838.6</v>
      </c>
      <c r="P140" s="1">
        <v>53479</v>
      </c>
      <c r="Q140" s="1">
        <v>83256</v>
      </c>
      <c r="R140" s="1">
        <v>0</v>
      </c>
    </row>
    <row r="141" spans="1:18">
      <c r="A141" s="3">
        <v>45905.791664525466</v>
      </c>
      <c r="B141" s="1">
        <v>661383</v>
      </c>
      <c r="C141" s="1">
        <v>140993</v>
      </c>
      <c r="D141" s="1">
        <v>45283</v>
      </c>
      <c r="E141" s="1">
        <v>0</v>
      </c>
      <c r="F141" s="1">
        <v>411244</v>
      </c>
      <c r="G141" s="1">
        <v>71749</v>
      </c>
      <c r="H141" s="1">
        <v>374612</v>
      </c>
      <c r="I141" s="1">
        <v>664373</v>
      </c>
      <c r="J141" s="1">
        <v>51555.4</v>
      </c>
      <c r="K141" s="1">
        <v>88954.8</v>
      </c>
      <c r="L141" s="1">
        <v>695.9</v>
      </c>
      <c r="M141" s="1">
        <v>76409.399999999994</v>
      </c>
      <c r="N141" s="1">
        <v>95476.5</v>
      </c>
      <c r="O141" s="1">
        <v>93859.9</v>
      </c>
      <c r="P141" s="1">
        <v>53479</v>
      </c>
      <c r="Q141" s="1">
        <v>83256</v>
      </c>
      <c r="R141" s="1">
        <v>0</v>
      </c>
    </row>
    <row r="142" spans="1:18">
      <c r="A142" s="3">
        <v>45905.833331134258</v>
      </c>
      <c r="B142" s="1">
        <v>662279</v>
      </c>
      <c r="C142" s="1">
        <v>141217</v>
      </c>
      <c r="D142" s="1">
        <v>45301.9</v>
      </c>
      <c r="E142" s="1">
        <v>0</v>
      </c>
      <c r="F142" s="1">
        <v>411274</v>
      </c>
      <c r="G142" s="1">
        <v>71825</v>
      </c>
      <c r="H142" s="1">
        <v>374624</v>
      </c>
      <c r="I142" s="1">
        <v>664686</v>
      </c>
      <c r="J142" s="1">
        <v>51560.2</v>
      </c>
      <c r="K142" s="1">
        <v>88958.2</v>
      </c>
      <c r="L142" s="1">
        <v>720.8</v>
      </c>
      <c r="M142" s="1">
        <v>76456.800000000003</v>
      </c>
      <c r="N142" s="1">
        <v>95532.2</v>
      </c>
      <c r="O142" s="1">
        <v>93883.4</v>
      </c>
      <c r="P142" s="1">
        <v>53479</v>
      </c>
      <c r="Q142" s="1">
        <v>83256</v>
      </c>
      <c r="R142" s="1">
        <v>0</v>
      </c>
    </row>
    <row r="143" spans="1:18">
      <c r="A143" s="3">
        <v>45905.874997743056</v>
      </c>
      <c r="B143" s="1">
        <v>663104</v>
      </c>
      <c r="C143" s="1">
        <v>141418</v>
      </c>
      <c r="D143" s="1">
        <v>45320.3</v>
      </c>
      <c r="E143" s="1">
        <v>0</v>
      </c>
      <c r="F143" s="1">
        <v>411299</v>
      </c>
      <c r="G143" s="1">
        <v>71891</v>
      </c>
      <c r="H143" s="1">
        <v>374637</v>
      </c>
      <c r="I143" s="1">
        <v>664972</v>
      </c>
      <c r="J143" s="1">
        <v>51565</v>
      </c>
      <c r="K143" s="1">
        <v>88961.5</v>
      </c>
      <c r="L143" s="1">
        <v>745.2</v>
      </c>
      <c r="M143" s="1">
        <v>76502.100000000006</v>
      </c>
      <c r="N143" s="1">
        <v>95586</v>
      </c>
      <c r="O143" s="1">
        <v>93908.4</v>
      </c>
      <c r="P143" s="1">
        <v>53479</v>
      </c>
      <c r="Q143" s="1">
        <v>83256</v>
      </c>
      <c r="R143" s="1">
        <v>0</v>
      </c>
    </row>
    <row r="144" spans="1:18">
      <c r="A144" s="3">
        <v>45905.916664351855</v>
      </c>
      <c r="B144" s="1">
        <v>663896</v>
      </c>
      <c r="C144" s="1">
        <v>141609</v>
      </c>
      <c r="D144" s="1">
        <v>45337.7</v>
      </c>
      <c r="E144" s="1">
        <v>0</v>
      </c>
      <c r="F144" s="1">
        <v>411322</v>
      </c>
      <c r="G144" s="1">
        <v>71952.399999999994</v>
      </c>
      <c r="H144" s="1">
        <v>374649</v>
      </c>
      <c r="I144" s="1">
        <v>665249</v>
      </c>
      <c r="J144" s="1">
        <v>51569.1</v>
      </c>
      <c r="K144" s="1">
        <v>88964.7</v>
      </c>
      <c r="L144" s="1">
        <v>768.1</v>
      </c>
      <c r="M144" s="1">
        <v>76544.2</v>
      </c>
      <c r="N144" s="1">
        <v>95640.5</v>
      </c>
      <c r="O144" s="1">
        <v>93933.1</v>
      </c>
      <c r="P144" s="1">
        <v>53479</v>
      </c>
      <c r="Q144" s="1">
        <v>83256</v>
      </c>
      <c r="R144" s="1">
        <v>0</v>
      </c>
    </row>
    <row r="145" spans="1:18">
      <c r="A145" s="3">
        <v>45905.958330960646</v>
      </c>
      <c r="B145" s="1">
        <v>664659</v>
      </c>
      <c r="C145" s="1">
        <v>141798</v>
      </c>
      <c r="D145" s="1">
        <v>45353.8</v>
      </c>
      <c r="E145" s="1">
        <v>0</v>
      </c>
      <c r="F145" s="1">
        <v>411346</v>
      </c>
      <c r="G145" s="1">
        <v>72011</v>
      </c>
      <c r="H145" s="1">
        <v>374661</v>
      </c>
      <c r="I145" s="1">
        <v>665510</v>
      </c>
      <c r="J145" s="1">
        <v>51573.1</v>
      </c>
      <c r="K145" s="1">
        <v>88967.8</v>
      </c>
      <c r="L145" s="1">
        <v>791.4</v>
      </c>
      <c r="M145" s="1">
        <v>76583.7</v>
      </c>
      <c r="N145" s="1">
        <v>95696</v>
      </c>
      <c r="O145" s="1">
        <v>93952.5</v>
      </c>
      <c r="P145" s="1">
        <v>53479</v>
      </c>
      <c r="Q145" s="1">
        <v>83256</v>
      </c>
      <c r="R145" s="1">
        <v>0</v>
      </c>
    </row>
    <row r="146" spans="1:18">
      <c r="A146" s="3">
        <v>45905.999997569445</v>
      </c>
      <c r="B146" s="1">
        <v>665398</v>
      </c>
      <c r="C146" s="1">
        <v>141979</v>
      </c>
      <c r="D146" s="1">
        <v>45368.6</v>
      </c>
      <c r="E146" s="1">
        <v>0</v>
      </c>
      <c r="F146" s="1">
        <v>411367</v>
      </c>
      <c r="G146" s="1">
        <v>72065.399999999994</v>
      </c>
      <c r="H146" s="1">
        <v>374674</v>
      </c>
      <c r="I146" s="1">
        <v>665766</v>
      </c>
      <c r="J146" s="1">
        <v>51576.800000000003</v>
      </c>
      <c r="K146" s="1">
        <v>88970.9</v>
      </c>
      <c r="L146" s="1">
        <v>815.7</v>
      </c>
      <c r="M146" s="1">
        <v>76623.199999999997</v>
      </c>
      <c r="N146" s="1">
        <v>95749.3</v>
      </c>
      <c r="O146" s="1">
        <v>93970.7</v>
      </c>
      <c r="P146" s="1">
        <v>53479</v>
      </c>
      <c r="Q146" s="1">
        <v>83256</v>
      </c>
      <c r="R146" s="1">
        <v>0</v>
      </c>
    </row>
    <row r="147" spans="1:18">
      <c r="A147" s="3">
        <v>45906.041664178243</v>
      </c>
      <c r="B147" s="1">
        <v>666120</v>
      </c>
      <c r="C147" s="1">
        <v>142151</v>
      </c>
      <c r="D147" s="1">
        <v>45382.8</v>
      </c>
      <c r="E147" s="1">
        <v>0</v>
      </c>
      <c r="F147" s="1">
        <v>411387</v>
      </c>
      <c r="G147" s="1">
        <v>72118.7</v>
      </c>
      <c r="H147" s="1">
        <v>374686</v>
      </c>
      <c r="I147" s="1">
        <v>666022</v>
      </c>
      <c r="J147" s="1">
        <v>51580.7</v>
      </c>
      <c r="K147" s="1">
        <v>88974</v>
      </c>
      <c r="L147" s="1">
        <v>840.2</v>
      </c>
      <c r="M147" s="1">
        <v>76661.399999999994</v>
      </c>
      <c r="N147" s="1">
        <v>95804.1</v>
      </c>
      <c r="O147" s="1">
        <v>93987.5</v>
      </c>
      <c r="P147" s="1">
        <v>53479</v>
      </c>
      <c r="Q147" s="1">
        <v>83256</v>
      </c>
      <c r="R147" s="1">
        <v>0</v>
      </c>
    </row>
    <row r="148" spans="1:18">
      <c r="A148" s="3">
        <v>45906.083330787034</v>
      </c>
      <c r="B148" s="1">
        <v>666835</v>
      </c>
      <c r="C148" s="1">
        <v>142317</v>
      </c>
      <c r="D148" s="1">
        <v>45396.800000000003</v>
      </c>
      <c r="E148" s="1">
        <v>0</v>
      </c>
      <c r="F148" s="1">
        <v>411409</v>
      </c>
      <c r="G148" s="1">
        <v>72172</v>
      </c>
      <c r="H148" s="1">
        <v>374697</v>
      </c>
      <c r="I148" s="1">
        <v>666276</v>
      </c>
      <c r="J148" s="1">
        <v>51584.3</v>
      </c>
      <c r="K148" s="1">
        <v>88977.1</v>
      </c>
      <c r="L148" s="1">
        <v>864.2</v>
      </c>
      <c r="M148" s="1">
        <v>76699.899999999994</v>
      </c>
      <c r="N148" s="1">
        <v>95858.5</v>
      </c>
      <c r="O148" s="1">
        <v>94004.7</v>
      </c>
      <c r="P148" s="1">
        <v>53479</v>
      </c>
      <c r="Q148" s="1">
        <v>83256</v>
      </c>
      <c r="R148" s="1">
        <v>0</v>
      </c>
    </row>
    <row r="149" spans="1:18">
      <c r="A149" s="3">
        <v>45906.124997395833</v>
      </c>
      <c r="B149" s="1">
        <v>667533</v>
      </c>
      <c r="C149" s="1">
        <v>142478</v>
      </c>
      <c r="D149" s="1">
        <v>45411.3</v>
      </c>
      <c r="E149" s="1">
        <v>0</v>
      </c>
      <c r="F149" s="1">
        <v>411430</v>
      </c>
      <c r="G149" s="1">
        <v>72226</v>
      </c>
      <c r="H149" s="1">
        <v>374709</v>
      </c>
      <c r="I149" s="1">
        <v>666522</v>
      </c>
      <c r="J149" s="1">
        <v>51588</v>
      </c>
      <c r="K149" s="1">
        <v>88980.2</v>
      </c>
      <c r="L149" s="1">
        <v>887.8</v>
      </c>
      <c r="M149" s="1">
        <v>76738</v>
      </c>
      <c r="N149" s="1">
        <v>95912.5</v>
      </c>
      <c r="O149" s="1">
        <v>94022.1</v>
      </c>
      <c r="P149" s="1">
        <v>53479</v>
      </c>
      <c r="Q149" s="1">
        <v>83256</v>
      </c>
      <c r="R149" s="1">
        <v>0</v>
      </c>
    </row>
    <row r="150" spans="1:18">
      <c r="A150" s="3">
        <v>45906.166664004631</v>
      </c>
      <c r="B150" s="1">
        <v>668226</v>
      </c>
      <c r="C150" s="1">
        <v>142640</v>
      </c>
      <c r="D150" s="1">
        <v>45425.599999999999</v>
      </c>
      <c r="E150" s="1">
        <v>0</v>
      </c>
      <c r="F150" s="1">
        <v>411450</v>
      </c>
      <c r="G150" s="1">
        <v>72277.7</v>
      </c>
      <c r="H150" s="1">
        <v>374720</v>
      </c>
      <c r="I150" s="1">
        <v>666764</v>
      </c>
      <c r="J150" s="1">
        <v>51591.8</v>
      </c>
      <c r="K150" s="1">
        <v>88983.2</v>
      </c>
      <c r="L150" s="1">
        <v>910.7</v>
      </c>
      <c r="M150" s="1">
        <v>76775.7</v>
      </c>
      <c r="N150" s="1">
        <v>95966.6</v>
      </c>
      <c r="O150" s="1">
        <v>94038.9</v>
      </c>
      <c r="P150" s="1">
        <v>53479</v>
      </c>
      <c r="Q150" s="1">
        <v>83256</v>
      </c>
      <c r="R150" s="1">
        <v>0</v>
      </c>
    </row>
    <row r="151" spans="1:18">
      <c r="A151" s="3">
        <v>45906.208330613423</v>
      </c>
      <c r="B151" s="1">
        <v>668905</v>
      </c>
      <c r="C151" s="1">
        <v>142795</v>
      </c>
      <c r="D151" s="1">
        <v>45439.9</v>
      </c>
      <c r="E151" s="1">
        <v>0</v>
      </c>
      <c r="F151" s="1">
        <v>411471</v>
      </c>
      <c r="G151" s="1">
        <v>72329.3</v>
      </c>
      <c r="H151" s="1">
        <v>374732</v>
      </c>
      <c r="I151" s="1">
        <v>667001</v>
      </c>
      <c r="J151" s="1">
        <v>51595.5</v>
      </c>
      <c r="K151" s="1">
        <v>88986.1</v>
      </c>
      <c r="L151" s="1">
        <v>932</v>
      </c>
      <c r="M151" s="1">
        <v>76813.8</v>
      </c>
      <c r="N151" s="1">
        <v>96020.9</v>
      </c>
      <c r="O151" s="1">
        <v>94057.2</v>
      </c>
      <c r="P151" s="1">
        <v>53479</v>
      </c>
      <c r="Q151" s="1">
        <v>83256</v>
      </c>
      <c r="R151" s="1">
        <v>0</v>
      </c>
    </row>
    <row r="152" spans="1:18">
      <c r="A152" s="3">
        <v>45906.249997222221</v>
      </c>
      <c r="B152" s="1">
        <v>669589</v>
      </c>
      <c r="C152" s="1">
        <v>142951</v>
      </c>
      <c r="D152" s="1">
        <v>45456.2</v>
      </c>
      <c r="E152" s="1">
        <v>0</v>
      </c>
      <c r="F152" s="1">
        <v>411493</v>
      </c>
      <c r="G152" s="1">
        <v>72381.3</v>
      </c>
      <c r="H152" s="1">
        <v>374743</v>
      </c>
      <c r="I152" s="1">
        <v>667239</v>
      </c>
      <c r="J152" s="1">
        <v>51599.5</v>
      </c>
      <c r="K152" s="1">
        <v>88989.1</v>
      </c>
      <c r="L152" s="1">
        <v>953.2</v>
      </c>
      <c r="M152" s="1">
        <v>76851.199999999997</v>
      </c>
      <c r="N152" s="1">
        <v>96075.1</v>
      </c>
      <c r="O152" s="1">
        <v>94074.1</v>
      </c>
      <c r="P152" s="1">
        <v>53479</v>
      </c>
      <c r="Q152" s="1">
        <v>83256</v>
      </c>
      <c r="R152" s="1">
        <v>0</v>
      </c>
    </row>
    <row r="153" spans="1:18">
      <c r="A153" s="3">
        <v>45906.29166383102</v>
      </c>
      <c r="B153" s="1">
        <v>670275</v>
      </c>
      <c r="C153" s="1">
        <v>143111</v>
      </c>
      <c r="D153" s="1">
        <v>45471.5</v>
      </c>
      <c r="E153" s="1">
        <v>0</v>
      </c>
      <c r="F153" s="1">
        <v>411515</v>
      </c>
      <c r="G153" s="1">
        <v>72431.399999999994</v>
      </c>
      <c r="H153" s="1">
        <v>374754</v>
      </c>
      <c r="I153" s="1">
        <v>667481</v>
      </c>
      <c r="J153" s="1">
        <v>51603</v>
      </c>
      <c r="K153" s="1">
        <v>88991.9</v>
      </c>
      <c r="L153" s="1">
        <v>973.4</v>
      </c>
      <c r="M153" s="1">
        <v>76888.3</v>
      </c>
      <c r="N153" s="1">
        <v>96128.8</v>
      </c>
      <c r="O153" s="1">
        <v>94089.9</v>
      </c>
      <c r="P153" s="1">
        <v>53479</v>
      </c>
      <c r="Q153" s="1">
        <v>83256</v>
      </c>
      <c r="R153" s="1">
        <v>0</v>
      </c>
    </row>
    <row r="154" spans="1:18">
      <c r="A154" s="3">
        <v>45906.333330439818</v>
      </c>
      <c r="B154" s="1">
        <v>670977</v>
      </c>
      <c r="C154" s="1">
        <v>143281</v>
      </c>
      <c r="D154" s="1">
        <v>45486.7</v>
      </c>
      <c r="E154" s="1">
        <v>0</v>
      </c>
      <c r="F154" s="1">
        <v>411537</v>
      </c>
      <c r="G154" s="1">
        <v>72482.5</v>
      </c>
      <c r="H154" s="1">
        <v>374767</v>
      </c>
      <c r="I154" s="1">
        <v>667726</v>
      </c>
      <c r="J154" s="1">
        <v>51606.8</v>
      </c>
      <c r="K154" s="1">
        <v>88993</v>
      </c>
      <c r="L154" s="1">
        <v>994.9</v>
      </c>
      <c r="M154" s="1">
        <v>76925.399999999994</v>
      </c>
      <c r="N154" s="1">
        <v>96179.5</v>
      </c>
      <c r="O154" s="1">
        <v>94106.5</v>
      </c>
      <c r="P154" s="1">
        <v>53480</v>
      </c>
      <c r="Q154" s="1">
        <v>83259</v>
      </c>
      <c r="R154" s="1">
        <v>0</v>
      </c>
    </row>
    <row r="155" spans="1:18">
      <c r="A155" s="3">
        <v>45906.37499704861</v>
      </c>
      <c r="B155" s="1">
        <v>671696</v>
      </c>
      <c r="C155" s="1">
        <v>143455</v>
      </c>
      <c r="D155" s="1">
        <v>45501.5</v>
      </c>
      <c r="E155" s="1">
        <v>0</v>
      </c>
      <c r="F155" s="1">
        <v>411560</v>
      </c>
      <c r="G155" s="1">
        <v>72523.100000000006</v>
      </c>
      <c r="H155" s="1">
        <v>374779</v>
      </c>
      <c r="I155" s="1">
        <v>667986</v>
      </c>
      <c r="J155" s="1">
        <v>51610.5</v>
      </c>
      <c r="K155" s="1">
        <v>88993</v>
      </c>
      <c r="L155" s="1">
        <v>1025</v>
      </c>
      <c r="M155" s="1">
        <v>76964.899999999994</v>
      </c>
      <c r="N155" s="1">
        <v>96226.4</v>
      </c>
      <c r="O155" s="1">
        <v>94124.9</v>
      </c>
      <c r="P155" s="1">
        <v>53486</v>
      </c>
      <c r="Q155" s="1">
        <v>83269</v>
      </c>
      <c r="R155" s="1">
        <v>0</v>
      </c>
    </row>
    <row r="156" spans="1:18">
      <c r="A156" s="3">
        <v>45906.416663657408</v>
      </c>
      <c r="B156" s="1">
        <v>672417</v>
      </c>
      <c r="C156" s="1">
        <v>143636</v>
      </c>
      <c r="D156" s="1">
        <v>45517.1</v>
      </c>
      <c r="E156" s="1">
        <v>0</v>
      </c>
      <c r="F156" s="1">
        <v>411585</v>
      </c>
      <c r="G156" s="1">
        <v>72555.7</v>
      </c>
      <c r="H156" s="1">
        <v>374790</v>
      </c>
      <c r="I156" s="1">
        <v>668254</v>
      </c>
      <c r="J156" s="1">
        <v>51614.5</v>
      </c>
      <c r="K156" s="1">
        <v>88993</v>
      </c>
      <c r="L156" s="1">
        <v>1054.4000000000001</v>
      </c>
      <c r="M156" s="1">
        <v>77005.3</v>
      </c>
      <c r="N156" s="1">
        <v>96272.5</v>
      </c>
      <c r="O156" s="1">
        <v>94142.9</v>
      </c>
      <c r="P156" s="1">
        <v>53496</v>
      </c>
      <c r="Q156" s="1">
        <v>83283</v>
      </c>
      <c r="R156" s="1">
        <v>0</v>
      </c>
    </row>
    <row r="157" spans="1:18">
      <c r="A157" s="3">
        <v>45906.458330266207</v>
      </c>
      <c r="B157" s="1">
        <v>673141</v>
      </c>
      <c r="C157" s="1">
        <v>143816</v>
      </c>
      <c r="D157" s="1">
        <v>45534.9</v>
      </c>
      <c r="E157" s="1">
        <v>0</v>
      </c>
      <c r="F157" s="1">
        <v>411612</v>
      </c>
      <c r="G157" s="1">
        <v>72586.600000000006</v>
      </c>
      <c r="H157" s="1">
        <v>374802</v>
      </c>
      <c r="I157" s="1">
        <v>668523</v>
      </c>
      <c r="J157" s="1">
        <v>51618.1</v>
      </c>
      <c r="K157" s="1">
        <v>88993</v>
      </c>
      <c r="L157" s="1">
        <v>1086.4000000000001</v>
      </c>
      <c r="M157" s="1">
        <v>77044.3</v>
      </c>
      <c r="N157" s="1">
        <v>96318.9</v>
      </c>
      <c r="O157" s="1">
        <v>94161.600000000006</v>
      </c>
      <c r="P157" s="1">
        <v>53508</v>
      </c>
      <c r="Q157" s="1">
        <v>83302</v>
      </c>
      <c r="R157" s="1">
        <v>0</v>
      </c>
    </row>
    <row r="158" spans="1:18">
      <c r="A158" s="3">
        <v>45906.499996874998</v>
      </c>
      <c r="B158" s="1">
        <v>673898</v>
      </c>
      <c r="C158" s="1">
        <v>144008</v>
      </c>
      <c r="D158" s="1">
        <v>45561.2</v>
      </c>
      <c r="E158" s="1">
        <v>0</v>
      </c>
      <c r="F158" s="1">
        <v>411640</v>
      </c>
      <c r="G158" s="1">
        <v>72621.2</v>
      </c>
      <c r="H158" s="1">
        <v>374814</v>
      </c>
      <c r="I158" s="1">
        <v>668800</v>
      </c>
      <c r="J158" s="1">
        <v>51622</v>
      </c>
      <c r="K158" s="1">
        <v>88993</v>
      </c>
      <c r="L158" s="1">
        <v>1117.3</v>
      </c>
      <c r="M158" s="1">
        <v>77085.600000000006</v>
      </c>
      <c r="N158" s="1">
        <v>96364.800000000003</v>
      </c>
      <c r="O158" s="1">
        <v>94180.9</v>
      </c>
      <c r="P158" s="1">
        <v>53523</v>
      </c>
      <c r="Q158" s="1">
        <v>83325</v>
      </c>
      <c r="R158" s="1">
        <v>0</v>
      </c>
    </row>
    <row r="159" spans="1:18">
      <c r="A159" s="3">
        <v>45906.541663483797</v>
      </c>
      <c r="B159" s="1">
        <v>674688</v>
      </c>
      <c r="C159" s="1">
        <v>144212</v>
      </c>
      <c r="D159" s="1">
        <v>45589.9</v>
      </c>
      <c r="E159" s="1">
        <v>0</v>
      </c>
      <c r="F159" s="1">
        <v>411671</v>
      </c>
      <c r="G159" s="1">
        <v>72656.399999999994</v>
      </c>
      <c r="H159" s="1">
        <v>374826</v>
      </c>
      <c r="I159" s="1">
        <v>669085</v>
      </c>
      <c r="J159" s="1">
        <v>51626</v>
      </c>
      <c r="K159" s="1">
        <v>88993</v>
      </c>
      <c r="L159" s="1">
        <v>1149.8</v>
      </c>
      <c r="M159" s="1">
        <v>77130</v>
      </c>
      <c r="N159" s="1">
        <v>96411.4</v>
      </c>
      <c r="O159" s="1">
        <v>94200.1</v>
      </c>
      <c r="P159" s="1">
        <v>53538</v>
      </c>
      <c r="Q159" s="1">
        <v>83348</v>
      </c>
      <c r="R159" s="1">
        <v>0</v>
      </c>
    </row>
    <row r="160" spans="1:18">
      <c r="A160" s="3">
        <v>45906.583330092595</v>
      </c>
      <c r="B160" s="1">
        <v>675521</v>
      </c>
      <c r="C160" s="1">
        <v>144429</v>
      </c>
      <c r="D160" s="1">
        <v>45615.9</v>
      </c>
      <c r="E160" s="1">
        <v>0</v>
      </c>
      <c r="F160" s="1">
        <v>411705</v>
      </c>
      <c r="G160" s="1">
        <v>72694</v>
      </c>
      <c r="H160" s="1">
        <v>374838</v>
      </c>
      <c r="I160" s="1">
        <v>669385</v>
      </c>
      <c r="J160" s="1">
        <v>51629.9</v>
      </c>
      <c r="K160" s="1">
        <v>88993</v>
      </c>
      <c r="L160" s="1">
        <v>1191.3</v>
      </c>
      <c r="M160" s="1">
        <v>77173.100000000006</v>
      </c>
      <c r="N160" s="1">
        <v>96458.1</v>
      </c>
      <c r="O160" s="1">
        <v>94221.6</v>
      </c>
      <c r="P160" s="1">
        <v>53554</v>
      </c>
      <c r="Q160" s="1">
        <v>83371</v>
      </c>
      <c r="R160" s="1">
        <v>0</v>
      </c>
    </row>
    <row r="161" spans="1:18">
      <c r="A161" s="3">
        <v>45906.624996701386</v>
      </c>
      <c r="B161" s="1">
        <v>676404</v>
      </c>
      <c r="C161" s="1">
        <v>144668</v>
      </c>
      <c r="D161" s="1">
        <v>45640.800000000003</v>
      </c>
      <c r="E161" s="1">
        <v>0</v>
      </c>
      <c r="F161" s="1">
        <v>411738</v>
      </c>
      <c r="G161" s="1">
        <v>72739.8</v>
      </c>
      <c r="H161" s="1">
        <v>374852</v>
      </c>
      <c r="I161" s="1">
        <v>669691</v>
      </c>
      <c r="J161" s="1">
        <v>51634.8</v>
      </c>
      <c r="K161" s="1">
        <v>88993</v>
      </c>
      <c r="L161" s="1">
        <v>1233.5</v>
      </c>
      <c r="M161" s="1">
        <v>77219.199999999997</v>
      </c>
      <c r="N161" s="1">
        <v>96505</v>
      </c>
      <c r="O161" s="1">
        <v>94244</v>
      </c>
      <c r="P161" s="1">
        <v>53568</v>
      </c>
      <c r="Q161" s="1">
        <v>83393</v>
      </c>
      <c r="R161" s="1">
        <v>0</v>
      </c>
    </row>
    <row r="162" spans="1:18">
      <c r="A162" s="3">
        <v>45906.666663310185</v>
      </c>
      <c r="B162" s="1">
        <v>677303</v>
      </c>
      <c r="C162" s="1">
        <v>144909</v>
      </c>
      <c r="D162" s="1">
        <v>45667.6</v>
      </c>
      <c r="E162" s="1">
        <v>0</v>
      </c>
      <c r="F162" s="1">
        <v>411774</v>
      </c>
      <c r="G162" s="1">
        <v>72792.800000000003</v>
      </c>
      <c r="H162" s="1">
        <v>374864</v>
      </c>
      <c r="I162" s="1">
        <v>670001</v>
      </c>
      <c r="J162" s="1">
        <v>51639.6</v>
      </c>
      <c r="K162" s="1">
        <v>88993</v>
      </c>
      <c r="L162" s="1">
        <v>1274</v>
      </c>
      <c r="M162" s="1">
        <v>77264.899999999994</v>
      </c>
      <c r="N162" s="1">
        <v>96551.6</v>
      </c>
      <c r="O162" s="1">
        <v>94265.2</v>
      </c>
      <c r="P162" s="1">
        <v>53580</v>
      </c>
      <c r="Q162" s="1">
        <v>83411</v>
      </c>
      <c r="R162" s="1">
        <v>0</v>
      </c>
    </row>
    <row r="163" spans="1:18">
      <c r="A163" s="3">
        <v>45906.708329918984</v>
      </c>
      <c r="B163" s="1">
        <v>678196</v>
      </c>
      <c r="C163" s="1">
        <v>145140</v>
      </c>
      <c r="D163" s="1">
        <v>45694.3</v>
      </c>
      <c r="E163" s="1">
        <v>0</v>
      </c>
      <c r="F163" s="1">
        <v>411802</v>
      </c>
      <c r="G163" s="1">
        <v>72852.7</v>
      </c>
      <c r="H163" s="1">
        <v>374877</v>
      </c>
      <c r="I163" s="1">
        <v>670311</v>
      </c>
      <c r="J163" s="1">
        <v>51644.3</v>
      </c>
      <c r="K163" s="1">
        <v>88993.3</v>
      </c>
      <c r="L163" s="1">
        <v>1303.9000000000001</v>
      </c>
      <c r="M163" s="1">
        <v>77309.3</v>
      </c>
      <c r="N163" s="1">
        <v>96600.6</v>
      </c>
      <c r="O163" s="1">
        <v>94287</v>
      </c>
      <c r="P163" s="1">
        <v>53588</v>
      </c>
      <c r="Q163" s="1">
        <v>83423</v>
      </c>
      <c r="R163" s="1">
        <v>0</v>
      </c>
    </row>
    <row r="164" spans="1:18">
      <c r="A164" s="3">
        <v>45906.749996527775</v>
      </c>
      <c r="B164" s="1">
        <v>679058</v>
      </c>
      <c r="C164" s="1">
        <v>145354</v>
      </c>
      <c r="D164" s="1">
        <v>45713.3</v>
      </c>
      <c r="E164" s="1">
        <v>0</v>
      </c>
      <c r="F164" s="1">
        <v>411827</v>
      </c>
      <c r="G164" s="1">
        <v>72918.8</v>
      </c>
      <c r="H164" s="1">
        <v>374889</v>
      </c>
      <c r="I164" s="1">
        <v>670619</v>
      </c>
      <c r="J164" s="1">
        <v>51648.3</v>
      </c>
      <c r="K164" s="1">
        <v>88996.2</v>
      </c>
      <c r="L164" s="1">
        <v>1326.4</v>
      </c>
      <c r="M164" s="1">
        <v>77354.2</v>
      </c>
      <c r="N164" s="1">
        <v>96654.5</v>
      </c>
      <c r="O164" s="1">
        <v>94308.4</v>
      </c>
      <c r="P164" s="1">
        <v>53590</v>
      </c>
      <c r="Q164" s="1">
        <v>83427</v>
      </c>
      <c r="R164" s="1">
        <v>0</v>
      </c>
    </row>
    <row r="165" spans="1:18">
      <c r="A165" s="3">
        <v>45906.791663136573</v>
      </c>
      <c r="B165" s="1">
        <v>679863</v>
      </c>
      <c r="C165" s="1">
        <v>145548</v>
      </c>
      <c r="D165" s="1">
        <v>45730.9</v>
      </c>
      <c r="E165" s="1">
        <v>0</v>
      </c>
      <c r="F165" s="1">
        <v>411850</v>
      </c>
      <c r="G165" s="1">
        <v>72983.199999999997</v>
      </c>
      <c r="H165" s="1">
        <v>374901</v>
      </c>
      <c r="I165" s="1">
        <v>670911</v>
      </c>
      <c r="J165" s="1">
        <v>51651.9</v>
      </c>
      <c r="K165" s="1">
        <v>89000</v>
      </c>
      <c r="L165" s="1">
        <v>1347.9</v>
      </c>
      <c r="M165" s="1">
        <v>77395</v>
      </c>
      <c r="N165" s="1">
        <v>96709.5</v>
      </c>
      <c r="O165" s="1">
        <v>94324.7</v>
      </c>
      <c r="P165" s="1">
        <v>53590</v>
      </c>
      <c r="Q165" s="1">
        <v>83427</v>
      </c>
      <c r="R165" s="1">
        <v>0</v>
      </c>
    </row>
    <row r="166" spans="1:18">
      <c r="A166" s="3">
        <v>45906.833329745372</v>
      </c>
      <c r="B166" s="1">
        <v>680652</v>
      </c>
      <c r="C166" s="1">
        <v>145730</v>
      </c>
      <c r="D166" s="1">
        <v>45752.5</v>
      </c>
      <c r="E166" s="1">
        <v>0</v>
      </c>
      <c r="F166" s="1">
        <v>411875</v>
      </c>
      <c r="G166" s="1">
        <v>73045.600000000006</v>
      </c>
      <c r="H166" s="1">
        <v>374913</v>
      </c>
      <c r="I166" s="1">
        <v>671192</v>
      </c>
      <c r="J166" s="1">
        <v>51656</v>
      </c>
      <c r="K166" s="1">
        <v>89003.7</v>
      </c>
      <c r="L166" s="1">
        <v>1368.5</v>
      </c>
      <c r="M166" s="1">
        <v>77436</v>
      </c>
      <c r="N166" s="1">
        <v>96765.9</v>
      </c>
      <c r="O166" s="1">
        <v>94343</v>
      </c>
      <c r="P166" s="1">
        <v>53590</v>
      </c>
      <c r="Q166" s="1">
        <v>83427</v>
      </c>
      <c r="R166" s="1">
        <v>0</v>
      </c>
    </row>
    <row r="167" spans="1:18">
      <c r="A167" s="3">
        <v>45906.874996354163</v>
      </c>
      <c r="B167" s="1">
        <v>681411</v>
      </c>
      <c r="C167" s="1">
        <v>145905</v>
      </c>
      <c r="D167" s="1">
        <v>45771.1</v>
      </c>
      <c r="E167" s="1">
        <v>0</v>
      </c>
      <c r="F167" s="1">
        <v>411897</v>
      </c>
      <c r="G167" s="1">
        <v>73103.199999999997</v>
      </c>
      <c r="H167" s="1">
        <v>374926</v>
      </c>
      <c r="I167" s="1">
        <v>671463</v>
      </c>
      <c r="J167" s="1">
        <v>51659.6</v>
      </c>
      <c r="K167" s="1">
        <v>89007.2</v>
      </c>
      <c r="L167" s="1">
        <v>1388.8</v>
      </c>
      <c r="M167" s="1">
        <v>77476.5</v>
      </c>
      <c r="N167" s="1">
        <v>96822</v>
      </c>
      <c r="O167" s="1">
        <v>94362.2</v>
      </c>
      <c r="P167" s="1">
        <v>53590</v>
      </c>
      <c r="Q167" s="1">
        <v>83427</v>
      </c>
      <c r="R167" s="1">
        <v>0</v>
      </c>
    </row>
    <row r="168" spans="1:18">
      <c r="A168" s="3">
        <v>45906.916662962962</v>
      </c>
      <c r="B168" s="1">
        <v>682157</v>
      </c>
      <c r="C168" s="1">
        <v>146078</v>
      </c>
      <c r="D168" s="1">
        <v>45787.199999999997</v>
      </c>
      <c r="E168" s="1">
        <v>0</v>
      </c>
      <c r="F168" s="1">
        <v>411918</v>
      </c>
      <c r="G168" s="1">
        <v>73158.7</v>
      </c>
      <c r="H168" s="1">
        <v>374939</v>
      </c>
      <c r="I168" s="1">
        <v>671728</v>
      </c>
      <c r="J168" s="1">
        <v>51663.6</v>
      </c>
      <c r="K168" s="1">
        <v>89010.6</v>
      </c>
      <c r="L168" s="1">
        <v>1409.4</v>
      </c>
      <c r="M168" s="1">
        <v>77518.899999999994</v>
      </c>
      <c r="N168" s="1">
        <v>96876.7</v>
      </c>
      <c r="O168" s="1">
        <v>94381.3</v>
      </c>
      <c r="P168" s="1">
        <v>53590</v>
      </c>
      <c r="Q168" s="1">
        <v>83427</v>
      </c>
      <c r="R168" s="1">
        <v>0</v>
      </c>
    </row>
    <row r="169" spans="1:18">
      <c r="A169" s="3">
        <v>45906.95832957176</v>
      </c>
      <c r="B169" s="1">
        <v>682900</v>
      </c>
      <c r="C169" s="1">
        <v>146250</v>
      </c>
      <c r="D169" s="1">
        <v>45802.8</v>
      </c>
      <c r="E169" s="1">
        <v>0</v>
      </c>
      <c r="F169" s="1">
        <v>411939</v>
      </c>
      <c r="G169" s="1">
        <v>73216.899999999994</v>
      </c>
      <c r="H169" s="1">
        <v>374951</v>
      </c>
      <c r="I169" s="1">
        <v>671994</v>
      </c>
      <c r="J169" s="1">
        <v>51667.4</v>
      </c>
      <c r="K169" s="1">
        <v>89014.1</v>
      </c>
      <c r="L169" s="1">
        <v>1431.4</v>
      </c>
      <c r="M169" s="1">
        <v>77558.899999999994</v>
      </c>
      <c r="N169" s="1">
        <v>96931.5</v>
      </c>
      <c r="O169" s="1">
        <v>94399.9</v>
      </c>
      <c r="P169" s="1">
        <v>53590</v>
      </c>
      <c r="Q169" s="1">
        <v>83427</v>
      </c>
      <c r="R169" s="1">
        <v>0</v>
      </c>
    </row>
    <row r="170" spans="1:18">
      <c r="A170" s="3">
        <v>45906.999996180559</v>
      </c>
      <c r="B170" s="1">
        <v>683638</v>
      </c>
      <c r="C170" s="1">
        <v>146424</v>
      </c>
      <c r="D170" s="1">
        <v>45818.3</v>
      </c>
      <c r="E170" s="1">
        <v>0</v>
      </c>
      <c r="F170" s="1">
        <v>411957</v>
      </c>
      <c r="G170" s="1">
        <v>73277.7</v>
      </c>
      <c r="H170" s="1">
        <v>374962</v>
      </c>
      <c r="I170" s="1">
        <v>672252</v>
      </c>
      <c r="J170" s="1">
        <v>51671.199999999997</v>
      </c>
      <c r="K170" s="1">
        <v>89017.4</v>
      </c>
      <c r="L170" s="1">
        <v>1454.1</v>
      </c>
      <c r="M170" s="1">
        <v>77598.2</v>
      </c>
      <c r="N170" s="1">
        <v>96986.9</v>
      </c>
      <c r="O170" s="1">
        <v>94418.3</v>
      </c>
      <c r="P170" s="1">
        <v>53590</v>
      </c>
      <c r="Q170" s="1">
        <v>83427</v>
      </c>
      <c r="R170" s="1">
        <v>0</v>
      </c>
    </row>
    <row r="171" spans="1:18">
      <c r="A171" s="3">
        <v>45907.04166278935</v>
      </c>
      <c r="B171" s="1">
        <v>684362</v>
      </c>
      <c r="C171" s="1">
        <v>146595</v>
      </c>
      <c r="D171" s="1">
        <v>45833.5</v>
      </c>
      <c r="E171" s="1">
        <v>0</v>
      </c>
      <c r="F171" s="1">
        <v>411976</v>
      </c>
      <c r="G171" s="1">
        <v>73336</v>
      </c>
      <c r="H171" s="1">
        <v>374974</v>
      </c>
      <c r="I171" s="1">
        <v>672507</v>
      </c>
      <c r="J171" s="1">
        <v>51675.1</v>
      </c>
      <c r="K171" s="1">
        <v>89020.7</v>
      </c>
      <c r="L171" s="1">
        <v>1476.9</v>
      </c>
      <c r="M171" s="1">
        <v>77637.100000000006</v>
      </c>
      <c r="N171" s="1">
        <v>97041.9</v>
      </c>
      <c r="O171" s="1">
        <v>94434.9</v>
      </c>
      <c r="P171" s="1">
        <v>53590</v>
      </c>
      <c r="Q171" s="1">
        <v>83427</v>
      </c>
      <c r="R171" s="1">
        <v>0</v>
      </c>
    </row>
    <row r="172" spans="1:18">
      <c r="A172" s="3">
        <v>45907.083329398149</v>
      </c>
      <c r="B172" s="1">
        <v>685087</v>
      </c>
      <c r="C172" s="1">
        <v>146767</v>
      </c>
      <c r="D172" s="1">
        <v>45851.6</v>
      </c>
      <c r="E172" s="1">
        <v>0</v>
      </c>
      <c r="F172" s="1">
        <v>411996</v>
      </c>
      <c r="G172" s="1">
        <v>73392.7</v>
      </c>
      <c r="H172" s="1">
        <v>374986</v>
      </c>
      <c r="I172" s="1">
        <v>672755</v>
      </c>
      <c r="J172" s="1">
        <v>51678.8</v>
      </c>
      <c r="K172" s="1">
        <v>89024</v>
      </c>
      <c r="L172" s="1">
        <v>1499.8</v>
      </c>
      <c r="M172" s="1">
        <v>77676.399999999994</v>
      </c>
      <c r="N172" s="1">
        <v>97096.7</v>
      </c>
      <c r="O172" s="1">
        <v>94452.800000000003</v>
      </c>
      <c r="P172" s="1">
        <v>53590</v>
      </c>
      <c r="Q172" s="1">
        <v>83427</v>
      </c>
      <c r="R172" s="1">
        <v>0</v>
      </c>
    </row>
    <row r="173" spans="1:18">
      <c r="A173" s="3">
        <v>45907.124996006947</v>
      </c>
      <c r="B173" s="1">
        <v>685811</v>
      </c>
      <c r="C173" s="1">
        <v>146941</v>
      </c>
      <c r="D173" s="1">
        <v>45867.3</v>
      </c>
      <c r="E173" s="1">
        <v>0</v>
      </c>
      <c r="F173" s="1">
        <v>412019</v>
      </c>
      <c r="G173" s="1">
        <v>73448.100000000006</v>
      </c>
      <c r="H173" s="1">
        <v>374998</v>
      </c>
      <c r="I173" s="1">
        <v>673002</v>
      </c>
      <c r="J173" s="1">
        <v>51682.8</v>
      </c>
      <c r="K173" s="1">
        <v>89027.5</v>
      </c>
      <c r="L173" s="1">
        <v>1521.1</v>
      </c>
      <c r="M173" s="1">
        <v>77716.899999999994</v>
      </c>
      <c r="N173" s="1">
        <v>97151.7</v>
      </c>
      <c r="O173" s="1">
        <v>94470.8</v>
      </c>
      <c r="P173" s="1">
        <v>53590</v>
      </c>
      <c r="Q173" s="1">
        <v>83427</v>
      </c>
      <c r="R173" s="1">
        <v>0</v>
      </c>
    </row>
    <row r="174" spans="1:18">
      <c r="A174" s="3">
        <v>45907.166662615738</v>
      </c>
      <c r="B174" s="1">
        <v>686531</v>
      </c>
      <c r="C174" s="1">
        <v>147116</v>
      </c>
      <c r="D174" s="1">
        <v>45882.8</v>
      </c>
      <c r="E174" s="1">
        <v>0</v>
      </c>
      <c r="F174" s="1">
        <v>412040</v>
      </c>
      <c r="G174" s="1">
        <v>73500.7</v>
      </c>
      <c r="H174" s="1">
        <v>375011</v>
      </c>
      <c r="I174" s="1">
        <v>673249</v>
      </c>
      <c r="J174" s="1">
        <v>51686.7</v>
      </c>
      <c r="K174" s="1">
        <v>89031.2</v>
      </c>
      <c r="L174" s="1">
        <v>1541.4</v>
      </c>
      <c r="M174" s="1">
        <v>77758.7</v>
      </c>
      <c r="N174" s="1">
        <v>97207.2</v>
      </c>
      <c r="O174" s="1">
        <v>94489.2</v>
      </c>
      <c r="P174" s="1">
        <v>53590</v>
      </c>
      <c r="Q174" s="1">
        <v>83427</v>
      </c>
      <c r="R174" s="1">
        <v>0</v>
      </c>
    </row>
    <row r="175" spans="1:18">
      <c r="A175" s="3">
        <v>45907.208329224537</v>
      </c>
      <c r="B175" s="1">
        <v>687240</v>
      </c>
      <c r="C175" s="1">
        <v>147285</v>
      </c>
      <c r="D175" s="1">
        <v>45896.1</v>
      </c>
      <c r="E175" s="1">
        <v>0</v>
      </c>
      <c r="F175" s="1">
        <v>412060</v>
      </c>
      <c r="G175" s="1">
        <v>73552.2</v>
      </c>
      <c r="H175" s="1">
        <v>375022</v>
      </c>
      <c r="I175" s="1">
        <v>673496</v>
      </c>
      <c r="J175" s="1">
        <v>51690.5</v>
      </c>
      <c r="K175" s="1">
        <v>89034.5</v>
      </c>
      <c r="L175" s="1">
        <v>1561.9</v>
      </c>
      <c r="M175" s="1">
        <v>77799.8</v>
      </c>
      <c r="N175" s="1">
        <v>97261.1</v>
      </c>
      <c r="O175" s="1">
        <v>94507.7</v>
      </c>
      <c r="P175" s="1">
        <v>53590</v>
      </c>
      <c r="Q175" s="1">
        <v>83427</v>
      </c>
      <c r="R175" s="1">
        <v>0</v>
      </c>
    </row>
    <row r="176" spans="1:18">
      <c r="A176" s="3">
        <v>45907.249995833336</v>
      </c>
      <c r="B176" s="1">
        <v>687931</v>
      </c>
      <c r="C176" s="1">
        <v>147450</v>
      </c>
      <c r="D176" s="1">
        <v>45910.3</v>
      </c>
      <c r="E176" s="1">
        <v>0</v>
      </c>
      <c r="F176" s="1">
        <v>412080</v>
      </c>
      <c r="G176" s="1">
        <v>73602.899999999994</v>
      </c>
      <c r="H176" s="1">
        <v>375034</v>
      </c>
      <c r="I176" s="1">
        <v>673735</v>
      </c>
      <c r="J176" s="1">
        <v>51694.400000000001</v>
      </c>
      <c r="K176" s="1">
        <v>89037.8</v>
      </c>
      <c r="L176" s="1">
        <v>1582.2</v>
      </c>
      <c r="M176" s="1">
        <v>77838.899999999994</v>
      </c>
      <c r="N176" s="1">
        <v>97314.9</v>
      </c>
      <c r="O176" s="1">
        <v>94525.3</v>
      </c>
      <c r="P176" s="1">
        <v>53590</v>
      </c>
      <c r="Q176" s="1">
        <v>83427</v>
      </c>
      <c r="R176" s="1">
        <v>0</v>
      </c>
    </row>
    <row r="177" spans="1:18">
      <c r="A177" s="3">
        <v>45907.291662442127</v>
      </c>
      <c r="B177" s="1">
        <v>688623</v>
      </c>
      <c r="C177" s="1">
        <v>147616</v>
      </c>
      <c r="D177" s="1">
        <v>45924.2</v>
      </c>
      <c r="E177" s="1">
        <v>0</v>
      </c>
      <c r="F177" s="1">
        <v>412099</v>
      </c>
      <c r="G177" s="1">
        <v>73652.5</v>
      </c>
      <c r="H177" s="1">
        <v>375046</v>
      </c>
      <c r="I177" s="1">
        <v>673977</v>
      </c>
      <c r="J177" s="1">
        <v>51698</v>
      </c>
      <c r="K177" s="1">
        <v>89040</v>
      </c>
      <c r="L177" s="1">
        <v>1602.8</v>
      </c>
      <c r="M177" s="1">
        <v>77877.3</v>
      </c>
      <c r="N177" s="1">
        <v>97368.8</v>
      </c>
      <c r="O177" s="1">
        <v>94541.9</v>
      </c>
      <c r="P177" s="1">
        <v>53591</v>
      </c>
      <c r="Q177" s="1">
        <v>83427</v>
      </c>
      <c r="R177" s="1">
        <v>0</v>
      </c>
    </row>
    <row r="178" spans="1:18">
      <c r="A178" s="3">
        <v>45907.333329050925</v>
      </c>
      <c r="B178" s="1">
        <v>689314</v>
      </c>
      <c r="C178" s="1">
        <v>147787</v>
      </c>
      <c r="D178" s="1">
        <v>45938.1</v>
      </c>
      <c r="E178" s="1">
        <v>0</v>
      </c>
      <c r="F178" s="1">
        <v>412118</v>
      </c>
      <c r="G178" s="1">
        <v>73699.199999999997</v>
      </c>
      <c r="H178" s="1">
        <v>375058</v>
      </c>
      <c r="I178" s="1">
        <v>674220</v>
      </c>
      <c r="J178" s="1">
        <v>51701.9</v>
      </c>
      <c r="K178" s="1">
        <v>89040.2</v>
      </c>
      <c r="L178" s="1">
        <v>1622.6</v>
      </c>
      <c r="M178" s="1">
        <v>77915.899999999994</v>
      </c>
      <c r="N178" s="1">
        <v>97419.7</v>
      </c>
      <c r="O178" s="1">
        <v>94559.9</v>
      </c>
      <c r="P178" s="1">
        <v>53592</v>
      </c>
      <c r="Q178" s="1">
        <v>83431</v>
      </c>
      <c r="R178" s="1">
        <v>0</v>
      </c>
    </row>
    <row r="179" spans="1:18">
      <c r="A179" s="3">
        <v>45907.374995659724</v>
      </c>
      <c r="B179" s="1">
        <v>690009</v>
      </c>
      <c r="C179" s="1">
        <v>147965</v>
      </c>
      <c r="D179" s="1">
        <v>45952.1</v>
      </c>
      <c r="E179" s="1">
        <v>0</v>
      </c>
      <c r="F179" s="1">
        <v>412136</v>
      </c>
      <c r="G179" s="1">
        <v>73738</v>
      </c>
      <c r="H179" s="1">
        <v>375069</v>
      </c>
      <c r="I179" s="1">
        <v>674468</v>
      </c>
      <c r="J179" s="1">
        <v>51706</v>
      </c>
      <c r="K179" s="1">
        <v>89040.2</v>
      </c>
      <c r="L179" s="1">
        <v>1642.2</v>
      </c>
      <c r="M179" s="1">
        <v>77957.600000000006</v>
      </c>
      <c r="N179" s="1">
        <v>97468.4</v>
      </c>
      <c r="O179" s="1">
        <v>94579.3</v>
      </c>
      <c r="P179" s="1">
        <v>53598</v>
      </c>
      <c r="Q179" s="1">
        <v>83440</v>
      </c>
      <c r="R179" s="1">
        <v>0</v>
      </c>
    </row>
    <row r="180" spans="1:18">
      <c r="A180" s="3">
        <v>45907.416662268515</v>
      </c>
      <c r="B180" s="1">
        <v>690703</v>
      </c>
      <c r="C180" s="1">
        <v>148147</v>
      </c>
      <c r="D180" s="1">
        <v>45966.2</v>
      </c>
      <c r="E180" s="1">
        <v>0</v>
      </c>
      <c r="F180" s="1">
        <v>412154</v>
      </c>
      <c r="G180" s="1">
        <v>73769.8</v>
      </c>
      <c r="H180" s="1">
        <v>375082</v>
      </c>
      <c r="I180" s="1">
        <v>674728</v>
      </c>
      <c r="J180" s="1">
        <v>51709.9</v>
      </c>
      <c r="K180" s="1">
        <v>89040.2</v>
      </c>
      <c r="L180" s="1">
        <v>1662.1</v>
      </c>
      <c r="M180" s="1">
        <v>77997.3</v>
      </c>
      <c r="N180" s="1">
        <v>97513.3</v>
      </c>
      <c r="O180" s="1">
        <v>94597.5</v>
      </c>
      <c r="P180" s="1">
        <v>53607</v>
      </c>
      <c r="Q180" s="1">
        <v>83455</v>
      </c>
      <c r="R180" s="1">
        <v>0</v>
      </c>
    </row>
    <row r="181" spans="1:18">
      <c r="A181" s="3">
        <v>45907.458328877314</v>
      </c>
      <c r="B181" s="1">
        <v>691399</v>
      </c>
      <c r="C181" s="1">
        <v>148334</v>
      </c>
      <c r="D181" s="1">
        <v>45980.5</v>
      </c>
      <c r="E181" s="1">
        <v>0</v>
      </c>
      <c r="F181" s="1">
        <v>412175</v>
      </c>
      <c r="G181" s="1">
        <v>73798.899999999994</v>
      </c>
      <c r="H181" s="1">
        <v>375095</v>
      </c>
      <c r="I181" s="1">
        <v>674984</v>
      </c>
      <c r="J181" s="1">
        <v>51713.9</v>
      </c>
      <c r="K181" s="1">
        <v>89040.2</v>
      </c>
      <c r="L181" s="1">
        <v>1682</v>
      </c>
      <c r="M181" s="1">
        <v>78037.399999999994</v>
      </c>
      <c r="N181" s="1">
        <v>97557.5</v>
      </c>
      <c r="O181" s="1">
        <v>94616.1</v>
      </c>
      <c r="P181" s="1">
        <v>53619</v>
      </c>
      <c r="Q181" s="1">
        <v>83472</v>
      </c>
      <c r="R181" s="1">
        <v>0</v>
      </c>
    </row>
    <row r="182" spans="1:18">
      <c r="A182" s="3">
        <v>45907.499995486112</v>
      </c>
      <c r="B182" s="1">
        <v>692120</v>
      </c>
      <c r="C182" s="1">
        <v>148541</v>
      </c>
      <c r="D182" s="1">
        <v>45999.8</v>
      </c>
      <c r="E182" s="1">
        <v>0</v>
      </c>
      <c r="F182" s="1">
        <v>412196</v>
      </c>
      <c r="G182" s="1">
        <v>73826.2</v>
      </c>
      <c r="H182" s="1">
        <v>375107</v>
      </c>
      <c r="I182" s="1">
        <v>675248</v>
      </c>
      <c r="J182" s="1">
        <v>51718.1</v>
      </c>
      <c r="K182" s="1">
        <v>89040.2</v>
      </c>
      <c r="L182" s="1">
        <v>1702.4</v>
      </c>
      <c r="M182" s="1">
        <v>78081.100000000006</v>
      </c>
      <c r="N182" s="1">
        <v>97597.3</v>
      </c>
      <c r="O182" s="1">
        <v>94634.8</v>
      </c>
      <c r="P182" s="1">
        <v>53633</v>
      </c>
      <c r="Q182" s="1">
        <v>83494</v>
      </c>
      <c r="R182" s="1">
        <v>0</v>
      </c>
    </row>
    <row r="183" spans="1:18">
      <c r="A183" s="3">
        <v>45907.541662094911</v>
      </c>
      <c r="B183" s="1">
        <v>692860</v>
      </c>
      <c r="C183" s="1">
        <v>148752</v>
      </c>
      <c r="D183" s="1">
        <v>46020.1</v>
      </c>
      <c r="E183" s="1">
        <v>0</v>
      </c>
      <c r="F183" s="1">
        <v>412217</v>
      </c>
      <c r="G183" s="1">
        <v>73857.399999999994</v>
      </c>
      <c r="H183" s="1">
        <v>375119</v>
      </c>
      <c r="I183" s="1">
        <v>675512</v>
      </c>
      <c r="J183" s="1">
        <v>51722.2</v>
      </c>
      <c r="K183" s="1">
        <v>89040.2</v>
      </c>
      <c r="L183" s="1">
        <v>1723.6</v>
      </c>
      <c r="M183" s="1">
        <v>78127.100000000006</v>
      </c>
      <c r="N183" s="1">
        <v>97639.9</v>
      </c>
      <c r="O183" s="1">
        <v>94652.5</v>
      </c>
      <c r="P183" s="1">
        <v>53649</v>
      </c>
      <c r="Q183" s="1">
        <v>83518</v>
      </c>
      <c r="R183" s="1">
        <v>0</v>
      </c>
    </row>
    <row r="184" spans="1:18">
      <c r="A184" s="3">
        <v>45907.583328703702</v>
      </c>
      <c r="B184" s="1">
        <v>693653</v>
      </c>
      <c r="C184" s="1">
        <v>148977</v>
      </c>
      <c r="D184" s="1">
        <v>46040.5</v>
      </c>
      <c r="E184" s="1">
        <v>0</v>
      </c>
      <c r="F184" s="1">
        <v>412238</v>
      </c>
      <c r="G184" s="1">
        <v>73897.399999999994</v>
      </c>
      <c r="H184" s="1">
        <v>375132</v>
      </c>
      <c r="I184" s="1">
        <v>675796</v>
      </c>
      <c r="J184" s="1">
        <v>51730.6</v>
      </c>
      <c r="K184" s="1">
        <v>89040.2</v>
      </c>
      <c r="L184" s="1">
        <v>1746.3</v>
      </c>
      <c r="M184" s="1">
        <v>78173.7</v>
      </c>
      <c r="N184" s="1">
        <v>97685.6</v>
      </c>
      <c r="O184" s="1">
        <v>94672</v>
      </c>
      <c r="P184" s="1">
        <v>53662</v>
      </c>
      <c r="Q184" s="1">
        <v>83538</v>
      </c>
      <c r="R184" s="1">
        <v>0</v>
      </c>
    </row>
    <row r="185" spans="1:18">
      <c r="A185" s="3">
        <v>45907.624995312501</v>
      </c>
      <c r="B185" s="1">
        <v>694494</v>
      </c>
      <c r="C185" s="1">
        <v>149211</v>
      </c>
      <c r="D185" s="1">
        <v>46062.8</v>
      </c>
      <c r="E185" s="1">
        <v>0</v>
      </c>
      <c r="F185" s="1">
        <v>412258</v>
      </c>
      <c r="G185" s="1">
        <v>73946.600000000006</v>
      </c>
      <c r="H185" s="1">
        <v>375145</v>
      </c>
      <c r="I185" s="1">
        <v>676090</v>
      </c>
      <c r="J185" s="1">
        <v>51741</v>
      </c>
      <c r="K185" s="1">
        <v>89040.3</v>
      </c>
      <c r="L185" s="1">
        <v>1769.5</v>
      </c>
      <c r="M185" s="1">
        <v>78220.399999999994</v>
      </c>
      <c r="N185" s="1">
        <v>97736.1</v>
      </c>
      <c r="O185" s="1">
        <v>94691.9</v>
      </c>
      <c r="P185" s="1">
        <v>53672</v>
      </c>
      <c r="Q185" s="1">
        <v>83553</v>
      </c>
      <c r="R185" s="1">
        <v>0</v>
      </c>
    </row>
    <row r="186" spans="1:18">
      <c r="A186" s="3">
        <v>45907.666661921299</v>
      </c>
      <c r="B186" s="1">
        <v>695346</v>
      </c>
      <c r="C186" s="1">
        <v>149436</v>
      </c>
      <c r="D186" s="1">
        <v>46084.9</v>
      </c>
      <c r="E186" s="1">
        <v>0</v>
      </c>
      <c r="F186" s="1">
        <v>412279</v>
      </c>
      <c r="G186" s="1">
        <v>74009.899999999994</v>
      </c>
      <c r="H186" s="1">
        <v>375157</v>
      </c>
      <c r="I186" s="1">
        <v>676384</v>
      </c>
      <c r="J186" s="1">
        <v>51751.1</v>
      </c>
      <c r="K186" s="1">
        <v>89040.3</v>
      </c>
      <c r="L186" s="1">
        <v>1791</v>
      </c>
      <c r="M186" s="1">
        <v>78266.100000000006</v>
      </c>
      <c r="N186" s="1">
        <v>97787.199999999997</v>
      </c>
      <c r="O186" s="1">
        <v>94711.1</v>
      </c>
      <c r="P186" s="1">
        <v>53676</v>
      </c>
      <c r="Q186" s="1">
        <v>83559</v>
      </c>
      <c r="R186" s="1">
        <v>0</v>
      </c>
    </row>
    <row r="187" spans="1:18">
      <c r="A187" s="3">
        <v>45907.708328530091</v>
      </c>
      <c r="B187" s="1">
        <v>696198</v>
      </c>
      <c r="C187" s="1">
        <v>149661</v>
      </c>
      <c r="D187" s="1">
        <v>46110.9</v>
      </c>
      <c r="E187" s="1">
        <v>0</v>
      </c>
      <c r="F187" s="1">
        <v>412299</v>
      </c>
      <c r="G187" s="1">
        <v>74066.3</v>
      </c>
      <c r="H187" s="1">
        <v>375171</v>
      </c>
      <c r="I187" s="1">
        <v>676673</v>
      </c>
      <c r="J187" s="1">
        <v>51760.6</v>
      </c>
      <c r="K187" s="1">
        <v>89040.6</v>
      </c>
      <c r="L187" s="1">
        <v>1813.3</v>
      </c>
      <c r="M187" s="1">
        <v>78315.199999999997</v>
      </c>
      <c r="N187" s="1">
        <v>97839.2</v>
      </c>
      <c r="O187" s="1">
        <v>94731.1</v>
      </c>
      <c r="P187" s="1">
        <v>53680</v>
      </c>
      <c r="Q187" s="1">
        <v>83566</v>
      </c>
      <c r="R187" s="1">
        <v>0</v>
      </c>
    </row>
    <row r="188" spans="1:18">
      <c r="A188" s="3">
        <v>45907.749995138889</v>
      </c>
      <c r="B188" s="1">
        <v>697029</v>
      </c>
      <c r="C188" s="1">
        <v>149880</v>
      </c>
      <c r="D188" s="1">
        <v>46130.6</v>
      </c>
      <c r="E188" s="1">
        <v>0</v>
      </c>
      <c r="F188" s="1">
        <v>412321</v>
      </c>
      <c r="G188" s="1">
        <v>74127.600000000006</v>
      </c>
      <c r="H188" s="1">
        <v>375183</v>
      </c>
      <c r="I188" s="1">
        <v>676950</v>
      </c>
      <c r="J188" s="1">
        <v>51768.2</v>
      </c>
      <c r="K188" s="1">
        <v>89043.1</v>
      </c>
      <c r="L188" s="1">
        <v>1834.8</v>
      </c>
      <c r="M188" s="1">
        <v>78360.399999999994</v>
      </c>
      <c r="N188" s="1">
        <v>97893.4</v>
      </c>
      <c r="O188" s="1">
        <v>94750.8</v>
      </c>
      <c r="P188" s="1">
        <v>53681</v>
      </c>
      <c r="Q188" s="1">
        <v>83568</v>
      </c>
      <c r="R188" s="1">
        <v>0</v>
      </c>
    </row>
    <row r="189" spans="1:18">
      <c r="A189" s="3">
        <v>45907.791661747688</v>
      </c>
      <c r="B189" s="1">
        <v>697805</v>
      </c>
      <c r="C189" s="1">
        <v>150078</v>
      </c>
      <c r="D189" s="1">
        <v>46148</v>
      </c>
      <c r="E189" s="1">
        <v>0</v>
      </c>
      <c r="F189" s="1">
        <v>412339</v>
      </c>
      <c r="G189" s="1">
        <v>74187.399999999994</v>
      </c>
      <c r="H189" s="1">
        <v>375196</v>
      </c>
      <c r="I189" s="1">
        <v>677207</v>
      </c>
      <c r="J189" s="1">
        <v>51779.3</v>
      </c>
      <c r="K189" s="1">
        <v>89046.5</v>
      </c>
      <c r="L189" s="1">
        <v>1856.3</v>
      </c>
      <c r="M189" s="1">
        <v>78403.199999999997</v>
      </c>
      <c r="N189" s="1">
        <v>97947.6</v>
      </c>
      <c r="O189" s="1">
        <v>94767.6</v>
      </c>
      <c r="P189" s="1">
        <v>53681</v>
      </c>
      <c r="Q189" s="1">
        <v>83568</v>
      </c>
      <c r="R189" s="1">
        <v>0</v>
      </c>
    </row>
    <row r="190" spans="1:18">
      <c r="A190" s="3">
        <v>45907.833328356479</v>
      </c>
      <c r="B190" s="1">
        <v>698621</v>
      </c>
      <c r="C190" s="1">
        <v>150277</v>
      </c>
      <c r="D190" s="1">
        <v>46165.5</v>
      </c>
      <c r="E190" s="1">
        <v>0</v>
      </c>
      <c r="F190" s="1">
        <v>412356</v>
      </c>
      <c r="G190" s="1">
        <v>74254.3</v>
      </c>
      <c r="H190" s="1">
        <v>375208</v>
      </c>
      <c r="I190" s="1">
        <v>677471</v>
      </c>
      <c r="J190" s="1">
        <v>51809</v>
      </c>
      <c r="K190" s="1">
        <v>89050.3</v>
      </c>
      <c r="L190" s="1">
        <v>1879</v>
      </c>
      <c r="M190" s="1">
        <v>78448.3</v>
      </c>
      <c r="N190" s="1">
        <v>98002.5</v>
      </c>
      <c r="O190" s="1">
        <v>94787.4</v>
      </c>
      <c r="P190" s="1">
        <v>53681</v>
      </c>
      <c r="Q190" s="1">
        <v>83568</v>
      </c>
      <c r="R190" s="1">
        <v>0</v>
      </c>
    </row>
    <row r="191" spans="1:18">
      <c r="A191" s="3">
        <v>45907.874994965277</v>
      </c>
      <c r="B191" s="1">
        <v>699401</v>
      </c>
      <c r="C191" s="1">
        <v>150473</v>
      </c>
      <c r="D191" s="1">
        <v>46182.6</v>
      </c>
      <c r="E191" s="1">
        <v>0</v>
      </c>
      <c r="F191" s="1">
        <v>412374</v>
      </c>
      <c r="G191" s="1">
        <v>74315.100000000006</v>
      </c>
      <c r="H191" s="1">
        <v>375221</v>
      </c>
      <c r="I191" s="1">
        <v>677729</v>
      </c>
      <c r="J191" s="1">
        <v>51815.4</v>
      </c>
      <c r="K191" s="1">
        <v>89053.9</v>
      </c>
      <c r="L191" s="1">
        <v>1902.8</v>
      </c>
      <c r="M191" s="1">
        <v>78494.600000000006</v>
      </c>
      <c r="N191" s="1">
        <v>98056.5</v>
      </c>
      <c r="O191" s="1">
        <v>94807.9</v>
      </c>
      <c r="P191" s="1">
        <v>53681</v>
      </c>
      <c r="Q191" s="1">
        <v>83568</v>
      </c>
      <c r="R191" s="1">
        <v>0</v>
      </c>
    </row>
    <row r="192" spans="1:18">
      <c r="A192" s="3">
        <v>45907.916661574076</v>
      </c>
      <c r="B192" s="1">
        <v>700166</v>
      </c>
      <c r="C192" s="1">
        <v>150669</v>
      </c>
      <c r="D192" s="1">
        <v>46199.5</v>
      </c>
      <c r="E192" s="1">
        <v>0</v>
      </c>
      <c r="F192" s="1">
        <v>412391</v>
      </c>
      <c r="G192" s="1">
        <v>74372.5</v>
      </c>
      <c r="H192" s="1">
        <v>375234</v>
      </c>
      <c r="I192" s="1">
        <v>677983</v>
      </c>
      <c r="J192" s="1">
        <v>51820.9</v>
      </c>
      <c r="K192" s="1">
        <v>89057.4</v>
      </c>
      <c r="L192" s="1">
        <v>1926.3</v>
      </c>
      <c r="M192" s="1">
        <v>78537.399999999994</v>
      </c>
      <c r="N192" s="1">
        <v>98110.9</v>
      </c>
      <c r="O192" s="1">
        <v>94828.9</v>
      </c>
      <c r="P192" s="1">
        <v>53681</v>
      </c>
      <c r="Q192" s="1">
        <v>83568</v>
      </c>
      <c r="R192" s="1">
        <v>0</v>
      </c>
    </row>
    <row r="193" spans="1:18">
      <c r="A193" s="3">
        <v>45907.958328182867</v>
      </c>
      <c r="B193" s="1">
        <v>700925</v>
      </c>
      <c r="C193" s="1">
        <v>150857</v>
      </c>
      <c r="D193" s="1">
        <v>46219.7</v>
      </c>
      <c r="E193" s="1">
        <v>0</v>
      </c>
      <c r="F193" s="1">
        <v>412407</v>
      </c>
      <c r="G193" s="1">
        <v>74428.899999999994</v>
      </c>
      <c r="H193" s="1">
        <v>375247</v>
      </c>
      <c r="I193" s="1">
        <v>678242</v>
      </c>
      <c r="J193" s="1">
        <v>51826.3</v>
      </c>
      <c r="K193" s="1">
        <v>89060.7</v>
      </c>
      <c r="L193" s="1">
        <v>1949.9</v>
      </c>
      <c r="M193" s="1">
        <v>78578.100000000006</v>
      </c>
      <c r="N193" s="1">
        <v>98164.9</v>
      </c>
      <c r="O193" s="1">
        <v>94847.4</v>
      </c>
      <c r="P193" s="1">
        <v>53681</v>
      </c>
      <c r="Q193" s="1">
        <v>83568</v>
      </c>
      <c r="R193" s="1">
        <v>0</v>
      </c>
    </row>
    <row r="194" spans="1:18">
      <c r="A194" s="3">
        <v>45907.999994791666</v>
      </c>
      <c r="B194" s="1">
        <v>701682</v>
      </c>
      <c r="C194" s="1">
        <v>151044</v>
      </c>
      <c r="D194" s="1">
        <v>46238.8</v>
      </c>
      <c r="E194" s="1">
        <v>0</v>
      </c>
      <c r="F194" s="1">
        <v>412423</v>
      </c>
      <c r="G194" s="1">
        <v>74487.3</v>
      </c>
      <c r="H194" s="1">
        <v>375260</v>
      </c>
      <c r="I194" s="1">
        <v>678499</v>
      </c>
      <c r="J194" s="1">
        <v>51832</v>
      </c>
      <c r="K194" s="1">
        <v>89064.1</v>
      </c>
      <c r="L194" s="1">
        <v>1973.2</v>
      </c>
      <c r="M194" s="1">
        <v>78618.399999999994</v>
      </c>
      <c r="N194" s="1">
        <v>98219.199999999997</v>
      </c>
      <c r="O194" s="1">
        <v>94867</v>
      </c>
      <c r="P194" s="1">
        <v>53681</v>
      </c>
      <c r="Q194" s="1">
        <v>83568</v>
      </c>
      <c r="R194" s="1">
        <v>0</v>
      </c>
    </row>
    <row r="195" spans="1:18">
      <c r="A195" s="3">
        <v>45908.041661400464</v>
      </c>
      <c r="B195" s="1">
        <v>702427</v>
      </c>
      <c r="C195" s="1">
        <v>151230</v>
      </c>
      <c r="D195" s="1">
        <v>46256.3</v>
      </c>
      <c r="E195" s="1">
        <v>0</v>
      </c>
      <c r="F195" s="1">
        <v>412441</v>
      </c>
      <c r="G195" s="1">
        <v>74545.899999999994</v>
      </c>
      <c r="H195" s="1">
        <v>375273</v>
      </c>
      <c r="I195" s="1">
        <v>678749</v>
      </c>
      <c r="J195" s="1">
        <v>51837.1</v>
      </c>
      <c r="K195" s="1">
        <v>89067.5</v>
      </c>
      <c r="L195" s="1">
        <v>1996</v>
      </c>
      <c r="M195" s="1">
        <v>78659</v>
      </c>
      <c r="N195" s="1">
        <v>98273.7</v>
      </c>
      <c r="O195" s="1">
        <v>94884.1</v>
      </c>
      <c r="P195" s="1">
        <v>53681</v>
      </c>
      <c r="Q195" s="1">
        <v>83568</v>
      </c>
      <c r="R195" s="1">
        <v>0</v>
      </c>
    </row>
    <row r="196" spans="1:18">
      <c r="A196" s="3">
        <v>45908.083328009256</v>
      </c>
      <c r="B196" s="1">
        <v>703162</v>
      </c>
      <c r="C196" s="1">
        <v>151413</v>
      </c>
      <c r="D196" s="1">
        <v>46272.5</v>
      </c>
      <c r="E196" s="1">
        <v>0</v>
      </c>
      <c r="F196" s="1">
        <v>412459</v>
      </c>
      <c r="G196" s="1">
        <v>74600.800000000003</v>
      </c>
      <c r="H196" s="1">
        <v>375285</v>
      </c>
      <c r="I196" s="1">
        <v>678995</v>
      </c>
      <c r="J196" s="1">
        <v>51842.6</v>
      </c>
      <c r="K196" s="1">
        <v>89070.9</v>
      </c>
      <c r="L196" s="1">
        <v>2016.5</v>
      </c>
      <c r="M196" s="1">
        <v>78701.600000000006</v>
      </c>
      <c r="N196" s="1">
        <v>98328.4</v>
      </c>
      <c r="O196" s="1">
        <v>94904.1</v>
      </c>
      <c r="P196" s="1">
        <v>53681</v>
      </c>
      <c r="Q196" s="1">
        <v>83568</v>
      </c>
      <c r="R196" s="1">
        <v>0</v>
      </c>
    </row>
    <row r="197" spans="1:18">
      <c r="A197" s="3">
        <v>45908.124994618054</v>
      </c>
      <c r="B197" s="1">
        <v>703883</v>
      </c>
      <c r="C197" s="1">
        <v>151599</v>
      </c>
      <c r="D197" s="1">
        <v>46287.7</v>
      </c>
      <c r="E197" s="1">
        <v>0</v>
      </c>
      <c r="F197" s="1">
        <v>412476</v>
      </c>
      <c r="G197" s="1">
        <v>74651.8</v>
      </c>
      <c r="H197" s="1">
        <v>375298</v>
      </c>
      <c r="I197" s="1">
        <v>679234</v>
      </c>
      <c r="J197" s="1">
        <v>51847.5</v>
      </c>
      <c r="K197" s="1">
        <v>89074.4</v>
      </c>
      <c r="L197" s="1">
        <v>2038.2</v>
      </c>
      <c r="M197" s="1">
        <v>78742.2</v>
      </c>
      <c r="N197" s="1">
        <v>98382.9</v>
      </c>
      <c r="O197" s="1">
        <v>94922.8</v>
      </c>
      <c r="P197" s="1">
        <v>53681</v>
      </c>
      <c r="Q197" s="1">
        <v>83568</v>
      </c>
      <c r="R197" s="1">
        <v>0</v>
      </c>
    </row>
    <row r="198" spans="1:18">
      <c r="A198" s="3">
        <v>45908.166661226853</v>
      </c>
      <c r="B198" s="1">
        <v>704604</v>
      </c>
      <c r="C198" s="1">
        <v>151783</v>
      </c>
      <c r="D198" s="1">
        <v>46302.8</v>
      </c>
      <c r="E198" s="1">
        <v>0</v>
      </c>
      <c r="F198" s="1">
        <v>412491</v>
      </c>
      <c r="G198" s="1">
        <v>74703.100000000006</v>
      </c>
      <c r="H198" s="1">
        <v>375310</v>
      </c>
      <c r="I198" s="1">
        <v>679477</v>
      </c>
      <c r="J198" s="1">
        <v>51852.6</v>
      </c>
      <c r="K198" s="1">
        <v>89077.8</v>
      </c>
      <c r="L198" s="1">
        <v>2060.8000000000002</v>
      </c>
      <c r="M198" s="1">
        <v>78781.7</v>
      </c>
      <c r="N198" s="1">
        <v>98437.6</v>
      </c>
      <c r="O198" s="1">
        <v>94941</v>
      </c>
      <c r="P198" s="1">
        <v>53681</v>
      </c>
      <c r="Q198" s="1">
        <v>83568</v>
      </c>
      <c r="R198" s="1">
        <v>0</v>
      </c>
    </row>
    <row r="199" spans="1:18">
      <c r="A199" s="3">
        <v>45908.208327835651</v>
      </c>
      <c r="B199" s="1">
        <v>705327</v>
      </c>
      <c r="C199" s="1">
        <v>151966</v>
      </c>
      <c r="D199" s="1">
        <v>46318</v>
      </c>
      <c r="E199" s="1">
        <v>0</v>
      </c>
      <c r="F199" s="1">
        <v>412506</v>
      </c>
      <c r="G199" s="1">
        <v>74754.3</v>
      </c>
      <c r="H199" s="1">
        <v>375323</v>
      </c>
      <c r="I199" s="1">
        <v>679718</v>
      </c>
      <c r="J199" s="1">
        <v>51857.8</v>
      </c>
      <c r="K199" s="1">
        <v>89081.2</v>
      </c>
      <c r="L199" s="1">
        <v>2087.9</v>
      </c>
      <c r="M199" s="1">
        <v>78820.899999999994</v>
      </c>
      <c r="N199" s="1">
        <v>98493.6</v>
      </c>
      <c r="O199" s="1">
        <v>94960.7</v>
      </c>
      <c r="P199" s="1">
        <v>53681</v>
      </c>
      <c r="Q199" s="1">
        <v>83568</v>
      </c>
      <c r="R199" s="1">
        <v>0</v>
      </c>
    </row>
    <row r="200" spans="1:18">
      <c r="A200" s="3">
        <v>45908.249994444443</v>
      </c>
      <c r="B200" s="1">
        <v>706055</v>
      </c>
      <c r="C200" s="1">
        <v>152147</v>
      </c>
      <c r="D200" s="1">
        <v>46333</v>
      </c>
      <c r="E200" s="1">
        <v>0</v>
      </c>
      <c r="F200" s="1">
        <v>412521</v>
      </c>
      <c r="G200" s="1">
        <v>74805.3</v>
      </c>
      <c r="H200" s="1">
        <v>375336</v>
      </c>
      <c r="I200" s="1">
        <v>679961</v>
      </c>
      <c r="J200" s="1">
        <v>51862.9</v>
      </c>
      <c r="K200" s="1">
        <v>89084.5</v>
      </c>
      <c r="L200" s="1">
        <v>2116.6</v>
      </c>
      <c r="M200" s="1">
        <v>78860.399999999994</v>
      </c>
      <c r="N200" s="1">
        <v>98548.3</v>
      </c>
      <c r="O200" s="1">
        <v>94981.9</v>
      </c>
      <c r="P200" s="1">
        <v>53681</v>
      </c>
      <c r="Q200" s="1">
        <v>83568</v>
      </c>
      <c r="R200" s="1">
        <v>0</v>
      </c>
    </row>
    <row r="201" spans="1:18">
      <c r="A201" s="3">
        <v>45908.291661053241</v>
      </c>
      <c r="B201" s="1">
        <v>706782</v>
      </c>
      <c r="C201" s="1">
        <v>152329</v>
      </c>
      <c r="D201" s="1">
        <v>46347.8</v>
      </c>
      <c r="E201" s="1">
        <v>0</v>
      </c>
      <c r="F201" s="1">
        <v>412535</v>
      </c>
      <c r="G201" s="1">
        <v>74854.899999999994</v>
      </c>
      <c r="H201" s="1">
        <v>375349</v>
      </c>
      <c r="I201" s="1">
        <v>680208</v>
      </c>
      <c r="J201" s="1">
        <v>51867.8</v>
      </c>
      <c r="K201" s="1">
        <v>89087.6</v>
      </c>
      <c r="L201" s="1">
        <v>2141.1</v>
      </c>
      <c r="M201" s="1">
        <v>78901.899999999994</v>
      </c>
      <c r="N201" s="1">
        <v>98601.8</v>
      </c>
      <c r="O201" s="1">
        <v>95003.5</v>
      </c>
      <c r="P201" s="1">
        <v>53681</v>
      </c>
      <c r="Q201" s="1">
        <v>83568</v>
      </c>
      <c r="R201" s="1">
        <v>0</v>
      </c>
    </row>
    <row r="202" spans="1:18">
      <c r="A202" s="3">
        <v>45908.33332766204</v>
      </c>
      <c r="B202" s="1">
        <v>707516</v>
      </c>
      <c r="C202" s="1">
        <v>152512</v>
      </c>
      <c r="D202" s="1">
        <v>46361.9</v>
      </c>
      <c r="E202" s="1">
        <v>0</v>
      </c>
      <c r="F202" s="1">
        <v>412551</v>
      </c>
      <c r="G202" s="1">
        <v>74903.100000000006</v>
      </c>
      <c r="H202" s="1">
        <v>375361</v>
      </c>
      <c r="I202" s="1">
        <v>680454</v>
      </c>
      <c r="J202" s="1">
        <v>51872.6</v>
      </c>
      <c r="K202" s="1">
        <v>89090.4</v>
      </c>
      <c r="L202" s="1">
        <v>2165.1999999999998</v>
      </c>
      <c r="M202" s="1">
        <v>78941.5</v>
      </c>
      <c r="N202" s="1">
        <v>98655.7</v>
      </c>
      <c r="O202" s="1">
        <v>95030.8</v>
      </c>
      <c r="P202" s="1">
        <v>53682</v>
      </c>
      <c r="Q202" s="1">
        <v>83568</v>
      </c>
      <c r="R202" s="1">
        <v>0</v>
      </c>
    </row>
    <row r="203" spans="1:18">
      <c r="A203" s="3">
        <v>45908.374994270831</v>
      </c>
      <c r="B203" s="1">
        <v>708364</v>
      </c>
      <c r="C203" s="1">
        <v>152725</v>
      </c>
      <c r="D203" s="1">
        <v>46382.1</v>
      </c>
      <c r="E203" s="1">
        <v>0</v>
      </c>
      <c r="F203" s="1">
        <v>412572</v>
      </c>
      <c r="G203" s="1">
        <v>74956.3</v>
      </c>
      <c r="H203" s="1">
        <v>375376</v>
      </c>
      <c r="I203" s="1">
        <v>680739</v>
      </c>
      <c r="J203" s="1">
        <v>51877.3</v>
      </c>
      <c r="K203" s="1">
        <v>89094.6</v>
      </c>
      <c r="L203" s="1">
        <v>2196</v>
      </c>
      <c r="M203" s="1">
        <v>78985.399999999994</v>
      </c>
      <c r="N203" s="1">
        <v>98709.6</v>
      </c>
      <c r="O203" s="1">
        <v>95067.6</v>
      </c>
      <c r="P203" s="1">
        <v>53683</v>
      </c>
      <c r="Q203" s="1">
        <v>83571</v>
      </c>
      <c r="R203" s="1">
        <v>0</v>
      </c>
    </row>
    <row r="204" spans="1:18">
      <c r="A204" s="3">
        <v>45908.416666666664</v>
      </c>
      <c r="B204" s="1">
        <v>709477</v>
      </c>
      <c r="C204" s="1">
        <v>153020</v>
      </c>
      <c r="D204" s="1">
        <v>46414</v>
      </c>
      <c r="E204" s="1">
        <v>0</v>
      </c>
      <c r="F204" s="1">
        <v>412601</v>
      </c>
      <c r="G204" s="1">
        <v>75016.3</v>
      </c>
      <c r="H204" s="1">
        <v>375423</v>
      </c>
      <c r="I204" s="1">
        <v>681103</v>
      </c>
      <c r="J204" s="1">
        <v>51882.8</v>
      </c>
      <c r="K204" s="1">
        <v>89099.6</v>
      </c>
      <c r="L204" s="1">
        <v>2230.1</v>
      </c>
      <c r="M204" s="1">
        <v>79032.899999999994</v>
      </c>
      <c r="N204" s="1">
        <v>98763.5</v>
      </c>
      <c r="O204" s="1">
        <v>95125.2</v>
      </c>
      <c r="P204" s="1">
        <v>53686</v>
      </c>
      <c r="Q204" s="1">
        <v>83575</v>
      </c>
      <c r="R204" s="1">
        <v>0</v>
      </c>
    </row>
    <row r="205" spans="1:18">
      <c r="A205" s="3">
        <v>45908.458333333336</v>
      </c>
      <c r="B205" s="1">
        <v>710750</v>
      </c>
      <c r="C205" s="1">
        <v>153364</v>
      </c>
      <c r="D205" s="1">
        <v>46449.2</v>
      </c>
      <c r="E205" s="1">
        <v>0</v>
      </c>
      <c r="F205" s="1">
        <v>412651</v>
      </c>
      <c r="G205" s="1">
        <v>75094.2</v>
      </c>
      <c r="H205" s="1">
        <v>375452</v>
      </c>
      <c r="I205" s="1">
        <v>681536</v>
      </c>
      <c r="J205" s="1">
        <v>51887.7</v>
      </c>
      <c r="K205" s="1">
        <v>89105.5</v>
      </c>
      <c r="L205" s="1">
        <v>2266.6999999999998</v>
      </c>
      <c r="M205" s="1">
        <v>79080.899999999994</v>
      </c>
      <c r="N205" s="1">
        <v>98819.4</v>
      </c>
      <c r="O205" s="1">
        <v>95195.3</v>
      </c>
      <c r="P205" s="1">
        <v>53689</v>
      </c>
      <c r="Q205" s="1">
        <v>83580</v>
      </c>
      <c r="R205" s="1">
        <v>0</v>
      </c>
    </row>
    <row r="206" spans="1:18">
      <c r="A206" s="3">
        <v>45908.500000057873</v>
      </c>
      <c r="B206" s="1">
        <v>712072</v>
      </c>
      <c r="C206" s="1">
        <v>153719</v>
      </c>
      <c r="D206" s="1">
        <v>46482.9</v>
      </c>
      <c r="E206" s="1">
        <v>0</v>
      </c>
      <c r="F206" s="1">
        <v>412711</v>
      </c>
      <c r="G206" s="1">
        <v>75164.3</v>
      </c>
      <c r="H206" s="1">
        <v>375488</v>
      </c>
      <c r="I206" s="1">
        <v>682001</v>
      </c>
      <c r="J206" s="1">
        <v>51893.1</v>
      </c>
      <c r="K206" s="1">
        <v>89106</v>
      </c>
      <c r="L206" s="1">
        <v>2311.6</v>
      </c>
      <c r="M206" s="1">
        <v>79131.8</v>
      </c>
      <c r="N206" s="1">
        <v>98867.6</v>
      </c>
      <c r="O206" s="1">
        <v>95261.5</v>
      </c>
      <c r="P206" s="1">
        <v>53700</v>
      </c>
      <c r="Q206" s="1">
        <v>83597</v>
      </c>
      <c r="R206" s="1">
        <v>0</v>
      </c>
    </row>
    <row r="207" spans="1:18">
      <c r="A207" s="3">
        <v>45908.54166678241</v>
      </c>
      <c r="B207" s="1">
        <v>713487</v>
      </c>
      <c r="C207" s="1">
        <v>154083</v>
      </c>
      <c r="D207" s="1">
        <v>46527.1</v>
      </c>
      <c r="E207" s="1">
        <v>0</v>
      </c>
      <c r="F207" s="1">
        <v>412765</v>
      </c>
      <c r="G207" s="1">
        <v>75244.2</v>
      </c>
      <c r="H207" s="1">
        <v>375557</v>
      </c>
      <c r="I207" s="1">
        <v>682492</v>
      </c>
      <c r="J207" s="1">
        <v>51899.1</v>
      </c>
      <c r="K207" s="1">
        <v>89106.2</v>
      </c>
      <c r="L207" s="1">
        <v>2358.1</v>
      </c>
      <c r="M207" s="1">
        <v>79187</v>
      </c>
      <c r="N207" s="1">
        <v>98914.9</v>
      </c>
      <c r="O207" s="1">
        <v>95330.9</v>
      </c>
      <c r="P207" s="1">
        <v>53712</v>
      </c>
      <c r="Q207" s="1">
        <v>83615</v>
      </c>
      <c r="R207" s="1">
        <v>0</v>
      </c>
    </row>
    <row r="208" spans="1:18">
      <c r="A208" s="3">
        <v>45908.583333506947</v>
      </c>
      <c r="B208" s="1">
        <v>714956</v>
      </c>
      <c r="C208" s="1">
        <v>154477</v>
      </c>
      <c r="D208" s="1">
        <v>46574.2</v>
      </c>
      <c r="E208" s="1">
        <v>0</v>
      </c>
      <c r="F208" s="1">
        <v>412821</v>
      </c>
      <c r="G208" s="1">
        <v>75325.5</v>
      </c>
      <c r="H208" s="1">
        <v>375604</v>
      </c>
      <c r="I208" s="1">
        <v>682994</v>
      </c>
      <c r="J208" s="1">
        <v>51909</v>
      </c>
      <c r="K208" s="1">
        <v>89106.3</v>
      </c>
      <c r="L208" s="1">
        <v>2408.4</v>
      </c>
      <c r="M208" s="1">
        <v>79248</v>
      </c>
      <c r="N208" s="1">
        <v>98959.1</v>
      </c>
      <c r="O208" s="1">
        <v>95406.8</v>
      </c>
      <c r="P208" s="1">
        <v>53727</v>
      </c>
      <c r="Q208" s="1">
        <v>83638</v>
      </c>
      <c r="R208" s="1">
        <v>0</v>
      </c>
    </row>
    <row r="209" spans="1:18">
      <c r="A209" s="3">
        <v>45908.625000231485</v>
      </c>
      <c r="B209" s="1">
        <v>716448</v>
      </c>
      <c r="C209" s="1">
        <v>154878</v>
      </c>
      <c r="D209" s="1">
        <v>46618.5</v>
      </c>
      <c r="E209" s="1">
        <v>0</v>
      </c>
      <c r="F209" s="1">
        <v>412871</v>
      </c>
      <c r="G209" s="1">
        <v>75429.7</v>
      </c>
      <c r="H209" s="1">
        <v>375653</v>
      </c>
      <c r="I209" s="1">
        <v>683485</v>
      </c>
      <c r="J209" s="1">
        <v>51919.1</v>
      </c>
      <c r="K209" s="1">
        <v>89110.3</v>
      </c>
      <c r="L209" s="1">
        <v>2459.6</v>
      </c>
      <c r="M209" s="1">
        <v>79307.399999999994</v>
      </c>
      <c r="N209" s="1">
        <v>99012.7</v>
      </c>
      <c r="O209" s="1">
        <v>95463.4</v>
      </c>
      <c r="P209" s="1">
        <v>53735</v>
      </c>
      <c r="Q209" s="1">
        <v>83650</v>
      </c>
      <c r="R209" s="1">
        <v>0</v>
      </c>
    </row>
    <row r="210" spans="1:18">
      <c r="A210" s="3">
        <v>45908.666666956022</v>
      </c>
      <c r="B210" s="1">
        <v>717903</v>
      </c>
      <c r="C210" s="1">
        <v>155286</v>
      </c>
      <c r="D210" s="1">
        <v>46661.1</v>
      </c>
      <c r="E210" s="1">
        <v>0</v>
      </c>
      <c r="F210" s="1">
        <v>412920</v>
      </c>
      <c r="G210" s="1">
        <v>75526.3</v>
      </c>
      <c r="H210" s="1">
        <v>375720</v>
      </c>
      <c r="I210" s="1">
        <v>683957</v>
      </c>
      <c r="J210" s="1">
        <v>51929.2</v>
      </c>
      <c r="K210" s="1">
        <v>89110.9</v>
      </c>
      <c r="L210" s="1">
        <v>2511.5</v>
      </c>
      <c r="M210" s="1">
        <v>79365.2</v>
      </c>
      <c r="N210" s="1">
        <v>99063.2</v>
      </c>
      <c r="O210" s="1">
        <v>95496.7</v>
      </c>
      <c r="P210" s="1">
        <v>53746</v>
      </c>
      <c r="Q210" s="1">
        <v>83666</v>
      </c>
      <c r="R210" s="1">
        <v>0</v>
      </c>
    </row>
    <row r="211" spans="1:18">
      <c r="A211" s="3">
        <v>45908.708333680559</v>
      </c>
      <c r="B211" s="1">
        <v>719334</v>
      </c>
      <c r="C211" s="1">
        <v>155693</v>
      </c>
      <c r="D211" s="1">
        <v>46701.9</v>
      </c>
      <c r="E211" s="1">
        <v>0</v>
      </c>
      <c r="F211" s="1">
        <v>412974</v>
      </c>
      <c r="G211" s="1">
        <v>75629.8</v>
      </c>
      <c r="H211" s="1">
        <v>375767</v>
      </c>
      <c r="I211" s="1">
        <v>684416</v>
      </c>
      <c r="J211" s="1">
        <v>51939.6</v>
      </c>
      <c r="K211" s="1">
        <v>89114.5</v>
      </c>
      <c r="L211" s="1">
        <v>2560.8000000000002</v>
      </c>
      <c r="M211" s="1">
        <v>79420.5</v>
      </c>
      <c r="N211" s="1">
        <v>99118.1</v>
      </c>
      <c r="O211" s="1">
        <v>95527.1</v>
      </c>
      <c r="P211" s="1">
        <v>53752</v>
      </c>
      <c r="Q211" s="1">
        <v>83677</v>
      </c>
      <c r="R211" s="1">
        <v>0</v>
      </c>
    </row>
    <row r="212" spans="1:18">
      <c r="A212" s="3">
        <v>45908.750000405096</v>
      </c>
      <c r="B212" s="1">
        <v>720595</v>
      </c>
      <c r="C212" s="1">
        <v>156043</v>
      </c>
      <c r="D212" s="1">
        <v>46738.8</v>
      </c>
      <c r="E212" s="1">
        <v>0</v>
      </c>
      <c r="F212" s="1">
        <v>413014</v>
      </c>
      <c r="G212" s="1">
        <v>75720.3</v>
      </c>
      <c r="H212" s="1">
        <v>375811</v>
      </c>
      <c r="I212" s="1">
        <v>684825</v>
      </c>
      <c r="J212" s="1">
        <v>51948.800000000003</v>
      </c>
      <c r="K212" s="1">
        <v>89116.5</v>
      </c>
      <c r="L212" s="1">
        <v>2603.1</v>
      </c>
      <c r="M212" s="1">
        <v>79471.7</v>
      </c>
      <c r="N212" s="1">
        <v>99174.1</v>
      </c>
      <c r="O212" s="1">
        <v>95552.2</v>
      </c>
      <c r="P212" s="1">
        <v>53755</v>
      </c>
      <c r="Q212" s="1">
        <v>83681</v>
      </c>
      <c r="R212" s="1">
        <v>0</v>
      </c>
    </row>
    <row r="213" spans="1:18">
      <c r="A213" s="3">
        <v>45908.791667129626</v>
      </c>
      <c r="B213" s="1">
        <v>721673</v>
      </c>
      <c r="C213" s="1">
        <v>156323</v>
      </c>
      <c r="D213" s="1">
        <v>46767</v>
      </c>
      <c r="E213" s="1">
        <v>0</v>
      </c>
      <c r="F213" s="1">
        <v>413048</v>
      </c>
      <c r="G213" s="1">
        <v>75799.7</v>
      </c>
      <c r="H213" s="1">
        <v>375852</v>
      </c>
      <c r="I213" s="1">
        <v>685188</v>
      </c>
      <c r="J213" s="1">
        <v>51957.1</v>
      </c>
      <c r="K213" s="1">
        <v>89120.2</v>
      </c>
      <c r="L213" s="1">
        <v>2637</v>
      </c>
      <c r="M213" s="1">
        <v>79521.399999999994</v>
      </c>
      <c r="N213" s="1">
        <v>99232.1</v>
      </c>
      <c r="O213" s="1">
        <v>95574.6</v>
      </c>
      <c r="P213" s="1">
        <v>53755</v>
      </c>
      <c r="Q213" s="1">
        <v>83681</v>
      </c>
      <c r="R213" s="1">
        <v>0</v>
      </c>
    </row>
    <row r="214" spans="1:18">
      <c r="A214" s="3">
        <v>45908.833333854163</v>
      </c>
      <c r="B214" s="1">
        <v>722613</v>
      </c>
      <c r="C214" s="1">
        <v>156554</v>
      </c>
      <c r="D214" s="1">
        <v>46790</v>
      </c>
      <c r="E214" s="1">
        <v>0</v>
      </c>
      <c r="F214" s="1">
        <v>413077</v>
      </c>
      <c r="G214" s="1">
        <v>75872.7</v>
      </c>
      <c r="H214" s="1">
        <v>375883</v>
      </c>
      <c r="I214" s="1">
        <v>685514</v>
      </c>
      <c r="J214" s="1">
        <v>51964.9</v>
      </c>
      <c r="K214" s="1">
        <v>89124</v>
      </c>
      <c r="L214" s="1">
        <v>2663</v>
      </c>
      <c r="M214" s="1">
        <v>79568.800000000003</v>
      </c>
      <c r="N214" s="1">
        <v>99290.4</v>
      </c>
      <c r="O214" s="1">
        <v>95596.4</v>
      </c>
      <c r="P214" s="1">
        <v>53755</v>
      </c>
      <c r="Q214" s="1">
        <v>83681</v>
      </c>
      <c r="R214" s="1">
        <v>0</v>
      </c>
    </row>
    <row r="215" spans="1:18">
      <c r="A215" s="3">
        <v>45908.875000578701</v>
      </c>
      <c r="B215" s="1">
        <v>723498</v>
      </c>
      <c r="C215" s="1">
        <v>156772</v>
      </c>
      <c r="D215" s="1">
        <v>46810</v>
      </c>
      <c r="E215" s="1">
        <v>0</v>
      </c>
      <c r="F215" s="1">
        <v>413101</v>
      </c>
      <c r="G215" s="1">
        <v>75945.100000000006</v>
      </c>
      <c r="H215" s="1">
        <v>375904</v>
      </c>
      <c r="I215" s="1">
        <v>685816</v>
      </c>
      <c r="J215" s="1">
        <v>51972.800000000003</v>
      </c>
      <c r="K215" s="1">
        <v>89127.7</v>
      </c>
      <c r="L215" s="1">
        <v>2689.4</v>
      </c>
      <c r="M215" s="1">
        <v>79617.3</v>
      </c>
      <c r="N215" s="1">
        <v>99346.4</v>
      </c>
      <c r="O215" s="1">
        <v>95619.6</v>
      </c>
      <c r="P215" s="1">
        <v>53755</v>
      </c>
      <c r="Q215" s="1">
        <v>83681</v>
      </c>
      <c r="R215" s="1">
        <v>0</v>
      </c>
    </row>
    <row r="216" spans="1:18">
      <c r="A216" s="3">
        <v>45908.916667303238</v>
      </c>
      <c r="B216" s="1">
        <v>724351</v>
      </c>
      <c r="C216" s="1">
        <v>156984</v>
      </c>
      <c r="D216" s="1">
        <v>46826.2</v>
      </c>
      <c r="E216" s="1">
        <v>0</v>
      </c>
      <c r="F216" s="1">
        <v>413126</v>
      </c>
      <c r="G216" s="1">
        <v>76016.7</v>
      </c>
      <c r="H216" s="1">
        <v>375921</v>
      </c>
      <c r="I216" s="1">
        <v>686109</v>
      </c>
      <c r="J216" s="1">
        <v>51980.3</v>
      </c>
      <c r="K216" s="1">
        <v>89131.3</v>
      </c>
      <c r="L216" s="1">
        <v>2718.2</v>
      </c>
      <c r="M216" s="1">
        <v>79660.600000000006</v>
      </c>
      <c r="N216" s="1">
        <v>99401.5</v>
      </c>
      <c r="O216" s="1">
        <v>95641.3</v>
      </c>
      <c r="P216" s="1">
        <v>53755</v>
      </c>
      <c r="Q216" s="1">
        <v>83681</v>
      </c>
      <c r="R216" s="1">
        <v>0</v>
      </c>
    </row>
    <row r="217" spans="1:18">
      <c r="A217" s="3">
        <v>45908.958334027775</v>
      </c>
      <c r="B217" s="1">
        <v>725174</v>
      </c>
      <c r="C217" s="1">
        <v>157188</v>
      </c>
      <c r="D217" s="1">
        <v>46842.1</v>
      </c>
      <c r="E217" s="1">
        <v>0</v>
      </c>
      <c r="F217" s="1">
        <v>413150</v>
      </c>
      <c r="G217" s="1">
        <v>76085.600000000006</v>
      </c>
      <c r="H217" s="1">
        <v>375938</v>
      </c>
      <c r="I217" s="1">
        <v>686393</v>
      </c>
      <c r="J217" s="1">
        <v>51987.5</v>
      </c>
      <c r="K217" s="1">
        <v>89135</v>
      </c>
      <c r="L217" s="1">
        <v>2742.7</v>
      </c>
      <c r="M217" s="1">
        <v>79704.100000000006</v>
      </c>
      <c r="N217" s="1">
        <v>99456.9</v>
      </c>
      <c r="O217" s="1">
        <v>95659.3</v>
      </c>
      <c r="P217" s="1">
        <v>53755</v>
      </c>
      <c r="Q217" s="1">
        <v>83681</v>
      </c>
      <c r="R217" s="1">
        <v>0</v>
      </c>
    </row>
    <row r="218" spans="1:18">
      <c r="A218" s="3">
        <v>45909.000000752312</v>
      </c>
      <c r="B218" s="1">
        <v>725985</v>
      </c>
      <c r="C218" s="1">
        <v>157385</v>
      </c>
      <c r="D218" s="1">
        <v>46857.599999999999</v>
      </c>
      <c r="E218" s="1">
        <v>0</v>
      </c>
      <c r="F218" s="1">
        <v>413172</v>
      </c>
      <c r="G218" s="1">
        <v>76154.7</v>
      </c>
      <c r="H218" s="1">
        <v>375954</v>
      </c>
      <c r="I218" s="1">
        <v>686677</v>
      </c>
      <c r="J218" s="1">
        <v>51994.7</v>
      </c>
      <c r="K218" s="1">
        <v>89138.6</v>
      </c>
      <c r="L218" s="1">
        <v>2767</v>
      </c>
      <c r="M218" s="1">
        <v>79747.3</v>
      </c>
      <c r="N218" s="1">
        <v>99512</v>
      </c>
      <c r="O218" s="1">
        <v>95677.2</v>
      </c>
      <c r="P218" s="1">
        <v>53755</v>
      </c>
      <c r="Q218" s="1">
        <v>83681</v>
      </c>
      <c r="R218" s="1">
        <v>0</v>
      </c>
    </row>
    <row r="219" spans="1:18">
      <c r="A219" s="3">
        <v>45909.041667476849</v>
      </c>
      <c r="B219" s="1">
        <v>726764</v>
      </c>
      <c r="C219" s="1">
        <v>157566</v>
      </c>
      <c r="D219" s="1">
        <v>46872.5</v>
      </c>
      <c r="E219" s="1">
        <v>0</v>
      </c>
      <c r="F219" s="1">
        <v>413193</v>
      </c>
      <c r="G219" s="1">
        <v>76223.899999999994</v>
      </c>
      <c r="H219" s="1">
        <v>375972</v>
      </c>
      <c r="I219" s="1">
        <v>686951</v>
      </c>
      <c r="J219" s="1">
        <v>52001.3</v>
      </c>
      <c r="K219" s="1">
        <v>89142.1</v>
      </c>
      <c r="L219" s="1">
        <v>2788.9</v>
      </c>
      <c r="M219" s="1">
        <v>79789.8</v>
      </c>
      <c r="N219" s="1">
        <v>99567</v>
      </c>
      <c r="O219" s="1">
        <v>95694.399999999994</v>
      </c>
      <c r="P219" s="1">
        <v>53755</v>
      </c>
      <c r="Q219" s="1">
        <v>83681</v>
      </c>
      <c r="R219" s="1">
        <v>0</v>
      </c>
    </row>
    <row r="220" spans="1:18">
      <c r="A220" s="3">
        <v>45909.083334201387</v>
      </c>
      <c r="B220" s="1">
        <v>727514</v>
      </c>
      <c r="C220" s="1">
        <v>157736</v>
      </c>
      <c r="D220" s="1">
        <v>46887.4</v>
      </c>
      <c r="E220" s="1">
        <v>0</v>
      </c>
      <c r="F220" s="1">
        <v>413214</v>
      </c>
      <c r="G220" s="1">
        <v>76289.7</v>
      </c>
      <c r="H220" s="1">
        <v>375988</v>
      </c>
      <c r="I220" s="1">
        <v>687210</v>
      </c>
      <c r="J220" s="1">
        <v>52008.3</v>
      </c>
      <c r="K220" s="1">
        <v>89145.600000000006</v>
      </c>
      <c r="L220" s="1">
        <v>2810.5</v>
      </c>
      <c r="M220" s="1">
        <v>79835.199999999997</v>
      </c>
      <c r="N220" s="1">
        <v>99622</v>
      </c>
      <c r="O220" s="1">
        <v>95712</v>
      </c>
      <c r="P220" s="1">
        <v>53755</v>
      </c>
      <c r="Q220" s="1">
        <v>83681</v>
      </c>
      <c r="R220" s="1">
        <v>0</v>
      </c>
    </row>
    <row r="221" spans="1:18">
      <c r="A221" s="3">
        <v>45909.125000925924</v>
      </c>
      <c r="B221" s="1">
        <v>728255</v>
      </c>
      <c r="C221" s="1">
        <v>157908</v>
      </c>
      <c r="D221" s="1">
        <v>46902.400000000001</v>
      </c>
      <c r="E221" s="1">
        <v>0</v>
      </c>
      <c r="F221" s="1">
        <v>413233</v>
      </c>
      <c r="G221" s="1">
        <v>76353</v>
      </c>
      <c r="H221" s="1">
        <v>376004</v>
      </c>
      <c r="I221" s="1">
        <v>687464</v>
      </c>
      <c r="J221" s="1">
        <v>52015.199999999997</v>
      </c>
      <c r="K221" s="1">
        <v>89149</v>
      </c>
      <c r="L221" s="1">
        <v>2832.9</v>
      </c>
      <c r="M221" s="1">
        <v>79879.3</v>
      </c>
      <c r="N221" s="1">
        <v>99676.7</v>
      </c>
      <c r="O221" s="1">
        <v>95729.600000000006</v>
      </c>
      <c r="P221" s="1">
        <v>53755</v>
      </c>
      <c r="Q221" s="1">
        <v>83681</v>
      </c>
      <c r="R221" s="1">
        <v>0</v>
      </c>
    </row>
    <row r="222" spans="1:18">
      <c r="A222" s="3">
        <v>45909.166667650461</v>
      </c>
      <c r="B222" s="1">
        <v>728989</v>
      </c>
      <c r="C222" s="1">
        <v>158077</v>
      </c>
      <c r="D222" s="1">
        <v>46917</v>
      </c>
      <c r="E222" s="1">
        <v>0</v>
      </c>
      <c r="F222" s="1">
        <v>413252</v>
      </c>
      <c r="G222" s="1">
        <v>76419.199999999997</v>
      </c>
      <c r="H222" s="1">
        <v>376020</v>
      </c>
      <c r="I222" s="1">
        <v>687715</v>
      </c>
      <c r="J222" s="1">
        <v>52021.9</v>
      </c>
      <c r="K222" s="1">
        <v>89152.3</v>
      </c>
      <c r="L222" s="1">
        <v>2855.1</v>
      </c>
      <c r="M222" s="1">
        <v>79920.7</v>
      </c>
      <c r="N222" s="1">
        <v>99732</v>
      </c>
      <c r="O222" s="1">
        <v>95746.6</v>
      </c>
      <c r="P222" s="1">
        <v>53755</v>
      </c>
      <c r="Q222" s="1">
        <v>83681</v>
      </c>
      <c r="R222" s="1">
        <v>0</v>
      </c>
    </row>
    <row r="223" spans="1:18">
      <c r="A223" s="3">
        <v>45909.208334374998</v>
      </c>
      <c r="B223" s="1">
        <v>729716</v>
      </c>
      <c r="C223" s="1">
        <v>158246</v>
      </c>
      <c r="D223" s="1">
        <v>46932.2</v>
      </c>
      <c r="E223" s="1">
        <v>0</v>
      </c>
      <c r="F223" s="1">
        <v>413271</v>
      </c>
      <c r="G223" s="1">
        <v>76480.100000000006</v>
      </c>
      <c r="H223" s="1">
        <v>376036</v>
      </c>
      <c r="I223" s="1">
        <v>687961</v>
      </c>
      <c r="J223" s="1">
        <v>52028.3</v>
      </c>
      <c r="K223" s="1">
        <v>89155.8</v>
      </c>
      <c r="L223" s="1">
        <v>2877.4</v>
      </c>
      <c r="M223" s="1">
        <v>79963.100000000006</v>
      </c>
      <c r="N223" s="1">
        <v>99787.4</v>
      </c>
      <c r="O223" s="1">
        <v>95764.4</v>
      </c>
      <c r="P223" s="1">
        <v>53755</v>
      </c>
      <c r="Q223" s="1">
        <v>83681</v>
      </c>
      <c r="R223" s="1">
        <v>0</v>
      </c>
    </row>
    <row r="224" spans="1:18">
      <c r="A224" s="3">
        <v>45909.250001099535</v>
      </c>
      <c r="B224" s="1">
        <v>730446</v>
      </c>
      <c r="C224" s="1">
        <v>158417</v>
      </c>
      <c r="D224" s="1">
        <v>46947.4</v>
      </c>
      <c r="E224" s="1">
        <v>0</v>
      </c>
      <c r="F224" s="1">
        <v>413291</v>
      </c>
      <c r="G224" s="1">
        <v>76542.399999999994</v>
      </c>
      <c r="H224" s="1">
        <v>376051</v>
      </c>
      <c r="I224" s="1">
        <v>688204</v>
      </c>
      <c r="J224" s="1">
        <v>52035.4</v>
      </c>
      <c r="K224" s="1">
        <v>89159.7</v>
      </c>
      <c r="L224" s="1">
        <v>2899.9</v>
      </c>
      <c r="M224" s="1">
        <v>80005.5</v>
      </c>
      <c r="N224" s="1">
        <v>99842.7</v>
      </c>
      <c r="O224" s="1">
        <v>95784.3</v>
      </c>
      <c r="P224" s="1">
        <v>53755</v>
      </c>
      <c r="Q224" s="1">
        <v>83681</v>
      </c>
      <c r="R224" s="1">
        <v>0</v>
      </c>
    </row>
    <row r="225" spans="1:18">
      <c r="A225" s="3">
        <v>45909.291667824073</v>
      </c>
      <c r="B225" s="1">
        <v>731180</v>
      </c>
      <c r="C225" s="1">
        <v>158591</v>
      </c>
      <c r="D225" s="1">
        <v>46962.1</v>
      </c>
      <c r="E225" s="1">
        <v>0</v>
      </c>
      <c r="F225" s="1">
        <v>413310</v>
      </c>
      <c r="G225" s="1">
        <v>76602.3</v>
      </c>
      <c r="H225" s="1">
        <v>376067</v>
      </c>
      <c r="I225" s="1">
        <v>688457</v>
      </c>
      <c r="J225" s="1">
        <v>52041.9</v>
      </c>
      <c r="K225" s="1">
        <v>89162.8</v>
      </c>
      <c r="L225" s="1">
        <v>2920.8</v>
      </c>
      <c r="M225" s="1">
        <v>80045.7</v>
      </c>
      <c r="N225" s="1">
        <v>99897.4</v>
      </c>
      <c r="O225" s="1">
        <v>95804.1</v>
      </c>
      <c r="P225" s="1">
        <v>53756</v>
      </c>
      <c r="Q225" s="1">
        <v>83682</v>
      </c>
      <c r="R225" s="1">
        <v>0</v>
      </c>
    </row>
    <row r="226" spans="1:18">
      <c r="A226" s="3">
        <v>45909.33333454861</v>
      </c>
      <c r="B226" s="1">
        <v>731931</v>
      </c>
      <c r="C226" s="1">
        <v>158778</v>
      </c>
      <c r="D226" s="1">
        <v>46977.8</v>
      </c>
      <c r="E226" s="1">
        <v>0</v>
      </c>
      <c r="F226" s="1">
        <v>413331</v>
      </c>
      <c r="G226" s="1">
        <v>76660.899999999994</v>
      </c>
      <c r="H226" s="1">
        <v>376083</v>
      </c>
      <c r="I226" s="1">
        <v>688708</v>
      </c>
      <c r="J226" s="1">
        <v>52048.800000000003</v>
      </c>
      <c r="K226" s="1">
        <v>89163.6</v>
      </c>
      <c r="L226" s="1">
        <v>2944</v>
      </c>
      <c r="M226" s="1">
        <v>80088.899999999994</v>
      </c>
      <c r="N226" s="5">
        <v>99949.2</v>
      </c>
      <c r="O226" s="1">
        <v>95826</v>
      </c>
      <c r="P226" s="1">
        <v>53757</v>
      </c>
      <c r="Q226" s="1">
        <v>83685</v>
      </c>
      <c r="R226" s="1">
        <v>0</v>
      </c>
    </row>
    <row r="227" spans="1:18">
      <c r="A227" s="3">
        <v>45909.375001273147</v>
      </c>
      <c r="B227" s="1">
        <v>732805</v>
      </c>
      <c r="C227" s="1">
        <v>159002</v>
      </c>
      <c r="D227" s="1">
        <v>46995.4</v>
      </c>
      <c r="E227" s="1">
        <v>0</v>
      </c>
      <c r="F227" s="1">
        <v>413358</v>
      </c>
      <c r="G227" s="1">
        <v>76722.8</v>
      </c>
      <c r="H227" s="1">
        <v>376099</v>
      </c>
      <c r="I227" s="1">
        <v>688991</v>
      </c>
      <c r="J227" s="1">
        <v>52055.7</v>
      </c>
      <c r="K227" s="1">
        <v>89165.3</v>
      </c>
      <c r="L227" s="1">
        <v>2972.3</v>
      </c>
      <c r="M227" s="1">
        <v>80141.600000000006</v>
      </c>
      <c r="N227" s="5">
        <v>0.9</v>
      </c>
      <c r="O227" s="1">
        <v>95859.3</v>
      </c>
      <c r="P227" s="1">
        <v>53762</v>
      </c>
      <c r="Q227" s="1">
        <v>83692</v>
      </c>
      <c r="R227" s="1">
        <v>0</v>
      </c>
    </row>
    <row r="228" spans="1:18">
      <c r="A228" s="3">
        <v>45909.416667997684</v>
      </c>
      <c r="B228" s="1">
        <v>733943</v>
      </c>
      <c r="C228" s="1">
        <v>159303</v>
      </c>
      <c r="D228" s="1">
        <v>47021.4</v>
      </c>
      <c r="E228" s="1">
        <v>0</v>
      </c>
      <c r="F228" s="1">
        <v>413397</v>
      </c>
      <c r="G228" s="1">
        <v>76788.7</v>
      </c>
      <c r="H228" s="1">
        <v>376150</v>
      </c>
      <c r="I228" s="1">
        <v>689340</v>
      </c>
      <c r="J228" s="1">
        <v>52063.4</v>
      </c>
      <c r="K228" s="1">
        <v>89165.5</v>
      </c>
      <c r="L228" s="1">
        <v>3006.9</v>
      </c>
      <c r="M228" s="1">
        <v>80199.8</v>
      </c>
      <c r="N228" s="1">
        <v>50.7</v>
      </c>
      <c r="O228" s="1">
        <v>95915.3</v>
      </c>
      <c r="P228" s="1">
        <v>53772</v>
      </c>
      <c r="Q228" s="1">
        <v>83708</v>
      </c>
      <c r="R228" s="1">
        <v>0</v>
      </c>
    </row>
    <row r="229" spans="1:18">
      <c r="A229" s="3">
        <v>45909.458334722221</v>
      </c>
      <c r="B229" s="1">
        <v>735259</v>
      </c>
      <c r="C229" s="1">
        <v>159655</v>
      </c>
      <c r="D229" s="1">
        <v>47052.3</v>
      </c>
      <c r="E229" s="1">
        <v>0</v>
      </c>
      <c r="F229" s="1">
        <v>413452</v>
      </c>
      <c r="G229" s="1">
        <v>76881.100000000006</v>
      </c>
      <c r="H229" s="1">
        <v>376195</v>
      </c>
      <c r="I229" s="1">
        <v>689755</v>
      </c>
      <c r="J229" s="1">
        <v>52072</v>
      </c>
      <c r="K229" s="1">
        <v>89165.6</v>
      </c>
      <c r="L229" s="1">
        <v>3042.3</v>
      </c>
      <c r="M229" s="1">
        <v>80267.899999999994</v>
      </c>
      <c r="N229" s="1">
        <v>100.6</v>
      </c>
      <c r="O229" s="1">
        <v>95986.2</v>
      </c>
      <c r="P229" s="1">
        <v>53785</v>
      </c>
      <c r="Q229" s="1">
        <v>83727</v>
      </c>
      <c r="R229" s="1">
        <v>0</v>
      </c>
    </row>
    <row r="230" spans="1:18">
      <c r="A230" s="3">
        <v>45909.500001446759</v>
      </c>
      <c r="B230" s="1">
        <v>736636</v>
      </c>
      <c r="C230" s="1">
        <v>160011</v>
      </c>
      <c r="D230" s="1">
        <v>47081.9</v>
      </c>
      <c r="E230" s="1">
        <v>0</v>
      </c>
      <c r="F230" s="1">
        <v>413502</v>
      </c>
      <c r="G230" s="1">
        <v>76994.600000000006</v>
      </c>
      <c r="H230" s="1">
        <v>376242</v>
      </c>
      <c r="I230" s="1">
        <v>690200</v>
      </c>
      <c r="J230" s="1">
        <v>52082.7</v>
      </c>
      <c r="K230" s="1">
        <v>89167.5</v>
      </c>
      <c r="L230" s="1">
        <v>3078.3</v>
      </c>
      <c r="M230" s="1">
        <v>80334.2</v>
      </c>
      <c r="N230" s="1">
        <v>151.80000000000001</v>
      </c>
      <c r="O230" s="1">
        <v>96055.2</v>
      </c>
      <c r="P230" s="1">
        <v>53796</v>
      </c>
      <c r="Q230" s="1">
        <v>83745</v>
      </c>
      <c r="R230" s="1">
        <v>0</v>
      </c>
    </row>
    <row r="231" spans="1:18">
      <c r="A231" s="3">
        <v>45909.541668171296</v>
      </c>
      <c r="B231" s="1">
        <v>737984</v>
      </c>
      <c r="C231" s="1">
        <v>160363</v>
      </c>
      <c r="D231" s="1">
        <v>47114</v>
      </c>
      <c r="E231" s="1">
        <v>0</v>
      </c>
      <c r="F231" s="1">
        <v>413549</v>
      </c>
      <c r="G231" s="1">
        <v>77090.399999999994</v>
      </c>
      <c r="H231" s="1">
        <v>376275</v>
      </c>
      <c r="I231" s="1">
        <v>690661</v>
      </c>
      <c r="J231" s="1">
        <v>52093.599999999999</v>
      </c>
      <c r="K231" s="1">
        <v>89167.6</v>
      </c>
      <c r="L231" s="1">
        <v>3120.8</v>
      </c>
      <c r="M231" s="1">
        <v>80395.899999999994</v>
      </c>
      <c r="N231" s="1">
        <v>201.8</v>
      </c>
      <c r="O231" s="1">
        <v>96122.4</v>
      </c>
      <c r="P231" s="1">
        <v>53811</v>
      </c>
      <c r="Q231" s="1">
        <v>83767</v>
      </c>
      <c r="R231" s="1">
        <v>0</v>
      </c>
    </row>
    <row r="232" spans="1:18">
      <c r="A232" s="3">
        <v>45909.583334895833</v>
      </c>
      <c r="B232" s="1">
        <v>739473</v>
      </c>
      <c r="C232" s="1">
        <v>160749</v>
      </c>
      <c r="D232" s="1">
        <v>47162.9</v>
      </c>
      <c r="E232" s="1">
        <v>0</v>
      </c>
      <c r="F232" s="1">
        <v>413609</v>
      </c>
      <c r="G232" s="1">
        <v>77187.8</v>
      </c>
      <c r="H232" s="1">
        <v>376318</v>
      </c>
      <c r="I232" s="1">
        <v>691160</v>
      </c>
      <c r="J232" s="1">
        <v>52105.5</v>
      </c>
      <c r="K232" s="1">
        <v>89167.6</v>
      </c>
      <c r="L232" s="1">
        <v>3175.5</v>
      </c>
      <c r="M232" s="1">
        <v>80465.399999999994</v>
      </c>
      <c r="N232" s="1">
        <v>250.7</v>
      </c>
      <c r="O232" s="1">
        <v>96196.7</v>
      </c>
      <c r="P232" s="1">
        <v>53827</v>
      </c>
      <c r="Q232" s="1">
        <v>83791</v>
      </c>
      <c r="R232" s="1">
        <v>0</v>
      </c>
    </row>
    <row r="233" spans="1:18">
      <c r="A233" s="3">
        <v>45909.62500162037</v>
      </c>
      <c r="B233" s="1">
        <v>740939</v>
      </c>
      <c r="C233" s="1">
        <v>161139</v>
      </c>
      <c r="D233" s="1">
        <v>47206.7</v>
      </c>
      <c r="E233" s="1">
        <v>0</v>
      </c>
      <c r="F233" s="1">
        <v>413670</v>
      </c>
      <c r="G233" s="1">
        <v>77297</v>
      </c>
      <c r="H233" s="1">
        <v>376360</v>
      </c>
      <c r="I233" s="1">
        <v>691642</v>
      </c>
      <c r="J233" s="1">
        <v>52117</v>
      </c>
      <c r="K233" s="1">
        <v>89167.7</v>
      </c>
      <c r="L233" s="1">
        <v>3230.5</v>
      </c>
      <c r="M233" s="1">
        <v>80536.5</v>
      </c>
      <c r="N233" s="1">
        <v>300.60000000000002</v>
      </c>
      <c r="O233" s="1">
        <v>96247.4</v>
      </c>
      <c r="P233" s="1">
        <v>53842</v>
      </c>
      <c r="Q233" s="1">
        <v>83813</v>
      </c>
      <c r="R233" s="1">
        <v>0</v>
      </c>
    </row>
    <row r="234" spans="1:18">
      <c r="A234" s="3">
        <v>45909.666668344908</v>
      </c>
      <c r="B234" s="1">
        <v>742363</v>
      </c>
      <c r="C234" s="1">
        <v>161520</v>
      </c>
      <c r="D234" s="1">
        <v>47245.5</v>
      </c>
      <c r="E234" s="1">
        <v>0</v>
      </c>
      <c r="F234" s="1">
        <v>413720</v>
      </c>
      <c r="G234" s="1">
        <v>77432.399999999994</v>
      </c>
      <c r="H234" s="1">
        <v>376405</v>
      </c>
      <c r="I234" s="1">
        <v>692098</v>
      </c>
      <c r="J234" s="1">
        <v>52126.5</v>
      </c>
      <c r="K234" s="1">
        <v>89175.4</v>
      </c>
      <c r="L234" s="1">
        <v>3276.1</v>
      </c>
      <c r="M234" s="1">
        <v>80606.3</v>
      </c>
      <c r="N234" s="1">
        <v>356.5</v>
      </c>
      <c r="O234" s="1">
        <v>96274.7</v>
      </c>
      <c r="P234" s="1">
        <v>53845</v>
      </c>
      <c r="Q234" s="1">
        <v>83818</v>
      </c>
      <c r="R234" s="1">
        <v>0</v>
      </c>
    </row>
    <row r="235" spans="1:18">
      <c r="A235" s="3">
        <v>45909.708335069445</v>
      </c>
      <c r="B235" s="1">
        <v>743692</v>
      </c>
      <c r="C235" s="1">
        <v>161877</v>
      </c>
      <c r="D235" s="1">
        <v>47285.4</v>
      </c>
      <c r="E235" s="1">
        <v>0</v>
      </c>
      <c r="F235" s="1">
        <v>413755</v>
      </c>
      <c r="G235" s="1">
        <v>77551.3</v>
      </c>
      <c r="H235" s="1">
        <v>376440</v>
      </c>
      <c r="I235" s="1">
        <v>692536</v>
      </c>
      <c r="J235" s="1">
        <v>52135.199999999997</v>
      </c>
      <c r="K235" s="1">
        <v>89183.7</v>
      </c>
      <c r="L235" s="1">
        <v>3317</v>
      </c>
      <c r="M235" s="1">
        <v>80673.3</v>
      </c>
      <c r="N235" s="1">
        <v>412.4</v>
      </c>
      <c r="O235" s="1">
        <v>96300.7</v>
      </c>
      <c r="P235" s="1">
        <v>53847</v>
      </c>
      <c r="Q235" s="1">
        <v>83822</v>
      </c>
      <c r="R235" s="1">
        <v>0</v>
      </c>
    </row>
    <row r="236" spans="1:18">
      <c r="A236" s="3">
        <v>45909.750001793982</v>
      </c>
      <c r="B236" s="1">
        <v>744895</v>
      </c>
      <c r="C236" s="1">
        <v>162194</v>
      </c>
      <c r="D236" s="1">
        <v>47317.599999999999</v>
      </c>
      <c r="E236" s="1">
        <v>0</v>
      </c>
      <c r="F236" s="1">
        <v>413790</v>
      </c>
      <c r="G236" s="1">
        <v>77647.199999999997</v>
      </c>
      <c r="H236" s="1">
        <v>376489</v>
      </c>
      <c r="I236" s="1">
        <v>692935</v>
      </c>
      <c r="J236" s="1">
        <v>52143.6</v>
      </c>
      <c r="K236" s="1">
        <v>89187</v>
      </c>
      <c r="L236" s="1">
        <v>3355.3</v>
      </c>
      <c r="M236" s="1">
        <v>80728.5</v>
      </c>
      <c r="N236" s="1">
        <v>468.9</v>
      </c>
      <c r="O236" s="1">
        <v>96324.2</v>
      </c>
      <c r="P236" s="1">
        <v>53849</v>
      </c>
      <c r="Q236" s="1">
        <v>83824</v>
      </c>
      <c r="R236" s="1">
        <v>0</v>
      </c>
    </row>
    <row r="237" spans="1:18">
      <c r="A237" s="3">
        <v>45909.791668518519</v>
      </c>
      <c r="B237" s="1">
        <v>745927</v>
      </c>
      <c r="C237" s="1">
        <v>162456</v>
      </c>
      <c r="D237" s="1">
        <v>47340</v>
      </c>
      <c r="E237" s="1">
        <v>0</v>
      </c>
      <c r="F237" s="1">
        <v>413821</v>
      </c>
      <c r="G237" s="1">
        <v>77731.399999999994</v>
      </c>
      <c r="H237" s="1">
        <v>376507</v>
      </c>
      <c r="I237" s="1">
        <v>693293</v>
      </c>
      <c r="J237" s="1">
        <v>52151.7</v>
      </c>
      <c r="K237" s="1">
        <v>89190.6</v>
      </c>
      <c r="L237" s="1">
        <v>3391.9</v>
      </c>
      <c r="M237" s="1">
        <v>80777.600000000006</v>
      </c>
      <c r="N237" s="1">
        <v>525.6</v>
      </c>
      <c r="O237" s="1">
        <v>96345</v>
      </c>
      <c r="P237" s="1">
        <v>53849</v>
      </c>
      <c r="Q237" s="1">
        <v>83824</v>
      </c>
      <c r="R237" s="1">
        <v>0</v>
      </c>
    </row>
    <row r="238" spans="1:18">
      <c r="A238" s="3">
        <v>45909.833335243056</v>
      </c>
      <c r="B238" s="1">
        <v>746852</v>
      </c>
      <c r="C238" s="1">
        <v>162673</v>
      </c>
      <c r="D238" s="1">
        <v>47361.5</v>
      </c>
      <c r="E238" s="1">
        <v>0</v>
      </c>
      <c r="F238" s="1">
        <v>413849</v>
      </c>
      <c r="G238" s="1">
        <v>77810.5</v>
      </c>
      <c r="H238" s="1">
        <v>376524</v>
      </c>
      <c r="I238" s="1">
        <v>693614</v>
      </c>
      <c r="J238" s="1">
        <v>52159.4</v>
      </c>
      <c r="K238" s="1">
        <v>89194.2</v>
      </c>
      <c r="L238" s="1">
        <v>3426.8</v>
      </c>
      <c r="M238" s="1">
        <v>80824.600000000006</v>
      </c>
      <c r="N238" s="1">
        <v>581</v>
      </c>
      <c r="O238" s="1">
        <v>96366.6</v>
      </c>
      <c r="P238" s="1">
        <v>53849</v>
      </c>
      <c r="Q238" s="1">
        <v>83824</v>
      </c>
      <c r="R238" s="1">
        <v>0</v>
      </c>
    </row>
    <row r="239" spans="1:18">
      <c r="A239" s="3">
        <v>45909.875001967594</v>
      </c>
      <c r="B239" s="1">
        <v>747696</v>
      </c>
      <c r="C239" s="1">
        <v>162871</v>
      </c>
      <c r="D239" s="1">
        <v>47382.6</v>
      </c>
      <c r="E239" s="1">
        <v>0</v>
      </c>
      <c r="F239" s="1">
        <v>413870</v>
      </c>
      <c r="G239" s="1">
        <v>77883.5</v>
      </c>
      <c r="H239" s="1">
        <v>376539</v>
      </c>
      <c r="I239" s="1">
        <v>693906</v>
      </c>
      <c r="J239" s="1">
        <v>52167</v>
      </c>
      <c r="K239" s="1">
        <v>89197.9</v>
      </c>
      <c r="L239" s="1">
        <v>3453.3</v>
      </c>
      <c r="M239" s="1">
        <v>80870.5</v>
      </c>
      <c r="N239" s="1">
        <v>636.5</v>
      </c>
      <c r="O239" s="1">
        <v>96388.7</v>
      </c>
      <c r="P239" s="1">
        <v>53849</v>
      </c>
      <c r="Q239" s="1">
        <v>83824</v>
      </c>
      <c r="R239" s="1">
        <v>0</v>
      </c>
    </row>
    <row r="240" spans="1:18">
      <c r="A240" s="3">
        <v>45909.916668692131</v>
      </c>
      <c r="B240" s="1">
        <v>748518</v>
      </c>
      <c r="C240" s="1">
        <v>163061</v>
      </c>
      <c r="D240" s="1">
        <v>47404.5</v>
      </c>
      <c r="E240" s="1">
        <v>0</v>
      </c>
      <c r="F240" s="1">
        <v>413891</v>
      </c>
      <c r="G240" s="1">
        <v>77955.399999999994</v>
      </c>
      <c r="H240" s="1">
        <v>376551</v>
      </c>
      <c r="I240" s="1">
        <v>694191</v>
      </c>
      <c r="J240" s="1">
        <v>52174.2</v>
      </c>
      <c r="K240" s="1">
        <v>89201.3</v>
      </c>
      <c r="L240" s="1">
        <v>3479.1</v>
      </c>
      <c r="M240" s="1">
        <v>80915.7</v>
      </c>
      <c r="N240" s="1">
        <v>692.2</v>
      </c>
      <c r="O240" s="1">
        <v>96411.199999999997</v>
      </c>
      <c r="P240" s="1">
        <v>53849</v>
      </c>
      <c r="Q240" s="1">
        <v>83824</v>
      </c>
      <c r="R240" s="1">
        <v>0</v>
      </c>
    </row>
    <row r="241" spans="1:18">
      <c r="A241" s="3">
        <v>45909.958335416668</v>
      </c>
      <c r="B241" s="1">
        <v>749305</v>
      </c>
      <c r="C241" s="1">
        <v>163252</v>
      </c>
      <c r="D241" s="1">
        <v>47423.9</v>
      </c>
      <c r="E241" s="1">
        <v>0</v>
      </c>
      <c r="F241" s="1">
        <v>413913</v>
      </c>
      <c r="G241" s="1">
        <v>78023.100000000006</v>
      </c>
      <c r="H241" s="1">
        <v>376563</v>
      </c>
      <c r="I241" s="1">
        <v>694458</v>
      </c>
      <c r="J241" s="1">
        <v>52181.5</v>
      </c>
      <c r="K241" s="1">
        <v>89204.6</v>
      </c>
      <c r="L241" s="1">
        <v>3503.7</v>
      </c>
      <c r="M241" s="1">
        <v>80958.399999999994</v>
      </c>
      <c r="N241" s="1">
        <v>746.6</v>
      </c>
      <c r="O241" s="1">
        <v>96429.5</v>
      </c>
      <c r="P241" s="1">
        <v>53849</v>
      </c>
      <c r="Q241" s="1">
        <v>83824</v>
      </c>
      <c r="R241" s="1">
        <v>0</v>
      </c>
    </row>
    <row r="242" spans="1:18">
      <c r="A242" s="3">
        <v>45910.000002141205</v>
      </c>
      <c r="B242" s="1">
        <v>750080</v>
      </c>
      <c r="C242" s="1">
        <v>163439</v>
      </c>
      <c r="D242" s="1">
        <v>47442.6</v>
      </c>
      <c r="E242" s="1">
        <v>0</v>
      </c>
      <c r="F242" s="1">
        <v>413935</v>
      </c>
      <c r="G242" s="1">
        <v>78088.7</v>
      </c>
      <c r="H242" s="1">
        <v>376575</v>
      </c>
      <c r="I242" s="1">
        <v>694723</v>
      </c>
      <c r="J242" s="1">
        <v>52188.6</v>
      </c>
      <c r="K242" s="1">
        <v>89207.9</v>
      </c>
      <c r="L242" s="1">
        <v>3526.7</v>
      </c>
      <c r="M242" s="1">
        <v>81000.2</v>
      </c>
      <c r="N242" s="1">
        <v>799.6</v>
      </c>
      <c r="O242" s="1">
        <v>96448.4</v>
      </c>
      <c r="P242" s="1">
        <v>53849</v>
      </c>
      <c r="Q242" s="1">
        <v>83824</v>
      </c>
      <c r="R242" s="1">
        <v>0</v>
      </c>
    </row>
    <row r="243" spans="1:18">
      <c r="A243" s="3">
        <v>45910.041668865742</v>
      </c>
      <c r="B243" s="1">
        <v>750826</v>
      </c>
      <c r="C243" s="1">
        <v>163622</v>
      </c>
      <c r="D243" s="1">
        <v>47459.8</v>
      </c>
      <c r="E243" s="1">
        <v>0</v>
      </c>
      <c r="F243" s="1">
        <v>413954</v>
      </c>
      <c r="G243" s="1">
        <v>78152.800000000003</v>
      </c>
      <c r="H243" s="1">
        <v>376586</v>
      </c>
      <c r="I243" s="1">
        <v>694974</v>
      </c>
      <c r="J243" s="1">
        <v>52195.6</v>
      </c>
      <c r="K243" s="1">
        <v>89211.199999999997</v>
      </c>
      <c r="L243" s="1">
        <v>3548.2</v>
      </c>
      <c r="M243" s="1">
        <v>81040.899999999994</v>
      </c>
      <c r="N243" s="1">
        <v>853.6</v>
      </c>
      <c r="O243" s="1">
        <v>96465.7</v>
      </c>
      <c r="P243" s="1">
        <v>53849</v>
      </c>
      <c r="Q243" s="1">
        <v>83824</v>
      </c>
      <c r="R243" s="1">
        <v>0</v>
      </c>
    </row>
    <row r="244" spans="1:18">
      <c r="A244" s="3">
        <v>45910.08333559028</v>
      </c>
      <c r="B244" s="1">
        <v>751552</v>
      </c>
      <c r="C244" s="1">
        <v>163802</v>
      </c>
      <c r="D244" s="1">
        <v>47474.5</v>
      </c>
      <c r="E244" s="1">
        <v>0</v>
      </c>
      <c r="F244" s="1">
        <v>413973</v>
      </c>
      <c r="G244" s="1">
        <v>78214.3</v>
      </c>
      <c r="H244" s="1">
        <v>376599</v>
      </c>
      <c r="I244" s="1">
        <v>695215</v>
      </c>
      <c r="J244" s="1">
        <v>52202.6</v>
      </c>
      <c r="K244" s="1">
        <v>89214.6</v>
      </c>
      <c r="L244" s="1">
        <v>3571.8</v>
      </c>
      <c r="M244" s="1">
        <v>81079</v>
      </c>
      <c r="N244" s="1">
        <v>907.7</v>
      </c>
      <c r="O244" s="1">
        <v>96483.1</v>
      </c>
      <c r="P244" s="1">
        <v>53849</v>
      </c>
      <c r="Q244" s="1">
        <v>83824</v>
      </c>
      <c r="R244" s="1">
        <v>0</v>
      </c>
    </row>
    <row r="245" spans="1:18">
      <c r="A245" s="3">
        <v>45910.125002314817</v>
      </c>
      <c r="B245" s="1">
        <v>752261</v>
      </c>
      <c r="C245" s="1">
        <v>163978</v>
      </c>
      <c r="D245" s="1">
        <v>47488.9</v>
      </c>
      <c r="E245" s="1">
        <v>0</v>
      </c>
      <c r="F245" s="1">
        <v>413992</v>
      </c>
      <c r="G245" s="1">
        <v>78272.600000000006</v>
      </c>
      <c r="H245" s="1">
        <v>376610</v>
      </c>
      <c r="I245" s="1">
        <v>695448</v>
      </c>
      <c r="J245" s="1">
        <v>52209.3</v>
      </c>
      <c r="K245" s="1">
        <v>89217.9</v>
      </c>
      <c r="L245" s="1">
        <v>3594.6</v>
      </c>
      <c r="M245" s="1">
        <v>81117.100000000006</v>
      </c>
      <c r="N245" s="1">
        <v>961.7</v>
      </c>
      <c r="O245" s="1">
        <v>96501.1</v>
      </c>
      <c r="P245" s="1">
        <v>53849</v>
      </c>
      <c r="Q245" s="1">
        <v>83824</v>
      </c>
      <c r="R245" s="1">
        <v>0</v>
      </c>
    </row>
    <row r="246" spans="1:18">
      <c r="A246" s="3">
        <v>45910.166669039354</v>
      </c>
      <c r="B246" s="1">
        <v>752971</v>
      </c>
      <c r="C246" s="1">
        <v>164153</v>
      </c>
      <c r="D246" s="1">
        <v>47503.3</v>
      </c>
      <c r="E246" s="1">
        <v>0</v>
      </c>
      <c r="F246" s="1">
        <v>414010</v>
      </c>
      <c r="G246" s="1">
        <v>78330.3</v>
      </c>
      <c r="H246" s="1">
        <v>376622</v>
      </c>
      <c r="I246" s="1">
        <v>695684</v>
      </c>
      <c r="J246" s="1">
        <v>52216</v>
      </c>
      <c r="K246" s="1">
        <v>89221</v>
      </c>
      <c r="L246" s="1">
        <v>3617.7</v>
      </c>
      <c r="M246" s="1">
        <v>81155.199999999997</v>
      </c>
      <c r="N246" s="1">
        <v>1016</v>
      </c>
      <c r="O246" s="1">
        <v>96518.3</v>
      </c>
      <c r="P246" s="1">
        <v>53849</v>
      </c>
      <c r="Q246" s="1">
        <v>83824</v>
      </c>
      <c r="R246" s="1">
        <v>0</v>
      </c>
    </row>
    <row r="247" spans="1:18">
      <c r="A247" s="3">
        <v>45910.208335763891</v>
      </c>
      <c r="B247" s="1">
        <v>753673</v>
      </c>
      <c r="C247" s="1">
        <v>164325</v>
      </c>
      <c r="D247" s="1">
        <v>47517.599999999999</v>
      </c>
      <c r="E247" s="1">
        <v>0</v>
      </c>
      <c r="F247" s="1">
        <v>414027</v>
      </c>
      <c r="G247" s="1">
        <v>78387.8</v>
      </c>
      <c r="H247" s="1">
        <v>376634</v>
      </c>
      <c r="I247" s="1">
        <v>695916</v>
      </c>
      <c r="J247" s="1">
        <v>52222.8</v>
      </c>
      <c r="K247" s="1">
        <v>89224.3</v>
      </c>
      <c r="L247" s="1">
        <v>3640.1</v>
      </c>
      <c r="M247" s="1">
        <v>81194.899999999994</v>
      </c>
      <c r="N247" s="1">
        <v>1069.4000000000001</v>
      </c>
      <c r="O247" s="1">
        <v>96536.4</v>
      </c>
      <c r="P247" s="1">
        <v>53849</v>
      </c>
      <c r="Q247" s="1">
        <v>83824</v>
      </c>
      <c r="R247" s="1">
        <v>0</v>
      </c>
    </row>
    <row r="248" spans="1:18">
      <c r="A248" s="3">
        <v>45910.250002488428</v>
      </c>
      <c r="B248" s="1">
        <v>754381</v>
      </c>
      <c r="C248" s="1">
        <v>164499</v>
      </c>
      <c r="D248" s="1">
        <v>47532.1</v>
      </c>
      <c r="E248" s="1">
        <v>0</v>
      </c>
      <c r="F248" s="1">
        <v>414045</v>
      </c>
      <c r="G248" s="1">
        <v>78445.600000000006</v>
      </c>
      <c r="H248" s="1">
        <v>376645</v>
      </c>
      <c r="I248" s="1">
        <v>696150</v>
      </c>
      <c r="J248" s="1">
        <v>52229.4</v>
      </c>
      <c r="K248" s="1">
        <v>89227.6</v>
      </c>
      <c r="L248" s="1">
        <v>3662.4</v>
      </c>
      <c r="M248" s="1">
        <v>81232.3</v>
      </c>
      <c r="N248" s="1">
        <v>1123.8</v>
      </c>
      <c r="O248" s="1">
        <v>96556.2</v>
      </c>
      <c r="P248" s="1">
        <v>53849</v>
      </c>
      <c r="Q248" s="1">
        <v>83824</v>
      </c>
      <c r="R248" s="1">
        <v>0</v>
      </c>
    </row>
    <row r="249" spans="1:18">
      <c r="A249" s="3">
        <v>45910.291669212966</v>
      </c>
      <c r="B249" s="1">
        <v>755094</v>
      </c>
      <c r="C249" s="1">
        <v>164681</v>
      </c>
      <c r="D249" s="1">
        <v>47546.400000000001</v>
      </c>
      <c r="E249" s="1">
        <v>0</v>
      </c>
      <c r="F249" s="1">
        <v>414062</v>
      </c>
      <c r="G249" s="1">
        <v>78504.800000000003</v>
      </c>
      <c r="H249" s="1">
        <v>376657</v>
      </c>
      <c r="I249" s="1">
        <v>696384</v>
      </c>
      <c r="J249" s="1">
        <v>52236.1</v>
      </c>
      <c r="K249" s="1">
        <v>89230.8</v>
      </c>
      <c r="L249" s="1">
        <v>3683.3</v>
      </c>
      <c r="M249" s="1">
        <v>81268</v>
      </c>
      <c r="N249" s="1">
        <v>1178</v>
      </c>
      <c r="O249" s="1">
        <v>96575.3</v>
      </c>
      <c r="P249" s="1">
        <v>53849</v>
      </c>
      <c r="Q249" s="1">
        <v>83824</v>
      </c>
      <c r="R249" s="1">
        <v>0</v>
      </c>
    </row>
    <row r="250" spans="1:18">
      <c r="A250" s="3">
        <v>45910.333335937503</v>
      </c>
      <c r="B250" s="1">
        <v>755824</v>
      </c>
      <c r="C250" s="1">
        <v>164868</v>
      </c>
      <c r="D250" s="1">
        <v>47560.4</v>
      </c>
      <c r="E250" s="1">
        <v>0</v>
      </c>
      <c r="F250" s="1">
        <v>414079</v>
      </c>
      <c r="G250" s="1">
        <v>78563.199999999997</v>
      </c>
      <c r="H250" s="1">
        <v>376669</v>
      </c>
      <c r="I250" s="1">
        <v>696625</v>
      </c>
      <c r="J250" s="1">
        <v>52242.9</v>
      </c>
      <c r="K250" s="1">
        <v>89233.1</v>
      </c>
      <c r="L250" s="1">
        <v>3705.4</v>
      </c>
      <c r="M250" s="1">
        <v>81303.600000000006</v>
      </c>
      <c r="N250" s="1">
        <v>1231</v>
      </c>
      <c r="O250" s="1">
        <v>96598.1</v>
      </c>
      <c r="P250" s="1">
        <v>53850</v>
      </c>
      <c r="Q250" s="1">
        <v>83826</v>
      </c>
      <c r="R250" s="1">
        <v>0</v>
      </c>
    </row>
    <row r="251" spans="1:18">
      <c r="A251" s="3">
        <v>45910.37500266204</v>
      </c>
      <c r="B251" s="1">
        <v>756667</v>
      </c>
      <c r="C251" s="1">
        <v>165085</v>
      </c>
      <c r="D251" s="1">
        <v>47578.400000000001</v>
      </c>
      <c r="E251" s="1">
        <v>0</v>
      </c>
      <c r="F251" s="1">
        <v>414102</v>
      </c>
      <c r="G251" s="1">
        <v>78626</v>
      </c>
      <c r="H251" s="1">
        <v>376683</v>
      </c>
      <c r="I251" s="1">
        <v>696895</v>
      </c>
      <c r="J251" s="1">
        <v>52249.5</v>
      </c>
      <c r="K251" s="1">
        <v>89239.2</v>
      </c>
      <c r="L251" s="1">
        <v>3731.3</v>
      </c>
      <c r="M251" s="1">
        <v>81344.100000000006</v>
      </c>
      <c r="N251" s="1">
        <v>1285.5</v>
      </c>
      <c r="O251" s="1">
        <v>96633.3</v>
      </c>
      <c r="P251" s="1">
        <v>53850</v>
      </c>
      <c r="Q251" s="1">
        <v>83826</v>
      </c>
      <c r="R251" s="1">
        <v>0</v>
      </c>
    </row>
    <row r="252" spans="1:18">
      <c r="A252" s="3">
        <v>45910.416669386577</v>
      </c>
      <c r="B252" s="1">
        <v>757667</v>
      </c>
      <c r="C252" s="1">
        <v>165342</v>
      </c>
      <c r="D252" s="1">
        <v>47599.199999999997</v>
      </c>
      <c r="E252" s="1">
        <v>0</v>
      </c>
      <c r="F252" s="1">
        <v>414128</v>
      </c>
      <c r="G252" s="1">
        <v>78698.899999999994</v>
      </c>
      <c r="H252" s="1">
        <v>376696</v>
      </c>
      <c r="I252" s="1">
        <v>697228</v>
      </c>
      <c r="J252" s="1">
        <v>52256.1</v>
      </c>
      <c r="K252" s="1">
        <v>89246.9</v>
      </c>
      <c r="L252" s="1">
        <v>3760.2</v>
      </c>
      <c r="M252" s="1">
        <v>81388.800000000003</v>
      </c>
      <c r="N252" s="1">
        <v>1339.7</v>
      </c>
      <c r="O252" s="1">
        <v>96683.7</v>
      </c>
      <c r="P252" s="1">
        <v>53851</v>
      </c>
      <c r="Q252" s="1">
        <v>83827</v>
      </c>
      <c r="R252" s="1">
        <v>0</v>
      </c>
    </row>
    <row r="253" spans="1:18">
      <c r="A253" s="3">
        <v>45910.458336111114</v>
      </c>
      <c r="B253" s="1">
        <v>758760</v>
      </c>
      <c r="C253" s="1">
        <v>165622</v>
      </c>
      <c r="D253" s="1">
        <v>47622.5</v>
      </c>
      <c r="E253" s="1">
        <v>0</v>
      </c>
      <c r="F253" s="1">
        <v>414169</v>
      </c>
      <c r="G253" s="1">
        <v>78783.7</v>
      </c>
      <c r="H253" s="1">
        <v>376708</v>
      </c>
      <c r="I253" s="1">
        <v>697582</v>
      </c>
      <c r="J253" s="1">
        <v>52262.3</v>
      </c>
      <c r="K253" s="1">
        <v>89255.2</v>
      </c>
      <c r="L253" s="1">
        <v>3790.7</v>
      </c>
      <c r="M253" s="1">
        <v>81435.199999999997</v>
      </c>
      <c r="N253" s="1">
        <v>1397.6</v>
      </c>
      <c r="O253" s="1">
        <v>96752.6</v>
      </c>
      <c r="P253" s="1">
        <v>53851</v>
      </c>
      <c r="Q253" s="1">
        <v>83828</v>
      </c>
      <c r="R253" s="1">
        <v>0</v>
      </c>
    </row>
    <row r="254" spans="1:18">
      <c r="A254" s="3">
        <v>45910.500002835652</v>
      </c>
      <c r="B254" s="1">
        <v>759903</v>
      </c>
      <c r="C254" s="1">
        <v>165917</v>
      </c>
      <c r="D254" s="1">
        <v>47645.5</v>
      </c>
      <c r="E254" s="1">
        <v>0</v>
      </c>
      <c r="F254" s="1">
        <v>414211</v>
      </c>
      <c r="G254" s="1">
        <v>78872.5</v>
      </c>
      <c r="H254" s="1">
        <v>376720</v>
      </c>
      <c r="I254" s="1">
        <v>697971</v>
      </c>
      <c r="J254" s="1">
        <v>52268.800000000003</v>
      </c>
      <c r="K254" s="1">
        <v>89262.3</v>
      </c>
      <c r="L254" s="1">
        <v>3822</v>
      </c>
      <c r="M254" s="1">
        <v>81483.600000000006</v>
      </c>
      <c r="N254" s="1">
        <v>1449.5</v>
      </c>
      <c r="O254" s="1">
        <v>96816.8</v>
      </c>
      <c r="P254" s="1">
        <v>53853</v>
      </c>
      <c r="Q254" s="1">
        <v>83832</v>
      </c>
      <c r="R254" s="1">
        <v>0</v>
      </c>
    </row>
    <row r="255" spans="1:18">
      <c r="A255" s="3">
        <v>45910.541669560182</v>
      </c>
      <c r="B255" s="1">
        <v>761044</v>
      </c>
      <c r="C255" s="1">
        <v>166215</v>
      </c>
      <c r="D255" s="1">
        <v>47668.7</v>
      </c>
      <c r="E255" s="1">
        <v>0</v>
      </c>
      <c r="F255" s="1">
        <v>414252</v>
      </c>
      <c r="G255" s="1">
        <v>78957.3</v>
      </c>
      <c r="H255" s="1">
        <v>376732</v>
      </c>
      <c r="I255" s="1">
        <v>698372</v>
      </c>
      <c r="J255" s="1">
        <v>52275.199999999997</v>
      </c>
      <c r="K255" s="1">
        <v>89264.9</v>
      </c>
      <c r="L255" s="1">
        <v>3853</v>
      </c>
      <c r="M255" s="1">
        <v>81529</v>
      </c>
      <c r="N255" s="1">
        <v>1499.4</v>
      </c>
      <c r="O255" s="1">
        <v>96880.8</v>
      </c>
      <c r="P255" s="1">
        <v>53859</v>
      </c>
      <c r="Q255" s="1">
        <v>83840</v>
      </c>
      <c r="R255" s="1">
        <v>0</v>
      </c>
    </row>
    <row r="256" spans="1:18">
      <c r="A256" s="3">
        <v>45910.583336284719</v>
      </c>
      <c r="B256" s="1">
        <v>762251</v>
      </c>
      <c r="C256" s="1">
        <v>166531</v>
      </c>
      <c r="D256" s="1">
        <v>47694.3</v>
      </c>
      <c r="E256" s="1">
        <v>0</v>
      </c>
      <c r="F256" s="1">
        <v>414293</v>
      </c>
      <c r="G256" s="1">
        <v>79042.2</v>
      </c>
      <c r="H256" s="1">
        <v>376745</v>
      </c>
      <c r="I256" s="1">
        <v>698800</v>
      </c>
      <c r="J256" s="1">
        <v>52283.1</v>
      </c>
      <c r="K256" s="1">
        <v>89265.1</v>
      </c>
      <c r="L256" s="1">
        <v>3887.4</v>
      </c>
      <c r="M256" s="1">
        <v>81574.899999999994</v>
      </c>
      <c r="N256" s="1">
        <v>1545.9</v>
      </c>
      <c r="O256" s="1">
        <v>96956.2</v>
      </c>
      <c r="P256" s="1">
        <v>53867</v>
      </c>
      <c r="Q256" s="1">
        <v>83852</v>
      </c>
      <c r="R256" s="1">
        <v>0</v>
      </c>
    </row>
    <row r="257" spans="1:18">
      <c r="A257" s="3">
        <v>45910.625003009256</v>
      </c>
      <c r="B257" s="1">
        <v>763494</v>
      </c>
      <c r="C257" s="1">
        <v>166865</v>
      </c>
      <c r="D257" s="1">
        <v>47729</v>
      </c>
      <c r="E257" s="1">
        <v>0</v>
      </c>
      <c r="F257" s="1">
        <v>414341</v>
      </c>
      <c r="G257" s="1">
        <v>79127.7</v>
      </c>
      <c r="H257" s="1">
        <v>376757</v>
      </c>
      <c r="I257" s="1">
        <v>699244</v>
      </c>
      <c r="J257" s="1">
        <v>52291.5</v>
      </c>
      <c r="K257" s="1">
        <v>89265.2</v>
      </c>
      <c r="L257" s="1">
        <v>3927</v>
      </c>
      <c r="M257" s="1">
        <v>81622.7</v>
      </c>
      <c r="N257" s="1">
        <v>1592.3</v>
      </c>
      <c r="O257" s="1">
        <v>97006.6</v>
      </c>
      <c r="P257" s="1">
        <v>53877</v>
      </c>
      <c r="Q257" s="1">
        <v>83868</v>
      </c>
      <c r="R257" s="1">
        <v>0</v>
      </c>
    </row>
    <row r="258" spans="1:18">
      <c r="A258" s="3">
        <v>45910.666669733793</v>
      </c>
      <c r="B258" s="1">
        <v>764710</v>
      </c>
      <c r="C258" s="1">
        <v>167203</v>
      </c>
      <c r="D258" s="1">
        <v>47760.1</v>
      </c>
      <c r="E258" s="1">
        <v>0</v>
      </c>
      <c r="F258" s="1">
        <v>414389</v>
      </c>
      <c r="G258" s="1">
        <v>79213.7</v>
      </c>
      <c r="H258" s="1">
        <v>376770</v>
      </c>
      <c r="I258" s="1">
        <v>699676</v>
      </c>
      <c r="J258" s="1">
        <v>52301.3</v>
      </c>
      <c r="K258" s="1">
        <v>89265.7</v>
      </c>
      <c r="L258" s="1">
        <v>3966.5</v>
      </c>
      <c r="M258" s="1">
        <v>81668.899999999994</v>
      </c>
      <c r="N258" s="1">
        <v>1642</v>
      </c>
      <c r="O258" s="1">
        <v>97032</v>
      </c>
      <c r="P258" s="1">
        <v>53884</v>
      </c>
      <c r="Q258" s="1">
        <v>83880</v>
      </c>
      <c r="R258" s="1">
        <v>0</v>
      </c>
    </row>
    <row r="259" spans="1:18">
      <c r="A259" s="3">
        <v>45910.70833645833</v>
      </c>
      <c r="B259" s="1">
        <v>765871</v>
      </c>
      <c r="C259" s="1">
        <v>167528</v>
      </c>
      <c r="D259" s="1">
        <v>47789.5</v>
      </c>
      <c r="E259" s="1">
        <v>0</v>
      </c>
      <c r="F259" s="1">
        <v>414429</v>
      </c>
      <c r="G259" s="1">
        <v>79297.899999999994</v>
      </c>
      <c r="H259" s="1">
        <v>376782</v>
      </c>
      <c r="I259" s="1">
        <v>700077</v>
      </c>
      <c r="J259" s="1">
        <v>52312.4</v>
      </c>
      <c r="K259" s="1">
        <v>89267.9</v>
      </c>
      <c r="L259" s="1">
        <v>4005.3</v>
      </c>
      <c r="M259" s="1">
        <v>81714.5</v>
      </c>
      <c r="N259" s="1">
        <v>1695</v>
      </c>
      <c r="O259" s="1">
        <v>97056.2</v>
      </c>
      <c r="P259" s="1">
        <v>53890</v>
      </c>
      <c r="Q259" s="1">
        <v>83889</v>
      </c>
      <c r="R259" s="1">
        <v>0</v>
      </c>
    </row>
    <row r="260" spans="1:18">
      <c r="A260" s="3">
        <v>45910.750003182868</v>
      </c>
      <c r="B260" s="1">
        <v>766905</v>
      </c>
      <c r="C260" s="1">
        <v>167820</v>
      </c>
      <c r="D260" s="1">
        <v>47814.5</v>
      </c>
      <c r="E260" s="1">
        <v>0</v>
      </c>
      <c r="F260" s="1">
        <v>414459</v>
      </c>
      <c r="G260" s="1">
        <v>79372.399999999994</v>
      </c>
      <c r="H260" s="1">
        <v>376793</v>
      </c>
      <c r="I260" s="1">
        <v>700430</v>
      </c>
      <c r="J260" s="1">
        <v>52321.2</v>
      </c>
      <c r="K260" s="1">
        <v>89270.2</v>
      </c>
      <c r="L260" s="1">
        <v>4039.9</v>
      </c>
      <c r="M260" s="1">
        <v>81756.899999999994</v>
      </c>
      <c r="N260" s="1">
        <v>1750.6</v>
      </c>
      <c r="O260" s="1">
        <v>97079.1</v>
      </c>
      <c r="P260" s="1">
        <v>53891</v>
      </c>
      <c r="Q260" s="1">
        <v>83891</v>
      </c>
      <c r="R260" s="1">
        <v>0</v>
      </c>
    </row>
    <row r="261" spans="1:18">
      <c r="A261" s="3">
        <v>45910.791669907405</v>
      </c>
      <c r="B261" s="1">
        <v>767830</v>
      </c>
      <c r="C261" s="1">
        <v>168059</v>
      </c>
      <c r="D261" s="1">
        <v>47838.8</v>
      </c>
      <c r="E261" s="1">
        <v>0</v>
      </c>
      <c r="F261" s="1">
        <v>414487</v>
      </c>
      <c r="G261" s="1">
        <v>79436.100000000006</v>
      </c>
      <c r="H261" s="1">
        <v>376805</v>
      </c>
      <c r="I261" s="1">
        <v>700763</v>
      </c>
      <c r="J261" s="1">
        <v>52329.9</v>
      </c>
      <c r="K261" s="1">
        <v>89273.8</v>
      </c>
      <c r="L261" s="1">
        <v>4068</v>
      </c>
      <c r="M261" s="1">
        <v>81792.5</v>
      </c>
      <c r="N261" s="1">
        <v>1805.5</v>
      </c>
      <c r="O261" s="1">
        <v>97099.4</v>
      </c>
      <c r="P261" s="1">
        <v>53891</v>
      </c>
      <c r="Q261" s="1">
        <v>83891</v>
      </c>
      <c r="R261" s="1">
        <v>0</v>
      </c>
    </row>
    <row r="262" spans="1:18">
      <c r="A262" s="3">
        <v>45910.833336631942</v>
      </c>
      <c r="B262" s="1">
        <v>768666</v>
      </c>
      <c r="C262" s="1">
        <v>168281</v>
      </c>
      <c r="D262" s="1">
        <v>47858.3</v>
      </c>
      <c r="E262" s="1">
        <v>0</v>
      </c>
      <c r="F262" s="1">
        <v>414511</v>
      </c>
      <c r="G262" s="1">
        <v>79496.7</v>
      </c>
      <c r="H262" s="1">
        <v>376817</v>
      </c>
      <c r="I262" s="1">
        <v>701052</v>
      </c>
      <c r="J262" s="1">
        <v>52336.7</v>
      </c>
      <c r="K262" s="1">
        <v>89277.3</v>
      </c>
      <c r="L262" s="1">
        <v>4094.3</v>
      </c>
      <c r="M262" s="1">
        <v>81827.600000000006</v>
      </c>
      <c r="N262" s="1">
        <v>1858.4</v>
      </c>
      <c r="O262" s="1">
        <v>97121.3</v>
      </c>
      <c r="P262" s="1">
        <v>53891</v>
      </c>
      <c r="Q262" s="1">
        <v>83891</v>
      </c>
      <c r="R262" s="1">
        <v>0</v>
      </c>
    </row>
    <row r="263" spans="1:18">
      <c r="A263" s="3">
        <v>45910.875003356479</v>
      </c>
      <c r="B263" s="1">
        <v>769447</v>
      </c>
      <c r="C263" s="1">
        <v>168481</v>
      </c>
      <c r="D263" s="1">
        <v>47876.3</v>
      </c>
      <c r="E263" s="1">
        <v>0</v>
      </c>
      <c r="F263" s="1">
        <v>414535</v>
      </c>
      <c r="G263" s="1">
        <v>79554.8</v>
      </c>
      <c r="H263" s="1">
        <v>376829</v>
      </c>
      <c r="I263" s="1">
        <v>701315</v>
      </c>
      <c r="J263" s="1">
        <v>52343.4</v>
      </c>
      <c r="K263" s="1">
        <v>89280.6</v>
      </c>
      <c r="L263" s="1">
        <v>4116.6000000000004</v>
      </c>
      <c r="M263" s="1">
        <v>81862.7</v>
      </c>
      <c r="N263" s="1">
        <v>1912.5</v>
      </c>
      <c r="O263" s="1">
        <v>97144</v>
      </c>
      <c r="P263" s="1">
        <v>53891</v>
      </c>
      <c r="Q263" s="1">
        <v>83891</v>
      </c>
      <c r="R263" s="1">
        <v>0</v>
      </c>
    </row>
    <row r="264" spans="1:18">
      <c r="A264" s="3">
        <v>45910.916670081016</v>
      </c>
      <c r="B264" s="1">
        <v>770188</v>
      </c>
      <c r="C264" s="1">
        <v>168673</v>
      </c>
      <c r="D264" s="1">
        <v>47893.2</v>
      </c>
      <c r="E264" s="1">
        <v>0</v>
      </c>
      <c r="F264" s="1">
        <v>414555</v>
      </c>
      <c r="G264" s="1">
        <v>79611</v>
      </c>
      <c r="H264" s="1">
        <v>376842</v>
      </c>
      <c r="I264" s="1">
        <v>701560</v>
      </c>
      <c r="J264" s="1">
        <v>52349.9</v>
      </c>
      <c r="K264" s="1">
        <v>89283.9</v>
      </c>
      <c r="L264" s="1">
        <v>4138</v>
      </c>
      <c r="M264" s="1">
        <v>81895.7</v>
      </c>
      <c r="N264" s="1">
        <v>1966</v>
      </c>
      <c r="O264" s="1">
        <v>97164.7</v>
      </c>
      <c r="P264" s="1">
        <v>53891</v>
      </c>
      <c r="Q264" s="1">
        <v>83891</v>
      </c>
      <c r="R264" s="1">
        <v>0</v>
      </c>
    </row>
    <row r="265" spans="1:18">
      <c r="A265" s="3">
        <v>45910.958336805554</v>
      </c>
      <c r="B265" s="1">
        <v>770914</v>
      </c>
      <c r="C265" s="1">
        <v>168858</v>
      </c>
      <c r="D265" s="1">
        <v>47910.1</v>
      </c>
      <c r="E265" s="1">
        <v>0</v>
      </c>
      <c r="F265" s="1">
        <v>414575</v>
      </c>
      <c r="G265" s="1">
        <v>79667.8</v>
      </c>
      <c r="H265" s="1">
        <v>376854</v>
      </c>
      <c r="I265" s="1">
        <v>701803</v>
      </c>
      <c r="J265" s="1">
        <v>52356.5</v>
      </c>
      <c r="K265" s="1">
        <v>89287.2</v>
      </c>
      <c r="L265" s="1">
        <v>4159.8</v>
      </c>
      <c r="M265" s="1">
        <v>81928.2</v>
      </c>
      <c r="N265" s="1">
        <v>2019.8</v>
      </c>
      <c r="O265" s="1">
        <v>97182.2</v>
      </c>
      <c r="P265" s="1">
        <v>53891</v>
      </c>
      <c r="Q265" s="1">
        <v>83891</v>
      </c>
      <c r="R265" s="1">
        <v>0</v>
      </c>
    </row>
    <row r="266" spans="1:18">
      <c r="A266" s="3">
        <v>45911.000003530091</v>
      </c>
      <c r="B266" s="1">
        <v>771635</v>
      </c>
      <c r="C266" s="1">
        <v>169040</v>
      </c>
      <c r="D266" s="1">
        <v>47929.3</v>
      </c>
      <c r="E266" s="1">
        <v>0</v>
      </c>
      <c r="F266" s="1">
        <v>414592</v>
      </c>
      <c r="G266" s="1">
        <v>79724.2</v>
      </c>
      <c r="H266" s="1">
        <v>376866</v>
      </c>
      <c r="I266" s="1">
        <v>702046</v>
      </c>
      <c r="J266" s="1">
        <v>52363.199999999997</v>
      </c>
      <c r="K266" s="1">
        <v>89290.5</v>
      </c>
      <c r="L266" s="1">
        <v>4181.1000000000004</v>
      </c>
      <c r="M266" s="1">
        <v>81961.100000000006</v>
      </c>
      <c r="N266" s="1">
        <v>2072.1</v>
      </c>
      <c r="O266" s="1">
        <v>97200.9</v>
      </c>
      <c r="P266" s="1">
        <v>53891</v>
      </c>
      <c r="Q266" s="1">
        <v>83891</v>
      </c>
      <c r="R266" s="1">
        <v>0</v>
      </c>
    </row>
    <row r="267" spans="1:18">
      <c r="A267" s="3">
        <v>45911.041670254628</v>
      </c>
      <c r="B267" s="1">
        <v>772341</v>
      </c>
      <c r="C267" s="1">
        <v>169220</v>
      </c>
      <c r="D267" s="1">
        <v>47946.400000000001</v>
      </c>
      <c r="E267" s="1">
        <v>0</v>
      </c>
      <c r="F267" s="1">
        <v>414607</v>
      </c>
      <c r="G267" s="1">
        <v>79776.399999999994</v>
      </c>
      <c r="H267" s="1">
        <v>376878</v>
      </c>
      <c r="I267" s="1">
        <v>702290</v>
      </c>
      <c r="J267" s="1">
        <v>52369.5</v>
      </c>
      <c r="K267" s="1">
        <v>89293.7</v>
      </c>
      <c r="L267" s="1">
        <v>4201.7</v>
      </c>
      <c r="M267" s="1">
        <v>81993.2</v>
      </c>
      <c r="N267" s="1">
        <v>2125.5</v>
      </c>
      <c r="O267" s="1">
        <v>97216.9</v>
      </c>
      <c r="P267" s="1">
        <v>53891</v>
      </c>
      <c r="Q267" s="1">
        <v>83891</v>
      </c>
      <c r="R267" s="1">
        <v>0</v>
      </c>
    </row>
    <row r="268" spans="1:18">
      <c r="A268" s="3">
        <v>45911.083336979165</v>
      </c>
      <c r="B268" s="1">
        <v>773038</v>
      </c>
      <c r="C268" s="1">
        <v>169391</v>
      </c>
      <c r="D268" s="1">
        <v>47963.8</v>
      </c>
      <c r="E268" s="1">
        <v>0</v>
      </c>
      <c r="F268" s="1">
        <v>414621</v>
      </c>
      <c r="G268" s="1">
        <v>79829.899999999994</v>
      </c>
      <c r="H268" s="1">
        <v>376889</v>
      </c>
      <c r="I268" s="1">
        <v>702534</v>
      </c>
      <c r="J268" s="1">
        <v>52376.1</v>
      </c>
      <c r="K268" s="1">
        <v>89296.9</v>
      </c>
      <c r="L268" s="1">
        <v>4221.3999999999996</v>
      </c>
      <c r="M268" s="1">
        <v>82024.899999999994</v>
      </c>
      <c r="N268" s="1">
        <v>2179.1999999999998</v>
      </c>
      <c r="O268" s="1">
        <v>97234.1</v>
      </c>
      <c r="P268" s="1">
        <v>53891</v>
      </c>
      <c r="Q268" s="1">
        <v>83891</v>
      </c>
      <c r="R268" s="1">
        <v>0</v>
      </c>
    </row>
    <row r="269" spans="1:18">
      <c r="A269" s="3">
        <v>45911.125003703703</v>
      </c>
      <c r="B269" s="1">
        <v>773721</v>
      </c>
      <c r="C269" s="1">
        <v>169556</v>
      </c>
      <c r="D269" s="1">
        <v>47978.8</v>
      </c>
      <c r="E269" s="1">
        <v>0</v>
      </c>
      <c r="F269" s="1">
        <v>414636</v>
      </c>
      <c r="G269" s="1">
        <v>79881.600000000006</v>
      </c>
      <c r="H269" s="1">
        <v>376900</v>
      </c>
      <c r="I269" s="1">
        <v>702772</v>
      </c>
      <c r="J269" s="1">
        <v>52382.400000000001</v>
      </c>
      <c r="K269" s="1">
        <v>89300.2</v>
      </c>
      <c r="L269" s="1">
        <v>4243.1000000000004</v>
      </c>
      <c r="M269" s="1">
        <v>82057.100000000006</v>
      </c>
      <c r="N269" s="1">
        <v>2232.5</v>
      </c>
      <c r="O269" s="1">
        <v>97251.1</v>
      </c>
      <c r="P269" s="1">
        <v>53891</v>
      </c>
      <c r="Q269" s="1">
        <v>83891</v>
      </c>
      <c r="R269" s="1">
        <v>0</v>
      </c>
    </row>
    <row r="270" spans="1:18">
      <c r="A270" s="3">
        <v>45911.16667042824</v>
      </c>
      <c r="B270" s="1">
        <v>774388</v>
      </c>
      <c r="C270" s="1">
        <v>169715</v>
      </c>
      <c r="D270" s="1">
        <v>47994.2</v>
      </c>
      <c r="E270" s="1">
        <v>0</v>
      </c>
      <c r="F270" s="1">
        <v>414650</v>
      </c>
      <c r="G270" s="1">
        <v>79932.2</v>
      </c>
      <c r="H270" s="1">
        <v>376911</v>
      </c>
      <c r="I270" s="1">
        <v>703005</v>
      </c>
      <c r="J270" s="1">
        <v>52388.6</v>
      </c>
      <c r="K270" s="1">
        <v>89303.4</v>
      </c>
      <c r="L270" s="1">
        <v>4263.1000000000004</v>
      </c>
      <c r="M270" s="1">
        <v>82089</v>
      </c>
      <c r="N270" s="1">
        <v>2284.4</v>
      </c>
      <c r="O270" s="1">
        <v>97268.5</v>
      </c>
      <c r="P270" s="1">
        <v>53891</v>
      </c>
      <c r="Q270" s="1">
        <v>83891</v>
      </c>
      <c r="R270" s="1">
        <v>0</v>
      </c>
    </row>
    <row r="271" spans="1:18">
      <c r="A271" s="3">
        <v>45911.208337152777</v>
      </c>
      <c r="B271" s="1">
        <v>775058</v>
      </c>
      <c r="C271" s="1">
        <v>169871</v>
      </c>
      <c r="D271" s="1">
        <v>48008.5</v>
      </c>
      <c r="E271" s="1">
        <v>0</v>
      </c>
      <c r="F271" s="1">
        <v>414664</v>
      </c>
      <c r="G271" s="1">
        <v>79984.899999999994</v>
      </c>
      <c r="H271" s="1">
        <v>376923</v>
      </c>
      <c r="I271" s="1">
        <v>703241</v>
      </c>
      <c r="J271" s="1">
        <v>52394.8</v>
      </c>
      <c r="K271" s="1">
        <v>89306.5</v>
      </c>
      <c r="L271" s="1">
        <v>4283</v>
      </c>
      <c r="M271" s="1">
        <v>82120.899999999994</v>
      </c>
      <c r="N271" s="1">
        <v>2338</v>
      </c>
      <c r="O271" s="1">
        <v>97286.2</v>
      </c>
      <c r="P271" s="1">
        <v>53891</v>
      </c>
      <c r="Q271" s="1">
        <v>83891</v>
      </c>
      <c r="R271" s="1">
        <v>0</v>
      </c>
    </row>
    <row r="272" spans="1:18">
      <c r="A272" s="3">
        <v>45911.250003877314</v>
      </c>
      <c r="B272" s="1">
        <v>775734</v>
      </c>
      <c r="C272" s="1">
        <v>170027</v>
      </c>
      <c r="D272" s="1">
        <v>48022.5</v>
      </c>
      <c r="E272" s="1">
        <v>0</v>
      </c>
      <c r="F272" s="1">
        <v>414678</v>
      </c>
      <c r="G272" s="1">
        <v>80037.100000000006</v>
      </c>
      <c r="H272" s="1">
        <v>376935</v>
      </c>
      <c r="I272" s="1">
        <v>703479</v>
      </c>
      <c r="J272" s="1">
        <v>52401.1</v>
      </c>
      <c r="K272" s="1">
        <v>89309.8</v>
      </c>
      <c r="L272" s="1">
        <v>4303.8</v>
      </c>
      <c r="M272" s="1">
        <v>82152.7</v>
      </c>
      <c r="N272" s="1">
        <v>2391.1999999999998</v>
      </c>
      <c r="O272" s="1">
        <v>97305.2</v>
      </c>
      <c r="P272" s="1">
        <v>53891</v>
      </c>
      <c r="Q272" s="1">
        <v>83891</v>
      </c>
      <c r="R272" s="1">
        <v>0</v>
      </c>
    </row>
    <row r="273" spans="1:18">
      <c r="A273" s="3">
        <v>45911.291670601851</v>
      </c>
      <c r="B273" s="1">
        <v>776403</v>
      </c>
      <c r="C273" s="1">
        <v>170182</v>
      </c>
      <c r="D273" s="1">
        <v>48036.3</v>
      </c>
      <c r="E273" s="1">
        <v>0</v>
      </c>
      <c r="F273" s="1">
        <v>414692</v>
      </c>
      <c r="G273" s="1">
        <v>80086.7</v>
      </c>
      <c r="H273" s="1">
        <v>376947</v>
      </c>
      <c r="I273" s="1">
        <v>703715</v>
      </c>
      <c r="J273" s="1">
        <v>52407.3</v>
      </c>
      <c r="K273" s="1">
        <v>89312.6</v>
      </c>
      <c r="L273" s="1">
        <v>4323.1000000000004</v>
      </c>
      <c r="M273" s="1">
        <v>82183.899999999994</v>
      </c>
      <c r="N273" s="1">
        <v>2444.6</v>
      </c>
      <c r="O273" s="1">
        <v>97324.9</v>
      </c>
      <c r="P273" s="1">
        <v>53892</v>
      </c>
      <c r="Q273" s="1">
        <v>83891</v>
      </c>
      <c r="R273" s="1">
        <v>0</v>
      </c>
    </row>
    <row r="274" spans="1:18">
      <c r="A274" s="3">
        <v>45911.333337326389</v>
      </c>
      <c r="B274" s="1">
        <v>777088</v>
      </c>
      <c r="C274" s="1">
        <v>170348</v>
      </c>
      <c r="D274" s="1">
        <v>48050.400000000001</v>
      </c>
      <c r="E274" s="1">
        <v>0</v>
      </c>
      <c r="F274" s="1">
        <v>414707</v>
      </c>
      <c r="G274" s="1">
        <v>80134.399999999994</v>
      </c>
      <c r="H274" s="1">
        <v>376959</v>
      </c>
      <c r="I274" s="1">
        <v>703957</v>
      </c>
      <c r="J274" s="1">
        <v>52413.5</v>
      </c>
      <c r="K274" s="1">
        <v>89314</v>
      </c>
      <c r="L274" s="1">
        <v>4342.8999999999996</v>
      </c>
      <c r="M274" s="1">
        <v>82215.399999999994</v>
      </c>
      <c r="N274" s="1">
        <v>2495.6</v>
      </c>
      <c r="O274" s="1">
        <v>97347.7</v>
      </c>
      <c r="P274" s="1">
        <v>53893</v>
      </c>
      <c r="Q274" s="1">
        <v>83893</v>
      </c>
      <c r="R274" s="1">
        <v>0</v>
      </c>
    </row>
    <row r="275" spans="1:18">
      <c r="A275" s="3">
        <v>45911.375004050926</v>
      </c>
      <c r="B275" s="1">
        <v>777865</v>
      </c>
      <c r="C275" s="1">
        <v>170540</v>
      </c>
      <c r="D275" s="1">
        <v>48067.3</v>
      </c>
      <c r="E275" s="1">
        <v>0</v>
      </c>
      <c r="F275" s="1">
        <v>414728</v>
      </c>
      <c r="G275" s="1">
        <v>80180.100000000006</v>
      </c>
      <c r="H275" s="1">
        <v>376971</v>
      </c>
      <c r="I275" s="1">
        <v>704231</v>
      </c>
      <c r="J275" s="1">
        <v>52420</v>
      </c>
      <c r="K275" s="1">
        <v>89315.6</v>
      </c>
      <c r="L275" s="1">
        <v>4365.8999999999996</v>
      </c>
      <c r="M275" s="1">
        <v>82251.5</v>
      </c>
      <c r="N275" s="1">
        <v>2544.8000000000002</v>
      </c>
      <c r="O275" s="1">
        <v>97384.1</v>
      </c>
      <c r="P275" s="1">
        <v>53897</v>
      </c>
      <c r="Q275" s="1">
        <v>83900</v>
      </c>
      <c r="R275" s="1">
        <v>0</v>
      </c>
    </row>
    <row r="276" spans="1:18">
      <c r="A276" s="3">
        <v>45911.416670775463</v>
      </c>
      <c r="B276" s="1">
        <v>778830</v>
      </c>
      <c r="C276" s="1">
        <v>170791</v>
      </c>
      <c r="D276" s="1">
        <v>48094.1</v>
      </c>
      <c r="E276" s="1">
        <v>0</v>
      </c>
      <c r="F276" s="1">
        <v>414761</v>
      </c>
      <c r="G276" s="1">
        <v>80225.2</v>
      </c>
      <c r="H276" s="1">
        <v>376983</v>
      </c>
      <c r="I276" s="1">
        <v>704563</v>
      </c>
      <c r="J276" s="1">
        <v>52427.4</v>
      </c>
      <c r="K276" s="1">
        <v>89315.7</v>
      </c>
      <c r="L276" s="1">
        <v>4395.3</v>
      </c>
      <c r="M276" s="1">
        <v>82292.3</v>
      </c>
      <c r="N276" s="1">
        <v>2590.3000000000002</v>
      </c>
      <c r="O276" s="1">
        <v>97441.4</v>
      </c>
      <c r="P276" s="1">
        <v>53908</v>
      </c>
      <c r="Q276" s="1">
        <v>83917</v>
      </c>
      <c r="R276" s="1">
        <v>0</v>
      </c>
    </row>
    <row r="277" spans="1:18">
      <c r="A277" s="3">
        <v>45911.4583375</v>
      </c>
      <c r="B277" s="1">
        <v>779928</v>
      </c>
      <c r="C277" s="1">
        <v>171064</v>
      </c>
      <c r="D277" s="1">
        <v>48120.7</v>
      </c>
      <c r="E277" s="1">
        <v>0</v>
      </c>
      <c r="F277" s="1">
        <v>414807</v>
      </c>
      <c r="G277" s="1">
        <v>80296.5</v>
      </c>
      <c r="H277" s="1">
        <v>376994</v>
      </c>
      <c r="I277" s="1">
        <v>704936</v>
      </c>
      <c r="J277" s="1">
        <v>52435.3</v>
      </c>
      <c r="K277" s="1">
        <v>89319</v>
      </c>
      <c r="L277" s="1">
        <v>4427.8</v>
      </c>
      <c r="M277" s="1">
        <v>82333.899999999994</v>
      </c>
      <c r="N277" s="1">
        <v>2642.9</v>
      </c>
      <c r="O277" s="1">
        <v>97507</v>
      </c>
      <c r="P277" s="1">
        <v>53915</v>
      </c>
      <c r="Q277" s="1">
        <v>83927</v>
      </c>
      <c r="R277" s="1">
        <v>0</v>
      </c>
    </row>
    <row r="278" spans="1:18">
      <c r="A278" s="3">
        <v>45911.500004224537</v>
      </c>
      <c r="B278" s="1">
        <v>781091</v>
      </c>
      <c r="C278" s="1">
        <v>171367</v>
      </c>
      <c r="D278" s="1">
        <v>48153.1</v>
      </c>
      <c r="E278" s="1">
        <v>0</v>
      </c>
      <c r="F278" s="1">
        <v>414852</v>
      </c>
      <c r="G278" s="1">
        <v>80370.899999999994</v>
      </c>
      <c r="H278" s="1">
        <v>377006</v>
      </c>
      <c r="I278" s="1">
        <v>705328</v>
      </c>
      <c r="J278" s="1">
        <v>52443.8</v>
      </c>
      <c r="K278" s="1">
        <v>89319.4</v>
      </c>
      <c r="L278" s="1">
        <v>4462.6000000000004</v>
      </c>
      <c r="M278" s="1">
        <v>82377.8</v>
      </c>
      <c r="N278" s="1">
        <v>2687.9</v>
      </c>
      <c r="O278" s="1">
        <v>97572.5</v>
      </c>
      <c r="P278" s="1">
        <v>53929</v>
      </c>
      <c r="Q278" s="1">
        <v>83950</v>
      </c>
      <c r="R278" s="1">
        <v>0</v>
      </c>
    </row>
    <row r="279" spans="1:18">
      <c r="A279" s="3">
        <v>45911.541670949075</v>
      </c>
      <c r="B279" s="1">
        <v>782314</v>
      </c>
      <c r="C279" s="1">
        <v>171680</v>
      </c>
      <c r="D279" s="1">
        <v>48188</v>
      </c>
      <c r="E279" s="1">
        <v>0</v>
      </c>
      <c r="F279" s="1">
        <v>414896</v>
      </c>
      <c r="G279" s="1">
        <v>80453.7</v>
      </c>
      <c r="H279" s="1">
        <v>377019</v>
      </c>
      <c r="I279" s="1">
        <v>705734</v>
      </c>
      <c r="J279" s="1">
        <v>52455.6</v>
      </c>
      <c r="K279" s="1">
        <v>89319.9</v>
      </c>
      <c r="L279" s="1">
        <v>4505.2</v>
      </c>
      <c r="M279" s="1">
        <v>82424</v>
      </c>
      <c r="N279" s="1">
        <v>2733.5</v>
      </c>
      <c r="O279" s="1">
        <v>97637.7</v>
      </c>
      <c r="P279" s="1">
        <v>53945</v>
      </c>
      <c r="Q279" s="1">
        <v>83973</v>
      </c>
      <c r="R279" s="1">
        <v>0</v>
      </c>
    </row>
    <row r="280" spans="1:18">
      <c r="A280" s="3">
        <v>45911.583337673612</v>
      </c>
      <c r="B280" s="1">
        <v>783587</v>
      </c>
      <c r="C280" s="1">
        <v>171990</v>
      </c>
      <c r="D280" s="1">
        <v>48219.9</v>
      </c>
      <c r="E280" s="1">
        <v>0</v>
      </c>
      <c r="F280" s="1">
        <v>414955</v>
      </c>
      <c r="G280" s="1">
        <v>80535.8</v>
      </c>
      <c r="H280" s="1">
        <v>377032</v>
      </c>
      <c r="I280" s="1">
        <v>706164</v>
      </c>
      <c r="J280" s="1">
        <v>52466.5</v>
      </c>
      <c r="K280" s="1">
        <v>89319.9</v>
      </c>
      <c r="L280" s="1">
        <v>4557.6000000000004</v>
      </c>
      <c r="M280" s="1">
        <v>82477.100000000006</v>
      </c>
      <c r="N280" s="1">
        <v>2775.9</v>
      </c>
      <c r="O280" s="1">
        <v>97710.1</v>
      </c>
      <c r="P280" s="1">
        <v>53961</v>
      </c>
      <c r="Q280" s="1">
        <v>83997</v>
      </c>
      <c r="R280" s="1">
        <v>0</v>
      </c>
    </row>
    <row r="281" spans="1:18">
      <c r="A281" s="3">
        <v>45911.625004398149</v>
      </c>
      <c r="B281" s="1">
        <v>784880</v>
      </c>
      <c r="C281" s="1">
        <v>172308</v>
      </c>
      <c r="D281" s="1">
        <v>48259</v>
      </c>
      <c r="E281" s="1">
        <v>0</v>
      </c>
      <c r="F281" s="1">
        <v>415012</v>
      </c>
      <c r="G281" s="1">
        <v>80632.100000000006</v>
      </c>
      <c r="H281" s="1">
        <v>377044</v>
      </c>
      <c r="I281" s="1">
        <v>706609</v>
      </c>
      <c r="J281" s="1">
        <v>52477.9</v>
      </c>
      <c r="K281" s="1">
        <v>89320.1</v>
      </c>
      <c r="L281" s="1">
        <v>4607.5</v>
      </c>
      <c r="M281" s="1">
        <v>82528.5</v>
      </c>
      <c r="N281" s="1">
        <v>2821</v>
      </c>
      <c r="O281" s="1">
        <v>97765.5</v>
      </c>
      <c r="P281" s="1">
        <v>53974</v>
      </c>
      <c r="Q281" s="1">
        <v>84017</v>
      </c>
      <c r="R281" s="1">
        <v>0</v>
      </c>
    </row>
    <row r="282" spans="1:18">
      <c r="A282" s="3">
        <v>45911.666671122686</v>
      </c>
      <c r="B282" s="1">
        <v>786179</v>
      </c>
      <c r="C282" s="1">
        <v>172635</v>
      </c>
      <c r="D282" s="1">
        <v>48297.2</v>
      </c>
      <c r="E282" s="1">
        <v>0</v>
      </c>
      <c r="F282" s="1">
        <v>415069</v>
      </c>
      <c r="G282" s="1">
        <v>80731.3</v>
      </c>
      <c r="H282" s="1">
        <v>377062</v>
      </c>
      <c r="I282" s="1">
        <v>707058</v>
      </c>
      <c r="J282" s="1">
        <v>52490.8</v>
      </c>
      <c r="K282" s="1">
        <v>89320.6</v>
      </c>
      <c r="L282" s="1">
        <v>4664.8</v>
      </c>
      <c r="M282" s="1">
        <v>82582.2</v>
      </c>
      <c r="N282" s="1">
        <v>2870.1</v>
      </c>
      <c r="O282" s="1">
        <v>97802.5</v>
      </c>
      <c r="P282" s="1">
        <v>53985</v>
      </c>
      <c r="Q282" s="1">
        <v>84033</v>
      </c>
      <c r="R282" s="1">
        <v>0</v>
      </c>
    </row>
    <row r="283" spans="1:18">
      <c r="A283" s="3">
        <v>45911.708337847223</v>
      </c>
      <c r="B283" s="1">
        <v>787424</v>
      </c>
      <c r="C283" s="1">
        <v>172947</v>
      </c>
      <c r="D283" s="1">
        <v>48330.1</v>
      </c>
      <c r="E283" s="1">
        <v>0</v>
      </c>
      <c r="F283" s="1">
        <v>415119</v>
      </c>
      <c r="G283" s="1">
        <v>80838.3</v>
      </c>
      <c r="H283" s="1">
        <v>377097</v>
      </c>
      <c r="I283" s="1">
        <v>707474</v>
      </c>
      <c r="J283" s="1">
        <v>52500.2</v>
      </c>
      <c r="K283" s="1">
        <v>89327.3</v>
      </c>
      <c r="L283" s="1">
        <v>4706.3999999999996</v>
      </c>
      <c r="M283" s="1">
        <v>82633.100000000006</v>
      </c>
      <c r="N283" s="1">
        <v>2925.7</v>
      </c>
      <c r="O283" s="1">
        <v>97837.1</v>
      </c>
      <c r="P283" s="1">
        <v>53986</v>
      </c>
      <c r="Q283" s="1">
        <v>84036</v>
      </c>
      <c r="R283" s="1">
        <v>0</v>
      </c>
    </row>
    <row r="284" spans="1:18">
      <c r="A284" s="3">
        <v>45911.750004571761</v>
      </c>
      <c r="B284" s="1">
        <v>788506</v>
      </c>
      <c r="C284" s="1">
        <v>173238</v>
      </c>
      <c r="D284" s="1">
        <v>48358.2</v>
      </c>
      <c r="E284" s="1">
        <v>0</v>
      </c>
      <c r="F284" s="1">
        <v>415157</v>
      </c>
      <c r="G284" s="1">
        <v>80929.899999999994</v>
      </c>
      <c r="H284" s="1">
        <v>377118</v>
      </c>
      <c r="I284" s="1">
        <v>707836</v>
      </c>
      <c r="J284" s="1">
        <v>52507.9</v>
      </c>
      <c r="K284" s="1">
        <v>89331.4</v>
      </c>
      <c r="L284" s="1">
        <v>4738.6000000000004</v>
      </c>
      <c r="M284" s="1">
        <v>82675.600000000006</v>
      </c>
      <c r="N284" s="1">
        <v>2982.1</v>
      </c>
      <c r="O284" s="1">
        <v>97863.1</v>
      </c>
      <c r="P284" s="1">
        <v>53987</v>
      </c>
      <c r="Q284" s="1">
        <v>84037</v>
      </c>
      <c r="R284" s="1">
        <v>0</v>
      </c>
    </row>
    <row r="285" spans="1:18">
      <c r="A285" s="3">
        <v>45911.791671296298</v>
      </c>
      <c r="B285" s="1">
        <v>789472</v>
      </c>
      <c r="C285" s="1">
        <v>173489</v>
      </c>
      <c r="D285" s="1">
        <v>48378.3</v>
      </c>
      <c r="E285" s="1">
        <v>0</v>
      </c>
      <c r="F285" s="1">
        <v>415188</v>
      </c>
      <c r="G285" s="1">
        <v>81011.5</v>
      </c>
      <c r="H285" s="1">
        <v>377133</v>
      </c>
      <c r="I285" s="1">
        <v>708163</v>
      </c>
      <c r="J285" s="1">
        <v>52515.3</v>
      </c>
      <c r="K285" s="1">
        <v>89334.6</v>
      </c>
      <c r="L285" s="1">
        <v>4766.6000000000004</v>
      </c>
      <c r="M285" s="1">
        <v>82719</v>
      </c>
      <c r="N285" s="1">
        <v>3037.5</v>
      </c>
      <c r="O285" s="1">
        <v>97885.7</v>
      </c>
      <c r="P285" s="1">
        <v>53987</v>
      </c>
      <c r="Q285" s="1">
        <v>84037</v>
      </c>
      <c r="R285" s="1">
        <v>0</v>
      </c>
    </row>
    <row r="286" spans="1:18">
      <c r="A286" s="3">
        <v>45911.833338020835</v>
      </c>
      <c r="B286" s="1">
        <v>790354</v>
      </c>
      <c r="C286" s="1">
        <v>173717</v>
      </c>
      <c r="D286" s="1">
        <v>48396.2</v>
      </c>
      <c r="E286" s="1">
        <v>0</v>
      </c>
      <c r="F286" s="1">
        <v>415215</v>
      </c>
      <c r="G286" s="1">
        <v>81088.2</v>
      </c>
      <c r="H286" s="1">
        <v>377146</v>
      </c>
      <c r="I286" s="1">
        <v>708467</v>
      </c>
      <c r="J286" s="1">
        <v>52522.400000000001</v>
      </c>
      <c r="K286" s="1">
        <v>89337.8</v>
      </c>
      <c r="L286" s="1">
        <v>4790.7</v>
      </c>
      <c r="M286" s="1">
        <v>82756.600000000006</v>
      </c>
      <c r="N286" s="1">
        <v>3092.8</v>
      </c>
      <c r="O286" s="1">
        <v>97908.7</v>
      </c>
      <c r="P286" s="1">
        <v>53987</v>
      </c>
      <c r="Q286" s="1">
        <v>84037</v>
      </c>
      <c r="R286" s="1">
        <v>0</v>
      </c>
    </row>
    <row r="287" spans="1:18">
      <c r="A287" s="3">
        <v>45911.875004745372</v>
      </c>
      <c r="B287" s="1">
        <v>791138</v>
      </c>
      <c r="C287" s="1">
        <v>173905</v>
      </c>
      <c r="D287" s="1">
        <v>48411.3</v>
      </c>
      <c r="E287" s="1">
        <v>0</v>
      </c>
      <c r="F287" s="1">
        <v>415238</v>
      </c>
      <c r="G287" s="1">
        <v>81152.399999999994</v>
      </c>
      <c r="H287" s="1">
        <v>377158</v>
      </c>
      <c r="I287" s="1">
        <v>708738</v>
      </c>
      <c r="J287" s="1">
        <v>52529.1</v>
      </c>
      <c r="K287" s="1">
        <v>89340.9</v>
      </c>
      <c r="L287" s="1">
        <v>4814.1000000000004</v>
      </c>
      <c r="M287" s="1">
        <v>82794.899999999994</v>
      </c>
      <c r="N287" s="1">
        <v>3146.9</v>
      </c>
      <c r="O287" s="1">
        <v>97933.2</v>
      </c>
      <c r="P287" s="1">
        <v>53987</v>
      </c>
      <c r="Q287" s="1">
        <v>84037</v>
      </c>
      <c r="R287" s="1">
        <v>0</v>
      </c>
    </row>
    <row r="288" spans="1:18">
      <c r="A288" s="3">
        <v>45911.916671469909</v>
      </c>
      <c r="B288" s="1">
        <v>791893</v>
      </c>
      <c r="C288" s="1">
        <v>174083</v>
      </c>
      <c r="D288" s="1">
        <v>48426.8</v>
      </c>
      <c r="E288" s="1">
        <v>0</v>
      </c>
      <c r="F288" s="1">
        <v>415260</v>
      </c>
      <c r="G288" s="1">
        <v>81212.399999999994</v>
      </c>
      <c r="H288" s="1">
        <v>377170</v>
      </c>
      <c r="I288" s="1">
        <v>709000</v>
      </c>
      <c r="J288" s="1">
        <v>52536</v>
      </c>
      <c r="K288" s="1">
        <v>89344</v>
      </c>
      <c r="L288" s="1">
        <v>4836.8999999999996</v>
      </c>
      <c r="M288" s="1">
        <v>82834</v>
      </c>
      <c r="N288" s="1">
        <v>3200.8</v>
      </c>
      <c r="O288" s="1">
        <v>97955.1</v>
      </c>
      <c r="P288" s="1">
        <v>53987</v>
      </c>
      <c r="Q288" s="1">
        <v>84037</v>
      </c>
      <c r="R288" s="1">
        <v>0</v>
      </c>
    </row>
    <row r="289" spans="1:18">
      <c r="A289" s="3">
        <v>45911.958338194447</v>
      </c>
      <c r="B289" s="1">
        <v>792636</v>
      </c>
      <c r="C289" s="1">
        <v>174267</v>
      </c>
      <c r="D289" s="1">
        <v>48444.5</v>
      </c>
      <c r="E289" s="1">
        <v>0</v>
      </c>
      <c r="F289" s="1">
        <v>415280</v>
      </c>
      <c r="G289" s="1">
        <v>81270.5</v>
      </c>
      <c r="H289" s="1">
        <v>377182</v>
      </c>
      <c r="I289" s="1">
        <v>709252</v>
      </c>
      <c r="J289" s="1">
        <v>52542.7</v>
      </c>
      <c r="K289" s="1">
        <v>89347.1</v>
      </c>
      <c r="L289" s="1">
        <v>4857.8</v>
      </c>
      <c r="M289" s="1">
        <v>82873.100000000006</v>
      </c>
      <c r="N289" s="1">
        <v>3254.7</v>
      </c>
      <c r="O289" s="1">
        <v>97972.800000000003</v>
      </c>
      <c r="P289" s="1">
        <v>53987</v>
      </c>
      <c r="Q289" s="1">
        <v>84037</v>
      </c>
      <c r="R289" s="1">
        <v>0</v>
      </c>
    </row>
    <row r="290" spans="1:18">
      <c r="A290" s="3">
        <v>45912.000004918984</v>
      </c>
      <c r="B290" s="1">
        <v>793372</v>
      </c>
      <c r="C290" s="1">
        <v>174450</v>
      </c>
      <c r="D290" s="1">
        <v>48460.9</v>
      </c>
      <c r="E290" s="1">
        <v>0</v>
      </c>
      <c r="F290" s="1">
        <v>415299</v>
      </c>
      <c r="G290" s="1">
        <v>81328.800000000003</v>
      </c>
      <c r="H290" s="1">
        <v>377193</v>
      </c>
      <c r="I290" s="1">
        <v>709502</v>
      </c>
      <c r="J290" s="1">
        <v>52549.5</v>
      </c>
      <c r="K290" s="1">
        <v>89350.2</v>
      </c>
      <c r="L290" s="1">
        <v>4878</v>
      </c>
      <c r="M290" s="1">
        <v>82912.100000000006</v>
      </c>
      <c r="N290" s="1">
        <v>3309.1</v>
      </c>
      <c r="O290" s="1">
        <v>97990.2</v>
      </c>
      <c r="P290" s="1">
        <v>53987</v>
      </c>
      <c r="Q290" s="1">
        <v>84037</v>
      </c>
      <c r="R290" s="1">
        <v>0</v>
      </c>
    </row>
    <row r="291" spans="1:18">
      <c r="A291" s="3">
        <v>45912.041671643521</v>
      </c>
      <c r="B291" s="1">
        <v>794095</v>
      </c>
      <c r="C291" s="1">
        <v>174624</v>
      </c>
      <c r="D291" s="1">
        <v>48477.599999999999</v>
      </c>
      <c r="E291" s="1">
        <v>0</v>
      </c>
      <c r="F291" s="1">
        <v>415317</v>
      </c>
      <c r="G291" s="1">
        <v>81388.5</v>
      </c>
      <c r="H291" s="1">
        <v>377205</v>
      </c>
      <c r="I291" s="1">
        <v>709751</v>
      </c>
      <c r="J291" s="1">
        <v>52556.1</v>
      </c>
      <c r="K291" s="1">
        <v>89353.4</v>
      </c>
      <c r="L291" s="1">
        <v>4898.3999999999996</v>
      </c>
      <c r="M291" s="1">
        <v>82950.899999999994</v>
      </c>
      <c r="N291" s="1">
        <v>3363.5</v>
      </c>
      <c r="O291" s="1">
        <v>98006.3</v>
      </c>
      <c r="P291" s="1">
        <v>53987</v>
      </c>
      <c r="Q291" s="1">
        <v>84037</v>
      </c>
      <c r="R291" s="1">
        <v>0</v>
      </c>
    </row>
    <row r="292" spans="1:18">
      <c r="A292" s="3">
        <v>45912.083338368058</v>
      </c>
      <c r="B292" s="1">
        <v>794811</v>
      </c>
      <c r="C292" s="1">
        <v>174794</v>
      </c>
      <c r="D292" s="1">
        <v>48492.800000000003</v>
      </c>
      <c r="E292" s="1">
        <v>0</v>
      </c>
      <c r="F292" s="1">
        <v>415335</v>
      </c>
      <c r="G292" s="1">
        <v>81448.600000000006</v>
      </c>
      <c r="H292" s="1">
        <v>377217</v>
      </c>
      <c r="I292" s="1">
        <v>709996</v>
      </c>
      <c r="J292" s="1">
        <v>52562.9</v>
      </c>
      <c r="K292" s="1">
        <v>89356.6</v>
      </c>
      <c r="L292" s="1">
        <v>4918.6000000000004</v>
      </c>
      <c r="M292" s="1">
        <v>82988.600000000006</v>
      </c>
      <c r="N292" s="1">
        <v>3417.8</v>
      </c>
      <c r="O292" s="1">
        <v>98023.5</v>
      </c>
      <c r="P292" s="1">
        <v>53987</v>
      </c>
      <c r="Q292" s="1">
        <v>84037</v>
      </c>
      <c r="R292" s="1">
        <v>0</v>
      </c>
    </row>
    <row r="293" spans="1:18">
      <c r="A293" s="3">
        <v>45912.125005092596</v>
      </c>
      <c r="B293" s="1">
        <v>795512</v>
      </c>
      <c r="C293" s="1">
        <v>174960</v>
      </c>
      <c r="D293" s="1">
        <v>48507</v>
      </c>
      <c r="E293" s="1">
        <v>0</v>
      </c>
      <c r="F293" s="1">
        <v>415352</v>
      </c>
      <c r="G293" s="1">
        <v>81505.8</v>
      </c>
      <c r="H293" s="1">
        <v>377230</v>
      </c>
      <c r="I293" s="1">
        <v>710237</v>
      </c>
      <c r="J293" s="1">
        <v>52569.5</v>
      </c>
      <c r="K293" s="1">
        <v>89359.7</v>
      </c>
      <c r="L293" s="1">
        <v>4938.5</v>
      </c>
      <c r="M293" s="1">
        <v>83026.100000000006</v>
      </c>
      <c r="N293" s="1">
        <v>3471.7</v>
      </c>
      <c r="O293" s="1">
        <v>98041.3</v>
      </c>
      <c r="P293" s="1">
        <v>53987</v>
      </c>
      <c r="Q293" s="1">
        <v>84037</v>
      </c>
      <c r="R293" s="1">
        <v>0</v>
      </c>
    </row>
    <row r="294" spans="1:18">
      <c r="A294" s="3">
        <v>45912.166671817133</v>
      </c>
      <c r="B294" s="1">
        <v>796213</v>
      </c>
      <c r="C294" s="1">
        <v>175128</v>
      </c>
      <c r="D294" s="1">
        <v>48520.6</v>
      </c>
      <c r="E294" s="1">
        <v>0</v>
      </c>
      <c r="F294" s="1">
        <v>415370</v>
      </c>
      <c r="G294" s="1">
        <v>81561.5</v>
      </c>
      <c r="H294" s="1">
        <v>377242</v>
      </c>
      <c r="I294" s="1">
        <v>710476</v>
      </c>
      <c r="J294" s="1">
        <v>52576.1</v>
      </c>
      <c r="K294" s="1">
        <v>89362.9</v>
      </c>
      <c r="L294" s="1">
        <v>4958.8999999999996</v>
      </c>
      <c r="M294" s="1">
        <v>83063.5</v>
      </c>
      <c r="N294" s="1">
        <v>3526.5</v>
      </c>
      <c r="O294" s="1">
        <v>98058.4</v>
      </c>
      <c r="P294" s="1">
        <v>53987</v>
      </c>
      <c r="Q294" s="1">
        <v>84037</v>
      </c>
      <c r="R294" s="1">
        <v>0</v>
      </c>
    </row>
    <row r="295" spans="1:18">
      <c r="A295" s="3">
        <v>45912.20833854167</v>
      </c>
      <c r="B295" s="1">
        <v>796912</v>
      </c>
      <c r="C295" s="1">
        <v>175293</v>
      </c>
      <c r="D295" s="1">
        <v>48534</v>
      </c>
      <c r="E295" s="1">
        <v>0</v>
      </c>
      <c r="F295" s="1">
        <v>415388</v>
      </c>
      <c r="G295" s="1">
        <v>81616.3</v>
      </c>
      <c r="H295" s="1">
        <v>377253</v>
      </c>
      <c r="I295" s="1">
        <v>710720</v>
      </c>
      <c r="J295" s="1">
        <v>52582.8</v>
      </c>
      <c r="K295" s="1">
        <v>89366.1</v>
      </c>
      <c r="L295" s="1">
        <v>4978.6000000000004</v>
      </c>
      <c r="M295" s="1">
        <v>83100.3</v>
      </c>
      <c r="N295" s="1">
        <v>3580.9</v>
      </c>
      <c r="O295" s="1">
        <v>98075.9</v>
      </c>
      <c r="P295" s="1">
        <v>53987</v>
      </c>
      <c r="Q295" s="1">
        <v>84037</v>
      </c>
      <c r="R295" s="1">
        <v>0</v>
      </c>
    </row>
    <row r="296" spans="1:18">
      <c r="A296" s="3">
        <v>45912.250005266207</v>
      </c>
      <c r="B296" s="1">
        <v>797605</v>
      </c>
      <c r="C296" s="1">
        <v>175458</v>
      </c>
      <c r="D296" s="1">
        <v>48547.8</v>
      </c>
      <c r="E296" s="1">
        <v>0</v>
      </c>
      <c r="F296" s="1">
        <v>415404</v>
      </c>
      <c r="G296" s="1">
        <v>81670.7</v>
      </c>
      <c r="H296" s="1">
        <v>377265</v>
      </c>
      <c r="I296" s="1">
        <v>710960</v>
      </c>
      <c r="J296" s="1">
        <v>52589.4</v>
      </c>
      <c r="K296" s="1">
        <v>89369.2</v>
      </c>
      <c r="L296" s="1">
        <v>4998.5</v>
      </c>
      <c r="M296" s="1">
        <v>83136.899999999994</v>
      </c>
      <c r="N296" s="1">
        <v>3635.2</v>
      </c>
      <c r="O296" s="1">
        <v>98095.9</v>
      </c>
      <c r="P296" s="1">
        <v>53987</v>
      </c>
      <c r="Q296" s="1">
        <v>84037</v>
      </c>
      <c r="R296" s="1">
        <v>0</v>
      </c>
    </row>
    <row r="297" spans="1:18">
      <c r="A297" s="3">
        <v>45912.291671990744</v>
      </c>
      <c r="B297" s="1">
        <v>798308</v>
      </c>
      <c r="C297" s="1">
        <v>175628</v>
      </c>
      <c r="D297" s="1">
        <v>48561.1</v>
      </c>
      <c r="E297" s="1">
        <v>0</v>
      </c>
      <c r="F297" s="1">
        <v>415421</v>
      </c>
      <c r="G297" s="1">
        <v>81724.5</v>
      </c>
      <c r="H297" s="1">
        <v>377276</v>
      </c>
      <c r="I297" s="1">
        <v>711205</v>
      </c>
      <c r="J297" s="1">
        <v>52595.8</v>
      </c>
      <c r="K297" s="1">
        <v>89372.5</v>
      </c>
      <c r="L297" s="1">
        <v>5017.6000000000004</v>
      </c>
      <c r="M297" s="1">
        <v>83173.100000000006</v>
      </c>
      <c r="N297" s="1">
        <v>3688.9</v>
      </c>
      <c r="O297" s="1">
        <v>98115.5</v>
      </c>
      <c r="P297" s="1">
        <v>53987</v>
      </c>
      <c r="Q297" s="1">
        <v>84037</v>
      </c>
      <c r="R297" s="1">
        <v>0</v>
      </c>
    </row>
    <row r="298" spans="1:18">
      <c r="A298" s="3">
        <v>45912.333338715274</v>
      </c>
      <c r="B298" s="1">
        <v>799022</v>
      </c>
      <c r="C298" s="1">
        <v>175803</v>
      </c>
      <c r="D298" s="1">
        <v>48575.3</v>
      </c>
      <c r="E298" s="1">
        <v>0</v>
      </c>
      <c r="F298" s="1">
        <v>415443</v>
      </c>
      <c r="G298" s="1">
        <v>81773.899999999994</v>
      </c>
      <c r="H298" s="1">
        <v>377288</v>
      </c>
      <c r="I298" s="1">
        <v>711453</v>
      </c>
      <c r="J298" s="1">
        <v>52602.6</v>
      </c>
      <c r="K298" s="1">
        <v>89373.8</v>
      </c>
      <c r="L298" s="1">
        <v>5037.7</v>
      </c>
      <c r="M298" s="1">
        <v>83210.100000000006</v>
      </c>
      <c r="N298" s="1">
        <v>3739.7</v>
      </c>
      <c r="O298" s="1">
        <v>98140.4</v>
      </c>
      <c r="P298" s="1">
        <v>53989</v>
      </c>
      <c r="Q298" s="1">
        <v>84041</v>
      </c>
      <c r="R298" s="1">
        <v>0</v>
      </c>
    </row>
    <row r="299" spans="1:18">
      <c r="A299" s="3">
        <v>45912.375005439812</v>
      </c>
      <c r="B299" s="1">
        <v>799838</v>
      </c>
      <c r="C299" s="1">
        <v>176002</v>
      </c>
      <c r="D299" s="1">
        <v>48592.5</v>
      </c>
      <c r="E299" s="1">
        <v>0</v>
      </c>
      <c r="F299" s="1">
        <v>415466</v>
      </c>
      <c r="G299" s="1">
        <v>81822.399999999994</v>
      </c>
      <c r="H299" s="1">
        <v>377300</v>
      </c>
      <c r="I299" s="1">
        <v>711730</v>
      </c>
      <c r="J299" s="1">
        <v>52609.3</v>
      </c>
      <c r="K299" s="1">
        <v>89374.6</v>
      </c>
      <c r="L299" s="1">
        <v>5063.2</v>
      </c>
      <c r="M299" s="1">
        <v>83258.399999999994</v>
      </c>
      <c r="N299" s="1">
        <v>3790.1</v>
      </c>
      <c r="O299" s="1">
        <v>98178.8</v>
      </c>
      <c r="P299" s="1">
        <v>53993</v>
      </c>
      <c r="Q299" s="1">
        <v>84047</v>
      </c>
      <c r="R299" s="1">
        <v>0</v>
      </c>
    </row>
    <row r="300" spans="1:18">
      <c r="A300" s="3">
        <v>45912.416672164349</v>
      </c>
      <c r="B300" s="1">
        <v>800820</v>
      </c>
      <c r="C300" s="1">
        <v>176256</v>
      </c>
      <c r="D300" s="1">
        <v>48616.2</v>
      </c>
      <c r="E300" s="1">
        <v>0</v>
      </c>
      <c r="F300" s="1">
        <v>415498</v>
      </c>
      <c r="G300" s="1">
        <v>81878.899999999994</v>
      </c>
      <c r="H300" s="1">
        <v>377312</v>
      </c>
      <c r="I300" s="1">
        <v>712064</v>
      </c>
      <c r="J300" s="1">
        <v>52616.3</v>
      </c>
      <c r="K300" s="1">
        <v>89374.8</v>
      </c>
      <c r="L300" s="1">
        <v>5093</v>
      </c>
      <c r="M300" s="1">
        <v>83310.7</v>
      </c>
      <c r="N300" s="1">
        <v>3838.4</v>
      </c>
      <c r="O300" s="1">
        <v>98230.6</v>
      </c>
      <c r="P300" s="1">
        <v>54000</v>
      </c>
      <c r="Q300" s="1">
        <v>84059</v>
      </c>
      <c r="R300" s="1">
        <v>0</v>
      </c>
    </row>
    <row r="301" spans="1:18">
      <c r="A301" s="3">
        <v>45912.458338888886</v>
      </c>
      <c r="B301" s="1">
        <v>801953</v>
      </c>
      <c r="C301" s="1">
        <v>176543</v>
      </c>
      <c r="D301" s="1">
        <v>48642.400000000001</v>
      </c>
      <c r="E301" s="1">
        <v>0</v>
      </c>
      <c r="F301" s="1">
        <v>415547</v>
      </c>
      <c r="G301" s="1">
        <v>81957.5</v>
      </c>
      <c r="H301" s="1">
        <v>377325</v>
      </c>
      <c r="I301" s="1">
        <v>712442</v>
      </c>
      <c r="J301" s="1">
        <v>52623.1</v>
      </c>
      <c r="K301" s="1">
        <v>89375.9</v>
      </c>
      <c r="L301" s="1">
        <v>5122.8999999999996</v>
      </c>
      <c r="M301" s="1">
        <v>83364.899999999994</v>
      </c>
      <c r="N301" s="1">
        <v>3886.3</v>
      </c>
      <c r="O301" s="1">
        <v>98302.5</v>
      </c>
      <c r="P301" s="1">
        <v>54008</v>
      </c>
      <c r="Q301" s="1">
        <v>84071</v>
      </c>
      <c r="R301" s="1">
        <v>0</v>
      </c>
    </row>
    <row r="302" spans="1:18">
      <c r="A302" s="3">
        <v>45912.500005613423</v>
      </c>
      <c r="B302" s="1">
        <v>803154</v>
      </c>
      <c r="C302" s="1">
        <v>176849</v>
      </c>
      <c r="D302" s="1">
        <v>48668.4</v>
      </c>
      <c r="E302" s="1">
        <v>0</v>
      </c>
      <c r="F302" s="1">
        <v>415596</v>
      </c>
      <c r="G302" s="1">
        <v>82039.899999999994</v>
      </c>
      <c r="H302" s="1">
        <v>377337</v>
      </c>
      <c r="I302" s="1">
        <v>712859</v>
      </c>
      <c r="J302" s="1">
        <v>52630.5</v>
      </c>
      <c r="K302" s="1">
        <v>89375.9</v>
      </c>
      <c r="L302" s="1">
        <v>5156.6000000000004</v>
      </c>
      <c r="M302" s="1">
        <v>83419.199999999997</v>
      </c>
      <c r="N302" s="1">
        <v>3932.2</v>
      </c>
      <c r="O302" s="1">
        <v>98371.5</v>
      </c>
      <c r="P302" s="1">
        <v>54022</v>
      </c>
      <c r="Q302" s="1">
        <v>84093</v>
      </c>
      <c r="R302" s="1">
        <v>0</v>
      </c>
    </row>
    <row r="303" spans="1:18">
      <c r="A303" s="3">
        <v>45912.54167233796</v>
      </c>
      <c r="B303" s="1">
        <v>804367</v>
      </c>
      <c r="C303" s="1">
        <v>177155</v>
      </c>
      <c r="D303" s="1">
        <v>48699.8</v>
      </c>
      <c r="E303" s="1">
        <v>0</v>
      </c>
      <c r="F303" s="1">
        <v>415644</v>
      </c>
      <c r="G303" s="1">
        <v>82136.5</v>
      </c>
      <c r="H303" s="1">
        <v>377349</v>
      </c>
      <c r="I303" s="1">
        <v>713275</v>
      </c>
      <c r="J303" s="1">
        <v>52638.1</v>
      </c>
      <c r="K303" s="1">
        <v>89376.5</v>
      </c>
      <c r="L303" s="1">
        <v>5193.6000000000004</v>
      </c>
      <c r="M303" s="1">
        <v>83469.899999999994</v>
      </c>
      <c r="N303" s="1">
        <v>3979.4</v>
      </c>
      <c r="O303" s="1">
        <v>98443.1</v>
      </c>
      <c r="P303" s="1">
        <v>54032</v>
      </c>
      <c r="Q303" s="1">
        <v>84107</v>
      </c>
      <c r="R303" s="1">
        <v>0</v>
      </c>
    </row>
    <row r="304" spans="1:18">
      <c r="A304" s="3">
        <v>45912.583339062498</v>
      </c>
      <c r="B304" s="1">
        <v>805609</v>
      </c>
      <c r="C304" s="1">
        <v>177465</v>
      </c>
      <c r="D304" s="1">
        <v>48731</v>
      </c>
      <c r="E304" s="1">
        <v>0</v>
      </c>
      <c r="F304" s="1">
        <v>415686</v>
      </c>
      <c r="G304" s="1">
        <v>82240.5</v>
      </c>
      <c r="H304" s="1">
        <v>377363</v>
      </c>
      <c r="I304" s="1">
        <v>713693</v>
      </c>
      <c r="J304" s="1">
        <v>52645.7</v>
      </c>
      <c r="K304" s="1">
        <v>89380.800000000003</v>
      </c>
      <c r="L304" s="1">
        <v>5245.4</v>
      </c>
      <c r="M304" s="1">
        <v>83519.5</v>
      </c>
      <c r="N304" s="1">
        <v>4029.3</v>
      </c>
      <c r="O304" s="1">
        <v>98520.6</v>
      </c>
      <c r="P304" s="1">
        <v>54036</v>
      </c>
      <c r="Q304" s="1">
        <v>84115</v>
      </c>
      <c r="R304" s="1">
        <v>0</v>
      </c>
    </row>
    <row r="305" spans="1:18">
      <c r="A305" s="3">
        <v>45912.625005787035</v>
      </c>
      <c r="B305" s="1">
        <v>806846</v>
      </c>
      <c r="C305" s="1">
        <v>177798</v>
      </c>
      <c r="D305" s="1">
        <v>48766.7</v>
      </c>
      <c r="E305" s="1">
        <v>0</v>
      </c>
      <c r="F305" s="1">
        <v>415728</v>
      </c>
      <c r="G305" s="1">
        <v>82347.5</v>
      </c>
      <c r="H305" s="1">
        <v>377380</v>
      </c>
      <c r="I305" s="1">
        <v>714095</v>
      </c>
      <c r="J305" s="1">
        <v>52652.6</v>
      </c>
      <c r="K305" s="1">
        <v>89389.2</v>
      </c>
      <c r="L305" s="1">
        <v>5288.9</v>
      </c>
      <c r="M305" s="1">
        <v>83571.5</v>
      </c>
      <c r="N305" s="1">
        <v>4082.1</v>
      </c>
      <c r="O305" s="1">
        <v>98576</v>
      </c>
      <c r="P305" s="1">
        <v>54038</v>
      </c>
      <c r="Q305" s="1">
        <v>84118</v>
      </c>
      <c r="R305" s="1">
        <v>0</v>
      </c>
    </row>
    <row r="306" spans="1:18">
      <c r="A306" s="3">
        <v>45912.666672511572</v>
      </c>
      <c r="B306" s="1">
        <v>808026</v>
      </c>
      <c r="C306" s="1">
        <v>178143</v>
      </c>
      <c r="D306" s="1">
        <v>48794.9</v>
      </c>
      <c r="E306" s="1">
        <v>0</v>
      </c>
      <c r="F306" s="1">
        <v>415769</v>
      </c>
      <c r="G306" s="1">
        <v>82444.7</v>
      </c>
      <c r="H306" s="1">
        <v>377392</v>
      </c>
      <c r="I306" s="1">
        <v>714488</v>
      </c>
      <c r="J306" s="1">
        <v>52659.4</v>
      </c>
      <c r="K306" s="1">
        <v>89394</v>
      </c>
      <c r="L306" s="1">
        <v>5329.4</v>
      </c>
      <c r="M306" s="1">
        <v>83617.899999999994</v>
      </c>
      <c r="N306" s="1">
        <v>4133.3999999999996</v>
      </c>
      <c r="O306" s="1">
        <v>98610.4</v>
      </c>
      <c r="P306" s="1">
        <v>54043</v>
      </c>
      <c r="Q306" s="1">
        <v>84124</v>
      </c>
      <c r="R306" s="1">
        <v>0</v>
      </c>
    </row>
    <row r="307" spans="1:18">
      <c r="A307" s="3">
        <v>45912.708339236109</v>
      </c>
      <c r="B307" s="1">
        <v>809178</v>
      </c>
      <c r="C307" s="1">
        <v>178476</v>
      </c>
      <c r="D307" s="1">
        <v>48824.1</v>
      </c>
      <c r="E307" s="1">
        <v>0</v>
      </c>
      <c r="F307" s="1">
        <v>415807</v>
      </c>
      <c r="G307" s="1">
        <v>82542</v>
      </c>
      <c r="H307" s="1">
        <v>377405</v>
      </c>
      <c r="I307" s="1">
        <v>714863</v>
      </c>
      <c r="J307" s="1">
        <v>52666.400000000001</v>
      </c>
      <c r="K307" s="1">
        <v>89400</v>
      </c>
      <c r="L307" s="1">
        <v>5367.4</v>
      </c>
      <c r="M307" s="1">
        <v>83662.8</v>
      </c>
      <c r="N307" s="1">
        <v>4187.5</v>
      </c>
      <c r="O307" s="1">
        <v>98643.199999999997</v>
      </c>
      <c r="P307" s="1">
        <v>54045</v>
      </c>
      <c r="Q307" s="1">
        <v>84128</v>
      </c>
      <c r="R307" s="1">
        <v>0</v>
      </c>
    </row>
    <row r="308" spans="1:18">
      <c r="A308" s="3">
        <v>45912.750005960646</v>
      </c>
      <c r="B308" s="1">
        <v>810212</v>
      </c>
      <c r="C308" s="1">
        <v>178773</v>
      </c>
      <c r="D308" s="1">
        <v>48849.1</v>
      </c>
      <c r="E308" s="1">
        <v>0</v>
      </c>
      <c r="F308" s="1">
        <v>415839</v>
      </c>
      <c r="G308" s="1">
        <v>82620.399999999994</v>
      </c>
      <c r="H308" s="1">
        <v>377418</v>
      </c>
      <c r="I308" s="1">
        <v>715207</v>
      </c>
      <c r="J308" s="1">
        <v>52673</v>
      </c>
      <c r="K308" s="1">
        <v>89402.8</v>
      </c>
      <c r="L308" s="1">
        <v>5399.2</v>
      </c>
      <c r="M308" s="1">
        <v>83708.600000000006</v>
      </c>
      <c r="N308" s="1">
        <v>4242.8</v>
      </c>
      <c r="O308" s="1">
        <v>98668.3</v>
      </c>
      <c r="P308" s="1">
        <v>54045</v>
      </c>
      <c r="Q308" s="1">
        <v>84129</v>
      </c>
      <c r="R308" s="1">
        <v>0</v>
      </c>
    </row>
    <row r="309" spans="1:18">
      <c r="A309" s="3">
        <v>45912.791672685184</v>
      </c>
      <c r="B309" s="1">
        <v>811129</v>
      </c>
      <c r="C309" s="1">
        <v>179040</v>
      </c>
      <c r="D309" s="1">
        <v>48867.3</v>
      </c>
      <c r="E309" s="1">
        <v>0</v>
      </c>
      <c r="F309" s="1">
        <v>415866</v>
      </c>
      <c r="G309" s="1">
        <v>82685.100000000006</v>
      </c>
      <c r="H309" s="1">
        <v>377430</v>
      </c>
      <c r="I309" s="1">
        <v>715519</v>
      </c>
      <c r="J309" s="1">
        <v>52679.7</v>
      </c>
      <c r="K309" s="1">
        <v>89405.8</v>
      </c>
      <c r="L309" s="1">
        <v>5426</v>
      </c>
      <c r="M309" s="1">
        <v>83747.899999999994</v>
      </c>
      <c r="N309" s="1">
        <v>4296.5</v>
      </c>
      <c r="O309" s="1">
        <v>98686.399999999994</v>
      </c>
      <c r="P309" s="1">
        <v>54045</v>
      </c>
      <c r="Q309" s="1">
        <v>84129</v>
      </c>
      <c r="R309" s="1">
        <v>0</v>
      </c>
    </row>
    <row r="310" spans="1:18">
      <c r="A310" s="3">
        <v>45912.833339409721</v>
      </c>
      <c r="B310" s="1">
        <v>811946</v>
      </c>
      <c r="C310" s="1">
        <v>179260</v>
      </c>
      <c r="D310" s="1">
        <v>48883.3</v>
      </c>
      <c r="E310" s="1">
        <v>0</v>
      </c>
      <c r="F310" s="1">
        <v>415890</v>
      </c>
      <c r="G310" s="1">
        <v>82741.7</v>
      </c>
      <c r="H310" s="1">
        <v>377442</v>
      </c>
      <c r="I310" s="1">
        <v>715800</v>
      </c>
      <c r="J310" s="1">
        <v>52686.3</v>
      </c>
      <c r="K310" s="1">
        <v>89409.1</v>
      </c>
      <c r="L310" s="1">
        <v>5452.1</v>
      </c>
      <c r="M310" s="1">
        <v>83785.2</v>
      </c>
      <c r="N310" s="1">
        <v>4350.8999999999996</v>
      </c>
      <c r="O310" s="1">
        <v>98708.9</v>
      </c>
      <c r="P310" s="1">
        <v>54045</v>
      </c>
      <c r="Q310" s="1">
        <v>84129</v>
      </c>
      <c r="R310" s="1">
        <v>0</v>
      </c>
    </row>
    <row r="311" spans="1:18">
      <c r="A311" s="3">
        <v>45912.875006134258</v>
      </c>
      <c r="B311" s="1">
        <v>812736</v>
      </c>
      <c r="C311" s="1">
        <v>179468</v>
      </c>
      <c r="D311" s="1">
        <v>48898.3</v>
      </c>
      <c r="E311" s="1">
        <v>0</v>
      </c>
      <c r="F311" s="1">
        <v>415912</v>
      </c>
      <c r="G311" s="1">
        <v>82794.3</v>
      </c>
      <c r="H311" s="1">
        <v>377455</v>
      </c>
      <c r="I311" s="1">
        <v>716074</v>
      </c>
      <c r="J311" s="1">
        <v>52692.9</v>
      </c>
      <c r="K311" s="1">
        <v>89412.3</v>
      </c>
      <c r="L311" s="1">
        <v>5476.3</v>
      </c>
      <c r="M311" s="1">
        <v>83823</v>
      </c>
      <c r="N311" s="1">
        <v>4405.6000000000004</v>
      </c>
      <c r="O311" s="1">
        <v>98732.4</v>
      </c>
      <c r="P311" s="1">
        <v>54045</v>
      </c>
      <c r="Q311" s="1">
        <v>84129</v>
      </c>
      <c r="R311" s="1">
        <v>0</v>
      </c>
    </row>
    <row r="312" spans="1:18">
      <c r="A312" s="3">
        <v>45912.916672858795</v>
      </c>
      <c r="B312" s="1">
        <v>813518</v>
      </c>
      <c r="C312" s="1">
        <v>179674</v>
      </c>
      <c r="D312" s="1">
        <v>48914.9</v>
      </c>
      <c r="E312" s="1">
        <v>0</v>
      </c>
      <c r="F312" s="1">
        <v>415935</v>
      </c>
      <c r="G312" s="1">
        <v>82845.5</v>
      </c>
      <c r="H312" s="1">
        <v>377467</v>
      </c>
      <c r="I312" s="1">
        <v>716342</v>
      </c>
      <c r="J312" s="1">
        <v>52699.7</v>
      </c>
      <c r="K312" s="1">
        <v>89415.6</v>
      </c>
      <c r="L312" s="1">
        <v>5500</v>
      </c>
      <c r="M312" s="1">
        <v>83861.5</v>
      </c>
      <c r="N312" s="1">
        <v>4461</v>
      </c>
      <c r="O312" s="1">
        <v>98754.4</v>
      </c>
      <c r="P312" s="1">
        <v>54045</v>
      </c>
      <c r="Q312" s="1">
        <v>84129</v>
      </c>
      <c r="R312" s="1">
        <v>0</v>
      </c>
    </row>
    <row r="313" spans="1:18">
      <c r="A313" s="3">
        <v>45912.958339583332</v>
      </c>
      <c r="B313" s="1">
        <v>814278</v>
      </c>
      <c r="C313" s="1">
        <v>179872</v>
      </c>
      <c r="D313" s="1">
        <v>48930.2</v>
      </c>
      <c r="E313" s="1">
        <v>0</v>
      </c>
      <c r="F313" s="1">
        <v>415957</v>
      </c>
      <c r="G313" s="1">
        <v>82896.399999999994</v>
      </c>
      <c r="H313" s="1">
        <v>377479</v>
      </c>
      <c r="I313" s="1">
        <v>716610</v>
      </c>
      <c r="J313" s="1">
        <v>52706.7</v>
      </c>
      <c r="K313" s="1">
        <v>89418.7</v>
      </c>
      <c r="L313" s="1">
        <v>5520.5</v>
      </c>
      <c r="M313" s="1">
        <v>83899.3</v>
      </c>
      <c r="N313" s="1">
        <v>4513.7</v>
      </c>
      <c r="O313" s="1">
        <v>98773.4</v>
      </c>
      <c r="P313" s="1">
        <v>54045</v>
      </c>
      <c r="Q313" s="1">
        <v>84129</v>
      </c>
      <c r="R313" s="1">
        <v>0</v>
      </c>
    </row>
    <row r="314" spans="1:18">
      <c r="A314" s="3">
        <v>45913.00000630787</v>
      </c>
      <c r="B314" s="1">
        <v>815024</v>
      </c>
      <c r="C314" s="1">
        <v>180064</v>
      </c>
      <c r="D314" s="1">
        <v>48945.4</v>
      </c>
      <c r="E314" s="1">
        <v>0</v>
      </c>
      <c r="F314" s="1">
        <v>415977</v>
      </c>
      <c r="G314" s="1">
        <v>82945.2</v>
      </c>
      <c r="H314" s="1">
        <v>377492</v>
      </c>
      <c r="I314" s="1">
        <v>716871</v>
      </c>
      <c r="J314" s="1">
        <v>52715.3</v>
      </c>
      <c r="K314" s="1">
        <v>89421.5</v>
      </c>
      <c r="L314" s="1">
        <v>5541.6</v>
      </c>
      <c r="M314" s="1">
        <v>83937.2</v>
      </c>
      <c r="N314" s="1">
        <v>4568.3</v>
      </c>
      <c r="O314" s="1">
        <v>98791.8</v>
      </c>
      <c r="P314" s="1">
        <v>54045</v>
      </c>
      <c r="Q314" s="1">
        <v>84129</v>
      </c>
      <c r="R314" s="1">
        <v>0</v>
      </c>
    </row>
    <row r="315" spans="1:18">
      <c r="A315" s="3">
        <v>45913.041673032407</v>
      </c>
      <c r="B315" s="1">
        <v>815762</v>
      </c>
      <c r="C315" s="1">
        <v>180256</v>
      </c>
      <c r="D315" s="1">
        <v>48960.2</v>
      </c>
      <c r="E315" s="1">
        <v>0</v>
      </c>
      <c r="F315" s="1">
        <v>415996</v>
      </c>
      <c r="G315" s="1">
        <v>82997.899999999994</v>
      </c>
      <c r="H315" s="1">
        <v>377504</v>
      </c>
      <c r="I315" s="1">
        <v>717126</v>
      </c>
      <c r="J315" s="1">
        <v>52723.8</v>
      </c>
      <c r="K315" s="1">
        <v>89424.3</v>
      </c>
      <c r="L315" s="1">
        <v>5562.7</v>
      </c>
      <c r="M315" s="1">
        <v>83974.3</v>
      </c>
      <c r="N315" s="1">
        <v>4623</v>
      </c>
      <c r="O315" s="1">
        <v>98808.2</v>
      </c>
      <c r="P315" s="1">
        <v>54045</v>
      </c>
      <c r="Q315" s="1">
        <v>84129</v>
      </c>
      <c r="R315" s="1">
        <v>0</v>
      </c>
    </row>
    <row r="316" spans="1:18">
      <c r="A316" s="3">
        <v>45913.083339756944</v>
      </c>
      <c r="B316" s="1">
        <v>816487</v>
      </c>
      <c r="C316" s="1">
        <v>180444</v>
      </c>
      <c r="D316" s="1">
        <v>48975.7</v>
      </c>
      <c r="E316" s="1">
        <v>0</v>
      </c>
      <c r="F316" s="1">
        <v>416014</v>
      </c>
      <c r="G316" s="1">
        <v>83047.7</v>
      </c>
      <c r="H316" s="1">
        <v>377516</v>
      </c>
      <c r="I316" s="1">
        <v>717375</v>
      </c>
      <c r="J316" s="1">
        <v>52731.8</v>
      </c>
      <c r="K316" s="1">
        <v>89427</v>
      </c>
      <c r="L316" s="1">
        <v>5583.5</v>
      </c>
      <c r="M316" s="1">
        <v>84010.2</v>
      </c>
      <c r="N316" s="1">
        <v>4677.6000000000004</v>
      </c>
      <c r="O316" s="1">
        <v>98826.2</v>
      </c>
      <c r="P316" s="1">
        <v>54045</v>
      </c>
      <c r="Q316" s="1">
        <v>84129</v>
      </c>
      <c r="R316" s="1">
        <v>0</v>
      </c>
    </row>
    <row r="317" spans="1:18">
      <c r="A317" s="3">
        <v>45913.125006481481</v>
      </c>
      <c r="B317" s="1">
        <v>817196</v>
      </c>
      <c r="C317" s="1">
        <v>180627</v>
      </c>
      <c r="D317" s="1">
        <v>48990.7</v>
      </c>
      <c r="E317" s="1">
        <v>0</v>
      </c>
      <c r="F317" s="1">
        <v>416032</v>
      </c>
      <c r="G317" s="1">
        <v>83095.8</v>
      </c>
      <c r="H317" s="1">
        <v>377528</v>
      </c>
      <c r="I317" s="1">
        <v>717615</v>
      </c>
      <c r="J317" s="1">
        <v>52739.7</v>
      </c>
      <c r="K317" s="1">
        <v>89429.7</v>
      </c>
      <c r="L317" s="1">
        <v>5606.2</v>
      </c>
      <c r="M317" s="1">
        <v>84046.8</v>
      </c>
      <c r="N317" s="1">
        <v>4730.1000000000004</v>
      </c>
      <c r="O317" s="1">
        <v>98844.4</v>
      </c>
      <c r="P317" s="1">
        <v>54045</v>
      </c>
      <c r="Q317" s="1">
        <v>84129</v>
      </c>
      <c r="R317" s="1">
        <v>0</v>
      </c>
    </row>
    <row r="318" spans="1:18">
      <c r="A318" s="3">
        <v>45913.166673206018</v>
      </c>
      <c r="B318" s="1">
        <v>817889</v>
      </c>
      <c r="C318" s="1">
        <v>180800</v>
      </c>
      <c r="D318" s="1">
        <v>49004.800000000003</v>
      </c>
      <c r="E318" s="1">
        <v>0</v>
      </c>
      <c r="F318" s="1">
        <v>416051</v>
      </c>
      <c r="G318" s="1">
        <v>83143.3</v>
      </c>
      <c r="H318" s="1">
        <v>377540</v>
      </c>
      <c r="I318" s="1">
        <v>717853</v>
      </c>
      <c r="J318" s="1">
        <v>52747.7</v>
      </c>
      <c r="K318" s="1">
        <v>89432.4</v>
      </c>
      <c r="L318" s="1">
        <v>5627.7</v>
      </c>
      <c r="M318" s="1">
        <v>84080.8</v>
      </c>
      <c r="N318" s="1">
        <v>4784.5</v>
      </c>
      <c r="O318" s="1">
        <v>98862.3</v>
      </c>
      <c r="P318" s="1">
        <v>54045</v>
      </c>
      <c r="Q318" s="1">
        <v>84129</v>
      </c>
      <c r="R318" s="1">
        <v>0</v>
      </c>
    </row>
    <row r="319" spans="1:18">
      <c r="A319" s="3">
        <v>45913.208339930556</v>
      </c>
      <c r="B319" s="1">
        <v>818573</v>
      </c>
      <c r="C319" s="1">
        <v>180969</v>
      </c>
      <c r="D319" s="1">
        <v>49018.5</v>
      </c>
      <c r="E319" s="1">
        <v>0</v>
      </c>
      <c r="F319" s="1">
        <v>416069</v>
      </c>
      <c r="G319" s="1">
        <v>83190.399999999994</v>
      </c>
      <c r="H319" s="1">
        <v>377552</v>
      </c>
      <c r="I319" s="1">
        <v>718090</v>
      </c>
      <c r="J319" s="1">
        <v>52755.199999999997</v>
      </c>
      <c r="K319" s="1">
        <v>89435</v>
      </c>
      <c r="L319" s="1">
        <v>5648.6</v>
      </c>
      <c r="M319" s="1">
        <v>84113.7</v>
      </c>
      <c r="N319" s="1">
        <v>4839.3999999999996</v>
      </c>
      <c r="O319" s="1">
        <v>98880.8</v>
      </c>
      <c r="P319" s="1">
        <v>54045</v>
      </c>
      <c r="Q319" s="1">
        <v>84129</v>
      </c>
      <c r="R319" s="1">
        <v>0</v>
      </c>
    </row>
    <row r="320" spans="1:18">
      <c r="A320" s="3">
        <v>45913.250006655093</v>
      </c>
      <c r="B320" s="1">
        <v>819257</v>
      </c>
      <c r="C320" s="1">
        <v>181138</v>
      </c>
      <c r="D320" s="1">
        <v>49033.1</v>
      </c>
      <c r="E320" s="1">
        <v>0</v>
      </c>
      <c r="F320" s="1">
        <v>416087</v>
      </c>
      <c r="G320" s="1">
        <v>83237.100000000006</v>
      </c>
      <c r="H320" s="1">
        <v>377565</v>
      </c>
      <c r="I320" s="1">
        <v>718328</v>
      </c>
      <c r="J320" s="1">
        <v>52762.7</v>
      </c>
      <c r="K320" s="1">
        <v>89437.7</v>
      </c>
      <c r="L320" s="1">
        <v>5668.1</v>
      </c>
      <c r="M320" s="1">
        <v>84146.4</v>
      </c>
      <c r="N320" s="1">
        <v>4894.1000000000004</v>
      </c>
      <c r="O320" s="1">
        <v>98898.8</v>
      </c>
      <c r="P320" s="1">
        <v>54045</v>
      </c>
      <c r="Q320" s="1">
        <v>84129</v>
      </c>
      <c r="R320" s="1">
        <v>0</v>
      </c>
    </row>
    <row r="321" spans="1:18">
      <c r="A321" s="3">
        <v>45913.29167337963</v>
      </c>
      <c r="B321" s="1">
        <v>819935</v>
      </c>
      <c r="C321" s="1">
        <v>181307</v>
      </c>
      <c r="D321" s="1">
        <v>49047.5</v>
      </c>
      <c r="E321" s="1">
        <v>0</v>
      </c>
      <c r="F321" s="1">
        <v>416105</v>
      </c>
      <c r="G321" s="1">
        <v>83282.100000000006</v>
      </c>
      <c r="H321" s="1">
        <v>377576</v>
      </c>
      <c r="I321" s="1">
        <v>718566</v>
      </c>
      <c r="J321" s="1">
        <v>52770.400000000001</v>
      </c>
      <c r="K321" s="1">
        <v>89439.5</v>
      </c>
      <c r="L321" s="1">
        <v>5687.1</v>
      </c>
      <c r="M321" s="1">
        <v>84179.1</v>
      </c>
      <c r="N321" s="1">
        <v>4948</v>
      </c>
      <c r="O321" s="1">
        <v>98914</v>
      </c>
      <c r="P321" s="1">
        <v>54045</v>
      </c>
      <c r="Q321" s="1">
        <v>84129</v>
      </c>
      <c r="R321" s="1">
        <v>0</v>
      </c>
    </row>
    <row r="322" spans="1:18">
      <c r="A322" s="3">
        <v>45913.333340104167</v>
      </c>
      <c r="B322" s="1">
        <v>820608</v>
      </c>
      <c r="C322" s="1">
        <v>181476</v>
      </c>
      <c r="D322" s="1">
        <v>49061.4</v>
      </c>
      <c r="E322" s="1">
        <v>0</v>
      </c>
      <c r="F322" s="1">
        <v>416123</v>
      </c>
      <c r="G322" s="1">
        <v>83324.399999999994</v>
      </c>
      <c r="H322" s="1">
        <v>377588</v>
      </c>
      <c r="I322" s="1">
        <v>718806</v>
      </c>
      <c r="J322" s="1">
        <v>52778.2</v>
      </c>
      <c r="K322" s="1">
        <v>89439.6</v>
      </c>
      <c r="L322" s="1">
        <v>5705.3</v>
      </c>
      <c r="M322" s="1">
        <v>84211.7</v>
      </c>
      <c r="N322" s="1">
        <v>4999.6000000000004</v>
      </c>
      <c r="O322" s="1">
        <v>98932.2</v>
      </c>
      <c r="P322" s="1">
        <v>54047</v>
      </c>
      <c r="Q322" s="1">
        <v>84132</v>
      </c>
      <c r="R322" s="1">
        <v>0</v>
      </c>
    </row>
    <row r="323" spans="1:18">
      <c r="A323" s="3">
        <v>45913.375006828704</v>
      </c>
      <c r="B323" s="1">
        <v>821314</v>
      </c>
      <c r="C323" s="1">
        <v>181650</v>
      </c>
      <c r="D323" s="1">
        <v>49075.7</v>
      </c>
      <c r="E323" s="1">
        <v>0</v>
      </c>
      <c r="F323" s="1">
        <v>416143</v>
      </c>
      <c r="G323" s="1">
        <v>83362.100000000006</v>
      </c>
      <c r="H323" s="1">
        <v>377624</v>
      </c>
      <c r="I323" s="1">
        <v>719050</v>
      </c>
      <c r="J323" s="1">
        <v>52786.400000000001</v>
      </c>
      <c r="K323" s="1">
        <v>89439.6</v>
      </c>
      <c r="L323" s="1">
        <v>5722.6</v>
      </c>
      <c r="M323" s="1">
        <v>84245.3</v>
      </c>
      <c r="N323" s="1">
        <v>5049</v>
      </c>
      <c r="O323" s="1">
        <v>98953</v>
      </c>
      <c r="P323" s="1">
        <v>54051</v>
      </c>
      <c r="Q323" s="1">
        <v>84139</v>
      </c>
      <c r="R323" s="1">
        <v>0</v>
      </c>
    </row>
    <row r="324" spans="1:18">
      <c r="A324" s="3">
        <v>45913.416673553242</v>
      </c>
      <c r="B324" s="1">
        <v>822058</v>
      </c>
      <c r="C324" s="1">
        <v>181826</v>
      </c>
      <c r="D324" s="1">
        <v>49093.1</v>
      </c>
      <c r="E324" s="1">
        <v>0</v>
      </c>
      <c r="F324" s="1">
        <v>416162</v>
      </c>
      <c r="G324" s="1">
        <v>83399.399999999994</v>
      </c>
      <c r="H324" s="1">
        <v>377673</v>
      </c>
      <c r="I324" s="1">
        <v>719311</v>
      </c>
      <c r="J324" s="1">
        <v>52795</v>
      </c>
      <c r="K324" s="1">
        <v>89439.6</v>
      </c>
      <c r="L324" s="1">
        <v>5740.1</v>
      </c>
      <c r="M324" s="1">
        <v>84278</v>
      </c>
      <c r="N324" s="1">
        <v>5097.7</v>
      </c>
      <c r="O324" s="1">
        <v>98977.4</v>
      </c>
      <c r="P324" s="1">
        <v>54055</v>
      </c>
      <c r="Q324" s="1">
        <v>84145</v>
      </c>
      <c r="R324" s="1">
        <v>0</v>
      </c>
    </row>
    <row r="325" spans="1:18">
      <c r="A325" s="3">
        <v>45913.458340277779</v>
      </c>
      <c r="B325" s="1">
        <v>822828</v>
      </c>
      <c r="C325" s="1">
        <v>182007</v>
      </c>
      <c r="D325" s="1">
        <v>49110.400000000001</v>
      </c>
      <c r="E325" s="1">
        <v>0</v>
      </c>
      <c r="F325" s="1">
        <v>416184</v>
      </c>
      <c r="G325" s="1">
        <v>83444.3</v>
      </c>
      <c r="H325" s="1">
        <v>377723</v>
      </c>
      <c r="I325" s="1">
        <v>719574</v>
      </c>
      <c r="J325" s="1">
        <v>52803.1</v>
      </c>
      <c r="K325" s="1">
        <v>89439.6</v>
      </c>
      <c r="L325" s="1">
        <v>5757.5</v>
      </c>
      <c r="M325" s="1">
        <v>84313.2</v>
      </c>
      <c r="N325" s="1">
        <v>5148.8999999999996</v>
      </c>
      <c r="O325" s="1">
        <v>99003.1</v>
      </c>
      <c r="P325" s="1">
        <v>54058</v>
      </c>
      <c r="Q325" s="1">
        <v>84150</v>
      </c>
      <c r="R325" s="1">
        <v>0</v>
      </c>
    </row>
    <row r="326" spans="1:18">
      <c r="A326" s="3">
        <v>45913.500007002316</v>
      </c>
      <c r="B326" s="1">
        <v>823604</v>
      </c>
      <c r="C326" s="1">
        <v>182189</v>
      </c>
      <c r="D326" s="1">
        <v>49128</v>
      </c>
      <c r="E326" s="1">
        <v>0</v>
      </c>
      <c r="F326" s="1">
        <v>416207</v>
      </c>
      <c r="G326" s="1">
        <v>83490</v>
      </c>
      <c r="H326" s="1">
        <v>377772</v>
      </c>
      <c r="I326" s="1">
        <v>719838</v>
      </c>
      <c r="J326" s="1">
        <v>52811.4</v>
      </c>
      <c r="K326" s="1">
        <v>89439.8</v>
      </c>
      <c r="L326" s="1">
        <v>5774.8</v>
      </c>
      <c r="M326" s="1">
        <v>84348.800000000003</v>
      </c>
      <c r="N326" s="1">
        <v>5201.2</v>
      </c>
      <c r="O326" s="1">
        <v>99028.9</v>
      </c>
      <c r="P326" s="1">
        <v>54060</v>
      </c>
      <c r="Q326" s="1">
        <v>84153</v>
      </c>
      <c r="R326" s="1">
        <v>0</v>
      </c>
    </row>
    <row r="327" spans="1:18">
      <c r="A327" s="3">
        <v>45913.541673726853</v>
      </c>
      <c r="B327" s="1">
        <v>824386</v>
      </c>
      <c r="C327" s="1">
        <v>182384</v>
      </c>
      <c r="D327" s="1">
        <v>49147.9</v>
      </c>
      <c r="E327" s="1">
        <v>0</v>
      </c>
      <c r="F327" s="1">
        <v>416235</v>
      </c>
      <c r="G327" s="1">
        <v>83524.399999999994</v>
      </c>
      <c r="H327" s="1">
        <v>377823</v>
      </c>
      <c r="I327" s="1">
        <v>720106</v>
      </c>
      <c r="J327" s="1">
        <v>52819.7</v>
      </c>
      <c r="K327" s="1">
        <v>89439.8</v>
      </c>
      <c r="L327" s="1">
        <v>5794.6</v>
      </c>
      <c r="M327" s="1">
        <v>84385.4</v>
      </c>
      <c r="N327" s="1">
        <v>5247.4</v>
      </c>
      <c r="O327" s="1">
        <v>99053.3</v>
      </c>
      <c r="P327" s="1">
        <v>54068</v>
      </c>
      <c r="Q327" s="1">
        <v>84165</v>
      </c>
      <c r="R327" s="1">
        <v>0</v>
      </c>
    </row>
    <row r="328" spans="1:18">
      <c r="A328" s="3">
        <v>45913.583340451391</v>
      </c>
      <c r="B328" s="1">
        <v>825198</v>
      </c>
      <c r="C328" s="1">
        <v>182593</v>
      </c>
      <c r="D328" s="1">
        <v>49165.599999999999</v>
      </c>
      <c r="E328" s="1">
        <v>0</v>
      </c>
      <c r="F328" s="1">
        <v>416263</v>
      </c>
      <c r="G328" s="1">
        <v>83562.100000000006</v>
      </c>
      <c r="H328" s="1">
        <v>377874</v>
      </c>
      <c r="I328" s="1">
        <v>720378</v>
      </c>
      <c r="J328" s="1">
        <v>52828.5</v>
      </c>
      <c r="K328" s="1">
        <v>89439.8</v>
      </c>
      <c r="L328" s="1">
        <v>5815.1</v>
      </c>
      <c r="M328" s="1">
        <v>84427.3</v>
      </c>
      <c r="N328" s="1">
        <v>5294</v>
      </c>
      <c r="O328" s="1">
        <v>99080.2</v>
      </c>
      <c r="P328" s="1">
        <v>54075</v>
      </c>
      <c r="Q328" s="1">
        <v>84176</v>
      </c>
      <c r="R328" s="1">
        <v>0</v>
      </c>
    </row>
    <row r="329" spans="1:18">
      <c r="A329" s="3">
        <v>45913.625007175928</v>
      </c>
      <c r="B329" s="1">
        <v>826044</v>
      </c>
      <c r="C329" s="1">
        <v>182799</v>
      </c>
      <c r="D329" s="1">
        <v>49185.1</v>
      </c>
      <c r="E329" s="1">
        <v>0</v>
      </c>
      <c r="F329" s="1">
        <v>416293</v>
      </c>
      <c r="G329" s="1">
        <v>83612.7</v>
      </c>
      <c r="H329" s="1">
        <v>377922</v>
      </c>
      <c r="I329" s="1">
        <v>720666</v>
      </c>
      <c r="J329" s="1">
        <v>52836.4</v>
      </c>
      <c r="K329" s="1">
        <v>89440.8</v>
      </c>
      <c r="L329" s="1">
        <v>5835.1</v>
      </c>
      <c r="M329" s="1">
        <v>84466.5</v>
      </c>
      <c r="N329" s="1">
        <v>5346.4</v>
      </c>
      <c r="O329" s="1">
        <v>99106</v>
      </c>
      <c r="P329" s="1">
        <v>54076</v>
      </c>
      <c r="Q329" s="1">
        <v>84178</v>
      </c>
      <c r="R329" s="1">
        <v>0</v>
      </c>
    </row>
    <row r="330" spans="1:18">
      <c r="A330" s="3">
        <v>45913.666673900465</v>
      </c>
      <c r="B330" s="1">
        <v>826884</v>
      </c>
      <c r="C330" s="1">
        <v>182992</v>
      </c>
      <c r="D330" s="1">
        <v>49202.9</v>
      </c>
      <c r="E330" s="1">
        <v>0</v>
      </c>
      <c r="F330" s="1">
        <v>416322</v>
      </c>
      <c r="G330" s="1">
        <v>83664.399999999994</v>
      </c>
      <c r="H330" s="1">
        <v>377972</v>
      </c>
      <c r="I330" s="1">
        <v>720962</v>
      </c>
      <c r="J330" s="1">
        <v>52844.5</v>
      </c>
      <c r="K330" s="1">
        <v>89442.8</v>
      </c>
      <c r="L330" s="1">
        <v>5854.9</v>
      </c>
      <c r="M330" s="1">
        <v>84502.8</v>
      </c>
      <c r="N330" s="1">
        <v>5399.1</v>
      </c>
      <c r="O330" s="1">
        <v>99131.1</v>
      </c>
      <c r="P330" s="1">
        <v>54077</v>
      </c>
      <c r="Q330" s="1">
        <v>84179</v>
      </c>
      <c r="R330" s="1">
        <v>0</v>
      </c>
    </row>
    <row r="331" spans="1:18">
      <c r="A331" s="3">
        <v>45913.708340625002</v>
      </c>
      <c r="B331" s="1">
        <v>827681</v>
      </c>
      <c r="C331" s="1">
        <v>183181</v>
      </c>
      <c r="D331" s="1">
        <v>49220.3</v>
      </c>
      <c r="E331" s="1">
        <v>0</v>
      </c>
      <c r="F331" s="1">
        <v>416348</v>
      </c>
      <c r="G331" s="1">
        <v>83716.800000000003</v>
      </c>
      <c r="H331" s="1">
        <v>377992</v>
      </c>
      <c r="I331" s="1">
        <v>721254</v>
      </c>
      <c r="J331" s="1">
        <v>52852.6</v>
      </c>
      <c r="K331" s="1">
        <v>89445.5</v>
      </c>
      <c r="L331" s="1">
        <v>5874.2</v>
      </c>
      <c r="M331" s="1">
        <v>84539.4</v>
      </c>
      <c r="N331" s="1">
        <v>5454.2</v>
      </c>
      <c r="O331" s="1">
        <v>99156.1</v>
      </c>
      <c r="P331" s="1">
        <v>54077</v>
      </c>
      <c r="Q331" s="1">
        <v>84180</v>
      </c>
      <c r="R331" s="1">
        <v>0</v>
      </c>
    </row>
    <row r="332" spans="1:18">
      <c r="A332" s="3">
        <v>45913.750007349539</v>
      </c>
      <c r="B332" s="1">
        <v>828467</v>
      </c>
      <c r="C332" s="1">
        <v>183370</v>
      </c>
      <c r="D332" s="1">
        <v>49242.8</v>
      </c>
      <c r="E332" s="1">
        <v>0</v>
      </c>
      <c r="F332" s="1">
        <v>416372</v>
      </c>
      <c r="G332" s="1">
        <v>83770.899999999994</v>
      </c>
      <c r="H332" s="1">
        <v>378005</v>
      </c>
      <c r="I332" s="1">
        <v>721538</v>
      </c>
      <c r="J332" s="1">
        <v>52860.1</v>
      </c>
      <c r="K332" s="1">
        <v>89448.4</v>
      </c>
      <c r="L332" s="1">
        <v>5896</v>
      </c>
      <c r="M332" s="1">
        <v>84576.3</v>
      </c>
      <c r="N332" s="1">
        <v>5509.1</v>
      </c>
      <c r="O332" s="1">
        <v>99175.9</v>
      </c>
      <c r="P332" s="1">
        <v>54077</v>
      </c>
      <c r="Q332" s="1">
        <v>84180</v>
      </c>
      <c r="R332" s="1">
        <v>0</v>
      </c>
    </row>
    <row r="333" spans="1:18">
      <c r="A333" s="3">
        <v>45913.791674074077</v>
      </c>
      <c r="B333" s="1">
        <v>829238</v>
      </c>
      <c r="C333" s="1">
        <v>183563</v>
      </c>
      <c r="D333" s="1">
        <v>49263.5</v>
      </c>
      <c r="E333" s="1">
        <v>0</v>
      </c>
      <c r="F333" s="1">
        <v>416395</v>
      </c>
      <c r="G333" s="1">
        <v>83823.899999999994</v>
      </c>
      <c r="H333" s="1">
        <v>378017</v>
      </c>
      <c r="I333" s="1">
        <v>721809</v>
      </c>
      <c r="J333" s="1">
        <v>52868</v>
      </c>
      <c r="K333" s="1">
        <v>89451.4</v>
      </c>
      <c r="L333" s="1">
        <v>5918.4</v>
      </c>
      <c r="M333" s="1">
        <v>84613</v>
      </c>
      <c r="N333" s="1">
        <v>5564.5</v>
      </c>
      <c r="O333" s="1">
        <v>99194.4</v>
      </c>
      <c r="P333" s="1">
        <v>54077</v>
      </c>
      <c r="Q333" s="1">
        <v>84180</v>
      </c>
      <c r="R333" s="1">
        <v>0</v>
      </c>
    </row>
    <row r="334" spans="1:18">
      <c r="A334" s="3">
        <v>45913.833340798614</v>
      </c>
      <c r="B334" s="1">
        <v>829989</v>
      </c>
      <c r="C334" s="1">
        <v>183749</v>
      </c>
      <c r="D334" s="1">
        <v>49280.9</v>
      </c>
      <c r="E334" s="1">
        <v>0</v>
      </c>
      <c r="F334" s="1">
        <v>416417</v>
      </c>
      <c r="G334" s="1">
        <v>83875.899999999994</v>
      </c>
      <c r="H334" s="1">
        <v>378030</v>
      </c>
      <c r="I334" s="1">
        <v>722075</v>
      </c>
      <c r="J334" s="1">
        <v>52875.7</v>
      </c>
      <c r="K334" s="1">
        <v>89454.3</v>
      </c>
      <c r="L334" s="1">
        <v>5939.8</v>
      </c>
      <c r="M334" s="1">
        <v>84649.3</v>
      </c>
      <c r="N334" s="1">
        <v>5618.2</v>
      </c>
      <c r="O334" s="1">
        <v>99215.1</v>
      </c>
      <c r="P334" s="1">
        <v>54077</v>
      </c>
      <c r="Q334" s="1">
        <v>84180</v>
      </c>
      <c r="R334" s="1">
        <v>0</v>
      </c>
    </row>
    <row r="335" spans="1:18">
      <c r="A335" s="3">
        <v>45913.875007523151</v>
      </c>
      <c r="B335" s="1">
        <v>830721</v>
      </c>
      <c r="C335" s="1">
        <v>183929</v>
      </c>
      <c r="D335" s="1">
        <v>49297.3</v>
      </c>
      <c r="E335" s="1">
        <v>0</v>
      </c>
      <c r="F335" s="1">
        <v>416438</v>
      </c>
      <c r="G335" s="1">
        <v>83926.399999999994</v>
      </c>
      <c r="H335" s="1">
        <v>378042</v>
      </c>
      <c r="I335" s="1">
        <v>722330</v>
      </c>
      <c r="J335" s="1">
        <v>52883.3</v>
      </c>
      <c r="K335" s="1">
        <v>89457.2</v>
      </c>
      <c r="L335" s="1">
        <v>5962</v>
      </c>
      <c r="M335" s="1">
        <v>84683.1</v>
      </c>
      <c r="N335" s="1">
        <v>5672.4</v>
      </c>
      <c r="O335" s="1">
        <v>99237.2</v>
      </c>
      <c r="P335" s="1">
        <v>54077</v>
      </c>
      <c r="Q335" s="1">
        <v>84180</v>
      </c>
      <c r="R335" s="1">
        <v>0</v>
      </c>
    </row>
    <row r="336" spans="1:18">
      <c r="A336" s="3">
        <v>45913.916674247688</v>
      </c>
      <c r="B336" s="1">
        <v>831460</v>
      </c>
      <c r="C336" s="1">
        <v>184111</v>
      </c>
      <c r="D336" s="1">
        <v>49319.9</v>
      </c>
      <c r="E336" s="1">
        <v>0</v>
      </c>
      <c r="F336" s="1">
        <v>416460</v>
      </c>
      <c r="G336" s="1">
        <v>83976.6</v>
      </c>
      <c r="H336" s="1">
        <v>378054</v>
      </c>
      <c r="I336" s="1">
        <v>722585</v>
      </c>
      <c r="J336" s="1">
        <v>52891.5</v>
      </c>
      <c r="K336" s="1">
        <v>89459.8</v>
      </c>
      <c r="L336" s="1">
        <v>5984.5</v>
      </c>
      <c r="M336" s="1">
        <v>84716.9</v>
      </c>
      <c r="N336" s="1">
        <v>5727.5</v>
      </c>
      <c r="O336" s="1">
        <v>99257.4</v>
      </c>
      <c r="P336" s="1">
        <v>54077</v>
      </c>
      <c r="Q336" s="1">
        <v>84180</v>
      </c>
      <c r="R336" s="1">
        <v>0</v>
      </c>
    </row>
    <row r="337" spans="1:18">
      <c r="A337" s="3">
        <v>45913.958340972225</v>
      </c>
      <c r="B337" s="1">
        <v>832187</v>
      </c>
      <c r="C337" s="1">
        <v>184289</v>
      </c>
      <c r="D337" s="1">
        <v>49339.6</v>
      </c>
      <c r="E337" s="1">
        <v>0</v>
      </c>
      <c r="F337" s="1">
        <v>416480</v>
      </c>
      <c r="G337" s="1">
        <v>84023.9</v>
      </c>
      <c r="H337" s="1">
        <v>378067</v>
      </c>
      <c r="I337" s="1">
        <v>722840</v>
      </c>
      <c r="J337" s="1">
        <v>52899.3</v>
      </c>
      <c r="K337" s="1">
        <v>89462.7</v>
      </c>
      <c r="L337" s="1">
        <v>6007.8</v>
      </c>
      <c r="M337" s="1">
        <v>84750.8</v>
      </c>
      <c r="N337" s="1">
        <v>5781.6</v>
      </c>
      <c r="O337" s="1">
        <v>99276.3</v>
      </c>
      <c r="P337" s="1">
        <v>54077</v>
      </c>
      <c r="Q337" s="1">
        <v>84180</v>
      </c>
      <c r="R337" s="1">
        <v>0</v>
      </c>
    </row>
    <row r="338" spans="1:18">
      <c r="A338" s="3">
        <v>45914.000007696763</v>
      </c>
      <c r="B338" s="1">
        <v>832902</v>
      </c>
      <c r="C338" s="1">
        <v>184464</v>
      </c>
      <c r="D338" s="1">
        <v>49357.2</v>
      </c>
      <c r="E338" s="1">
        <v>0</v>
      </c>
      <c r="F338" s="1">
        <v>416500</v>
      </c>
      <c r="G338" s="1">
        <v>84070.399999999994</v>
      </c>
      <c r="H338" s="1">
        <v>378079</v>
      </c>
      <c r="I338" s="1">
        <v>723091</v>
      </c>
      <c r="J338" s="1">
        <v>52906.9</v>
      </c>
      <c r="K338" s="1">
        <v>89465.5</v>
      </c>
      <c r="L338" s="1">
        <v>6031.9</v>
      </c>
      <c r="M338" s="1">
        <v>84784.9</v>
      </c>
      <c r="N338" s="1">
        <v>5836.6</v>
      </c>
      <c r="O338" s="1">
        <v>99294.3</v>
      </c>
      <c r="P338" s="1">
        <v>54077</v>
      </c>
      <c r="Q338" s="1">
        <v>84180</v>
      </c>
      <c r="R338" s="1">
        <v>0</v>
      </c>
    </row>
    <row r="339" spans="1:18">
      <c r="A339" s="3">
        <v>45914.0416744213</v>
      </c>
      <c r="B339" s="1">
        <v>833604</v>
      </c>
      <c r="C339" s="1">
        <v>184639</v>
      </c>
      <c r="D339" s="1">
        <v>49372.9</v>
      </c>
      <c r="E339" s="1">
        <v>0</v>
      </c>
      <c r="F339" s="1">
        <v>416518</v>
      </c>
      <c r="G339" s="1">
        <v>84117</v>
      </c>
      <c r="H339" s="1">
        <v>378090</v>
      </c>
      <c r="I339" s="1">
        <v>723339</v>
      </c>
      <c r="J339" s="1">
        <v>52914.5</v>
      </c>
      <c r="K339" s="1">
        <v>89468.6</v>
      </c>
      <c r="L339" s="1">
        <v>6052.2</v>
      </c>
      <c r="M339" s="1">
        <v>84818.6</v>
      </c>
      <c r="N339" s="1">
        <v>5891.4</v>
      </c>
      <c r="O339" s="1">
        <v>99310.2</v>
      </c>
      <c r="P339" s="1">
        <v>54077</v>
      </c>
      <c r="Q339" s="1">
        <v>84180</v>
      </c>
      <c r="R339" s="1">
        <v>0</v>
      </c>
    </row>
    <row r="340" spans="1:18">
      <c r="A340" s="3">
        <v>45914.08334114583</v>
      </c>
      <c r="B340" s="1">
        <v>834307</v>
      </c>
      <c r="C340" s="1">
        <v>184808</v>
      </c>
      <c r="D340" s="1">
        <v>49389.3</v>
      </c>
      <c r="E340" s="1">
        <v>0</v>
      </c>
      <c r="F340" s="1">
        <v>416537</v>
      </c>
      <c r="G340" s="1">
        <v>84165.8</v>
      </c>
      <c r="H340" s="1">
        <v>378103</v>
      </c>
      <c r="I340" s="1">
        <v>723585</v>
      </c>
      <c r="J340" s="1">
        <v>52922.1</v>
      </c>
      <c r="K340" s="1">
        <v>89471.4</v>
      </c>
      <c r="L340" s="1">
        <v>6073.1</v>
      </c>
      <c r="M340" s="1">
        <v>84854</v>
      </c>
      <c r="N340" s="1">
        <v>5944.7</v>
      </c>
      <c r="O340" s="1">
        <v>99328.4</v>
      </c>
      <c r="P340" s="1">
        <v>54077</v>
      </c>
      <c r="Q340" s="1">
        <v>84180</v>
      </c>
      <c r="R340" s="1">
        <v>0</v>
      </c>
    </row>
    <row r="341" spans="1:18">
      <c r="A341" s="3">
        <v>45914.125007870367</v>
      </c>
      <c r="B341" s="1">
        <v>835003</v>
      </c>
      <c r="C341" s="1">
        <v>184978</v>
      </c>
      <c r="D341" s="1">
        <v>49405.4</v>
      </c>
      <c r="E341" s="1">
        <v>0</v>
      </c>
      <c r="F341" s="1">
        <v>416557</v>
      </c>
      <c r="G341" s="1">
        <v>84214.1</v>
      </c>
      <c r="H341" s="1">
        <v>378115</v>
      </c>
      <c r="I341" s="1">
        <v>723825</v>
      </c>
      <c r="J341" s="1">
        <v>52930.1</v>
      </c>
      <c r="K341" s="1">
        <v>89474.3</v>
      </c>
      <c r="L341" s="1">
        <v>6093</v>
      </c>
      <c r="M341" s="1">
        <v>84890</v>
      </c>
      <c r="N341" s="1">
        <v>5998.5</v>
      </c>
      <c r="O341" s="1">
        <v>99346.5</v>
      </c>
      <c r="P341" s="1">
        <v>54077</v>
      </c>
      <c r="Q341" s="1">
        <v>84180</v>
      </c>
      <c r="R341" s="1">
        <v>0</v>
      </c>
    </row>
    <row r="342" spans="1:18">
      <c r="A342" s="3">
        <v>45914.166674594904</v>
      </c>
      <c r="B342" s="1">
        <v>835688</v>
      </c>
      <c r="C342" s="1">
        <v>185143</v>
      </c>
      <c r="D342" s="1">
        <v>49419.5</v>
      </c>
      <c r="E342" s="1">
        <v>0</v>
      </c>
      <c r="F342" s="1">
        <v>416576</v>
      </c>
      <c r="G342" s="1">
        <v>84261.5</v>
      </c>
      <c r="H342" s="1">
        <v>378127</v>
      </c>
      <c r="I342" s="1">
        <v>724063</v>
      </c>
      <c r="J342" s="1">
        <v>52937.7</v>
      </c>
      <c r="K342" s="1">
        <v>89477</v>
      </c>
      <c r="L342" s="1">
        <v>6112.3</v>
      </c>
      <c r="M342" s="1">
        <v>84926</v>
      </c>
      <c r="N342" s="1">
        <v>6052.7</v>
      </c>
      <c r="O342" s="1">
        <v>99365</v>
      </c>
      <c r="P342" s="1">
        <v>54077</v>
      </c>
      <c r="Q342" s="1">
        <v>84180</v>
      </c>
      <c r="R342" s="1">
        <v>0</v>
      </c>
    </row>
    <row r="343" spans="1:18">
      <c r="A343" s="3">
        <v>45914.208341319441</v>
      </c>
      <c r="B343" s="1">
        <v>836370</v>
      </c>
      <c r="C343" s="1">
        <v>185308</v>
      </c>
      <c r="D343" s="1">
        <v>49434.3</v>
      </c>
      <c r="E343" s="1">
        <v>0</v>
      </c>
      <c r="F343" s="1">
        <v>416595</v>
      </c>
      <c r="G343" s="1">
        <v>84308.9</v>
      </c>
      <c r="H343" s="1">
        <v>378138</v>
      </c>
      <c r="I343" s="1">
        <v>724301</v>
      </c>
      <c r="J343" s="1">
        <v>52945.599999999999</v>
      </c>
      <c r="K343" s="1">
        <v>89479.7</v>
      </c>
      <c r="L343" s="1">
        <v>6131</v>
      </c>
      <c r="M343" s="1">
        <v>84959.5</v>
      </c>
      <c r="N343" s="1">
        <v>6107</v>
      </c>
      <c r="O343" s="1">
        <v>99383.6</v>
      </c>
      <c r="P343" s="1">
        <v>54077</v>
      </c>
      <c r="Q343" s="1">
        <v>84180</v>
      </c>
      <c r="R343" s="1">
        <v>0</v>
      </c>
    </row>
    <row r="344" spans="1:18">
      <c r="A344" s="3">
        <v>45914.250008043979</v>
      </c>
      <c r="B344" s="1">
        <v>837056</v>
      </c>
      <c r="C344" s="1">
        <v>185474</v>
      </c>
      <c r="D344" s="1">
        <v>49448.4</v>
      </c>
      <c r="E344" s="1">
        <v>0</v>
      </c>
      <c r="F344" s="1">
        <v>416615</v>
      </c>
      <c r="G344" s="1">
        <v>84357.2</v>
      </c>
      <c r="H344" s="1">
        <v>378150</v>
      </c>
      <c r="I344" s="1">
        <v>724541</v>
      </c>
      <c r="J344" s="1">
        <v>52953.1</v>
      </c>
      <c r="K344" s="1">
        <v>89482.4</v>
      </c>
      <c r="L344" s="1">
        <v>6149.8</v>
      </c>
      <c r="M344" s="1">
        <v>84992.8</v>
      </c>
      <c r="N344" s="1">
        <v>6161.3</v>
      </c>
      <c r="O344" s="1">
        <v>99401.4</v>
      </c>
      <c r="P344" s="1">
        <v>54077</v>
      </c>
      <c r="Q344" s="1">
        <v>84180</v>
      </c>
      <c r="R344" s="1">
        <v>0</v>
      </c>
    </row>
    <row r="345" spans="1:18">
      <c r="A345" s="3">
        <v>45914.291674768516</v>
      </c>
      <c r="B345" s="1">
        <v>837731</v>
      </c>
      <c r="C345" s="1">
        <v>185637</v>
      </c>
      <c r="D345" s="1">
        <v>49462.2</v>
      </c>
      <c r="E345" s="1">
        <v>0</v>
      </c>
      <c r="F345" s="1">
        <v>416634</v>
      </c>
      <c r="G345" s="1">
        <v>84402.8</v>
      </c>
      <c r="H345" s="1">
        <v>378162</v>
      </c>
      <c r="I345" s="1">
        <v>724782</v>
      </c>
      <c r="J345" s="1">
        <v>52960.3</v>
      </c>
      <c r="K345" s="1">
        <v>89485.1</v>
      </c>
      <c r="L345" s="1">
        <v>6167.6</v>
      </c>
      <c r="M345" s="1">
        <v>85025.1</v>
      </c>
      <c r="N345" s="1">
        <v>6214.9</v>
      </c>
      <c r="O345" s="1">
        <v>99417</v>
      </c>
      <c r="P345" s="1">
        <v>54077</v>
      </c>
      <c r="Q345" s="1">
        <v>84180</v>
      </c>
      <c r="R345" s="1">
        <v>0</v>
      </c>
    </row>
    <row r="346" spans="1:18">
      <c r="A346" s="3">
        <v>45914.333341493053</v>
      </c>
      <c r="B346" s="1">
        <v>838384</v>
      </c>
      <c r="C346" s="1">
        <v>185793</v>
      </c>
      <c r="D346" s="1">
        <v>49476.1</v>
      </c>
      <c r="E346" s="1">
        <v>0</v>
      </c>
      <c r="F346" s="1">
        <v>416652</v>
      </c>
      <c r="G346" s="1">
        <v>84447</v>
      </c>
      <c r="H346" s="1">
        <v>378174</v>
      </c>
      <c r="I346" s="1">
        <v>725015</v>
      </c>
      <c r="J346" s="1">
        <v>52967.3</v>
      </c>
      <c r="K346" s="1">
        <v>89486.9</v>
      </c>
      <c r="L346" s="1">
        <v>6184.3</v>
      </c>
      <c r="M346" s="1">
        <v>85056.6</v>
      </c>
      <c r="N346" s="1">
        <v>6268</v>
      </c>
      <c r="O346" s="1">
        <v>99434.1</v>
      </c>
      <c r="P346" s="1">
        <v>54078</v>
      </c>
      <c r="Q346" s="1">
        <v>84180</v>
      </c>
      <c r="R346" s="1">
        <v>0</v>
      </c>
    </row>
    <row r="347" spans="1:18">
      <c r="A347" s="3">
        <v>45914.37500821759</v>
      </c>
      <c r="B347" s="1">
        <v>839046</v>
      </c>
      <c r="C347" s="1">
        <v>185953</v>
      </c>
      <c r="D347" s="1">
        <v>49490.6</v>
      </c>
      <c r="E347" s="1">
        <v>0</v>
      </c>
      <c r="F347" s="1">
        <v>416672</v>
      </c>
      <c r="G347" s="1">
        <v>84488.5</v>
      </c>
      <c r="H347" s="1">
        <v>378187</v>
      </c>
      <c r="I347" s="1">
        <v>725249</v>
      </c>
      <c r="J347" s="1">
        <v>52974.7</v>
      </c>
      <c r="K347" s="1">
        <v>89487.5</v>
      </c>
      <c r="L347" s="1">
        <v>6202.1</v>
      </c>
      <c r="M347" s="1">
        <v>85089.4</v>
      </c>
      <c r="N347" s="1">
        <v>6320.2</v>
      </c>
      <c r="O347" s="1">
        <v>99451.7</v>
      </c>
      <c r="P347" s="1">
        <v>54079</v>
      </c>
      <c r="Q347" s="1">
        <v>84182</v>
      </c>
      <c r="R347" s="1">
        <v>0</v>
      </c>
    </row>
    <row r="348" spans="1:18">
      <c r="A348" s="3">
        <v>45914.416674942127</v>
      </c>
      <c r="B348" s="1">
        <v>839713</v>
      </c>
      <c r="C348" s="1">
        <v>186116</v>
      </c>
      <c r="D348" s="1">
        <v>49504.5</v>
      </c>
      <c r="E348" s="1">
        <v>0</v>
      </c>
      <c r="F348" s="1">
        <v>416692</v>
      </c>
      <c r="G348" s="1">
        <v>84529.7</v>
      </c>
      <c r="H348" s="1">
        <v>378198</v>
      </c>
      <c r="I348" s="1">
        <v>725490</v>
      </c>
      <c r="J348" s="1">
        <v>52982</v>
      </c>
      <c r="K348" s="1">
        <v>89487.7</v>
      </c>
      <c r="L348" s="1">
        <v>6220.8</v>
      </c>
      <c r="M348" s="1">
        <v>85121.3</v>
      </c>
      <c r="N348" s="1">
        <v>6371.7</v>
      </c>
      <c r="O348" s="1">
        <v>99469.4</v>
      </c>
      <c r="P348" s="1">
        <v>54080</v>
      </c>
      <c r="Q348" s="1">
        <v>84184</v>
      </c>
      <c r="R348" s="1">
        <v>0</v>
      </c>
    </row>
    <row r="349" spans="1:18">
      <c r="A349" s="3">
        <v>45914.458341666665</v>
      </c>
      <c r="B349" s="1">
        <v>840389</v>
      </c>
      <c r="C349" s="1">
        <v>186287</v>
      </c>
      <c r="D349" s="1">
        <v>49518.5</v>
      </c>
      <c r="E349" s="1">
        <v>0</v>
      </c>
      <c r="F349" s="1">
        <v>416712</v>
      </c>
      <c r="G349" s="1">
        <v>84571.7</v>
      </c>
      <c r="H349" s="1">
        <v>378211</v>
      </c>
      <c r="I349" s="1">
        <v>725731</v>
      </c>
      <c r="J349" s="1">
        <v>52989.1</v>
      </c>
      <c r="K349" s="1">
        <v>89488.3</v>
      </c>
      <c r="L349" s="1">
        <v>6238.9</v>
      </c>
      <c r="M349" s="1">
        <v>85154</v>
      </c>
      <c r="N349" s="1">
        <v>6421.2</v>
      </c>
      <c r="O349" s="1">
        <v>99487.9</v>
      </c>
      <c r="P349" s="1">
        <v>54083</v>
      </c>
      <c r="Q349" s="1">
        <v>84188</v>
      </c>
      <c r="R349" s="1">
        <v>0</v>
      </c>
    </row>
    <row r="350" spans="1:18">
      <c r="A350" s="3">
        <v>45914.500008391202</v>
      </c>
      <c r="B350" s="1">
        <v>841067</v>
      </c>
      <c r="C350" s="1">
        <v>186459</v>
      </c>
      <c r="D350" s="1">
        <v>49536.7</v>
      </c>
      <c r="E350" s="1">
        <v>0</v>
      </c>
      <c r="F350" s="1">
        <v>416734</v>
      </c>
      <c r="G350" s="1">
        <v>84604.7</v>
      </c>
      <c r="H350" s="1">
        <v>378222</v>
      </c>
      <c r="I350" s="1">
        <v>725982</v>
      </c>
      <c r="J350" s="1">
        <v>52996.7</v>
      </c>
      <c r="K350" s="1">
        <v>89488.4</v>
      </c>
      <c r="L350" s="1">
        <v>6259.7</v>
      </c>
      <c r="M350" s="1">
        <v>85187.1</v>
      </c>
      <c r="N350" s="1">
        <v>6468.1</v>
      </c>
      <c r="O350" s="1">
        <v>99505.7</v>
      </c>
      <c r="P350" s="1">
        <v>54089</v>
      </c>
      <c r="Q350" s="1">
        <v>84199</v>
      </c>
      <c r="R350" s="1">
        <v>0</v>
      </c>
    </row>
    <row r="351" spans="1:18">
      <c r="A351" s="3">
        <v>45914.541675115739</v>
      </c>
      <c r="B351" s="1">
        <v>841755</v>
      </c>
      <c r="C351" s="1">
        <v>186639</v>
      </c>
      <c r="D351" s="1">
        <v>49560.7</v>
      </c>
      <c r="E351" s="1">
        <v>0</v>
      </c>
      <c r="F351" s="1">
        <v>416757</v>
      </c>
      <c r="G351" s="1">
        <v>84630.399999999994</v>
      </c>
      <c r="H351" s="1">
        <v>378234</v>
      </c>
      <c r="I351" s="1">
        <v>726241</v>
      </c>
      <c r="J351" s="1">
        <v>53005.3</v>
      </c>
      <c r="K351" s="1">
        <v>89488.4</v>
      </c>
      <c r="L351" s="1">
        <v>6281.9</v>
      </c>
      <c r="M351" s="1">
        <v>85224.4</v>
      </c>
      <c r="N351" s="1">
        <v>6510.5</v>
      </c>
      <c r="O351" s="1">
        <v>99521.600000000006</v>
      </c>
      <c r="P351" s="1">
        <v>54100</v>
      </c>
      <c r="Q351" s="1">
        <v>84215</v>
      </c>
      <c r="R351" s="1">
        <v>0</v>
      </c>
    </row>
    <row r="352" spans="1:18">
      <c r="A352" s="3">
        <v>45914.583341840276</v>
      </c>
      <c r="B352" s="1">
        <v>842471</v>
      </c>
      <c r="C352" s="1">
        <v>186822</v>
      </c>
      <c r="D352" s="1">
        <v>49584.3</v>
      </c>
      <c r="E352" s="1">
        <v>0</v>
      </c>
      <c r="F352" s="1">
        <v>416783</v>
      </c>
      <c r="G352" s="1">
        <v>84657.1</v>
      </c>
      <c r="H352" s="1">
        <v>378245</v>
      </c>
      <c r="I352" s="1">
        <v>726515</v>
      </c>
      <c r="J352" s="1">
        <v>53014.7</v>
      </c>
      <c r="K352" s="1">
        <v>89488.4</v>
      </c>
      <c r="L352" s="1">
        <v>6306.7</v>
      </c>
      <c r="M352" s="1">
        <v>85260.2</v>
      </c>
      <c r="N352" s="1">
        <v>6552.1</v>
      </c>
      <c r="O352" s="1">
        <v>99539.6</v>
      </c>
      <c r="P352" s="1">
        <v>54112</v>
      </c>
      <c r="Q352" s="1">
        <v>84233</v>
      </c>
      <c r="R352" s="1">
        <v>0</v>
      </c>
    </row>
    <row r="353" spans="1:18">
      <c r="A353" s="3">
        <v>45914.625008564813</v>
      </c>
      <c r="B353" s="1">
        <v>843230</v>
      </c>
      <c r="C353" s="1">
        <v>187017</v>
      </c>
      <c r="D353" s="1">
        <v>49604.800000000003</v>
      </c>
      <c r="E353" s="1">
        <v>0</v>
      </c>
      <c r="F353" s="1">
        <v>416810</v>
      </c>
      <c r="G353" s="1">
        <v>84690.8</v>
      </c>
      <c r="H353" s="1">
        <v>378257</v>
      </c>
      <c r="I353" s="1">
        <v>726805</v>
      </c>
      <c r="J353" s="1">
        <v>53024.6</v>
      </c>
      <c r="K353" s="1">
        <v>89488.4</v>
      </c>
      <c r="L353" s="1">
        <v>6337</v>
      </c>
      <c r="M353" s="1">
        <v>85295.8</v>
      </c>
      <c r="N353" s="1">
        <v>6595.6</v>
      </c>
      <c r="O353" s="1">
        <v>99557.8</v>
      </c>
      <c r="P353" s="1">
        <v>54122</v>
      </c>
      <c r="Q353" s="1">
        <v>84249</v>
      </c>
      <c r="R353" s="1">
        <v>0</v>
      </c>
    </row>
    <row r="354" spans="1:18">
      <c r="A354" s="3">
        <v>45914.666675289351</v>
      </c>
      <c r="B354" s="1">
        <v>844033</v>
      </c>
      <c r="C354" s="1">
        <v>187220</v>
      </c>
      <c r="D354" s="1">
        <v>49623.1</v>
      </c>
      <c r="E354" s="1">
        <v>0</v>
      </c>
      <c r="F354" s="1">
        <v>416833</v>
      </c>
      <c r="G354" s="1">
        <v>84748.9</v>
      </c>
      <c r="H354" s="1">
        <v>378270</v>
      </c>
      <c r="I354" s="1">
        <v>727101</v>
      </c>
      <c r="J354" s="1">
        <v>53033.9</v>
      </c>
      <c r="K354" s="1">
        <v>89488.4</v>
      </c>
      <c r="L354" s="1">
        <v>6361.3</v>
      </c>
      <c r="M354" s="1">
        <v>85332.800000000003</v>
      </c>
      <c r="N354" s="1">
        <v>6645</v>
      </c>
      <c r="O354" s="1">
        <v>99576</v>
      </c>
      <c r="P354" s="1">
        <v>54127</v>
      </c>
      <c r="Q354" s="1">
        <v>84256</v>
      </c>
      <c r="R354" s="1">
        <v>0</v>
      </c>
    </row>
    <row r="355" spans="1:18">
      <c r="A355" s="3">
        <v>45914.708342013888</v>
      </c>
      <c r="B355" s="1">
        <v>844837</v>
      </c>
      <c r="C355" s="1">
        <v>187425</v>
      </c>
      <c r="D355" s="1">
        <v>49644.3</v>
      </c>
      <c r="E355" s="1">
        <v>0</v>
      </c>
      <c r="F355" s="1">
        <v>416854</v>
      </c>
      <c r="G355" s="1">
        <v>84811.4</v>
      </c>
      <c r="H355" s="1">
        <v>378282</v>
      </c>
      <c r="I355" s="1">
        <v>727389</v>
      </c>
      <c r="J355" s="1">
        <v>53042.6</v>
      </c>
      <c r="K355" s="1">
        <v>89488.6</v>
      </c>
      <c r="L355" s="1">
        <v>6384.9</v>
      </c>
      <c r="M355" s="1">
        <v>85369.7</v>
      </c>
      <c r="N355" s="1">
        <v>6696.9</v>
      </c>
      <c r="O355" s="1">
        <v>99595.9</v>
      </c>
      <c r="P355" s="1">
        <v>54130</v>
      </c>
      <c r="Q355" s="1">
        <v>84261</v>
      </c>
      <c r="R355" s="1">
        <v>0</v>
      </c>
    </row>
    <row r="356" spans="1:18">
      <c r="A356" s="3">
        <v>45914.750008738425</v>
      </c>
      <c r="B356" s="1">
        <v>845636</v>
      </c>
      <c r="C356" s="1">
        <v>187624</v>
      </c>
      <c r="D356" s="1">
        <v>49664.800000000003</v>
      </c>
      <c r="E356" s="1">
        <v>0</v>
      </c>
      <c r="F356" s="1">
        <v>416876</v>
      </c>
      <c r="G356" s="1">
        <v>84870.3</v>
      </c>
      <c r="H356" s="1">
        <v>378294</v>
      </c>
      <c r="I356" s="1">
        <v>727679</v>
      </c>
      <c r="J356" s="1">
        <v>53051.5</v>
      </c>
      <c r="K356" s="1">
        <v>89489.9</v>
      </c>
      <c r="L356" s="1">
        <v>6408</v>
      </c>
      <c r="M356" s="1">
        <v>85407.5</v>
      </c>
      <c r="N356" s="1">
        <v>6749.8</v>
      </c>
      <c r="O356" s="1">
        <v>99615.1</v>
      </c>
      <c r="P356" s="1">
        <v>54132</v>
      </c>
      <c r="Q356" s="1">
        <v>84264</v>
      </c>
      <c r="R356" s="1">
        <v>0</v>
      </c>
    </row>
    <row r="357" spans="1:18">
      <c r="A357" s="3">
        <v>45914.791675462962</v>
      </c>
      <c r="B357" s="1">
        <v>846412</v>
      </c>
      <c r="C357" s="1">
        <v>187817</v>
      </c>
      <c r="D357" s="1">
        <v>49681.3</v>
      </c>
      <c r="E357" s="1">
        <v>0</v>
      </c>
      <c r="F357" s="1">
        <v>416896</v>
      </c>
      <c r="G357" s="1">
        <v>84934.8</v>
      </c>
      <c r="H357" s="1">
        <v>378306</v>
      </c>
      <c r="I357" s="1">
        <v>727959</v>
      </c>
      <c r="J357" s="1">
        <v>53059.5</v>
      </c>
      <c r="K357" s="1">
        <v>89492.9</v>
      </c>
      <c r="L357" s="1">
        <v>6429.7</v>
      </c>
      <c r="M357" s="1">
        <v>85442.1</v>
      </c>
      <c r="N357" s="1">
        <v>6804.1</v>
      </c>
      <c r="O357" s="1">
        <v>99630.399999999994</v>
      </c>
      <c r="P357" s="1">
        <v>54132</v>
      </c>
      <c r="Q357" s="1">
        <v>84264</v>
      </c>
      <c r="R357" s="1">
        <v>0</v>
      </c>
    </row>
    <row r="358" spans="1:18">
      <c r="A358" s="3">
        <v>45914.8333421875</v>
      </c>
      <c r="B358" s="1">
        <v>847176</v>
      </c>
      <c r="C358" s="1">
        <v>188003</v>
      </c>
      <c r="D358" s="1">
        <v>49697.3</v>
      </c>
      <c r="E358" s="1">
        <v>0</v>
      </c>
      <c r="F358" s="1">
        <v>416917</v>
      </c>
      <c r="G358" s="1">
        <v>85000.1</v>
      </c>
      <c r="H358" s="1">
        <v>378318</v>
      </c>
      <c r="I358" s="1">
        <v>728234</v>
      </c>
      <c r="J358" s="1">
        <v>53067.6</v>
      </c>
      <c r="K358" s="1">
        <v>89495.8</v>
      </c>
      <c r="L358" s="1">
        <v>6448.5</v>
      </c>
      <c r="M358" s="1">
        <v>85476.6</v>
      </c>
      <c r="N358" s="1">
        <v>6858.6</v>
      </c>
      <c r="O358" s="1">
        <v>99648.9</v>
      </c>
      <c r="P358" s="1">
        <v>54132</v>
      </c>
      <c r="Q358" s="1">
        <v>84264</v>
      </c>
      <c r="R358" s="1">
        <v>0</v>
      </c>
    </row>
    <row r="359" spans="1:18">
      <c r="A359" s="3">
        <v>45914.875008912037</v>
      </c>
      <c r="B359" s="1">
        <v>847920</v>
      </c>
      <c r="C359" s="1">
        <v>188180</v>
      </c>
      <c r="D359" s="1">
        <v>49716.9</v>
      </c>
      <c r="E359" s="1">
        <v>0</v>
      </c>
      <c r="F359" s="1">
        <v>416936</v>
      </c>
      <c r="G359" s="1">
        <v>85060.7</v>
      </c>
      <c r="H359" s="1">
        <v>378331</v>
      </c>
      <c r="I359" s="1">
        <v>728503</v>
      </c>
      <c r="J359" s="1">
        <v>53074.9</v>
      </c>
      <c r="K359" s="1">
        <v>89498.7</v>
      </c>
      <c r="L359" s="1">
        <v>6466.9</v>
      </c>
      <c r="M359" s="1">
        <v>85510.3</v>
      </c>
      <c r="N359" s="1">
        <v>6912.4</v>
      </c>
      <c r="O359" s="1">
        <v>99668.4</v>
      </c>
      <c r="P359" s="1">
        <v>54132</v>
      </c>
      <c r="Q359" s="1">
        <v>84264</v>
      </c>
      <c r="R359" s="1">
        <v>0</v>
      </c>
    </row>
    <row r="360" spans="1:18">
      <c r="A360" s="3">
        <v>45914.916675636574</v>
      </c>
      <c r="B360" s="1">
        <v>848653</v>
      </c>
      <c r="C360" s="1">
        <v>188358</v>
      </c>
      <c r="D360" s="1">
        <v>49734.9</v>
      </c>
      <c r="E360" s="1">
        <v>0</v>
      </c>
      <c r="F360" s="1">
        <v>416955</v>
      </c>
      <c r="G360" s="1">
        <v>85119.9</v>
      </c>
      <c r="H360" s="1">
        <v>378343</v>
      </c>
      <c r="I360" s="1">
        <v>728760</v>
      </c>
      <c r="J360" s="1">
        <v>53082.1</v>
      </c>
      <c r="K360" s="1">
        <v>89501.5</v>
      </c>
      <c r="L360" s="1">
        <v>6486.5</v>
      </c>
      <c r="M360" s="1">
        <v>85543.9</v>
      </c>
      <c r="N360" s="1">
        <v>6966.2</v>
      </c>
      <c r="O360" s="1">
        <v>99687.7</v>
      </c>
      <c r="P360" s="1">
        <v>54132</v>
      </c>
      <c r="Q360" s="1">
        <v>84264</v>
      </c>
      <c r="R360" s="1">
        <v>0</v>
      </c>
    </row>
    <row r="361" spans="1:18">
      <c r="A361" s="3">
        <v>45914.958342361111</v>
      </c>
      <c r="B361" s="1">
        <v>849388</v>
      </c>
      <c r="C361" s="1">
        <v>188540</v>
      </c>
      <c r="D361" s="1">
        <v>49753.5</v>
      </c>
      <c r="E361" s="1">
        <v>0</v>
      </c>
      <c r="F361" s="1">
        <v>416974</v>
      </c>
      <c r="G361" s="1">
        <v>85177</v>
      </c>
      <c r="H361" s="1">
        <v>378355</v>
      </c>
      <c r="I361" s="1">
        <v>729018</v>
      </c>
      <c r="J361" s="1">
        <v>53089.5</v>
      </c>
      <c r="K361" s="1">
        <v>89504.3</v>
      </c>
      <c r="L361" s="1">
        <v>6508</v>
      </c>
      <c r="M361" s="1">
        <v>85578</v>
      </c>
      <c r="N361" s="1">
        <v>7020.2</v>
      </c>
      <c r="O361" s="1">
        <v>99706.4</v>
      </c>
      <c r="P361" s="1">
        <v>54132</v>
      </c>
      <c r="Q361" s="1">
        <v>84264</v>
      </c>
      <c r="R361" s="1">
        <v>0</v>
      </c>
    </row>
    <row r="362" spans="1:18">
      <c r="A362" s="3">
        <v>45915.000009085648</v>
      </c>
      <c r="B362" s="1">
        <v>850109</v>
      </c>
      <c r="C362" s="1">
        <v>188715</v>
      </c>
      <c r="D362" s="1">
        <v>49771.4</v>
      </c>
      <c r="E362" s="1">
        <v>0</v>
      </c>
      <c r="F362" s="1">
        <v>416992</v>
      </c>
      <c r="G362" s="1">
        <v>85232.5</v>
      </c>
      <c r="H362" s="1">
        <v>378367</v>
      </c>
      <c r="I362" s="1">
        <v>729272</v>
      </c>
      <c r="J362" s="1">
        <v>53096.7</v>
      </c>
      <c r="K362" s="1">
        <v>89507</v>
      </c>
      <c r="L362" s="1">
        <v>6530</v>
      </c>
      <c r="M362" s="1">
        <v>85611.8</v>
      </c>
      <c r="N362" s="1">
        <v>7073.4</v>
      </c>
      <c r="O362" s="1">
        <v>99724.7</v>
      </c>
      <c r="P362" s="1">
        <v>54132</v>
      </c>
      <c r="Q362" s="1">
        <v>84264</v>
      </c>
      <c r="R362" s="1">
        <v>0</v>
      </c>
    </row>
    <row r="363" spans="1:18">
      <c r="A363" s="3">
        <v>45915.041675810186</v>
      </c>
      <c r="B363" s="1">
        <v>850816</v>
      </c>
      <c r="C363" s="1">
        <v>188882</v>
      </c>
      <c r="D363" s="1">
        <v>49788.4</v>
      </c>
      <c r="E363" s="1">
        <v>0</v>
      </c>
      <c r="F363" s="1">
        <v>417011</v>
      </c>
      <c r="G363" s="1">
        <v>85288.8</v>
      </c>
      <c r="H363" s="1">
        <v>378378</v>
      </c>
      <c r="I363" s="1">
        <v>729523</v>
      </c>
      <c r="J363" s="1">
        <v>53103.9</v>
      </c>
      <c r="K363" s="1">
        <v>89510.3</v>
      </c>
      <c r="L363" s="1">
        <v>6551.6</v>
      </c>
      <c r="M363" s="1">
        <v>85644</v>
      </c>
      <c r="N363" s="1">
        <v>7127.4</v>
      </c>
      <c r="O363" s="1">
        <v>99740.800000000003</v>
      </c>
      <c r="P363" s="1">
        <v>54132</v>
      </c>
      <c r="Q363" s="1">
        <v>84264</v>
      </c>
      <c r="R363" s="1">
        <v>0</v>
      </c>
    </row>
    <row r="364" spans="1:18">
      <c r="A364" s="3">
        <v>45915.083342534723</v>
      </c>
      <c r="B364" s="1">
        <v>851516</v>
      </c>
      <c r="C364" s="1">
        <v>189050</v>
      </c>
      <c r="D364" s="1">
        <v>49802.7</v>
      </c>
      <c r="E364" s="1">
        <v>0</v>
      </c>
      <c r="F364" s="1">
        <v>417031</v>
      </c>
      <c r="G364" s="1">
        <v>85346.4</v>
      </c>
      <c r="H364" s="1">
        <v>378390</v>
      </c>
      <c r="I364" s="1">
        <v>729765</v>
      </c>
      <c r="J364" s="1">
        <v>53110.9</v>
      </c>
      <c r="K364" s="1">
        <v>89513.4</v>
      </c>
      <c r="L364" s="1">
        <v>6572.9</v>
      </c>
      <c r="M364" s="1">
        <v>85676.9</v>
      </c>
      <c r="N364" s="1">
        <v>7181.5</v>
      </c>
      <c r="O364" s="1">
        <v>99759.7</v>
      </c>
      <c r="P364" s="1">
        <v>54132</v>
      </c>
      <c r="Q364" s="1">
        <v>84264</v>
      </c>
      <c r="R364" s="1">
        <v>0</v>
      </c>
    </row>
    <row r="365" spans="1:18">
      <c r="A365" s="3">
        <v>45915.12500925926</v>
      </c>
      <c r="B365" s="1">
        <v>852212</v>
      </c>
      <c r="C365" s="1">
        <v>189221</v>
      </c>
      <c r="D365" s="1">
        <v>49816.3</v>
      </c>
      <c r="E365" s="1">
        <v>0</v>
      </c>
      <c r="F365" s="1">
        <v>417050</v>
      </c>
      <c r="G365" s="1">
        <v>85401.9</v>
      </c>
      <c r="H365" s="1">
        <v>378401</v>
      </c>
      <c r="I365" s="1">
        <v>730004</v>
      </c>
      <c r="J365" s="1">
        <v>53117.8</v>
      </c>
      <c r="K365" s="1">
        <v>89516.2</v>
      </c>
      <c r="L365" s="1">
        <v>6594.2</v>
      </c>
      <c r="M365" s="1">
        <v>85710.2</v>
      </c>
      <c r="N365" s="1">
        <v>7235.2</v>
      </c>
      <c r="O365" s="1">
        <v>99777.7</v>
      </c>
      <c r="P365" s="1">
        <v>54132</v>
      </c>
      <c r="Q365" s="1">
        <v>84264</v>
      </c>
      <c r="R365" s="1">
        <v>0</v>
      </c>
    </row>
    <row r="366" spans="1:18">
      <c r="A366" s="3">
        <v>45915.166675983797</v>
      </c>
      <c r="B366" s="1">
        <v>852901</v>
      </c>
      <c r="C366" s="1">
        <v>189392</v>
      </c>
      <c r="D366" s="1">
        <v>49830.5</v>
      </c>
      <c r="E366" s="1">
        <v>0</v>
      </c>
      <c r="F366" s="1">
        <v>417068</v>
      </c>
      <c r="G366" s="1">
        <v>85456.8</v>
      </c>
      <c r="H366" s="1">
        <v>378412</v>
      </c>
      <c r="I366" s="1">
        <v>730238</v>
      </c>
      <c r="J366" s="1">
        <v>53124.7</v>
      </c>
      <c r="K366" s="1">
        <v>89518.8</v>
      </c>
      <c r="L366" s="1">
        <v>6615.7</v>
      </c>
      <c r="M366" s="1">
        <v>85742.8</v>
      </c>
      <c r="N366" s="1">
        <v>7288.9</v>
      </c>
      <c r="O366" s="1">
        <v>99795.9</v>
      </c>
      <c r="P366" s="1">
        <v>54132</v>
      </c>
      <c r="Q366" s="1">
        <v>84264</v>
      </c>
      <c r="R366" s="1">
        <v>0</v>
      </c>
    </row>
    <row r="367" spans="1:18">
      <c r="A367" s="3">
        <v>45915.208342708334</v>
      </c>
      <c r="B367" s="1">
        <v>853581</v>
      </c>
      <c r="C367" s="1">
        <v>189554</v>
      </c>
      <c r="D367" s="1">
        <v>49844.5</v>
      </c>
      <c r="E367" s="1">
        <v>0</v>
      </c>
      <c r="F367" s="1">
        <v>417087</v>
      </c>
      <c r="G367" s="1">
        <v>85509.4</v>
      </c>
      <c r="H367" s="1">
        <v>378425</v>
      </c>
      <c r="I367" s="1">
        <v>730472</v>
      </c>
      <c r="J367" s="1">
        <v>53131.8</v>
      </c>
      <c r="K367" s="1">
        <v>89521.600000000006</v>
      </c>
      <c r="L367" s="1">
        <v>6637</v>
      </c>
      <c r="M367" s="1">
        <v>85775.1</v>
      </c>
      <c r="N367" s="1">
        <v>7343.3</v>
      </c>
      <c r="O367" s="1">
        <v>99815</v>
      </c>
      <c r="P367" s="1">
        <v>54132</v>
      </c>
      <c r="Q367" s="1">
        <v>84264</v>
      </c>
      <c r="R367" s="1">
        <v>0</v>
      </c>
    </row>
    <row r="368" spans="1:18">
      <c r="A368" s="3">
        <v>45915.250009432872</v>
      </c>
      <c r="B368" s="1">
        <v>854254</v>
      </c>
      <c r="C368" s="1">
        <v>189715</v>
      </c>
      <c r="D368" s="1">
        <v>49859</v>
      </c>
      <c r="E368" s="1">
        <v>0</v>
      </c>
      <c r="F368" s="1">
        <v>417106</v>
      </c>
      <c r="G368" s="1">
        <v>85561.7</v>
      </c>
      <c r="H368" s="1">
        <v>378436</v>
      </c>
      <c r="I368" s="1">
        <v>730702</v>
      </c>
      <c r="J368" s="1">
        <v>53138.6</v>
      </c>
      <c r="K368" s="1">
        <v>89524.3</v>
      </c>
      <c r="L368" s="1">
        <v>6658.2</v>
      </c>
      <c r="M368" s="1">
        <v>85807.8</v>
      </c>
      <c r="N368" s="1">
        <v>7396.8</v>
      </c>
      <c r="O368" s="1">
        <v>99833</v>
      </c>
      <c r="P368" s="1">
        <v>54132</v>
      </c>
      <c r="Q368" s="1">
        <v>84264</v>
      </c>
      <c r="R368" s="1">
        <v>0</v>
      </c>
    </row>
    <row r="369" spans="1:18">
      <c r="A369" s="3">
        <v>45915.291676157409</v>
      </c>
      <c r="B369" s="1">
        <v>854919</v>
      </c>
      <c r="C369" s="1">
        <v>189872</v>
      </c>
      <c r="D369" s="1">
        <v>49873.4</v>
      </c>
      <c r="E369" s="1">
        <v>0</v>
      </c>
      <c r="F369" s="1">
        <v>417125</v>
      </c>
      <c r="G369" s="1">
        <v>85613.3</v>
      </c>
      <c r="H369" s="1">
        <v>378447</v>
      </c>
      <c r="I369" s="1">
        <v>730933</v>
      </c>
      <c r="J369" s="1">
        <v>53145.5</v>
      </c>
      <c r="K369" s="1">
        <v>89526.2</v>
      </c>
      <c r="L369" s="1">
        <v>6678.7</v>
      </c>
      <c r="M369" s="1">
        <v>85839.6</v>
      </c>
      <c r="N369" s="1">
        <v>7450.1</v>
      </c>
      <c r="O369" s="1">
        <v>99850.4</v>
      </c>
      <c r="P369" s="1">
        <v>54132</v>
      </c>
      <c r="Q369" s="1">
        <v>84265</v>
      </c>
      <c r="R369" s="1">
        <v>0</v>
      </c>
    </row>
    <row r="370" spans="1:18">
      <c r="A370" s="3">
        <v>45915.333342881946</v>
      </c>
      <c r="B370" s="1">
        <v>855585</v>
      </c>
      <c r="C370" s="1">
        <v>190035</v>
      </c>
      <c r="D370" s="1">
        <v>49887.3</v>
      </c>
      <c r="E370" s="1">
        <v>0</v>
      </c>
      <c r="F370" s="1">
        <v>417143</v>
      </c>
      <c r="G370" s="1">
        <v>85662.1</v>
      </c>
      <c r="H370" s="1">
        <v>378458</v>
      </c>
      <c r="I370" s="1">
        <v>731166</v>
      </c>
      <c r="J370" s="1">
        <v>53152.7</v>
      </c>
      <c r="K370" s="1">
        <v>89527.1</v>
      </c>
      <c r="L370" s="1">
        <v>6698.1</v>
      </c>
      <c r="M370" s="1">
        <v>85872.1</v>
      </c>
      <c r="N370" s="1">
        <v>7501.1</v>
      </c>
      <c r="O370" s="1">
        <v>99867.8</v>
      </c>
      <c r="P370" s="1">
        <v>54134</v>
      </c>
      <c r="Q370" s="1">
        <v>84267</v>
      </c>
      <c r="R370" s="1">
        <v>0</v>
      </c>
    </row>
    <row r="371" spans="1:18">
      <c r="A371" s="3">
        <v>45915.375009606483</v>
      </c>
      <c r="B371" s="1">
        <v>856263</v>
      </c>
      <c r="C371" s="1">
        <v>190200</v>
      </c>
      <c r="D371" s="1">
        <v>49901.5</v>
      </c>
      <c r="E371" s="1">
        <v>0</v>
      </c>
      <c r="F371" s="1">
        <v>417163</v>
      </c>
      <c r="G371" s="1">
        <v>85704.2</v>
      </c>
      <c r="H371" s="1">
        <v>378474</v>
      </c>
      <c r="I371" s="1">
        <v>731407</v>
      </c>
      <c r="J371" s="1">
        <v>53160.3</v>
      </c>
      <c r="K371" s="1">
        <v>89527.1</v>
      </c>
      <c r="L371" s="1">
        <v>6716.3</v>
      </c>
      <c r="M371" s="1">
        <v>85908.5</v>
      </c>
      <c r="N371" s="1">
        <v>7551.1</v>
      </c>
      <c r="O371" s="1">
        <v>99887.3</v>
      </c>
      <c r="P371" s="1">
        <v>54137</v>
      </c>
      <c r="Q371" s="1">
        <v>84273</v>
      </c>
      <c r="R371" s="1">
        <v>0</v>
      </c>
    </row>
    <row r="372" spans="1:18">
      <c r="A372" s="3">
        <v>45915.41667633102</v>
      </c>
      <c r="B372" s="1">
        <v>856968</v>
      </c>
      <c r="C372" s="1">
        <v>190374</v>
      </c>
      <c r="D372" s="1">
        <v>49916.3</v>
      </c>
      <c r="E372" s="1">
        <v>0</v>
      </c>
      <c r="F372" s="1">
        <v>417185</v>
      </c>
      <c r="G372" s="1">
        <v>85744.6</v>
      </c>
      <c r="H372" s="1">
        <v>378494</v>
      </c>
      <c r="I372" s="1">
        <v>731664</v>
      </c>
      <c r="J372" s="1">
        <v>53167.8</v>
      </c>
      <c r="K372" s="1">
        <v>89527.1</v>
      </c>
      <c r="L372" s="1">
        <v>6734.8</v>
      </c>
      <c r="M372" s="1">
        <v>85943.5</v>
      </c>
      <c r="N372" s="1">
        <v>7600.2</v>
      </c>
      <c r="O372" s="1">
        <v>99906.6</v>
      </c>
      <c r="P372" s="1">
        <v>54142</v>
      </c>
      <c r="Q372" s="1">
        <v>84281</v>
      </c>
      <c r="R372" s="1">
        <v>0</v>
      </c>
    </row>
    <row r="373" spans="1:18">
      <c r="A373" s="3">
        <v>45915.458343055558</v>
      </c>
      <c r="B373" s="1">
        <v>857692</v>
      </c>
      <c r="C373" s="1">
        <v>190553</v>
      </c>
      <c r="D373" s="1">
        <v>49934.7</v>
      </c>
      <c r="E373" s="1">
        <v>0</v>
      </c>
      <c r="F373" s="1">
        <v>417206</v>
      </c>
      <c r="G373" s="1">
        <v>85778.5</v>
      </c>
      <c r="H373" s="1">
        <v>378517</v>
      </c>
      <c r="I373" s="1">
        <v>731933</v>
      </c>
      <c r="J373" s="1">
        <v>53176.5</v>
      </c>
      <c r="K373" s="1">
        <v>89527.1</v>
      </c>
      <c r="L373" s="1">
        <v>6755.3</v>
      </c>
      <c r="M373" s="1">
        <v>85980.9</v>
      </c>
      <c r="N373" s="1">
        <v>7645.4</v>
      </c>
      <c r="O373" s="1">
        <v>99926</v>
      </c>
      <c r="P373" s="1">
        <v>54151</v>
      </c>
      <c r="Q373" s="1">
        <v>84294</v>
      </c>
      <c r="R373" s="1">
        <v>0</v>
      </c>
    </row>
    <row r="374" spans="1:18">
      <c r="A374" s="3">
        <v>45915.500009780095</v>
      </c>
      <c r="B374" s="1">
        <v>858442</v>
      </c>
      <c r="C374" s="1">
        <v>190742</v>
      </c>
      <c r="D374" s="1">
        <v>49952.800000000003</v>
      </c>
      <c r="E374" s="1">
        <v>0</v>
      </c>
      <c r="F374" s="1">
        <v>417233</v>
      </c>
      <c r="G374" s="1">
        <v>85807.7</v>
      </c>
      <c r="H374" s="1">
        <v>378541</v>
      </c>
      <c r="I374" s="1">
        <v>732212</v>
      </c>
      <c r="J374" s="1">
        <v>53185.3</v>
      </c>
      <c r="K374" s="1">
        <v>89527.1</v>
      </c>
      <c r="L374" s="1">
        <v>6781.2</v>
      </c>
      <c r="M374" s="1">
        <v>86020.2</v>
      </c>
      <c r="N374" s="1">
        <v>7691.6</v>
      </c>
      <c r="O374" s="1">
        <v>99945.7</v>
      </c>
      <c r="P374" s="1">
        <v>54163</v>
      </c>
      <c r="Q374" s="1">
        <v>84313</v>
      </c>
      <c r="R374" s="1">
        <v>0</v>
      </c>
    </row>
    <row r="375" spans="1:18">
      <c r="A375" s="3">
        <v>45915.541676504632</v>
      </c>
      <c r="B375" s="1">
        <v>859226</v>
      </c>
      <c r="C375" s="1">
        <v>190934</v>
      </c>
      <c r="D375" s="1">
        <v>49977.9</v>
      </c>
      <c r="E375" s="1">
        <v>0</v>
      </c>
      <c r="F375" s="1">
        <v>417258</v>
      </c>
      <c r="G375" s="1">
        <v>85843.5</v>
      </c>
      <c r="H375" s="1">
        <v>378563</v>
      </c>
      <c r="I375" s="1">
        <v>732504</v>
      </c>
      <c r="J375" s="1">
        <v>53194.6</v>
      </c>
      <c r="K375" s="1">
        <v>89527.1</v>
      </c>
      <c r="L375" s="1">
        <v>6814</v>
      </c>
      <c r="M375" s="1">
        <v>86062</v>
      </c>
      <c r="N375" s="1">
        <v>7738.1</v>
      </c>
      <c r="O375" s="1">
        <v>99963.199999999997</v>
      </c>
      <c r="P375" s="1">
        <v>54173</v>
      </c>
      <c r="Q375" s="1">
        <v>84328</v>
      </c>
      <c r="R375" s="1">
        <v>0</v>
      </c>
    </row>
    <row r="376" spans="1:18">
      <c r="A376" s="3">
        <v>45915.583343229169</v>
      </c>
      <c r="B376" s="1">
        <v>860033</v>
      </c>
      <c r="C376" s="1">
        <v>191135</v>
      </c>
      <c r="D376" s="1">
        <v>50006.7</v>
      </c>
      <c r="E376" s="1">
        <v>0</v>
      </c>
      <c r="F376" s="1">
        <v>417283</v>
      </c>
      <c r="G376" s="1">
        <v>85880</v>
      </c>
      <c r="H376" s="1">
        <v>378586</v>
      </c>
      <c r="I376" s="1">
        <v>732803</v>
      </c>
      <c r="J376" s="1">
        <v>53205</v>
      </c>
      <c r="K376" s="1">
        <v>89527.1</v>
      </c>
      <c r="L376" s="1">
        <v>6844.8</v>
      </c>
      <c r="M376" s="1">
        <v>86105.600000000006</v>
      </c>
      <c r="N376" s="1">
        <v>7785.6</v>
      </c>
      <c r="O376" s="5">
        <v>99983</v>
      </c>
      <c r="P376" s="1">
        <v>54185</v>
      </c>
      <c r="Q376" s="1">
        <v>84347</v>
      </c>
      <c r="R376" s="1">
        <v>0</v>
      </c>
    </row>
    <row r="377" spans="1:18">
      <c r="A377" s="3">
        <v>45915.625009953706</v>
      </c>
      <c r="B377" s="1">
        <v>860891</v>
      </c>
      <c r="C377" s="1">
        <v>191348</v>
      </c>
      <c r="D377" s="1">
        <v>50038.9</v>
      </c>
      <c r="E377" s="1">
        <v>0</v>
      </c>
      <c r="F377" s="1">
        <v>417309</v>
      </c>
      <c r="G377" s="1">
        <v>85939.6</v>
      </c>
      <c r="H377" s="1">
        <v>378610</v>
      </c>
      <c r="I377" s="1">
        <v>733104</v>
      </c>
      <c r="J377" s="1">
        <v>53215.1</v>
      </c>
      <c r="K377" s="1">
        <v>89527.1</v>
      </c>
      <c r="L377" s="1">
        <v>6874.4</v>
      </c>
      <c r="M377" s="1">
        <v>86146.5</v>
      </c>
      <c r="N377" s="1">
        <v>7834.4</v>
      </c>
      <c r="O377" s="5">
        <v>3.4</v>
      </c>
      <c r="P377" s="1">
        <v>54189</v>
      </c>
      <c r="Q377" s="1">
        <v>84353</v>
      </c>
      <c r="R377" s="1">
        <v>0</v>
      </c>
    </row>
    <row r="378" spans="1:18">
      <c r="A378" s="3">
        <v>45915.666676678244</v>
      </c>
      <c r="B378" s="1">
        <v>861751</v>
      </c>
      <c r="C378" s="1">
        <v>191546</v>
      </c>
      <c r="D378" s="1">
        <v>50066.3</v>
      </c>
      <c r="E378" s="1">
        <v>0</v>
      </c>
      <c r="F378" s="1">
        <v>417334</v>
      </c>
      <c r="G378" s="1">
        <v>86005.3</v>
      </c>
      <c r="H378" s="1">
        <v>378634</v>
      </c>
      <c r="I378" s="1">
        <v>733418</v>
      </c>
      <c r="J378" s="1">
        <v>53224</v>
      </c>
      <c r="K378" s="1">
        <v>89528.2</v>
      </c>
      <c r="L378" s="1">
        <v>6903.3</v>
      </c>
      <c r="M378" s="1">
        <v>86183.1</v>
      </c>
      <c r="N378" s="1">
        <v>7887.6</v>
      </c>
      <c r="O378" s="1">
        <v>23.1</v>
      </c>
      <c r="P378" s="1">
        <v>54190</v>
      </c>
      <c r="Q378" s="1">
        <v>84355</v>
      </c>
      <c r="R378" s="1">
        <v>0</v>
      </c>
    </row>
    <row r="379" spans="1:18">
      <c r="A379" s="3">
        <v>45915.708343402781</v>
      </c>
      <c r="B379" s="1">
        <v>862623</v>
      </c>
      <c r="C379" s="1">
        <v>191752</v>
      </c>
      <c r="D379" s="1">
        <v>50091.8</v>
      </c>
      <c r="E379" s="1">
        <v>0</v>
      </c>
      <c r="F379" s="1">
        <v>417358</v>
      </c>
      <c r="G379" s="1">
        <v>86069.9</v>
      </c>
      <c r="H379" s="1">
        <v>378657</v>
      </c>
      <c r="I379" s="1">
        <v>733740</v>
      </c>
      <c r="J379" s="1">
        <v>53233</v>
      </c>
      <c r="K379" s="1">
        <v>89529.3</v>
      </c>
      <c r="L379" s="1">
        <v>6933.2</v>
      </c>
      <c r="M379" s="1">
        <v>86221.5</v>
      </c>
      <c r="N379" s="1">
        <v>7940.2</v>
      </c>
      <c r="O379" s="1">
        <v>43.1</v>
      </c>
      <c r="P379" s="1">
        <v>54193</v>
      </c>
      <c r="Q379" s="1">
        <v>84358</v>
      </c>
      <c r="R379" s="1">
        <v>0</v>
      </c>
    </row>
    <row r="380" spans="1:18">
      <c r="A380" s="3">
        <v>45915.750010127318</v>
      </c>
      <c r="B380" s="1">
        <v>863482</v>
      </c>
      <c r="C380" s="1">
        <v>191957</v>
      </c>
      <c r="D380" s="1">
        <v>50119.199999999997</v>
      </c>
      <c r="E380" s="1">
        <v>0</v>
      </c>
      <c r="F380" s="1">
        <v>417382</v>
      </c>
      <c r="G380" s="1">
        <v>86127.8</v>
      </c>
      <c r="H380" s="1">
        <v>378682</v>
      </c>
      <c r="I380" s="1">
        <v>734057</v>
      </c>
      <c r="J380" s="1">
        <v>53242.1</v>
      </c>
      <c r="K380" s="1">
        <v>89530.8</v>
      </c>
      <c r="L380" s="1">
        <v>6956.2</v>
      </c>
      <c r="M380" s="1">
        <v>86260</v>
      </c>
      <c r="N380" s="1">
        <v>7992.3</v>
      </c>
      <c r="O380" s="1">
        <v>62.5</v>
      </c>
      <c r="P380" s="1">
        <v>54195</v>
      </c>
      <c r="Q380" s="1">
        <v>84362</v>
      </c>
      <c r="R380" s="1">
        <v>0</v>
      </c>
    </row>
    <row r="381" spans="1:18">
      <c r="A381" s="3">
        <v>45915.791676851855</v>
      </c>
      <c r="B381" s="1">
        <v>864327</v>
      </c>
      <c r="C381" s="1">
        <v>192157</v>
      </c>
      <c r="D381" s="1">
        <v>50145.4</v>
      </c>
      <c r="E381" s="1">
        <v>0</v>
      </c>
      <c r="F381" s="1">
        <v>417406</v>
      </c>
      <c r="G381" s="1">
        <v>86192.2</v>
      </c>
      <c r="H381" s="1">
        <v>378709</v>
      </c>
      <c r="I381" s="1">
        <v>734364</v>
      </c>
      <c r="J381" s="1">
        <v>53249.7</v>
      </c>
      <c r="K381" s="1">
        <v>89533.8</v>
      </c>
      <c r="L381" s="1">
        <v>6978.3</v>
      </c>
      <c r="M381" s="1">
        <v>86294.399999999994</v>
      </c>
      <c r="N381" s="1">
        <v>8045</v>
      </c>
      <c r="O381" s="1">
        <v>81.2</v>
      </c>
      <c r="P381" s="1">
        <v>54195</v>
      </c>
      <c r="Q381" s="1">
        <v>84362</v>
      </c>
      <c r="R381" s="1">
        <v>0</v>
      </c>
    </row>
    <row r="382" spans="1:18">
      <c r="A382" s="3">
        <v>45915.833343576393</v>
      </c>
      <c r="B382" s="1">
        <v>865132</v>
      </c>
      <c r="C382" s="1">
        <v>192348</v>
      </c>
      <c r="D382" s="1">
        <v>50165.9</v>
      </c>
      <c r="E382" s="1">
        <v>0</v>
      </c>
      <c r="F382" s="1">
        <v>417430</v>
      </c>
      <c r="G382" s="1">
        <v>86253.5</v>
      </c>
      <c r="H382" s="1">
        <v>378727</v>
      </c>
      <c r="I382" s="1">
        <v>734656</v>
      </c>
      <c r="J382" s="1">
        <v>53256.9</v>
      </c>
      <c r="K382" s="1">
        <v>89536.6</v>
      </c>
      <c r="L382" s="1">
        <v>7003.4</v>
      </c>
      <c r="M382" s="1">
        <v>86328.1</v>
      </c>
      <c r="N382" s="1">
        <v>8100.2</v>
      </c>
      <c r="O382" s="1">
        <v>100.9</v>
      </c>
      <c r="P382" s="1">
        <v>54195</v>
      </c>
      <c r="Q382" s="1">
        <v>84362</v>
      </c>
      <c r="R382" s="1">
        <v>0</v>
      </c>
    </row>
    <row r="383" spans="1:18">
      <c r="A383" s="3">
        <v>45915.875010300922</v>
      </c>
      <c r="B383" s="1">
        <v>865914</v>
      </c>
      <c r="C383" s="1">
        <v>192538</v>
      </c>
      <c r="D383" s="1">
        <v>50181.3</v>
      </c>
      <c r="E383" s="1">
        <v>0</v>
      </c>
      <c r="F383" s="1">
        <v>417453</v>
      </c>
      <c r="G383" s="1">
        <v>86313.9</v>
      </c>
      <c r="H383" s="1">
        <v>378740</v>
      </c>
      <c r="I383" s="1">
        <v>734939</v>
      </c>
      <c r="J383" s="1">
        <v>53264.4</v>
      </c>
      <c r="K383" s="1">
        <v>89539.4</v>
      </c>
      <c r="L383" s="1">
        <v>7027.4</v>
      </c>
      <c r="M383" s="1">
        <v>86361.8</v>
      </c>
      <c r="N383" s="1">
        <v>8155</v>
      </c>
      <c r="O383" s="1">
        <v>121.3</v>
      </c>
      <c r="P383" s="1">
        <v>54195</v>
      </c>
      <c r="Q383" s="1">
        <v>84362</v>
      </c>
      <c r="R383" s="1">
        <v>0</v>
      </c>
    </row>
    <row r="384" spans="1:18">
      <c r="A384" s="3">
        <v>45915.91667702546</v>
      </c>
      <c r="B384" s="1">
        <v>866676</v>
      </c>
      <c r="C384" s="1">
        <v>192723</v>
      </c>
      <c r="D384" s="1">
        <v>50201.7</v>
      </c>
      <c r="E384" s="1">
        <v>0</v>
      </c>
      <c r="F384" s="1">
        <v>417474</v>
      </c>
      <c r="G384" s="1">
        <v>86372.5</v>
      </c>
      <c r="H384" s="1">
        <v>378753</v>
      </c>
      <c r="I384" s="1">
        <v>735209</v>
      </c>
      <c r="J384" s="1">
        <v>53271.4</v>
      </c>
      <c r="K384" s="1">
        <v>89542.2</v>
      </c>
      <c r="L384" s="1">
        <v>7050.4</v>
      </c>
      <c r="M384" s="1">
        <v>86395.3</v>
      </c>
      <c r="N384" s="1">
        <v>8209.1</v>
      </c>
      <c r="O384" s="1">
        <v>142.5</v>
      </c>
      <c r="P384" s="1">
        <v>54195</v>
      </c>
      <c r="Q384" s="1">
        <v>84362</v>
      </c>
      <c r="R384" s="1">
        <v>0</v>
      </c>
    </row>
    <row r="385" spans="1:18">
      <c r="A385" s="3">
        <v>45915.958343749997</v>
      </c>
      <c r="B385" s="1">
        <v>867433</v>
      </c>
      <c r="C385" s="1">
        <v>192914</v>
      </c>
      <c r="D385" s="1">
        <v>50222</v>
      </c>
      <c r="E385" s="1">
        <v>0</v>
      </c>
      <c r="F385" s="1">
        <v>417496</v>
      </c>
      <c r="G385" s="1">
        <v>86428.4</v>
      </c>
      <c r="H385" s="1">
        <v>378765</v>
      </c>
      <c r="I385" s="1">
        <v>735471</v>
      </c>
      <c r="J385" s="1">
        <v>53278.400000000001</v>
      </c>
      <c r="K385" s="1">
        <v>89545</v>
      </c>
      <c r="L385" s="1">
        <v>7071.9</v>
      </c>
      <c r="M385" s="1">
        <v>86430.3</v>
      </c>
      <c r="N385" s="1">
        <v>8262.4</v>
      </c>
      <c r="O385" s="1">
        <v>161.9</v>
      </c>
      <c r="P385" s="1">
        <v>54195</v>
      </c>
      <c r="Q385" s="1">
        <v>84362</v>
      </c>
      <c r="R385" s="1">
        <v>0</v>
      </c>
    </row>
    <row r="386" spans="1:18">
      <c r="A386" s="3">
        <v>45916.000010474534</v>
      </c>
      <c r="B386" s="1">
        <v>868172</v>
      </c>
      <c r="C386" s="1">
        <v>193096</v>
      </c>
      <c r="D386" s="1">
        <v>50239.8</v>
      </c>
      <c r="E386" s="1">
        <v>0</v>
      </c>
      <c r="F386" s="1">
        <v>417516</v>
      </c>
      <c r="G386" s="1">
        <v>86482.5</v>
      </c>
      <c r="H386" s="1">
        <v>378779</v>
      </c>
      <c r="I386" s="1">
        <v>735731</v>
      </c>
      <c r="J386" s="1">
        <v>53285.7</v>
      </c>
      <c r="K386" s="1">
        <v>89547.8</v>
      </c>
      <c r="L386" s="1">
        <v>7091.6</v>
      </c>
      <c r="M386" s="1">
        <v>86466.6</v>
      </c>
      <c r="N386" s="1">
        <v>8315.2000000000007</v>
      </c>
      <c r="O386" s="1">
        <v>180.8</v>
      </c>
      <c r="P386" s="1">
        <v>54195</v>
      </c>
      <c r="Q386" s="1">
        <v>84362</v>
      </c>
      <c r="R386" s="1">
        <v>0</v>
      </c>
    </row>
    <row r="387" spans="1:18">
      <c r="A387" s="3">
        <v>45916.041677199071</v>
      </c>
      <c r="B387" s="1">
        <v>868895</v>
      </c>
      <c r="C387" s="1">
        <v>193273</v>
      </c>
      <c r="D387" s="1">
        <v>50254.1</v>
      </c>
      <c r="E387" s="1">
        <v>0</v>
      </c>
      <c r="F387" s="1">
        <v>417537</v>
      </c>
      <c r="G387" s="1">
        <v>86532.800000000003</v>
      </c>
      <c r="H387" s="1">
        <v>378791</v>
      </c>
      <c r="I387" s="1">
        <v>735988</v>
      </c>
      <c r="J387" s="1">
        <v>53293.3</v>
      </c>
      <c r="K387" s="1">
        <v>89550.6</v>
      </c>
      <c r="L387" s="1">
        <v>7116.7</v>
      </c>
      <c r="M387" s="1">
        <v>86500.3</v>
      </c>
      <c r="N387" s="1">
        <v>8369.2000000000007</v>
      </c>
      <c r="O387" s="1">
        <v>197.8</v>
      </c>
      <c r="P387" s="1">
        <v>54195</v>
      </c>
      <c r="Q387" s="1">
        <v>84362</v>
      </c>
      <c r="R387" s="1">
        <v>0</v>
      </c>
    </row>
    <row r="388" spans="1:18">
      <c r="A388" s="3">
        <v>45916.083343923608</v>
      </c>
      <c r="B388" s="1">
        <v>869601</v>
      </c>
      <c r="C388" s="1">
        <v>193441</v>
      </c>
      <c r="D388" s="1">
        <v>50269.2</v>
      </c>
      <c r="E388" s="1">
        <v>0</v>
      </c>
      <c r="F388" s="1">
        <v>417556</v>
      </c>
      <c r="G388" s="1">
        <v>86582.9</v>
      </c>
      <c r="H388" s="1">
        <v>378803</v>
      </c>
      <c r="I388" s="1">
        <v>736238</v>
      </c>
      <c r="J388" s="1">
        <v>53300.2</v>
      </c>
      <c r="K388" s="1">
        <v>89553.5</v>
      </c>
      <c r="L388" s="1">
        <v>7143.1</v>
      </c>
      <c r="M388" s="1">
        <v>86532.5</v>
      </c>
      <c r="N388" s="1">
        <v>8423.2999999999993</v>
      </c>
      <c r="O388" s="1">
        <v>216.3</v>
      </c>
      <c r="P388" s="1">
        <v>54195</v>
      </c>
      <c r="Q388" s="1">
        <v>84362</v>
      </c>
      <c r="R388" s="1">
        <v>0</v>
      </c>
    </row>
    <row r="389" spans="1:18">
      <c r="A389" s="3">
        <v>45916.125010648146</v>
      </c>
      <c r="B389" s="1">
        <v>870289</v>
      </c>
      <c r="C389" s="1">
        <v>193605</v>
      </c>
      <c r="D389" s="1">
        <v>50283.5</v>
      </c>
      <c r="E389" s="1">
        <v>0</v>
      </c>
      <c r="F389" s="1">
        <v>417576</v>
      </c>
      <c r="G389" s="1">
        <v>86632.1</v>
      </c>
      <c r="H389" s="1">
        <v>378815</v>
      </c>
      <c r="I389" s="1">
        <v>736477</v>
      </c>
      <c r="J389" s="1">
        <v>53307</v>
      </c>
      <c r="K389" s="1">
        <v>89556.3</v>
      </c>
      <c r="L389" s="1">
        <v>7168.1</v>
      </c>
      <c r="M389" s="1">
        <v>86565</v>
      </c>
      <c r="N389" s="1">
        <v>8476.4</v>
      </c>
      <c r="O389" s="1">
        <v>234.3</v>
      </c>
      <c r="P389" s="1">
        <v>54195</v>
      </c>
      <c r="Q389" s="1">
        <v>84362</v>
      </c>
      <c r="R389" s="1">
        <v>0</v>
      </c>
    </row>
    <row r="390" spans="1:18">
      <c r="A390" s="3">
        <v>45916.166677372683</v>
      </c>
      <c r="B390" s="1">
        <v>870975</v>
      </c>
      <c r="C390" s="1">
        <v>193763</v>
      </c>
      <c r="D390" s="1">
        <v>50296.9</v>
      </c>
      <c r="E390" s="1">
        <v>0</v>
      </c>
      <c r="F390" s="1">
        <v>417596</v>
      </c>
      <c r="G390" s="1">
        <v>86680.3</v>
      </c>
      <c r="H390" s="1">
        <v>378826</v>
      </c>
      <c r="I390" s="1">
        <v>736722</v>
      </c>
      <c r="J390" s="1">
        <v>53314</v>
      </c>
      <c r="K390" s="1">
        <v>89559</v>
      </c>
      <c r="L390" s="1">
        <v>7193.1</v>
      </c>
      <c r="M390" s="1">
        <v>86596.9</v>
      </c>
      <c r="N390" s="1">
        <v>8530.1</v>
      </c>
      <c r="O390" s="1">
        <v>252.6</v>
      </c>
      <c r="P390" s="1">
        <v>54195</v>
      </c>
      <c r="Q390" s="1">
        <v>84362</v>
      </c>
      <c r="R390" s="1">
        <v>0</v>
      </c>
    </row>
    <row r="391" spans="1:18">
      <c r="A391" s="3">
        <v>45916.20834409722</v>
      </c>
      <c r="B391" s="1">
        <v>871652</v>
      </c>
      <c r="C391" s="1">
        <v>193924</v>
      </c>
      <c r="D391" s="1">
        <v>50310.400000000001</v>
      </c>
      <c r="E391" s="1">
        <v>0</v>
      </c>
      <c r="F391" s="1">
        <v>417616</v>
      </c>
      <c r="G391" s="1">
        <v>86728.1</v>
      </c>
      <c r="H391" s="1">
        <v>378838</v>
      </c>
      <c r="I391" s="1">
        <v>736957</v>
      </c>
      <c r="J391" s="1">
        <v>53320.6</v>
      </c>
      <c r="K391" s="1">
        <v>89561.600000000006</v>
      </c>
      <c r="L391" s="1">
        <v>7216.6</v>
      </c>
      <c r="M391" s="1">
        <v>86629.3</v>
      </c>
      <c r="N391" s="1">
        <v>8583.5</v>
      </c>
      <c r="O391" s="1">
        <v>272.10000000000002</v>
      </c>
      <c r="P391" s="1">
        <v>54195</v>
      </c>
      <c r="Q391" s="1">
        <v>84362</v>
      </c>
      <c r="R391" s="1">
        <v>0</v>
      </c>
    </row>
    <row r="392" spans="1:18">
      <c r="A392" s="3">
        <v>45916.250010821757</v>
      </c>
      <c r="B392" s="1">
        <v>872336</v>
      </c>
      <c r="C392" s="1">
        <v>194088</v>
      </c>
      <c r="D392" s="1">
        <v>50323.6</v>
      </c>
      <c r="E392" s="1">
        <v>0</v>
      </c>
      <c r="F392" s="1">
        <v>417635</v>
      </c>
      <c r="G392" s="1">
        <v>86775</v>
      </c>
      <c r="H392" s="1">
        <v>378850</v>
      </c>
      <c r="I392" s="1">
        <v>737194</v>
      </c>
      <c r="J392" s="1">
        <v>53327.3</v>
      </c>
      <c r="K392" s="1">
        <v>89564.3</v>
      </c>
      <c r="L392" s="1">
        <v>7240</v>
      </c>
      <c r="M392" s="1">
        <v>86661.8</v>
      </c>
      <c r="N392" s="1">
        <v>8637.6</v>
      </c>
      <c r="O392" s="1">
        <v>293.5</v>
      </c>
      <c r="P392" s="1">
        <v>54195</v>
      </c>
      <c r="Q392" s="1">
        <v>84362</v>
      </c>
      <c r="R392" s="1">
        <v>0</v>
      </c>
    </row>
    <row r="393" spans="1:18">
      <c r="A393" s="3">
        <v>45916.291677546295</v>
      </c>
      <c r="B393" s="1">
        <v>873024</v>
      </c>
      <c r="C393" s="1">
        <v>194258</v>
      </c>
      <c r="D393" s="1">
        <v>50337.2</v>
      </c>
      <c r="E393" s="1">
        <v>0</v>
      </c>
      <c r="F393" s="1">
        <v>417654</v>
      </c>
      <c r="G393" s="1">
        <v>86819.4</v>
      </c>
      <c r="H393" s="1">
        <v>378863</v>
      </c>
      <c r="I393" s="1">
        <v>737435</v>
      </c>
      <c r="J393" s="1">
        <v>53333.9</v>
      </c>
      <c r="K393" s="1">
        <v>89566.7</v>
      </c>
      <c r="L393" s="1">
        <v>7263.6</v>
      </c>
      <c r="M393" s="1">
        <v>86693.6</v>
      </c>
      <c r="N393" s="1">
        <v>8690.9</v>
      </c>
      <c r="O393" s="1">
        <v>312.39999999999998</v>
      </c>
      <c r="P393" s="1">
        <v>54195</v>
      </c>
      <c r="Q393" s="1">
        <v>84363</v>
      </c>
      <c r="R393" s="1">
        <v>0</v>
      </c>
    </row>
    <row r="394" spans="1:18">
      <c r="A394" s="3">
        <v>45916.333344270832</v>
      </c>
      <c r="B394" s="1">
        <v>873736</v>
      </c>
      <c r="C394" s="1">
        <v>194438</v>
      </c>
      <c r="D394" s="1">
        <v>50354.5</v>
      </c>
      <c r="E394" s="1">
        <v>0</v>
      </c>
      <c r="F394" s="1">
        <v>417673</v>
      </c>
      <c r="G394" s="1">
        <v>86861.6</v>
      </c>
      <c r="H394" s="1">
        <v>378875</v>
      </c>
      <c r="I394" s="1">
        <v>737687</v>
      </c>
      <c r="J394" s="1">
        <v>53341.4</v>
      </c>
      <c r="K394" s="1">
        <v>89567.4</v>
      </c>
      <c r="L394" s="1">
        <v>7285.5</v>
      </c>
      <c r="M394" s="1">
        <v>86726</v>
      </c>
      <c r="N394" s="1">
        <v>8740.2999999999993</v>
      </c>
      <c r="O394" s="1">
        <v>336.5</v>
      </c>
      <c r="P394" s="1">
        <v>54197</v>
      </c>
      <c r="Q394" s="1">
        <v>84366</v>
      </c>
      <c r="R394" s="1">
        <v>0</v>
      </c>
    </row>
    <row r="395" spans="1:18">
      <c r="A395" s="3">
        <v>45916.375010995369</v>
      </c>
      <c r="B395" s="1">
        <v>874572</v>
      </c>
      <c r="C395" s="1">
        <v>194653</v>
      </c>
      <c r="D395" s="1">
        <v>50374.3</v>
      </c>
      <c r="E395" s="1">
        <v>0</v>
      </c>
      <c r="F395" s="1">
        <v>417698</v>
      </c>
      <c r="G395" s="1">
        <v>86907.4</v>
      </c>
      <c r="H395" s="1">
        <v>378887</v>
      </c>
      <c r="I395" s="1">
        <v>737976</v>
      </c>
      <c r="J395" s="1">
        <v>53348.9</v>
      </c>
      <c r="K395" s="1">
        <v>89568.2</v>
      </c>
      <c r="L395" s="1">
        <v>7314.9</v>
      </c>
      <c r="M395" s="1">
        <v>86765.2</v>
      </c>
      <c r="N395" s="1">
        <v>8790.2000000000007</v>
      </c>
      <c r="O395" s="1">
        <v>375.6</v>
      </c>
      <c r="P395" s="1">
        <v>54202</v>
      </c>
      <c r="Q395" s="1">
        <v>84374</v>
      </c>
      <c r="R395" s="1">
        <v>0</v>
      </c>
    </row>
    <row r="396" spans="1:18">
      <c r="A396" s="3">
        <v>45916.416677719906</v>
      </c>
      <c r="B396" s="1">
        <v>875618</v>
      </c>
      <c r="C396" s="1">
        <v>194936</v>
      </c>
      <c r="D396" s="1">
        <v>50401.1</v>
      </c>
      <c r="E396" s="1">
        <v>0</v>
      </c>
      <c r="F396" s="1">
        <v>417730</v>
      </c>
      <c r="G396" s="1">
        <v>86963.199999999997</v>
      </c>
      <c r="H396" s="1">
        <v>378899</v>
      </c>
      <c r="I396" s="1">
        <v>738322</v>
      </c>
      <c r="J396" s="1">
        <v>53358.2</v>
      </c>
      <c r="K396" s="1">
        <v>89568.2</v>
      </c>
      <c r="L396" s="1">
        <v>7351.5</v>
      </c>
      <c r="M396" s="1">
        <v>86811.3</v>
      </c>
      <c r="N396" s="1">
        <v>8837.5</v>
      </c>
      <c r="O396" s="1">
        <v>437.3</v>
      </c>
      <c r="P396" s="1">
        <v>54212</v>
      </c>
      <c r="Q396" s="1">
        <v>84389</v>
      </c>
      <c r="R396" s="1">
        <v>0</v>
      </c>
    </row>
    <row r="397" spans="1:18">
      <c r="A397" s="3">
        <v>45916.458344444443</v>
      </c>
      <c r="B397" s="1">
        <v>876844</v>
      </c>
      <c r="C397" s="1">
        <v>195271</v>
      </c>
      <c r="D397" s="1">
        <v>50429.2</v>
      </c>
      <c r="E397" s="1">
        <v>0</v>
      </c>
      <c r="F397" s="1">
        <v>417780</v>
      </c>
      <c r="G397" s="1">
        <v>87043.7</v>
      </c>
      <c r="H397" s="1">
        <v>378910</v>
      </c>
      <c r="I397" s="1">
        <v>738747</v>
      </c>
      <c r="J397" s="1">
        <v>53368</v>
      </c>
      <c r="K397" s="1">
        <v>89568.3</v>
      </c>
      <c r="L397" s="1">
        <v>7385.9</v>
      </c>
      <c r="M397" s="1">
        <v>86856.4</v>
      </c>
      <c r="N397" s="1">
        <v>8886.7999999999993</v>
      </c>
      <c r="O397" s="1">
        <v>512.1</v>
      </c>
      <c r="P397" s="1">
        <v>54225</v>
      </c>
      <c r="Q397" s="1">
        <v>84408</v>
      </c>
      <c r="R397" s="1">
        <v>0</v>
      </c>
    </row>
    <row r="398" spans="1:18">
      <c r="A398" s="3">
        <v>45916.500011168981</v>
      </c>
      <c r="B398" s="1">
        <v>878161</v>
      </c>
      <c r="C398" s="1">
        <v>195641</v>
      </c>
      <c r="D398" s="1">
        <v>50459</v>
      </c>
      <c r="E398" s="1">
        <v>0</v>
      </c>
      <c r="F398" s="1">
        <v>417826</v>
      </c>
      <c r="G398" s="1">
        <v>87132.5</v>
      </c>
      <c r="H398" s="1">
        <v>378923</v>
      </c>
      <c r="I398" s="1">
        <v>739202</v>
      </c>
      <c r="J398" s="1">
        <v>53378.3</v>
      </c>
      <c r="K398" s="1">
        <v>89568.4</v>
      </c>
      <c r="L398" s="1">
        <v>7427.4</v>
      </c>
      <c r="M398" s="1">
        <v>86902.1</v>
      </c>
      <c r="N398" s="1">
        <v>8934</v>
      </c>
      <c r="O398" s="1">
        <v>580.79999999999995</v>
      </c>
      <c r="P398" s="1">
        <v>54239</v>
      </c>
      <c r="Q398" s="1">
        <v>84430</v>
      </c>
      <c r="R398" s="1">
        <v>0</v>
      </c>
    </row>
    <row r="399" spans="1:18">
      <c r="A399" s="3">
        <v>45916.541677893518</v>
      </c>
      <c r="B399" s="1">
        <v>879531</v>
      </c>
      <c r="C399" s="1">
        <v>196020</v>
      </c>
      <c r="D399" s="1">
        <v>50498.1</v>
      </c>
      <c r="E399" s="1">
        <v>0</v>
      </c>
      <c r="F399" s="1">
        <v>417872</v>
      </c>
      <c r="G399" s="1">
        <v>87224.1</v>
      </c>
      <c r="H399" s="1">
        <v>378935</v>
      </c>
      <c r="I399" s="1">
        <v>739672</v>
      </c>
      <c r="J399" s="1">
        <v>53389.4</v>
      </c>
      <c r="K399" s="1">
        <v>89568.4</v>
      </c>
      <c r="L399" s="1">
        <v>7477.1</v>
      </c>
      <c r="M399" s="1">
        <v>86951.2</v>
      </c>
      <c r="N399" s="1">
        <v>8978.2999999999993</v>
      </c>
      <c r="O399" s="1">
        <v>650.6</v>
      </c>
      <c r="P399" s="1">
        <v>54255</v>
      </c>
      <c r="Q399" s="1">
        <v>84454</v>
      </c>
      <c r="R399" s="1">
        <v>0</v>
      </c>
    </row>
    <row r="400" spans="1:18">
      <c r="A400" s="3">
        <v>45916.583344618055</v>
      </c>
      <c r="B400" s="1">
        <v>881022</v>
      </c>
      <c r="C400" s="1">
        <v>196432</v>
      </c>
      <c r="D400" s="1">
        <v>50542.3</v>
      </c>
      <c r="E400" s="1">
        <v>0</v>
      </c>
      <c r="F400" s="1">
        <v>417918</v>
      </c>
      <c r="G400" s="1">
        <v>87342.1</v>
      </c>
      <c r="H400" s="1">
        <v>378950</v>
      </c>
      <c r="I400" s="1">
        <v>740153</v>
      </c>
      <c r="J400" s="1">
        <v>53402.5</v>
      </c>
      <c r="K400" s="1">
        <v>89568.4</v>
      </c>
      <c r="L400" s="1">
        <v>7534.5</v>
      </c>
      <c r="M400" s="1">
        <v>87007.8</v>
      </c>
      <c r="N400" s="1">
        <v>9026.6</v>
      </c>
      <c r="O400" s="1">
        <v>730.2</v>
      </c>
      <c r="P400" s="1">
        <v>54270</v>
      </c>
      <c r="Q400" s="1">
        <v>84477</v>
      </c>
      <c r="R400" s="1">
        <v>0</v>
      </c>
    </row>
    <row r="401" spans="1:18">
      <c r="A401" s="3">
        <v>45916.625011342592</v>
      </c>
      <c r="B401" s="1">
        <v>882499</v>
      </c>
      <c r="C401" s="1">
        <v>196848</v>
      </c>
      <c r="D401" s="1">
        <v>50585.9</v>
      </c>
      <c r="E401" s="1">
        <v>0</v>
      </c>
      <c r="F401" s="1">
        <v>417974</v>
      </c>
      <c r="G401" s="1">
        <v>87472</v>
      </c>
      <c r="H401" s="1">
        <v>378974</v>
      </c>
      <c r="I401" s="1">
        <v>740629</v>
      </c>
      <c r="J401" s="1">
        <v>53417</v>
      </c>
      <c r="K401" s="1">
        <v>89568.4</v>
      </c>
      <c r="L401" s="1">
        <v>7591</v>
      </c>
      <c r="M401" s="1">
        <v>87060.2</v>
      </c>
      <c r="N401" s="1">
        <v>9076.9</v>
      </c>
      <c r="O401" s="1">
        <v>785</v>
      </c>
      <c r="P401" s="1">
        <v>54284</v>
      </c>
      <c r="Q401" s="1">
        <v>84498</v>
      </c>
      <c r="R401" s="1">
        <v>0</v>
      </c>
    </row>
    <row r="402" spans="1:18">
      <c r="A402" s="3">
        <v>45916.666678067129</v>
      </c>
      <c r="B402" s="1">
        <v>883954</v>
      </c>
      <c r="C402" s="1">
        <v>197263</v>
      </c>
      <c r="D402" s="1">
        <v>50629.3</v>
      </c>
      <c r="E402" s="1">
        <v>0</v>
      </c>
      <c r="F402" s="1">
        <v>418025</v>
      </c>
      <c r="G402" s="1">
        <v>87615.2</v>
      </c>
      <c r="H402" s="1">
        <v>378994</v>
      </c>
      <c r="I402" s="1">
        <v>741105</v>
      </c>
      <c r="J402" s="1">
        <v>53431</v>
      </c>
      <c r="K402" s="1">
        <v>89568.7</v>
      </c>
      <c r="L402" s="1">
        <v>7647.5</v>
      </c>
      <c r="M402" s="1">
        <v>87111.9</v>
      </c>
      <c r="N402" s="1">
        <v>9129</v>
      </c>
      <c r="O402" s="1">
        <v>813.6</v>
      </c>
      <c r="P402" s="1">
        <v>54295</v>
      </c>
      <c r="Q402" s="1">
        <v>84515</v>
      </c>
      <c r="R402" s="1">
        <v>0</v>
      </c>
    </row>
    <row r="403" spans="1:18">
      <c r="A403" s="3">
        <v>45916.708344791667</v>
      </c>
      <c r="B403" s="1">
        <v>885357</v>
      </c>
      <c r="C403" s="1">
        <v>197658</v>
      </c>
      <c r="D403" s="1">
        <v>50670.5</v>
      </c>
      <c r="E403" s="1">
        <v>0</v>
      </c>
      <c r="F403" s="1">
        <v>418069</v>
      </c>
      <c r="G403" s="1">
        <v>87744.4</v>
      </c>
      <c r="H403" s="1">
        <v>379017</v>
      </c>
      <c r="I403" s="1">
        <v>741570</v>
      </c>
      <c r="J403" s="1">
        <v>53444.5</v>
      </c>
      <c r="K403" s="1">
        <v>89571.7</v>
      </c>
      <c r="L403" s="1">
        <v>7700.3</v>
      </c>
      <c r="M403" s="1">
        <v>87159.8</v>
      </c>
      <c r="N403" s="1">
        <v>9185</v>
      </c>
      <c r="O403" s="1">
        <v>839</v>
      </c>
      <c r="P403" s="1">
        <v>54302</v>
      </c>
      <c r="Q403" s="1">
        <v>84526</v>
      </c>
      <c r="R403" s="1">
        <v>0</v>
      </c>
    </row>
    <row r="404" spans="1:18">
      <c r="A404" s="3">
        <v>45916.750011516204</v>
      </c>
      <c r="B404" s="1">
        <v>886610</v>
      </c>
      <c r="C404" s="1">
        <v>198007</v>
      </c>
      <c r="D404" s="1">
        <v>50704.1</v>
      </c>
      <c r="E404" s="1">
        <v>0</v>
      </c>
      <c r="F404" s="1">
        <v>418107</v>
      </c>
      <c r="G404" s="1">
        <v>87851.3</v>
      </c>
      <c r="H404" s="1">
        <v>379037</v>
      </c>
      <c r="I404" s="1">
        <v>742002</v>
      </c>
      <c r="J404" s="1">
        <v>53456</v>
      </c>
      <c r="K404" s="1">
        <v>89574.5</v>
      </c>
      <c r="L404" s="1">
        <v>7745.4</v>
      </c>
      <c r="M404" s="1">
        <v>87199.7</v>
      </c>
      <c r="N404" s="1">
        <v>9243.2000000000007</v>
      </c>
      <c r="O404" s="1">
        <v>862.8</v>
      </c>
      <c r="P404" s="1">
        <v>54304</v>
      </c>
      <c r="Q404" s="1">
        <v>84529</v>
      </c>
      <c r="R404" s="1">
        <v>0</v>
      </c>
    </row>
    <row r="405" spans="1:18">
      <c r="A405" s="3">
        <v>45916.791678240741</v>
      </c>
      <c r="B405" s="1">
        <v>887701</v>
      </c>
      <c r="C405" s="1">
        <v>198316</v>
      </c>
      <c r="D405" s="1">
        <v>50730.9</v>
      </c>
      <c r="E405" s="1">
        <v>0</v>
      </c>
      <c r="F405" s="1">
        <v>418138</v>
      </c>
      <c r="G405" s="1">
        <v>87935.8</v>
      </c>
      <c r="H405" s="1">
        <v>379052</v>
      </c>
      <c r="I405" s="1">
        <v>742392</v>
      </c>
      <c r="J405" s="1">
        <v>53465.599999999999</v>
      </c>
      <c r="K405" s="1">
        <v>89577.5</v>
      </c>
      <c r="L405" s="1">
        <v>7780.2</v>
      </c>
      <c r="M405" s="1">
        <v>87235.5</v>
      </c>
      <c r="N405" s="1">
        <v>9299.6</v>
      </c>
      <c r="O405" s="1">
        <v>882.1</v>
      </c>
      <c r="P405" s="1">
        <v>54304</v>
      </c>
      <c r="Q405" s="1">
        <v>84529</v>
      </c>
      <c r="R405" s="1">
        <v>0</v>
      </c>
    </row>
    <row r="406" spans="1:18">
      <c r="A406" s="3">
        <v>45916.833344965278</v>
      </c>
      <c r="B406" s="1">
        <v>888687</v>
      </c>
      <c r="C406" s="1">
        <v>198592</v>
      </c>
      <c r="D406" s="1">
        <v>50754.9</v>
      </c>
      <c r="E406" s="1">
        <v>0</v>
      </c>
      <c r="F406" s="1">
        <v>418164</v>
      </c>
      <c r="G406" s="1">
        <v>88015.6</v>
      </c>
      <c r="H406" s="1">
        <v>379065</v>
      </c>
      <c r="I406" s="1">
        <v>742735</v>
      </c>
      <c r="J406" s="1">
        <v>53474.5</v>
      </c>
      <c r="K406" s="1">
        <v>89580.4</v>
      </c>
      <c r="L406" s="1">
        <v>7810.4</v>
      </c>
      <c r="M406" s="1">
        <v>87272</v>
      </c>
      <c r="N406" s="1">
        <v>9355.4</v>
      </c>
      <c r="O406" s="1">
        <v>906.3</v>
      </c>
      <c r="P406" s="1">
        <v>54304</v>
      </c>
      <c r="Q406" s="1">
        <v>84529</v>
      </c>
      <c r="R406" s="1">
        <v>0</v>
      </c>
    </row>
    <row r="407" spans="1:18">
      <c r="A407" s="3">
        <v>45916.875011689815</v>
      </c>
      <c r="B407" s="1">
        <v>889566</v>
      </c>
      <c r="C407" s="1">
        <v>198830</v>
      </c>
      <c r="D407" s="1">
        <v>50776.800000000003</v>
      </c>
      <c r="E407" s="1">
        <v>0</v>
      </c>
      <c r="F407" s="1">
        <v>418190</v>
      </c>
      <c r="G407" s="1">
        <v>88091.1</v>
      </c>
      <c r="H407" s="1">
        <v>379078</v>
      </c>
      <c r="I407" s="1">
        <v>743028</v>
      </c>
      <c r="J407" s="1">
        <v>53482.400000000001</v>
      </c>
      <c r="K407" s="1">
        <v>89583.4</v>
      </c>
      <c r="L407" s="1">
        <v>7834.7</v>
      </c>
      <c r="M407" s="1">
        <v>87309.2</v>
      </c>
      <c r="N407" s="1">
        <v>9410.7999999999993</v>
      </c>
      <c r="O407" s="1">
        <v>929.4</v>
      </c>
      <c r="P407" s="1">
        <v>54304</v>
      </c>
      <c r="Q407" s="1">
        <v>84529</v>
      </c>
      <c r="R407" s="1">
        <v>0</v>
      </c>
    </row>
    <row r="408" spans="1:18">
      <c r="A408" s="3">
        <v>45916.916678414353</v>
      </c>
      <c r="B408" s="1">
        <v>890397</v>
      </c>
      <c r="C408" s="1">
        <v>199053</v>
      </c>
      <c r="D408" s="1">
        <v>50795.9</v>
      </c>
      <c r="E408" s="1">
        <v>0</v>
      </c>
      <c r="F408" s="1">
        <v>418216</v>
      </c>
      <c r="G408" s="1">
        <v>88160.4</v>
      </c>
      <c r="H408" s="1">
        <v>379090</v>
      </c>
      <c r="I408" s="1">
        <v>743309</v>
      </c>
      <c r="J408" s="1">
        <v>53490.2</v>
      </c>
      <c r="K408" s="1">
        <v>89586.2</v>
      </c>
      <c r="L408" s="1">
        <v>7857.1</v>
      </c>
      <c r="M408" s="1">
        <v>87342.1</v>
      </c>
      <c r="N408" s="1">
        <v>9466.2000000000007</v>
      </c>
      <c r="O408" s="1">
        <v>951.2</v>
      </c>
      <c r="P408" s="1">
        <v>54304</v>
      </c>
      <c r="Q408" s="1">
        <v>84529</v>
      </c>
      <c r="R408" s="1">
        <v>0</v>
      </c>
    </row>
    <row r="409" spans="1:18">
      <c r="A409" s="3">
        <v>45916.95834513889</v>
      </c>
      <c r="B409" s="1">
        <v>891205</v>
      </c>
      <c r="C409" s="1">
        <v>199283</v>
      </c>
      <c r="D409" s="1">
        <v>50814.400000000001</v>
      </c>
      <c r="E409" s="1">
        <v>0</v>
      </c>
      <c r="F409" s="1">
        <v>418240</v>
      </c>
      <c r="G409" s="1">
        <v>88226.6</v>
      </c>
      <c r="H409" s="1">
        <v>379102</v>
      </c>
      <c r="I409" s="1">
        <v>743574</v>
      </c>
      <c r="J409" s="1">
        <v>53497.599999999999</v>
      </c>
      <c r="K409" s="1">
        <v>89589.1</v>
      </c>
      <c r="L409" s="1">
        <v>7879</v>
      </c>
      <c r="M409" s="1">
        <v>87373.9</v>
      </c>
      <c r="N409" s="1">
        <v>9521.2999999999993</v>
      </c>
      <c r="O409" s="1">
        <v>970</v>
      </c>
      <c r="P409" s="1">
        <v>54304</v>
      </c>
      <c r="Q409" s="1">
        <v>84529</v>
      </c>
      <c r="R409" s="1">
        <v>0</v>
      </c>
    </row>
    <row r="410" spans="1:18">
      <c r="A410" s="3">
        <v>45917.000011863427</v>
      </c>
      <c r="B410" s="1">
        <v>891975</v>
      </c>
      <c r="C410" s="1">
        <v>199495</v>
      </c>
      <c r="D410" s="1">
        <v>50829.9</v>
      </c>
      <c r="E410" s="1">
        <v>0</v>
      </c>
      <c r="F410" s="1">
        <v>418263</v>
      </c>
      <c r="G410" s="1">
        <v>88288.6</v>
      </c>
      <c r="H410" s="1">
        <v>379114</v>
      </c>
      <c r="I410" s="1">
        <v>743827</v>
      </c>
      <c r="J410" s="1">
        <v>53505.2</v>
      </c>
      <c r="K410" s="1">
        <v>89591.9</v>
      </c>
      <c r="L410" s="1">
        <v>7900.6</v>
      </c>
      <c r="M410" s="1">
        <v>87406.3</v>
      </c>
      <c r="N410" s="1">
        <v>9576</v>
      </c>
      <c r="O410" s="1">
        <v>988.2</v>
      </c>
      <c r="P410" s="1">
        <v>54304</v>
      </c>
      <c r="Q410" s="1">
        <v>84529</v>
      </c>
      <c r="R410" s="1">
        <v>0</v>
      </c>
    </row>
    <row r="411" spans="1:18">
      <c r="A411" s="3">
        <v>45917.041678587964</v>
      </c>
      <c r="B411" s="1">
        <v>892715</v>
      </c>
      <c r="C411" s="1">
        <v>199685</v>
      </c>
      <c r="D411" s="1">
        <v>50845.4</v>
      </c>
      <c r="E411" s="1">
        <v>0</v>
      </c>
      <c r="F411" s="1">
        <v>418286</v>
      </c>
      <c r="G411" s="1">
        <v>88349.3</v>
      </c>
      <c r="H411" s="1">
        <v>379126</v>
      </c>
      <c r="I411" s="1">
        <v>744074</v>
      </c>
      <c r="J411" s="1">
        <v>53512.3</v>
      </c>
      <c r="K411" s="1">
        <v>89594.8</v>
      </c>
      <c r="L411" s="1">
        <v>7922.1</v>
      </c>
      <c r="M411" s="1">
        <v>87438.9</v>
      </c>
      <c r="N411" s="1">
        <v>9630.7000000000007</v>
      </c>
      <c r="O411" s="1">
        <v>1006.3</v>
      </c>
      <c r="P411" s="1">
        <v>54304</v>
      </c>
      <c r="Q411" s="1">
        <v>84529</v>
      </c>
      <c r="R411" s="1">
        <v>0</v>
      </c>
    </row>
    <row r="412" spans="1:18">
      <c r="A412" s="3">
        <v>45917.083345312501</v>
      </c>
      <c r="B412" s="1">
        <v>893443</v>
      </c>
      <c r="C412" s="1">
        <v>199864</v>
      </c>
      <c r="D412" s="1">
        <v>50859.1</v>
      </c>
      <c r="E412" s="1">
        <v>0</v>
      </c>
      <c r="F412" s="1">
        <v>418308</v>
      </c>
      <c r="G412" s="1">
        <v>88410.6</v>
      </c>
      <c r="H412" s="1">
        <v>379139</v>
      </c>
      <c r="I412" s="1">
        <v>744326</v>
      </c>
      <c r="J412" s="1">
        <v>53519.5</v>
      </c>
      <c r="K412" s="1">
        <v>89597.9</v>
      </c>
      <c r="L412" s="1">
        <v>7943.9</v>
      </c>
      <c r="M412" s="1">
        <v>87470.3</v>
      </c>
      <c r="N412" s="1">
        <v>9685</v>
      </c>
      <c r="O412" s="1">
        <v>1024</v>
      </c>
      <c r="P412" s="1">
        <v>54304</v>
      </c>
      <c r="Q412" s="1">
        <v>84529</v>
      </c>
      <c r="R412" s="1">
        <v>0</v>
      </c>
    </row>
    <row r="413" spans="1:18">
      <c r="A413" s="3">
        <v>45917.125012037039</v>
      </c>
      <c r="B413" s="1">
        <v>894154</v>
      </c>
      <c r="C413" s="1">
        <v>200036</v>
      </c>
      <c r="D413" s="1">
        <v>50873.1</v>
      </c>
      <c r="E413" s="1">
        <v>0</v>
      </c>
      <c r="F413" s="1">
        <v>418330</v>
      </c>
      <c r="G413" s="1">
        <v>88471.2</v>
      </c>
      <c r="H413" s="1">
        <v>379150</v>
      </c>
      <c r="I413" s="1">
        <v>744571</v>
      </c>
      <c r="J413" s="1">
        <v>53526.400000000001</v>
      </c>
      <c r="K413" s="1">
        <v>89601.2</v>
      </c>
      <c r="L413" s="1">
        <v>7964.7</v>
      </c>
      <c r="M413" s="1">
        <v>87501.6</v>
      </c>
      <c r="N413" s="1">
        <v>9739.2999999999993</v>
      </c>
      <c r="O413" s="1">
        <v>1041.4000000000001</v>
      </c>
      <c r="P413" s="1">
        <v>54304</v>
      </c>
      <c r="Q413" s="1">
        <v>84529</v>
      </c>
      <c r="R413" s="1">
        <v>0</v>
      </c>
    </row>
    <row r="414" spans="1:18">
      <c r="A414" s="3">
        <v>45917.166678761576</v>
      </c>
      <c r="B414" s="1">
        <v>894863</v>
      </c>
      <c r="C414" s="1">
        <v>200208</v>
      </c>
      <c r="D414" s="1">
        <v>50887.5</v>
      </c>
      <c r="E414" s="1">
        <v>0</v>
      </c>
      <c r="F414" s="1">
        <v>418351</v>
      </c>
      <c r="G414" s="1">
        <v>88530.5</v>
      </c>
      <c r="H414" s="1">
        <v>379161</v>
      </c>
      <c r="I414" s="1">
        <v>744816</v>
      </c>
      <c r="J414" s="1">
        <v>53533.5</v>
      </c>
      <c r="K414" s="1">
        <v>89604.1</v>
      </c>
      <c r="L414" s="1">
        <v>7985.6</v>
      </c>
      <c r="M414" s="1">
        <v>87533.6</v>
      </c>
      <c r="N414" s="1">
        <v>9794</v>
      </c>
      <c r="O414" s="1">
        <v>1058.7</v>
      </c>
      <c r="P414" s="1">
        <v>54304</v>
      </c>
      <c r="Q414" s="1">
        <v>84529</v>
      </c>
      <c r="R414" s="1">
        <v>0</v>
      </c>
    </row>
    <row r="415" spans="1:18">
      <c r="A415" s="3">
        <v>45917.208345486113</v>
      </c>
      <c r="B415" s="1">
        <v>895578</v>
      </c>
      <c r="C415" s="1">
        <v>200380</v>
      </c>
      <c r="D415" s="1">
        <v>50902.2</v>
      </c>
      <c r="E415" s="1">
        <v>0</v>
      </c>
      <c r="F415" s="1">
        <v>418373</v>
      </c>
      <c r="G415" s="1">
        <v>88588.5</v>
      </c>
      <c r="H415" s="1">
        <v>379172</v>
      </c>
      <c r="I415" s="1">
        <v>745065</v>
      </c>
      <c r="J415" s="1">
        <v>53540.4</v>
      </c>
      <c r="K415" s="1">
        <v>89606.8</v>
      </c>
      <c r="L415" s="1">
        <v>8006.3</v>
      </c>
      <c r="M415" s="1">
        <v>87567.3</v>
      </c>
      <c r="N415" s="1">
        <v>9849.2000000000007</v>
      </c>
      <c r="O415" s="1">
        <v>1076.0999999999999</v>
      </c>
      <c r="P415" s="1">
        <v>54304</v>
      </c>
      <c r="Q415" s="1">
        <v>84529</v>
      </c>
      <c r="R415" s="1">
        <v>0</v>
      </c>
    </row>
    <row r="416" spans="1:18">
      <c r="A416" s="3">
        <v>45917.25001221065</v>
      </c>
      <c r="B416" s="1">
        <v>896285</v>
      </c>
      <c r="C416" s="1">
        <v>200549</v>
      </c>
      <c r="D416" s="1">
        <v>50918</v>
      </c>
      <c r="E416" s="1">
        <v>0</v>
      </c>
      <c r="F416" s="1">
        <v>418393</v>
      </c>
      <c r="G416" s="1">
        <v>88647.1</v>
      </c>
      <c r="H416" s="1">
        <v>379183</v>
      </c>
      <c r="I416" s="1">
        <v>745307</v>
      </c>
      <c r="J416" s="1">
        <v>53547.199999999997</v>
      </c>
      <c r="K416" s="1">
        <v>89609.600000000006</v>
      </c>
      <c r="L416" s="1">
        <v>8026.3</v>
      </c>
      <c r="M416" s="1">
        <v>87601.5</v>
      </c>
      <c r="N416" s="1">
        <v>9904.1</v>
      </c>
      <c r="O416" s="1">
        <v>1096.5</v>
      </c>
      <c r="P416" s="1">
        <v>54304</v>
      </c>
      <c r="Q416" s="1">
        <v>84529</v>
      </c>
      <c r="R416" s="1">
        <v>0</v>
      </c>
    </row>
    <row r="417" spans="1:18">
      <c r="A417" s="3">
        <v>45917.291678935188</v>
      </c>
      <c r="B417" s="1">
        <v>896999</v>
      </c>
      <c r="C417" s="1">
        <v>200725</v>
      </c>
      <c r="D417" s="1">
        <v>50934.1</v>
      </c>
      <c r="E417" s="1">
        <v>0</v>
      </c>
      <c r="F417" s="1">
        <v>418413</v>
      </c>
      <c r="G417" s="1">
        <v>88704.3</v>
      </c>
      <c r="H417" s="1">
        <v>379195</v>
      </c>
      <c r="I417" s="1">
        <v>745550</v>
      </c>
      <c r="J417" s="1">
        <v>53554.1</v>
      </c>
      <c r="K417" s="1">
        <v>89612.2</v>
      </c>
      <c r="L417" s="1">
        <v>8045.5</v>
      </c>
      <c r="M417" s="1">
        <v>87633.5</v>
      </c>
      <c r="N417" s="1">
        <v>9958.4</v>
      </c>
      <c r="O417" s="1">
        <v>1115.7</v>
      </c>
      <c r="P417" s="1">
        <v>54304</v>
      </c>
      <c r="Q417" s="1">
        <v>84529</v>
      </c>
      <c r="R417" s="1">
        <v>0</v>
      </c>
    </row>
    <row r="418" spans="1:18">
      <c r="A418" s="3">
        <v>45917.333345659725</v>
      </c>
      <c r="B418" s="1">
        <v>897745</v>
      </c>
      <c r="C418" s="1">
        <v>200915</v>
      </c>
      <c r="D418" s="1">
        <v>50950.400000000001</v>
      </c>
      <c r="E418" s="1">
        <v>0</v>
      </c>
      <c r="F418" s="1">
        <v>418436</v>
      </c>
      <c r="G418" s="1">
        <v>88759.4</v>
      </c>
      <c r="H418" s="1">
        <v>379206</v>
      </c>
      <c r="I418" s="1">
        <v>745804</v>
      </c>
      <c r="J418" s="1">
        <v>53561.1</v>
      </c>
      <c r="K418" s="1">
        <v>89613.2</v>
      </c>
      <c r="L418" s="1">
        <v>8066.5</v>
      </c>
      <c r="M418" s="1">
        <v>87664.8</v>
      </c>
      <c r="N418" s="1">
        <v>10010</v>
      </c>
      <c r="O418" s="1">
        <v>1142.4000000000001</v>
      </c>
      <c r="P418" s="1">
        <v>54306</v>
      </c>
      <c r="Q418" s="1">
        <v>84532</v>
      </c>
      <c r="R418" s="1">
        <v>0</v>
      </c>
    </row>
    <row r="419" spans="1:18">
      <c r="A419" s="3">
        <v>45917.375012384262</v>
      </c>
      <c r="B419" s="1">
        <v>898619</v>
      </c>
      <c r="C419" s="1">
        <v>201146</v>
      </c>
      <c r="D419" s="1">
        <v>50970.1</v>
      </c>
      <c r="E419" s="1">
        <v>0</v>
      </c>
      <c r="F419" s="1">
        <v>418467</v>
      </c>
      <c r="G419" s="1">
        <v>88814.399999999994</v>
      </c>
      <c r="H419" s="1">
        <v>379220</v>
      </c>
      <c r="I419" s="1">
        <v>746090</v>
      </c>
      <c r="J419" s="1">
        <v>53569.1</v>
      </c>
      <c r="K419" s="1">
        <v>89613.4</v>
      </c>
      <c r="L419" s="1">
        <v>8092.7</v>
      </c>
      <c r="M419" s="1">
        <v>87703.7</v>
      </c>
      <c r="N419" s="1">
        <v>10060</v>
      </c>
      <c r="O419" s="1">
        <v>1181.0999999999999</v>
      </c>
      <c r="P419" s="1">
        <v>54311</v>
      </c>
      <c r="Q419" s="1">
        <v>84541</v>
      </c>
      <c r="R419" s="1">
        <v>0</v>
      </c>
    </row>
    <row r="420" spans="1:18">
      <c r="A420" s="3">
        <v>45917.416679108799</v>
      </c>
      <c r="B420" s="1">
        <v>899725</v>
      </c>
      <c r="C420" s="1">
        <v>201455</v>
      </c>
      <c r="D420" s="1">
        <v>50994.1</v>
      </c>
      <c r="E420" s="1">
        <v>0</v>
      </c>
      <c r="F420" s="1">
        <v>418502</v>
      </c>
      <c r="G420" s="1">
        <v>88880</v>
      </c>
      <c r="H420" s="1">
        <v>379249</v>
      </c>
      <c r="I420" s="1">
        <v>746445</v>
      </c>
      <c r="J420" s="1">
        <v>53577.5</v>
      </c>
      <c r="K420" s="1">
        <v>89614.2</v>
      </c>
      <c r="L420" s="1">
        <v>8123.8</v>
      </c>
      <c r="M420" s="1">
        <v>87745.9</v>
      </c>
      <c r="N420" s="1">
        <v>10108.5</v>
      </c>
      <c r="O420" s="1">
        <v>1240.5</v>
      </c>
      <c r="P420" s="1">
        <v>54320</v>
      </c>
      <c r="Q420" s="1">
        <v>84554</v>
      </c>
      <c r="R420" s="1">
        <v>0</v>
      </c>
    </row>
    <row r="421" spans="1:18">
      <c r="A421" s="3">
        <v>45917.458345833336</v>
      </c>
      <c r="B421" s="1">
        <v>901026</v>
      </c>
      <c r="C421" s="1">
        <v>201808</v>
      </c>
      <c r="D421" s="1">
        <v>51027.9</v>
      </c>
      <c r="E421" s="1">
        <v>0</v>
      </c>
      <c r="F421" s="1">
        <v>418548</v>
      </c>
      <c r="G421" s="1">
        <v>88964.9</v>
      </c>
      <c r="H421" s="1">
        <v>379291</v>
      </c>
      <c r="I421" s="1">
        <v>746877</v>
      </c>
      <c r="J421" s="1">
        <v>53587.6</v>
      </c>
      <c r="K421" s="1">
        <v>89614.7</v>
      </c>
      <c r="L421" s="1">
        <v>8163.3</v>
      </c>
      <c r="M421" s="1">
        <v>87792.8</v>
      </c>
      <c r="N421" s="1">
        <v>10154.6</v>
      </c>
      <c r="O421" s="1">
        <v>1308.5999999999999</v>
      </c>
      <c r="P421" s="1">
        <v>54331</v>
      </c>
      <c r="Q421" s="1">
        <v>84571</v>
      </c>
      <c r="R421" s="1">
        <v>0</v>
      </c>
    </row>
    <row r="422" spans="1:18">
      <c r="A422" s="3">
        <v>45917.500012557874</v>
      </c>
      <c r="B422" s="1">
        <v>902394</v>
      </c>
      <c r="C422" s="1">
        <v>202175</v>
      </c>
      <c r="D422" s="1">
        <v>51062.3</v>
      </c>
      <c r="E422" s="1">
        <v>0</v>
      </c>
      <c r="F422" s="1">
        <v>418598</v>
      </c>
      <c r="G422" s="1">
        <v>89068.1</v>
      </c>
      <c r="H422" s="1">
        <v>379333</v>
      </c>
      <c r="I422" s="1">
        <v>747338</v>
      </c>
      <c r="J422" s="1">
        <v>53598.9</v>
      </c>
      <c r="K422" s="1">
        <v>89615.4</v>
      </c>
      <c r="L422" s="1">
        <v>8207</v>
      </c>
      <c r="M422" s="1">
        <v>87842.5</v>
      </c>
      <c r="N422" s="1">
        <v>10199.4</v>
      </c>
      <c r="O422" s="1">
        <v>1376.7</v>
      </c>
      <c r="P422" s="1">
        <v>54344</v>
      </c>
      <c r="Q422" s="1">
        <v>84591</v>
      </c>
      <c r="R422" s="1">
        <v>0</v>
      </c>
    </row>
    <row r="423" spans="1:18">
      <c r="A423" s="3">
        <v>45917.541679282411</v>
      </c>
      <c r="B423" s="1">
        <v>903799</v>
      </c>
      <c r="C423" s="1">
        <v>202548</v>
      </c>
      <c r="D423" s="1">
        <v>51097.4</v>
      </c>
      <c r="E423" s="1">
        <v>0</v>
      </c>
      <c r="F423" s="1">
        <v>418651</v>
      </c>
      <c r="G423" s="1">
        <v>89185.9</v>
      </c>
      <c r="H423" s="1">
        <v>379368</v>
      </c>
      <c r="I423" s="1">
        <v>747808</v>
      </c>
      <c r="J423" s="1">
        <v>53611.3</v>
      </c>
      <c r="K423" s="1">
        <v>89617.600000000006</v>
      </c>
      <c r="L423" s="1">
        <v>8252.2000000000007</v>
      </c>
      <c r="M423" s="1">
        <v>87891.5</v>
      </c>
      <c r="N423" s="1">
        <v>10248.9</v>
      </c>
      <c r="O423" s="1">
        <v>1442.8</v>
      </c>
      <c r="P423" s="1">
        <v>54354</v>
      </c>
      <c r="Q423" s="1">
        <v>84606</v>
      </c>
      <c r="R423" s="1">
        <v>0</v>
      </c>
    </row>
    <row r="424" spans="1:18">
      <c r="A424" s="3">
        <v>45917.583346006948</v>
      </c>
      <c r="B424" s="1">
        <v>905276</v>
      </c>
      <c r="C424" s="1">
        <v>202938</v>
      </c>
      <c r="D424" s="1">
        <v>51143.199999999997</v>
      </c>
      <c r="E424" s="1">
        <v>0</v>
      </c>
      <c r="F424" s="1">
        <v>418702</v>
      </c>
      <c r="G424" s="1">
        <v>89299.1</v>
      </c>
      <c r="H424" s="1">
        <v>379432</v>
      </c>
      <c r="I424" s="1">
        <v>748282</v>
      </c>
      <c r="J424" s="1">
        <v>53625.1</v>
      </c>
      <c r="K424" s="1">
        <v>89619.1</v>
      </c>
      <c r="L424" s="1">
        <v>8303.7999999999993</v>
      </c>
      <c r="M424" s="1">
        <v>87938.5</v>
      </c>
      <c r="N424" s="1">
        <v>10302.9</v>
      </c>
      <c r="O424" s="1">
        <v>1519.6</v>
      </c>
      <c r="P424" s="1">
        <v>54367</v>
      </c>
      <c r="Q424" s="1">
        <v>84625</v>
      </c>
      <c r="R424" s="1">
        <v>0</v>
      </c>
    </row>
    <row r="425" spans="1:18">
      <c r="A425" s="3">
        <v>45917.625012731478</v>
      </c>
      <c r="B425" s="1">
        <v>906779</v>
      </c>
      <c r="C425" s="1">
        <v>203341</v>
      </c>
      <c r="D425" s="1">
        <v>51193.2</v>
      </c>
      <c r="E425" s="1">
        <v>0</v>
      </c>
      <c r="F425" s="1">
        <v>418759</v>
      </c>
      <c r="G425" s="1">
        <v>89408.6</v>
      </c>
      <c r="H425" s="1">
        <v>379490</v>
      </c>
      <c r="I425" s="1">
        <v>748764</v>
      </c>
      <c r="J425" s="1">
        <v>53639.8</v>
      </c>
      <c r="K425" s="1">
        <v>89620.2</v>
      </c>
      <c r="L425" s="1">
        <v>8359</v>
      </c>
      <c r="M425" s="1">
        <v>87989.6</v>
      </c>
      <c r="N425" s="1">
        <v>10355.6</v>
      </c>
      <c r="O425" s="1">
        <v>1577.6</v>
      </c>
      <c r="P425" s="1">
        <v>54380</v>
      </c>
      <c r="Q425" s="1">
        <v>84645</v>
      </c>
      <c r="R425" s="1">
        <v>0</v>
      </c>
    </row>
    <row r="426" spans="1:18">
      <c r="A426" s="3">
        <v>45917.666679456015</v>
      </c>
      <c r="B426" s="1">
        <v>908233</v>
      </c>
      <c r="C426" s="1">
        <v>203748</v>
      </c>
      <c r="D426" s="1">
        <v>51236.9</v>
      </c>
      <c r="E426" s="1">
        <v>0</v>
      </c>
      <c r="F426" s="1">
        <v>418810</v>
      </c>
      <c r="G426" s="1">
        <v>89536.5</v>
      </c>
      <c r="H426" s="1">
        <v>379529</v>
      </c>
      <c r="I426" s="1">
        <v>749235</v>
      </c>
      <c r="J426" s="1">
        <v>53653.5</v>
      </c>
      <c r="K426" s="1">
        <v>89624.1</v>
      </c>
      <c r="L426" s="1">
        <v>8403.7000000000007</v>
      </c>
      <c r="M426" s="1">
        <v>88042.5</v>
      </c>
      <c r="N426" s="1">
        <v>10409.4</v>
      </c>
      <c r="O426" s="1">
        <v>1609.8</v>
      </c>
      <c r="P426" s="1">
        <v>54387</v>
      </c>
      <c r="Q426" s="1">
        <v>84655</v>
      </c>
      <c r="R426" s="1">
        <v>0</v>
      </c>
    </row>
    <row r="427" spans="1:18">
      <c r="A427" s="3">
        <v>45917.708346180552</v>
      </c>
      <c r="B427" s="1">
        <v>909548</v>
      </c>
      <c r="C427" s="1">
        <v>204102</v>
      </c>
      <c r="D427" s="1">
        <v>51273.4</v>
      </c>
      <c r="E427" s="1">
        <v>0</v>
      </c>
      <c r="F427" s="1">
        <v>418853</v>
      </c>
      <c r="G427" s="1">
        <v>89662.7</v>
      </c>
      <c r="H427" s="1">
        <v>379564</v>
      </c>
      <c r="I427" s="1">
        <v>749668</v>
      </c>
      <c r="J427" s="1">
        <v>53663.7</v>
      </c>
      <c r="K427" s="1">
        <v>89632.8</v>
      </c>
      <c r="L427" s="1">
        <v>8443.5</v>
      </c>
      <c r="M427" s="1">
        <v>88085.8</v>
      </c>
      <c r="N427" s="1">
        <v>10467</v>
      </c>
      <c r="O427" s="1">
        <v>1640.7</v>
      </c>
      <c r="P427" s="1">
        <v>54387</v>
      </c>
      <c r="Q427" s="1">
        <v>84656</v>
      </c>
      <c r="R427" s="1">
        <v>0</v>
      </c>
    </row>
    <row r="428" spans="1:18">
      <c r="A428" s="3">
        <v>45917.75001290509</v>
      </c>
      <c r="B428" s="1">
        <v>910725</v>
      </c>
      <c r="C428" s="1">
        <v>204428</v>
      </c>
      <c r="D428" s="1">
        <v>51303.5</v>
      </c>
      <c r="E428" s="1">
        <v>0</v>
      </c>
      <c r="F428" s="1">
        <v>418885</v>
      </c>
      <c r="G428" s="1">
        <v>89767</v>
      </c>
      <c r="H428" s="1">
        <v>379595</v>
      </c>
      <c r="I428" s="1">
        <v>750066</v>
      </c>
      <c r="J428" s="1">
        <v>53672.800000000003</v>
      </c>
      <c r="K428" s="1">
        <v>89636.9</v>
      </c>
      <c r="L428" s="1">
        <v>8479.5</v>
      </c>
      <c r="M428" s="1">
        <v>88123.4</v>
      </c>
      <c r="N428" s="1">
        <v>10523.7</v>
      </c>
      <c r="O428" s="1">
        <v>1665.1</v>
      </c>
      <c r="P428" s="1">
        <v>54387</v>
      </c>
      <c r="Q428" s="1">
        <v>84656</v>
      </c>
      <c r="R428" s="1">
        <v>0</v>
      </c>
    </row>
    <row r="429" spans="1:18">
      <c r="A429" s="3">
        <v>45917.791679629627</v>
      </c>
      <c r="B429" s="1">
        <v>911739</v>
      </c>
      <c r="C429" s="1">
        <v>204698</v>
      </c>
      <c r="D429" s="1">
        <v>51330.1</v>
      </c>
      <c r="E429" s="1">
        <v>0</v>
      </c>
      <c r="F429" s="1">
        <v>418914</v>
      </c>
      <c r="G429" s="1">
        <v>89857.3</v>
      </c>
      <c r="H429" s="1">
        <v>379608</v>
      </c>
      <c r="I429" s="1">
        <v>750420</v>
      </c>
      <c r="J429" s="1">
        <v>53681.9</v>
      </c>
      <c r="K429" s="1">
        <v>89639.8</v>
      </c>
      <c r="L429" s="1">
        <v>8510.7999999999993</v>
      </c>
      <c r="M429" s="1">
        <v>88159.7</v>
      </c>
      <c r="N429" s="1">
        <v>10579</v>
      </c>
      <c r="O429" s="1">
        <v>1686.7</v>
      </c>
      <c r="P429" s="1">
        <v>54387</v>
      </c>
      <c r="Q429" s="1">
        <v>84656</v>
      </c>
      <c r="R429" s="1">
        <v>0</v>
      </c>
    </row>
    <row r="430" spans="1:18">
      <c r="A430" s="3">
        <v>45917.833346354164</v>
      </c>
      <c r="B430" s="1">
        <v>912660</v>
      </c>
      <c r="C430" s="1">
        <v>204945</v>
      </c>
      <c r="D430" s="1">
        <v>51353.3</v>
      </c>
      <c r="E430" s="1">
        <v>0</v>
      </c>
      <c r="F430" s="1">
        <v>418939</v>
      </c>
      <c r="G430" s="1">
        <v>89941.1</v>
      </c>
      <c r="H430" s="1">
        <v>379621</v>
      </c>
      <c r="I430" s="1">
        <v>750735</v>
      </c>
      <c r="J430" s="1">
        <v>53690.2</v>
      </c>
      <c r="K430" s="1">
        <v>89642.7</v>
      </c>
      <c r="L430" s="1">
        <v>8536.5</v>
      </c>
      <c r="M430" s="1">
        <v>88195.3</v>
      </c>
      <c r="N430" s="1">
        <v>10633.5</v>
      </c>
      <c r="O430" s="1">
        <v>1707.8</v>
      </c>
      <c r="P430" s="1">
        <v>54387</v>
      </c>
      <c r="Q430" s="1">
        <v>84656</v>
      </c>
      <c r="R430" s="1">
        <v>0</v>
      </c>
    </row>
    <row r="431" spans="1:18">
      <c r="A431" s="3">
        <v>45917.875013078701</v>
      </c>
      <c r="B431" s="1">
        <v>913519</v>
      </c>
      <c r="C431" s="1">
        <v>205165</v>
      </c>
      <c r="D431" s="1">
        <v>51372.7</v>
      </c>
      <c r="E431" s="1">
        <v>0</v>
      </c>
      <c r="F431" s="1">
        <v>418963</v>
      </c>
      <c r="G431" s="1">
        <v>90018.7</v>
      </c>
      <c r="H431" s="1">
        <v>379635</v>
      </c>
      <c r="I431" s="1">
        <v>751031</v>
      </c>
      <c r="J431" s="1">
        <v>53697.7</v>
      </c>
      <c r="K431" s="1">
        <v>89645.6</v>
      </c>
      <c r="L431" s="1">
        <v>8560.4</v>
      </c>
      <c r="M431" s="1">
        <v>88230.1</v>
      </c>
      <c r="N431" s="1">
        <v>10688.3</v>
      </c>
      <c r="O431" s="1">
        <v>1730.8</v>
      </c>
      <c r="P431" s="1">
        <v>54387</v>
      </c>
      <c r="Q431" s="1">
        <v>84656</v>
      </c>
      <c r="R431" s="1">
        <v>0</v>
      </c>
    </row>
    <row r="432" spans="1:18">
      <c r="A432" s="3">
        <v>45917.916679803238</v>
      </c>
      <c r="B432" s="1">
        <v>914343</v>
      </c>
      <c r="C432" s="1">
        <v>205378</v>
      </c>
      <c r="D432" s="1">
        <v>51392</v>
      </c>
      <c r="E432" s="1">
        <v>0</v>
      </c>
      <c r="F432" s="1">
        <v>418985</v>
      </c>
      <c r="G432" s="1">
        <v>90088.9</v>
      </c>
      <c r="H432" s="1">
        <v>379647</v>
      </c>
      <c r="I432" s="1">
        <v>751319</v>
      </c>
      <c r="J432" s="1">
        <v>53705.2</v>
      </c>
      <c r="K432" s="1">
        <v>89648.4</v>
      </c>
      <c r="L432" s="1">
        <v>8582.2999999999993</v>
      </c>
      <c r="M432" s="1">
        <v>88264</v>
      </c>
      <c r="N432" s="1">
        <v>10743</v>
      </c>
      <c r="O432" s="1">
        <v>1751.5</v>
      </c>
      <c r="P432" s="1">
        <v>54387</v>
      </c>
      <c r="Q432" s="1">
        <v>84656</v>
      </c>
      <c r="R432" s="1">
        <v>0</v>
      </c>
    </row>
    <row r="433" spans="1:18">
      <c r="A433" s="3">
        <v>45917.958346527776</v>
      </c>
      <c r="B433" s="1">
        <v>915160</v>
      </c>
      <c r="C433" s="1">
        <v>205587</v>
      </c>
      <c r="D433" s="1">
        <v>51410.2</v>
      </c>
      <c r="E433" s="1">
        <v>0</v>
      </c>
      <c r="F433" s="1">
        <v>419007</v>
      </c>
      <c r="G433" s="1">
        <v>90157.4</v>
      </c>
      <c r="H433" s="1">
        <v>379660</v>
      </c>
      <c r="I433" s="1">
        <v>751612</v>
      </c>
      <c r="J433" s="1">
        <v>53712.5</v>
      </c>
      <c r="K433" s="1">
        <v>89651.199999999997</v>
      </c>
      <c r="L433" s="1">
        <v>8604.1</v>
      </c>
      <c r="M433" s="1">
        <v>88298.1</v>
      </c>
      <c r="N433" s="1">
        <v>10796.7</v>
      </c>
      <c r="O433" s="1">
        <v>1770</v>
      </c>
      <c r="P433" s="1">
        <v>54387</v>
      </c>
      <c r="Q433" s="1">
        <v>84656</v>
      </c>
      <c r="R433" s="1">
        <v>0</v>
      </c>
    </row>
    <row r="434" spans="1:18">
      <c r="A434" s="3">
        <v>45918.000013252313</v>
      </c>
      <c r="B434" s="1">
        <v>915948</v>
      </c>
      <c r="C434" s="1">
        <v>205790</v>
      </c>
      <c r="D434" s="1">
        <v>51428.5</v>
      </c>
      <c r="E434" s="1">
        <v>0</v>
      </c>
      <c r="F434" s="1">
        <v>419031</v>
      </c>
      <c r="G434" s="1">
        <v>90224.3</v>
      </c>
      <c r="H434" s="1">
        <v>379672</v>
      </c>
      <c r="I434" s="1">
        <v>751883</v>
      </c>
      <c r="J434" s="1">
        <v>53719.7</v>
      </c>
      <c r="K434" s="1">
        <v>89654.1</v>
      </c>
      <c r="L434" s="1">
        <v>8626.6</v>
      </c>
      <c r="M434" s="1">
        <v>88330.2</v>
      </c>
      <c r="N434" s="1">
        <v>10851</v>
      </c>
      <c r="O434" s="1">
        <v>1788.7</v>
      </c>
      <c r="P434" s="1">
        <v>54387</v>
      </c>
      <c r="Q434" s="1">
        <v>84656</v>
      </c>
      <c r="R434" s="1">
        <v>0</v>
      </c>
    </row>
    <row r="435" spans="1:18">
      <c r="A435" s="3">
        <v>45918.04167997685</v>
      </c>
      <c r="B435" s="1">
        <v>916712</v>
      </c>
      <c r="C435" s="1">
        <v>205990</v>
      </c>
      <c r="D435" s="1">
        <v>51445.8</v>
      </c>
      <c r="E435" s="1">
        <v>0</v>
      </c>
      <c r="F435" s="1">
        <v>419052</v>
      </c>
      <c r="G435" s="1">
        <v>90289.600000000006</v>
      </c>
      <c r="H435" s="1">
        <v>379685</v>
      </c>
      <c r="I435" s="1">
        <v>752143</v>
      </c>
      <c r="J435" s="1">
        <v>53726.8</v>
      </c>
      <c r="K435" s="1">
        <v>89657</v>
      </c>
      <c r="L435" s="1">
        <v>8648.7000000000007</v>
      </c>
      <c r="M435" s="1">
        <v>88362.9</v>
      </c>
      <c r="N435" s="1">
        <v>10904.4</v>
      </c>
      <c r="O435" s="1">
        <v>1805.9</v>
      </c>
      <c r="P435" s="1">
        <v>54387</v>
      </c>
      <c r="Q435" s="1">
        <v>84656</v>
      </c>
      <c r="R435" s="1">
        <v>0</v>
      </c>
    </row>
    <row r="436" spans="1:18">
      <c r="A436" s="3">
        <v>45918.083346701387</v>
      </c>
      <c r="B436" s="1">
        <v>917460</v>
      </c>
      <c r="C436" s="1">
        <v>206183</v>
      </c>
      <c r="D436" s="1">
        <v>51462.7</v>
      </c>
      <c r="E436" s="1">
        <v>0</v>
      </c>
      <c r="F436" s="1">
        <v>419074</v>
      </c>
      <c r="G436" s="1">
        <v>90352.6</v>
      </c>
      <c r="H436" s="1">
        <v>379697</v>
      </c>
      <c r="I436" s="1">
        <v>752397</v>
      </c>
      <c r="J436" s="1">
        <v>53733.8</v>
      </c>
      <c r="K436" s="1">
        <v>89659.9</v>
      </c>
      <c r="L436" s="1">
        <v>8670.6</v>
      </c>
      <c r="M436" s="1">
        <v>88394.4</v>
      </c>
      <c r="N436" s="1">
        <v>10958</v>
      </c>
      <c r="O436" s="1">
        <v>1823.8</v>
      </c>
      <c r="P436" s="1">
        <v>54387</v>
      </c>
      <c r="Q436" s="1">
        <v>84656</v>
      </c>
      <c r="R436" s="1">
        <v>0</v>
      </c>
    </row>
    <row r="437" spans="1:18">
      <c r="A437" s="3">
        <v>45918.125013425924</v>
      </c>
      <c r="B437" s="1">
        <v>918191</v>
      </c>
      <c r="C437" s="1">
        <v>206371</v>
      </c>
      <c r="D437" s="1">
        <v>51478.3</v>
      </c>
      <c r="E437" s="1">
        <v>0</v>
      </c>
      <c r="F437" s="1">
        <v>419099</v>
      </c>
      <c r="G437" s="1">
        <v>90409.9</v>
      </c>
      <c r="H437" s="1">
        <v>379709</v>
      </c>
      <c r="I437" s="1">
        <v>752642</v>
      </c>
      <c r="J437" s="1">
        <v>53740.800000000003</v>
      </c>
      <c r="K437" s="1">
        <v>89662.8</v>
      </c>
      <c r="L437" s="1">
        <v>8691.9</v>
      </c>
      <c r="M437" s="1">
        <v>88426.4</v>
      </c>
      <c r="N437" s="1">
        <v>11011.6</v>
      </c>
      <c r="O437" s="1">
        <v>1842.3</v>
      </c>
      <c r="P437" s="1">
        <v>54387</v>
      </c>
      <c r="Q437" s="1">
        <v>84656</v>
      </c>
      <c r="R437" s="1">
        <v>0</v>
      </c>
    </row>
    <row r="438" spans="1:18">
      <c r="A438" s="3">
        <v>45918.166680150462</v>
      </c>
      <c r="B438" s="1">
        <v>918927</v>
      </c>
      <c r="C438" s="1">
        <v>206563</v>
      </c>
      <c r="D438" s="1">
        <v>51492.9</v>
      </c>
      <c r="E438" s="1">
        <v>0</v>
      </c>
      <c r="F438" s="1">
        <v>419125</v>
      </c>
      <c r="G438" s="1">
        <v>90468.1</v>
      </c>
      <c r="H438" s="1">
        <v>379722</v>
      </c>
      <c r="I438" s="1">
        <v>752882</v>
      </c>
      <c r="J438" s="1">
        <v>53747.8</v>
      </c>
      <c r="K438" s="1">
        <v>89665.7</v>
      </c>
      <c r="L438" s="1">
        <v>8713.7000000000007</v>
      </c>
      <c r="M438" s="1">
        <v>88460.800000000003</v>
      </c>
      <c r="N438" s="1">
        <v>11066</v>
      </c>
      <c r="O438" s="1">
        <v>1860.4</v>
      </c>
      <c r="P438" s="1">
        <v>54387</v>
      </c>
      <c r="Q438" s="1">
        <v>84656</v>
      </c>
      <c r="R438" s="1">
        <v>0</v>
      </c>
    </row>
    <row r="439" spans="1:18">
      <c r="A439" s="3">
        <v>45918.208346874999</v>
      </c>
      <c r="B439" s="1">
        <v>919659</v>
      </c>
      <c r="C439" s="1">
        <v>206752</v>
      </c>
      <c r="D439" s="1">
        <v>51507.199999999997</v>
      </c>
      <c r="E439" s="1">
        <v>0</v>
      </c>
      <c r="F439" s="1">
        <v>419149</v>
      </c>
      <c r="G439" s="1">
        <v>90525.6</v>
      </c>
      <c r="H439" s="1">
        <v>379734</v>
      </c>
      <c r="I439" s="1">
        <v>753126</v>
      </c>
      <c r="J439" s="1">
        <v>53755.1</v>
      </c>
      <c r="K439" s="1">
        <v>89668.7</v>
      </c>
      <c r="L439" s="1">
        <v>8734.6</v>
      </c>
      <c r="M439" s="1">
        <v>88495.5</v>
      </c>
      <c r="N439" s="1">
        <v>11121</v>
      </c>
      <c r="O439" s="1">
        <v>1878.9</v>
      </c>
      <c r="P439" s="1">
        <v>54387</v>
      </c>
      <c r="Q439" s="1">
        <v>84656</v>
      </c>
      <c r="R439" s="1">
        <v>0</v>
      </c>
    </row>
    <row r="440" spans="1:18">
      <c r="A440" s="3">
        <v>45918.250013599536</v>
      </c>
      <c r="B440" s="1">
        <v>920375</v>
      </c>
      <c r="C440" s="1">
        <v>206934</v>
      </c>
      <c r="D440" s="1">
        <v>51521.3</v>
      </c>
      <c r="E440" s="1">
        <v>0</v>
      </c>
      <c r="F440" s="1">
        <v>419173</v>
      </c>
      <c r="G440" s="1">
        <v>90583.1</v>
      </c>
      <c r="H440" s="1">
        <v>379746</v>
      </c>
      <c r="I440" s="1">
        <v>753362</v>
      </c>
      <c r="J440" s="1">
        <v>53762</v>
      </c>
      <c r="K440" s="1">
        <v>89672</v>
      </c>
      <c r="L440" s="1">
        <v>8755.4</v>
      </c>
      <c r="M440" s="1">
        <v>88528.1</v>
      </c>
      <c r="N440" s="1">
        <v>11175</v>
      </c>
      <c r="O440" s="1">
        <v>1899.2</v>
      </c>
      <c r="P440" s="1">
        <v>54387</v>
      </c>
      <c r="Q440" s="1">
        <v>84656</v>
      </c>
      <c r="R440" s="1">
        <v>0</v>
      </c>
    </row>
    <row r="441" spans="1:18">
      <c r="A441" s="3">
        <v>45918.291680324073</v>
      </c>
      <c r="B441" s="1">
        <v>921092</v>
      </c>
      <c r="C441" s="1">
        <v>207121</v>
      </c>
      <c r="D441" s="1">
        <v>51535.3</v>
      </c>
      <c r="E441" s="1">
        <v>0</v>
      </c>
      <c r="F441" s="1">
        <v>419195</v>
      </c>
      <c r="G441" s="1">
        <v>90638.7</v>
      </c>
      <c r="H441" s="1">
        <v>379758</v>
      </c>
      <c r="I441" s="1">
        <v>753600</v>
      </c>
      <c r="J441" s="1">
        <v>53768.5</v>
      </c>
      <c r="K441" s="1">
        <v>89674.7</v>
      </c>
      <c r="L441" s="1">
        <v>8777.6</v>
      </c>
      <c r="M441" s="1">
        <v>88559.1</v>
      </c>
      <c r="N441" s="1">
        <v>11227.7</v>
      </c>
      <c r="O441" s="1">
        <v>1920</v>
      </c>
      <c r="P441" s="1">
        <v>54387</v>
      </c>
      <c r="Q441" s="1">
        <v>84656</v>
      </c>
      <c r="R441" s="1">
        <v>0</v>
      </c>
    </row>
    <row r="442" spans="1:18">
      <c r="A442" s="3">
        <v>45918.33334704861</v>
      </c>
      <c r="B442" s="1">
        <v>921821</v>
      </c>
      <c r="C442" s="1">
        <v>207305</v>
      </c>
      <c r="D442" s="1">
        <v>51549.9</v>
      </c>
      <c r="E442" s="1">
        <v>0</v>
      </c>
      <c r="F442" s="1">
        <v>419217</v>
      </c>
      <c r="G442" s="1">
        <v>90693.3</v>
      </c>
      <c r="H442" s="1">
        <v>379770</v>
      </c>
      <c r="I442" s="1">
        <v>753851</v>
      </c>
      <c r="J442" s="1">
        <v>53774.8</v>
      </c>
      <c r="K442" s="1">
        <v>89677.5</v>
      </c>
      <c r="L442" s="1">
        <v>8798.1</v>
      </c>
      <c r="M442" s="1">
        <v>88590</v>
      </c>
      <c r="N442" s="1">
        <v>11280.3</v>
      </c>
      <c r="O442" s="1">
        <v>1945</v>
      </c>
      <c r="P442" s="1">
        <v>54387</v>
      </c>
      <c r="Q442" s="1">
        <v>84656</v>
      </c>
      <c r="R442" s="1">
        <v>0</v>
      </c>
    </row>
    <row r="443" spans="1:18">
      <c r="A443" s="3">
        <v>45918.375013773148</v>
      </c>
      <c r="B443" s="1">
        <v>922640</v>
      </c>
      <c r="C443" s="1">
        <v>207512</v>
      </c>
      <c r="D443" s="1">
        <v>51565.2</v>
      </c>
      <c r="E443" s="1">
        <v>0</v>
      </c>
      <c r="F443" s="1">
        <v>419243</v>
      </c>
      <c r="G443" s="1">
        <v>90749.4</v>
      </c>
      <c r="H443" s="1">
        <v>379782</v>
      </c>
      <c r="I443" s="1">
        <v>754128</v>
      </c>
      <c r="J443" s="1">
        <v>53781.1</v>
      </c>
      <c r="K443" s="1">
        <v>89683.7</v>
      </c>
      <c r="L443" s="1">
        <v>8822.9</v>
      </c>
      <c r="M443" s="1">
        <v>88625.7</v>
      </c>
      <c r="N443" s="1">
        <v>11333</v>
      </c>
      <c r="O443" s="1">
        <v>1984.3</v>
      </c>
      <c r="P443" s="1">
        <v>54387</v>
      </c>
      <c r="Q443" s="1">
        <v>84656</v>
      </c>
      <c r="R443" s="1">
        <v>0</v>
      </c>
    </row>
    <row r="444" spans="1:18">
      <c r="A444" s="3">
        <v>45918.416680497685</v>
      </c>
      <c r="B444" s="1">
        <v>923609</v>
      </c>
      <c r="C444" s="1">
        <v>207778</v>
      </c>
      <c r="D444" s="1">
        <v>51585.9</v>
      </c>
      <c r="E444" s="1">
        <v>0</v>
      </c>
      <c r="F444" s="1">
        <v>419271</v>
      </c>
      <c r="G444" s="1">
        <v>90808.4</v>
      </c>
      <c r="H444" s="1">
        <v>379794</v>
      </c>
      <c r="I444" s="1">
        <v>754447</v>
      </c>
      <c r="J444" s="1">
        <v>53788.2</v>
      </c>
      <c r="K444" s="1">
        <v>89690</v>
      </c>
      <c r="L444" s="1">
        <v>8855.4</v>
      </c>
      <c r="M444" s="1">
        <v>88660.9</v>
      </c>
      <c r="N444" s="1">
        <v>11387.2</v>
      </c>
      <c r="O444" s="1">
        <v>2036.1</v>
      </c>
      <c r="P444" s="1">
        <v>54389</v>
      </c>
      <c r="Q444" s="1">
        <v>84659</v>
      </c>
      <c r="R444" s="1">
        <v>0</v>
      </c>
    </row>
    <row r="445" spans="1:18">
      <c r="A445" s="3">
        <v>45918.458347222222</v>
      </c>
      <c r="B445" s="1">
        <v>924727</v>
      </c>
      <c r="C445" s="1">
        <v>208088</v>
      </c>
      <c r="D445" s="1">
        <v>51609.9</v>
      </c>
      <c r="E445" s="1">
        <v>0</v>
      </c>
      <c r="F445" s="1">
        <v>419313</v>
      </c>
      <c r="G445" s="1">
        <v>90884.9</v>
      </c>
      <c r="H445" s="1">
        <v>379807</v>
      </c>
      <c r="I445" s="1">
        <v>754813</v>
      </c>
      <c r="J445" s="1">
        <v>53795.9</v>
      </c>
      <c r="K445" s="1">
        <v>89695.8</v>
      </c>
      <c r="L445" s="1">
        <v>8889</v>
      </c>
      <c r="M445" s="1">
        <v>88701.5</v>
      </c>
      <c r="N445" s="1">
        <v>11440.4</v>
      </c>
      <c r="O445" s="1">
        <v>2100.5</v>
      </c>
      <c r="P445" s="1">
        <v>54391</v>
      </c>
      <c r="Q445" s="1">
        <v>84663</v>
      </c>
      <c r="R445" s="1">
        <v>0</v>
      </c>
    </row>
    <row r="446" spans="1:18">
      <c r="A446" s="3">
        <v>45918.500013946759</v>
      </c>
      <c r="B446" s="1">
        <v>925912</v>
      </c>
      <c r="C446" s="1">
        <v>208401</v>
      </c>
      <c r="D446" s="1">
        <v>51635.8</v>
      </c>
      <c r="E446" s="1">
        <v>0</v>
      </c>
      <c r="F446" s="1">
        <v>419365</v>
      </c>
      <c r="G446" s="1">
        <v>90961.4</v>
      </c>
      <c r="H446" s="1">
        <v>379819</v>
      </c>
      <c r="I446" s="1">
        <v>755228</v>
      </c>
      <c r="J446" s="1">
        <v>53804.1</v>
      </c>
      <c r="K446" s="1">
        <v>89698.4</v>
      </c>
      <c r="L446" s="1">
        <v>8925.2000000000007</v>
      </c>
      <c r="M446" s="1">
        <v>88742.399999999994</v>
      </c>
      <c r="N446" s="1">
        <v>11490.1</v>
      </c>
      <c r="O446" s="1">
        <v>2169</v>
      </c>
      <c r="P446" s="1">
        <v>54396</v>
      </c>
      <c r="Q446" s="1">
        <v>84671</v>
      </c>
      <c r="R446" s="1">
        <v>0</v>
      </c>
    </row>
    <row r="447" spans="1:18">
      <c r="A447" s="3">
        <v>45918.541680671296</v>
      </c>
      <c r="B447" s="1">
        <v>927129</v>
      </c>
      <c r="C447" s="1">
        <v>208715</v>
      </c>
      <c r="D447" s="1">
        <v>51665.599999999999</v>
      </c>
      <c r="E447" s="1">
        <v>0</v>
      </c>
      <c r="F447" s="1">
        <v>419420</v>
      </c>
      <c r="G447" s="1">
        <v>91049.9</v>
      </c>
      <c r="H447" s="1">
        <v>379832</v>
      </c>
      <c r="I447" s="1">
        <v>755646</v>
      </c>
      <c r="J447" s="1">
        <v>53814.1</v>
      </c>
      <c r="K447" s="1">
        <v>89702.2</v>
      </c>
      <c r="L447" s="1">
        <v>8970.6</v>
      </c>
      <c r="M447" s="1">
        <v>88782.5</v>
      </c>
      <c r="N447" s="1">
        <v>11542.3</v>
      </c>
      <c r="O447" s="1">
        <v>2234.8000000000002</v>
      </c>
      <c r="P447" s="1">
        <v>54401</v>
      </c>
      <c r="Q447" s="1">
        <v>84678</v>
      </c>
      <c r="R447" s="1">
        <v>0</v>
      </c>
    </row>
    <row r="448" spans="1:18">
      <c r="A448" s="3">
        <v>45918.583347395834</v>
      </c>
      <c r="B448" s="1">
        <v>928387</v>
      </c>
      <c r="C448" s="1">
        <v>209039</v>
      </c>
      <c r="D448" s="1">
        <v>51698</v>
      </c>
      <c r="E448" s="1">
        <v>0</v>
      </c>
      <c r="F448" s="1">
        <v>419472</v>
      </c>
      <c r="G448" s="1">
        <v>91140.3</v>
      </c>
      <c r="H448" s="1">
        <v>379858</v>
      </c>
      <c r="I448" s="1">
        <v>756071</v>
      </c>
      <c r="J448" s="1">
        <v>53824.7</v>
      </c>
      <c r="K448" s="1">
        <v>89705.4</v>
      </c>
      <c r="L448" s="1">
        <v>9015.7000000000007</v>
      </c>
      <c r="M448" s="1">
        <v>88823.2</v>
      </c>
      <c r="N448" s="1">
        <v>11590.4</v>
      </c>
      <c r="O448" s="1">
        <v>2310.3000000000002</v>
      </c>
      <c r="P448" s="1">
        <v>54407</v>
      </c>
      <c r="Q448" s="1">
        <v>84688</v>
      </c>
      <c r="R448" s="1">
        <v>0</v>
      </c>
    </row>
    <row r="449" spans="1:18">
      <c r="A449" s="3">
        <v>45918.625014120371</v>
      </c>
      <c r="B449" s="1">
        <v>929646</v>
      </c>
      <c r="C449" s="1">
        <v>209381</v>
      </c>
      <c r="D449" s="1">
        <v>51728.5</v>
      </c>
      <c r="E449" s="1">
        <v>0</v>
      </c>
      <c r="F449" s="1">
        <v>419516</v>
      </c>
      <c r="G449" s="1">
        <v>91237.3</v>
      </c>
      <c r="H449" s="1">
        <v>379876</v>
      </c>
      <c r="I449" s="1">
        <v>756507</v>
      </c>
      <c r="J449" s="1">
        <v>53835.3</v>
      </c>
      <c r="K449" s="1">
        <v>89710.8</v>
      </c>
      <c r="L449" s="1">
        <v>9059.5</v>
      </c>
      <c r="M449" s="1">
        <v>88862.8</v>
      </c>
      <c r="N449" s="1">
        <v>11641.5</v>
      </c>
      <c r="O449" s="1">
        <v>2362.8000000000002</v>
      </c>
      <c r="P449" s="1">
        <v>54412</v>
      </c>
      <c r="Q449" s="1">
        <v>84695</v>
      </c>
      <c r="R449" s="1">
        <v>0</v>
      </c>
    </row>
    <row r="450" spans="1:18">
      <c r="A450" s="3">
        <v>45918.666680844908</v>
      </c>
      <c r="B450" s="1">
        <v>930840</v>
      </c>
      <c r="C450" s="1">
        <v>209699</v>
      </c>
      <c r="D450" s="1">
        <v>51756.7</v>
      </c>
      <c r="E450" s="1">
        <v>0</v>
      </c>
      <c r="F450" s="1">
        <v>419558</v>
      </c>
      <c r="G450" s="1">
        <v>91343.3</v>
      </c>
      <c r="H450" s="1">
        <v>379888</v>
      </c>
      <c r="I450" s="1">
        <v>756920</v>
      </c>
      <c r="J450" s="1">
        <v>53847.6</v>
      </c>
      <c r="K450" s="1">
        <v>89719.5</v>
      </c>
      <c r="L450" s="1">
        <v>9103.9</v>
      </c>
      <c r="M450" s="1">
        <v>88900.4</v>
      </c>
      <c r="N450" s="1">
        <v>11697.3</v>
      </c>
      <c r="O450" s="1">
        <v>2390.9</v>
      </c>
      <c r="P450" s="1">
        <v>54413</v>
      </c>
      <c r="Q450" s="1">
        <v>84696</v>
      </c>
      <c r="R450" s="1">
        <v>0</v>
      </c>
    </row>
    <row r="451" spans="1:18">
      <c r="A451" s="3">
        <v>45918.708347569445</v>
      </c>
      <c r="B451" s="1">
        <v>931956</v>
      </c>
      <c r="C451" s="1">
        <v>210006</v>
      </c>
      <c r="D451" s="1">
        <v>51782.8</v>
      </c>
      <c r="E451" s="1">
        <v>0</v>
      </c>
      <c r="F451" s="1">
        <v>419594</v>
      </c>
      <c r="G451" s="1">
        <v>91439.7</v>
      </c>
      <c r="H451" s="1">
        <v>379900</v>
      </c>
      <c r="I451" s="1">
        <v>757312</v>
      </c>
      <c r="J451" s="1">
        <v>53855.6</v>
      </c>
      <c r="K451" s="1">
        <v>89727.8</v>
      </c>
      <c r="L451" s="1">
        <v>9140.6</v>
      </c>
      <c r="M451" s="1">
        <v>88935.9</v>
      </c>
      <c r="N451" s="1">
        <v>11751.9</v>
      </c>
      <c r="O451" s="1">
        <v>2417.4</v>
      </c>
      <c r="P451" s="1">
        <v>54413</v>
      </c>
      <c r="Q451" s="1">
        <v>84697</v>
      </c>
      <c r="R451" s="1">
        <v>0</v>
      </c>
    </row>
    <row r="452" spans="1:18">
      <c r="A452" s="3">
        <v>45918.750014293983</v>
      </c>
      <c r="B452" s="1">
        <v>932943</v>
      </c>
      <c r="C452" s="1">
        <v>210283</v>
      </c>
      <c r="D452" s="1">
        <v>51807.9</v>
      </c>
      <c r="E452" s="1">
        <v>0</v>
      </c>
      <c r="F452" s="1">
        <v>419623</v>
      </c>
      <c r="G452" s="1">
        <v>91516.3</v>
      </c>
      <c r="H452" s="1">
        <v>379911</v>
      </c>
      <c r="I452" s="1">
        <v>757651</v>
      </c>
      <c r="J452" s="1">
        <v>53862.1</v>
      </c>
      <c r="K452" s="1">
        <v>89731.1</v>
      </c>
      <c r="L452" s="1">
        <v>9175.2999999999993</v>
      </c>
      <c r="M452" s="1">
        <v>88969</v>
      </c>
      <c r="N452" s="1">
        <v>11807.3</v>
      </c>
      <c r="O452" s="1">
        <v>2440.4</v>
      </c>
      <c r="P452" s="1">
        <v>54413</v>
      </c>
      <c r="Q452" s="1">
        <v>84697</v>
      </c>
      <c r="R452" s="1">
        <v>0</v>
      </c>
    </row>
    <row r="453" spans="1:18">
      <c r="A453" s="3">
        <v>45918.79168101852</v>
      </c>
      <c r="B453" s="1">
        <v>933799</v>
      </c>
      <c r="C453" s="1">
        <v>210511</v>
      </c>
      <c r="D453" s="1">
        <v>51830.8</v>
      </c>
      <c r="E453" s="1">
        <v>0</v>
      </c>
      <c r="F453" s="1">
        <v>419649</v>
      </c>
      <c r="G453" s="1">
        <v>91580.9</v>
      </c>
      <c r="H453" s="1">
        <v>379924</v>
      </c>
      <c r="I453" s="1">
        <v>757936</v>
      </c>
      <c r="J453" s="1">
        <v>53868.5</v>
      </c>
      <c r="K453" s="1">
        <v>89733.6</v>
      </c>
      <c r="L453" s="1">
        <v>9205.2999999999993</v>
      </c>
      <c r="M453" s="1">
        <v>89002.6</v>
      </c>
      <c r="N453" s="1">
        <v>11861.4</v>
      </c>
      <c r="O453" s="1">
        <v>2461.6999999999998</v>
      </c>
      <c r="P453" s="1">
        <v>54413</v>
      </c>
      <c r="Q453" s="1">
        <v>84697</v>
      </c>
      <c r="R453" s="1">
        <v>0</v>
      </c>
    </row>
    <row r="454" spans="1:18">
      <c r="A454" s="3">
        <v>45918.833347743057</v>
      </c>
      <c r="B454" s="1">
        <v>934583</v>
      </c>
      <c r="C454" s="1">
        <v>210713</v>
      </c>
      <c r="D454" s="1">
        <v>51851.199999999997</v>
      </c>
      <c r="E454" s="1">
        <v>0</v>
      </c>
      <c r="F454" s="1">
        <v>419673</v>
      </c>
      <c r="G454" s="1">
        <v>91642.4</v>
      </c>
      <c r="H454" s="1">
        <v>379935</v>
      </c>
      <c r="I454" s="1">
        <v>758198</v>
      </c>
      <c r="J454" s="1">
        <v>53874.6</v>
      </c>
      <c r="K454" s="1">
        <v>89736.3</v>
      </c>
      <c r="L454" s="1">
        <v>9235.2999999999993</v>
      </c>
      <c r="M454" s="1">
        <v>89035.3</v>
      </c>
      <c r="N454" s="1">
        <v>11914</v>
      </c>
      <c r="O454" s="1">
        <v>2483</v>
      </c>
      <c r="P454" s="1">
        <v>54413</v>
      </c>
      <c r="Q454" s="1">
        <v>84697</v>
      </c>
      <c r="R454" s="1">
        <v>0</v>
      </c>
    </row>
    <row r="455" spans="1:18">
      <c r="A455" s="3">
        <v>45918.875014467594</v>
      </c>
      <c r="B455" s="1">
        <v>935325</v>
      </c>
      <c r="C455" s="1">
        <v>210899</v>
      </c>
      <c r="D455" s="1">
        <v>51871.4</v>
      </c>
      <c r="E455" s="1">
        <v>0</v>
      </c>
      <c r="F455" s="1">
        <v>419694</v>
      </c>
      <c r="G455" s="1">
        <v>91700.4</v>
      </c>
      <c r="H455" s="1">
        <v>379947</v>
      </c>
      <c r="I455" s="1">
        <v>758442</v>
      </c>
      <c r="J455" s="1">
        <v>53880.6</v>
      </c>
      <c r="K455" s="1">
        <v>89739</v>
      </c>
      <c r="L455" s="1">
        <v>9263.2999999999993</v>
      </c>
      <c r="M455" s="1">
        <v>89068.5</v>
      </c>
      <c r="N455" s="1">
        <v>11968.2</v>
      </c>
      <c r="O455" s="1">
        <v>2504.9</v>
      </c>
      <c r="P455" s="1">
        <v>54413</v>
      </c>
      <c r="Q455" s="1">
        <v>84697</v>
      </c>
      <c r="R455" s="1">
        <v>0</v>
      </c>
    </row>
    <row r="456" spans="1:18">
      <c r="A456" s="3">
        <v>45918.916681192131</v>
      </c>
      <c r="B456" s="1">
        <v>936029</v>
      </c>
      <c r="C456" s="1">
        <v>211073</v>
      </c>
      <c r="D456" s="1">
        <v>51891</v>
      </c>
      <c r="E456" s="1">
        <v>0</v>
      </c>
      <c r="F456" s="1">
        <v>419715</v>
      </c>
      <c r="G456" s="1">
        <v>91757</v>
      </c>
      <c r="H456" s="1">
        <v>379959</v>
      </c>
      <c r="I456" s="1">
        <v>758671</v>
      </c>
      <c r="J456" s="1">
        <v>53886.6</v>
      </c>
      <c r="K456" s="1">
        <v>89741.6</v>
      </c>
      <c r="L456" s="1">
        <v>9287.4</v>
      </c>
      <c r="M456" s="1">
        <v>89101.2</v>
      </c>
      <c r="N456" s="1">
        <v>12020.4</v>
      </c>
      <c r="O456" s="1">
        <v>2526.6</v>
      </c>
      <c r="P456" s="1">
        <v>54413</v>
      </c>
      <c r="Q456" s="1">
        <v>84697</v>
      </c>
      <c r="R456" s="1">
        <v>0</v>
      </c>
    </row>
    <row r="457" spans="1:18">
      <c r="A457" s="3">
        <v>45918.958347916669</v>
      </c>
      <c r="B457" s="1">
        <v>936708</v>
      </c>
      <c r="C457" s="1">
        <v>211245</v>
      </c>
      <c r="D457" s="1">
        <v>51911</v>
      </c>
      <c r="E457" s="1">
        <v>0</v>
      </c>
      <c r="F457" s="1">
        <v>419734</v>
      </c>
      <c r="G457" s="1">
        <v>91810.5</v>
      </c>
      <c r="H457" s="1">
        <v>379970</v>
      </c>
      <c r="I457" s="1">
        <v>758888</v>
      </c>
      <c r="J457" s="1">
        <v>53892.6</v>
      </c>
      <c r="K457" s="1">
        <v>89744.2</v>
      </c>
      <c r="L457" s="1">
        <v>9307.2999999999993</v>
      </c>
      <c r="M457" s="1">
        <v>89133.8</v>
      </c>
      <c r="N457" s="1">
        <v>12073.7</v>
      </c>
      <c r="O457" s="1">
        <v>2545.1</v>
      </c>
      <c r="P457" s="1">
        <v>54413</v>
      </c>
      <c r="Q457" s="1">
        <v>84697</v>
      </c>
      <c r="R457" s="1">
        <v>0</v>
      </c>
    </row>
    <row r="458" spans="1:18">
      <c r="A458" s="3">
        <v>45919.000014641206</v>
      </c>
      <c r="B458" s="1">
        <v>937375</v>
      </c>
      <c r="C458" s="1">
        <v>211413</v>
      </c>
      <c r="D458" s="1">
        <v>51927.9</v>
      </c>
      <c r="E458" s="1">
        <v>0</v>
      </c>
      <c r="F458" s="1">
        <v>419753</v>
      </c>
      <c r="G458" s="1">
        <v>91863</v>
      </c>
      <c r="H458" s="1">
        <v>379981</v>
      </c>
      <c r="I458" s="1">
        <v>759103</v>
      </c>
      <c r="J458" s="1">
        <v>53898.400000000001</v>
      </c>
      <c r="K458" s="1">
        <v>89746.8</v>
      </c>
      <c r="L458" s="1">
        <v>9327.9</v>
      </c>
      <c r="M458" s="1">
        <v>89167</v>
      </c>
      <c r="N458" s="1">
        <v>12125.3</v>
      </c>
      <c r="O458" s="1">
        <v>2563.1</v>
      </c>
      <c r="P458" s="1">
        <v>54413</v>
      </c>
      <c r="Q458" s="1">
        <v>84697</v>
      </c>
      <c r="R458" s="1">
        <v>0</v>
      </c>
    </row>
    <row r="459" spans="1:18">
      <c r="A459" s="3">
        <v>45919.041681365743</v>
      </c>
      <c r="B459" s="1">
        <v>938027</v>
      </c>
      <c r="C459" s="1">
        <v>211579</v>
      </c>
      <c r="D459" s="1">
        <v>51945.3</v>
      </c>
      <c r="E459" s="1">
        <v>0</v>
      </c>
      <c r="F459" s="1">
        <v>419773</v>
      </c>
      <c r="G459" s="1">
        <v>91915.1</v>
      </c>
      <c r="H459" s="1">
        <v>379992</v>
      </c>
      <c r="I459" s="1">
        <v>759307</v>
      </c>
      <c r="J459" s="1">
        <v>53904.3</v>
      </c>
      <c r="K459" s="1">
        <v>89749.4</v>
      </c>
      <c r="L459" s="1">
        <v>9348.9</v>
      </c>
      <c r="M459" s="1">
        <v>89199.8</v>
      </c>
      <c r="N459" s="1">
        <v>12177.2</v>
      </c>
      <c r="O459" s="1">
        <v>2580.5</v>
      </c>
      <c r="P459" s="1">
        <v>54413</v>
      </c>
      <c r="Q459" s="1">
        <v>84697</v>
      </c>
      <c r="R459" s="1">
        <v>0</v>
      </c>
    </row>
    <row r="460" spans="1:18">
      <c r="A460" s="3">
        <v>45919.08334809028</v>
      </c>
      <c r="B460" s="1">
        <v>938660</v>
      </c>
      <c r="C460" s="1">
        <v>211738</v>
      </c>
      <c r="D460" s="1">
        <v>51962.3</v>
      </c>
      <c r="E460" s="1">
        <v>0</v>
      </c>
      <c r="F460" s="1">
        <v>419790</v>
      </c>
      <c r="G460" s="1">
        <v>91967.3</v>
      </c>
      <c r="H460" s="1">
        <v>380003</v>
      </c>
      <c r="I460" s="1">
        <v>759502</v>
      </c>
      <c r="J460" s="1">
        <v>53909.9</v>
      </c>
      <c r="K460" s="1">
        <v>89752.1</v>
      </c>
      <c r="L460" s="1">
        <v>9369.1</v>
      </c>
      <c r="M460" s="1">
        <v>89232.7</v>
      </c>
      <c r="N460" s="1">
        <v>12228.9</v>
      </c>
      <c r="O460" s="1">
        <v>2598.1999999999998</v>
      </c>
      <c r="P460" s="1">
        <v>54413</v>
      </c>
      <c r="Q460" s="1">
        <v>84697</v>
      </c>
      <c r="R460" s="1">
        <v>0</v>
      </c>
    </row>
    <row r="461" spans="1:18">
      <c r="A461" s="3">
        <v>45919.125014814817</v>
      </c>
      <c r="B461" s="1">
        <v>939280</v>
      </c>
      <c r="C461" s="1">
        <v>211898</v>
      </c>
      <c r="D461" s="1">
        <v>51976.6</v>
      </c>
      <c r="E461" s="1">
        <v>0</v>
      </c>
      <c r="F461" s="1">
        <v>419807</v>
      </c>
      <c r="G461" s="1">
        <v>92018.7</v>
      </c>
      <c r="H461" s="1">
        <v>380015</v>
      </c>
      <c r="I461" s="1">
        <v>759690</v>
      </c>
      <c r="J461" s="1">
        <v>53915.6</v>
      </c>
      <c r="K461" s="1">
        <v>89754.7</v>
      </c>
      <c r="L461" s="1">
        <v>9388</v>
      </c>
      <c r="M461" s="1">
        <v>89263.5</v>
      </c>
      <c r="N461" s="1">
        <v>12280.3</v>
      </c>
      <c r="O461" s="1">
        <v>2616.6</v>
      </c>
      <c r="P461" s="1">
        <v>54413</v>
      </c>
      <c r="Q461" s="1">
        <v>84697</v>
      </c>
      <c r="R461" s="1">
        <v>0</v>
      </c>
    </row>
    <row r="462" spans="1:18">
      <c r="A462" s="3">
        <v>45919.166681539355</v>
      </c>
      <c r="B462" s="1">
        <v>939875</v>
      </c>
      <c r="C462" s="1">
        <v>212046</v>
      </c>
      <c r="D462" s="1">
        <v>51990.7</v>
      </c>
      <c r="E462" s="1">
        <v>0</v>
      </c>
      <c r="F462" s="1">
        <v>419824</v>
      </c>
      <c r="G462" s="1">
        <v>92069.4</v>
      </c>
      <c r="H462" s="1">
        <v>380025</v>
      </c>
      <c r="I462" s="1">
        <v>759870</v>
      </c>
      <c r="J462" s="1">
        <v>53921.1</v>
      </c>
      <c r="K462" s="1">
        <v>89757.3</v>
      </c>
      <c r="L462" s="1">
        <v>9407.2999999999993</v>
      </c>
      <c r="M462" s="1">
        <v>89293.4</v>
      </c>
      <c r="N462" s="1">
        <v>12332.9</v>
      </c>
      <c r="O462" s="1">
        <v>2634.1</v>
      </c>
      <c r="P462" s="1">
        <v>54413</v>
      </c>
      <c r="Q462" s="1">
        <v>84697</v>
      </c>
      <c r="R462" s="1">
        <v>0</v>
      </c>
    </row>
    <row r="463" spans="1:18">
      <c r="A463" s="3">
        <v>45919.208348263892</v>
      </c>
      <c r="B463" s="1">
        <v>940473</v>
      </c>
      <c r="C463" s="1">
        <v>212189</v>
      </c>
      <c r="D463" s="1">
        <v>52004.800000000003</v>
      </c>
      <c r="E463" s="1">
        <v>0</v>
      </c>
      <c r="F463" s="1">
        <v>419840</v>
      </c>
      <c r="G463" s="1">
        <v>92117.8</v>
      </c>
      <c r="H463" s="1">
        <v>380035</v>
      </c>
      <c r="I463" s="1">
        <v>760059</v>
      </c>
      <c r="J463" s="1">
        <v>53926.6</v>
      </c>
      <c r="K463" s="1">
        <v>89759.9</v>
      </c>
      <c r="L463" s="1">
        <v>9426.4</v>
      </c>
      <c r="M463" s="1">
        <v>89323.7</v>
      </c>
      <c r="N463" s="1">
        <v>12385.5</v>
      </c>
      <c r="O463" s="1">
        <v>2651.9</v>
      </c>
      <c r="P463" s="1">
        <v>54413</v>
      </c>
      <c r="Q463" s="1">
        <v>84697</v>
      </c>
      <c r="R463" s="1">
        <v>0</v>
      </c>
    </row>
    <row r="464" spans="1:18">
      <c r="A464" s="3">
        <v>45919.250014988429</v>
      </c>
      <c r="B464" s="1">
        <v>941059</v>
      </c>
      <c r="C464" s="1">
        <v>212329</v>
      </c>
      <c r="D464" s="1">
        <v>52018.6</v>
      </c>
      <c r="E464" s="1">
        <v>0</v>
      </c>
      <c r="F464" s="1">
        <v>419857</v>
      </c>
      <c r="G464" s="1">
        <v>92165.7</v>
      </c>
      <c r="H464" s="1">
        <v>380047</v>
      </c>
      <c r="I464" s="1">
        <v>760238</v>
      </c>
      <c r="J464" s="1">
        <v>53932</v>
      </c>
      <c r="K464" s="1">
        <v>89762.6</v>
      </c>
      <c r="L464" s="1">
        <v>9445.6</v>
      </c>
      <c r="M464" s="1">
        <v>89353.3</v>
      </c>
      <c r="N464" s="1">
        <v>12437.2</v>
      </c>
      <c r="O464" s="1">
        <v>2671.5</v>
      </c>
      <c r="P464" s="1">
        <v>54413</v>
      </c>
      <c r="Q464" s="1">
        <v>84697</v>
      </c>
      <c r="R464" s="1">
        <v>0</v>
      </c>
    </row>
    <row r="465" spans="1:18">
      <c r="A465" s="3">
        <v>45919.291681712966</v>
      </c>
      <c r="B465" s="1">
        <v>941647</v>
      </c>
      <c r="C465" s="1">
        <v>212471</v>
      </c>
      <c r="D465" s="1">
        <v>52032.7</v>
      </c>
      <c r="E465" s="1">
        <v>0</v>
      </c>
      <c r="F465" s="1">
        <v>419875</v>
      </c>
      <c r="G465" s="1">
        <v>92212.6</v>
      </c>
      <c r="H465" s="1">
        <v>380057</v>
      </c>
      <c r="I465" s="1">
        <v>760418</v>
      </c>
      <c r="J465" s="1">
        <v>53938.3</v>
      </c>
      <c r="K465" s="1">
        <v>89764.9</v>
      </c>
      <c r="L465" s="1">
        <v>9464.9</v>
      </c>
      <c r="M465" s="1">
        <v>89383.3</v>
      </c>
      <c r="N465" s="1">
        <v>12488.6</v>
      </c>
      <c r="O465" s="1">
        <v>2691.8</v>
      </c>
      <c r="P465" s="1">
        <v>54413</v>
      </c>
      <c r="Q465" s="1">
        <v>84697</v>
      </c>
      <c r="R465" s="1">
        <v>0</v>
      </c>
    </row>
    <row r="466" spans="1:18">
      <c r="A466" s="3">
        <v>45919.333348437503</v>
      </c>
      <c r="B466" s="1">
        <v>942250</v>
      </c>
      <c r="C466" s="1">
        <v>212620</v>
      </c>
      <c r="D466" s="1">
        <v>52047.199999999997</v>
      </c>
      <c r="E466" s="1">
        <v>0</v>
      </c>
      <c r="F466" s="1">
        <v>419893</v>
      </c>
      <c r="G466" s="1">
        <v>92257.1</v>
      </c>
      <c r="H466" s="1">
        <v>380067</v>
      </c>
      <c r="I466" s="1">
        <v>760604</v>
      </c>
      <c r="J466" s="1">
        <v>53945.8</v>
      </c>
      <c r="K466" s="1">
        <v>89765.4</v>
      </c>
      <c r="L466" s="1">
        <v>9483.7000000000007</v>
      </c>
      <c r="M466" s="1">
        <v>89413.4</v>
      </c>
      <c r="N466" s="1">
        <v>12538.7</v>
      </c>
      <c r="O466" s="1">
        <v>2719.3</v>
      </c>
      <c r="P466" s="1">
        <v>54415</v>
      </c>
      <c r="Q466" s="1">
        <v>84700</v>
      </c>
      <c r="R466" s="1">
        <v>0</v>
      </c>
    </row>
    <row r="467" spans="1:18">
      <c r="A467" s="3">
        <v>45919.375015162041</v>
      </c>
      <c r="B467" s="1">
        <v>942940</v>
      </c>
      <c r="C467" s="1">
        <v>212795</v>
      </c>
      <c r="D467" s="1">
        <v>52064.2</v>
      </c>
      <c r="E467" s="1">
        <v>0</v>
      </c>
      <c r="F467" s="1">
        <v>419915</v>
      </c>
      <c r="G467" s="1">
        <v>92298.3</v>
      </c>
      <c r="H467" s="1">
        <v>380079</v>
      </c>
      <c r="I467" s="1">
        <v>760824</v>
      </c>
      <c r="J467" s="1">
        <v>53953.5</v>
      </c>
      <c r="K467" s="1">
        <v>89765.5</v>
      </c>
      <c r="L467" s="1">
        <v>9505</v>
      </c>
      <c r="M467" s="1">
        <v>89446.5</v>
      </c>
      <c r="N467" s="1">
        <v>12584.8</v>
      </c>
      <c r="O467" s="1">
        <v>2755.2</v>
      </c>
      <c r="P467" s="1">
        <v>54421</v>
      </c>
      <c r="Q467" s="1">
        <v>84709</v>
      </c>
      <c r="R467" s="1">
        <v>0</v>
      </c>
    </row>
    <row r="468" spans="1:18">
      <c r="A468" s="3">
        <v>45919.416681886571</v>
      </c>
      <c r="B468" s="1">
        <v>943810</v>
      </c>
      <c r="C468" s="1">
        <v>213027</v>
      </c>
      <c r="D468" s="1">
        <v>52085.4</v>
      </c>
      <c r="E468" s="1">
        <v>0</v>
      </c>
      <c r="F468" s="1">
        <v>419943</v>
      </c>
      <c r="G468" s="1">
        <v>92340</v>
      </c>
      <c r="H468" s="1">
        <v>380105</v>
      </c>
      <c r="I468" s="1">
        <v>761111</v>
      </c>
      <c r="J468" s="1">
        <v>53961.9</v>
      </c>
      <c r="K468" s="1">
        <v>89765.5</v>
      </c>
      <c r="L468" s="1">
        <v>9530.4</v>
      </c>
      <c r="M468" s="1">
        <v>89485.2</v>
      </c>
      <c r="N468" s="1">
        <v>12632.2</v>
      </c>
      <c r="O468" s="1">
        <v>2805.9</v>
      </c>
      <c r="P468" s="1">
        <v>54430</v>
      </c>
      <c r="Q468" s="1">
        <v>84724</v>
      </c>
      <c r="R468" s="1">
        <v>0</v>
      </c>
    </row>
    <row r="469" spans="1:18">
      <c r="A469" s="3">
        <v>45919.458348611108</v>
      </c>
      <c r="B469" s="1">
        <v>944832</v>
      </c>
      <c r="C469" s="1">
        <v>213287</v>
      </c>
      <c r="D469" s="1">
        <v>52110.8</v>
      </c>
      <c r="E469" s="1">
        <v>0</v>
      </c>
      <c r="F469" s="1">
        <v>419981</v>
      </c>
      <c r="G469" s="1">
        <v>92400.4</v>
      </c>
      <c r="H469" s="1">
        <v>380142</v>
      </c>
      <c r="I469" s="1">
        <v>761437</v>
      </c>
      <c r="J469" s="1">
        <v>53972.2</v>
      </c>
      <c r="K469" s="1">
        <v>89765.5</v>
      </c>
      <c r="L469" s="1">
        <v>9563.6</v>
      </c>
      <c r="M469" s="1">
        <v>89527.8</v>
      </c>
      <c r="N469" s="1">
        <v>12678.6</v>
      </c>
      <c r="O469" s="1">
        <v>2873.3</v>
      </c>
      <c r="P469" s="1">
        <v>54443</v>
      </c>
      <c r="Q469" s="1">
        <v>84744</v>
      </c>
      <c r="R469" s="1">
        <v>0</v>
      </c>
    </row>
    <row r="470" spans="1:18">
      <c r="A470" s="3">
        <v>45919.500015335645</v>
      </c>
      <c r="B470" s="1">
        <v>945882</v>
      </c>
      <c r="C470" s="1">
        <v>213561</v>
      </c>
      <c r="D470" s="1">
        <v>52138</v>
      </c>
      <c r="E470" s="1">
        <v>0</v>
      </c>
      <c r="F470" s="1">
        <v>420023</v>
      </c>
      <c r="G470" s="1">
        <v>92476</v>
      </c>
      <c r="H470" s="1">
        <v>380159</v>
      </c>
      <c r="I470" s="1">
        <v>761770</v>
      </c>
      <c r="J470" s="1">
        <v>53982.9</v>
      </c>
      <c r="K470" s="1">
        <v>89765.5</v>
      </c>
      <c r="L470" s="1">
        <v>9597.2999999999993</v>
      </c>
      <c r="M470" s="1">
        <v>89566.5</v>
      </c>
      <c r="N470" s="1">
        <v>12722.3</v>
      </c>
      <c r="O470" s="1">
        <v>2935.6</v>
      </c>
      <c r="P470" s="1">
        <v>54458</v>
      </c>
      <c r="Q470" s="1">
        <v>84766</v>
      </c>
      <c r="R470" s="1">
        <v>0</v>
      </c>
    </row>
    <row r="471" spans="1:18">
      <c r="A471" s="3">
        <v>45919.541682060182</v>
      </c>
      <c r="B471" s="1">
        <v>946953</v>
      </c>
      <c r="C471" s="1">
        <v>213838</v>
      </c>
      <c r="D471" s="1">
        <v>52167.5</v>
      </c>
      <c r="E471" s="1">
        <v>0</v>
      </c>
      <c r="F471" s="1">
        <v>420067</v>
      </c>
      <c r="G471" s="1">
        <v>92552.1</v>
      </c>
      <c r="H471" s="1">
        <v>380170</v>
      </c>
      <c r="I471" s="1">
        <v>762127</v>
      </c>
      <c r="J471" s="1">
        <v>53994.7</v>
      </c>
      <c r="K471" s="1">
        <v>89765.5</v>
      </c>
      <c r="L471" s="1">
        <v>9635.7999999999993</v>
      </c>
      <c r="M471" s="1">
        <v>89602.7</v>
      </c>
      <c r="N471" s="1">
        <v>12763.6</v>
      </c>
      <c r="O471" s="1">
        <v>3001.4</v>
      </c>
      <c r="P471" s="1">
        <v>54474</v>
      </c>
      <c r="Q471" s="1">
        <v>84791</v>
      </c>
      <c r="R471" s="1">
        <v>0</v>
      </c>
    </row>
    <row r="472" spans="1:18">
      <c r="A472" s="3">
        <v>45919.583348784719</v>
      </c>
      <c r="B472" s="1">
        <v>948058</v>
      </c>
      <c r="C472" s="1">
        <v>214136</v>
      </c>
      <c r="D472" s="1">
        <v>52203.3</v>
      </c>
      <c r="E472" s="1">
        <v>0</v>
      </c>
      <c r="F472" s="1">
        <v>420106</v>
      </c>
      <c r="G472" s="1">
        <v>92632.6</v>
      </c>
      <c r="H472" s="1">
        <v>380181</v>
      </c>
      <c r="I472" s="1">
        <v>762483</v>
      </c>
      <c r="J472" s="1">
        <v>54007.5</v>
      </c>
      <c r="K472" s="1">
        <v>89765.5</v>
      </c>
      <c r="L472" s="1">
        <v>9675.6</v>
      </c>
      <c r="M472" s="1">
        <v>89630.7</v>
      </c>
      <c r="N472" s="1">
        <v>12805</v>
      </c>
      <c r="O472" s="1">
        <v>3074.8</v>
      </c>
      <c r="P472" s="1">
        <v>54490</v>
      </c>
      <c r="Q472" s="1">
        <v>84814</v>
      </c>
      <c r="R472" s="1">
        <v>0</v>
      </c>
    </row>
    <row r="473" spans="1:18">
      <c r="A473" s="3">
        <v>45919.625015509257</v>
      </c>
      <c r="B473" s="1">
        <v>949247</v>
      </c>
      <c r="C473" s="1">
        <v>214437</v>
      </c>
      <c r="D473" s="1">
        <v>52237.599999999999</v>
      </c>
      <c r="E473" s="1">
        <v>0</v>
      </c>
      <c r="F473" s="1">
        <v>420147</v>
      </c>
      <c r="G473" s="1">
        <v>92746.4</v>
      </c>
      <c r="H473" s="1">
        <v>380193</v>
      </c>
      <c r="I473" s="1">
        <v>762861</v>
      </c>
      <c r="J473" s="1">
        <v>54020.9</v>
      </c>
      <c r="K473" s="1">
        <v>89776.6</v>
      </c>
      <c r="L473" s="1">
        <v>9722.2000000000007</v>
      </c>
      <c r="M473" s="1">
        <v>89656.3</v>
      </c>
      <c r="N473" s="1">
        <v>12861.4</v>
      </c>
      <c r="O473" s="1">
        <v>3130.8</v>
      </c>
      <c r="P473" s="1">
        <v>54491</v>
      </c>
      <c r="Q473" s="1">
        <v>84816</v>
      </c>
      <c r="R473" s="1">
        <v>0</v>
      </c>
    </row>
    <row r="474" spans="1:18">
      <c r="A474" s="3">
        <v>45919.666682233794</v>
      </c>
      <c r="B474" s="1">
        <v>950389</v>
      </c>
      <c r="C474" s="1">
        <v>214740</v>
      </c>
      <c r="D474" s="1">
        <v>52268.6</v>
      </c>
      <c r="E474" s="1">
        <v>0</v>
      </c>
      <c r="F474" s="1">
        <v>420185</v>
      </c>
      <c r="G474" s="1">
        <v>92859.3</v>
      </c>
      <c r="H474" s="1">
        <v>380208</v>
      </c>
      <c r="I474" s="1">
        <v>763229</v>
      </c>
      <c r="J474" s="1">
        <v>54033.5</v>
      </c>
      <c r="K474" s="1">
        <v>89786</v>
      </c>
      <c r="L474" s="1">
        <v>9766.9</v>
      </c>
      <c r="M474" s="1">
        <v>89680.8</v>
      </c>
      <c r="N474" s="1">
        <v>12919.1</v>
      </c>
      <c r="O474" s="1">
        <v>3159.4</v>
      </c>
      <c r="P474" s="1">
        <v>54491</v>
      </c>
      <c r="Q474" s="1">
        <v>84816</v>
      </c>
      <c r="R474" s="1">
        <v>0</v>
      </c>
    </row>
    <row r="475" spans="1:18">
      <c r="A475" s="3">
        <v>45919.708348958331</v>
      </c>
      <c r="B475" s="1">
        <v>951433</v>
      </c>
      <c r="C475" s="1">
        <v>215020</v>
      </c>
      <c r="D475" s="1">
        <v>52296.7</v>
      </c>
      <c r="E475" s="1">
        <v>0</v>
      </c>
      <c r="F475" s="1">
        <v>420220</v>
      </c>
      <c r="G475" s="1">
        <v>92964.5</v>
      </c>
      <c r="H475" s="1">
        <v>380223</v>
      </c>
      <c r="I475" s="1">
        <v>763576</v>
      </c>
      <c r="J475" s="1">
        <v>54045.2</v>
      </c>
      <c r="K475" s="1">
        <v>89794.1</v>
      </c>
      <c r="L475" s="1">
        <v>9807.7999999999993</v>
      </c>
      <c r="M475" s="1">
        <v>89697.600000000006</v>
      </c>
      <c r="N475" s="1">
        <v>12976.4</v>
      </c>
      <c r="O475" s="1">
        <v>3184</v>
      </c>
      <c r="P475" s="1">
        <v>54491</v>
      </c>
      <c r="Q475" s="1">
        <v>84816</v>
      </c>
      <c r="R475" s="1">
        <v>0</v>
      </c>
    </row>
    <row r="476" spans="1:18">
      <c r="A476" s="3">
        <v>45919.750015682868</v>
      </c>
      <c r="B476" s="1">
        <v>952321</v>
      </c>
      <c r="C476" s="1">
        <v>215267</v>
      </c>
      <c r="D476" s="1">
        <v>52317</v>
      </c>
      <c r="E476" s="1">
        <v>0</v>
      </c>
      <c r="F476" s="1">
        <v>420246</v>
      </c>
      <c r="G476" s="1">
        <v>93051.1</v>
      </c>
      <c r="H476" s="1">
        <v>380238</v>
      </c>
      <c r="I476" s="1">
        <v>763876</v>
      </c>
      <c r="J476" s="1">
        <v>54054.2</v>
      </c>
      <c r="K476" s="1">
        <v>89798.399999999994</v>
      </c>
      <c r="L476" s="1">
        <v>9841.2000000000007</v>
      </c>
      <c r="M476" s="1">
        <v>89710.2</v>
      </c>
      <c r="N476" s="1">
        <v>13031.6</v>
      </c>
      <c r="O476" s="1">
        <v>3204.1</v>
      </c>
      <c r="P476" s="1">
        <v>54491</v>
      </c>
      <c r="Q476" s="1">
        <v>84816</v>
      </c>
      <c r="R476" s="1">
        <v>0</v>
      </c>
    </row>
    <row r="477" spans="1:18">
      <c r="A477" s="3">
        <v>45919.791682407405</v>
      </c>
      <c r="B477" s="1">
        <v>953064</v>
      </c>
      <c r="C477" s="1">
        <v>215451</v>
      </c>
      <c r="D477" s="1">
        <v>52332.4</v>
      </c>
      <c r="E477" s="1">
        <v>0</v>
      </c>
      <c r="F477" s="1">
        <v>420266</v>
      </c>
      <c r="G477" s="1">
        <v>93134.1</v>
      </c>
      <c r="H477" s="1">
        <v>380250</v>
      </c>
      <c r="I477" s="1">
        <v>764131</v>
      </c>
      <c r="J477" s="1">
        <v>54062.5</v>
      </c>
      <c r="K477" s="1">
        <v>89800.9</v>
      </c>
      <c r="L477" s="1">
        <v>9866.2000000000007</v>
      </c>
      <c r="M477" s="1">
        <v>89722.3</v>
      </c>
      <c r="N477" s="1">
        <v>13085.6</v>
      </c>
      <c r="O477" s="1">
        <v>3222.7</v>
      </c>
      <c r="P477" s="1">
        <v>54491</v>
      </c>
      <c r="Q477" s="1">
        <v>84816</v>
      </c>
      <c r="R477" s="1">
        <v>0</v>
      </c>
    </row>
    <row r="478" spans="1:18">
      <c r="A478" s="3">
        <v>45919.833349131943</v>
      </c>
      <c r="B478" s="1">
        <v>953724</v>
      </c>
      <c r="C478" s="1">
        <v>215612</v>
      </c>
      <c r="D478" s="1">
        <v>52345.4</v>
      </c>
      <c r="E478" s="1">
        <v>0</v>
      </c>
      <c r="F478" s="1">
        <v>420283</v>
      </c>
      <c r="G478" s="1">
        <v>93210.4</v>
      </c>
      <c r="H478" s="1">
        <v>380261</v>
      </c>
      <c r="I478" s="1">
        <v>764351</v>
      </c>
      <c r="J478" s="1">
        <v>54070.400000000001</v>
      </c>
      <c r="K478" s="1">
        <v>89803.1</v>
      </c>
      <c r="L478" s="1">
        <v>9886.1</v>
      </c>
      <c r="M478" s="1">
        <v>89733.7</v>
      </c>
      <c r="N478" s="1">
        <v>13139.7</v>
      </c>
      <c r="O478" s="1">
        <v>3242.6</v>
      </c>
      <c r="P478" s="1">
        <v>54491</v>
      </c>
      <c r="Q478" s="1">
        <v>84816</v>
      </c>
      <c r="R478" s="1">
        <v>0</v>
      </c>
    </row>
    <row r="479" spans="1:18">
      <c r="A479" s="3">
        <v>45919.87501585648</v>
      </c>
      <c r="B479" s="1">
        <v>954352</v>
      </c>
      <c r="C479" s="1">
        <v>215764</v>
      </c>
      <c r="D479" s="1">
        <v>52357.1</v>
      </c>
      <c r="E479" s="1">
        <v>0</v>
      </c>
      <c r="F479" s="1">
        <v>420300</v>
      </c>
      <c r="G479" s="1">
        <v>93281.3</v>
      </c>
      <c r="H479" s="1">
        <v>380271</v>
      </c>
      <c r="I479" s="1">
        <v>764563</v>
      </c>
      <c r="J479" s="1">
        <v>54077.3</v>
      </c>
      <c r="K479" s="1">
        <v>89805.3</v>
      </c>
      <c r="L479" s="1">
        <v>9904.4</v>
      </c>
      <c r="M479" s="1">
        <v>89742.7</v>
      </c>
      <c r="N479" s="1">
        <v>13193.3</v>
      </c>
      <c r="O479" s="1">
        <v>3263.1</v>
      </c>
      <c r="P479" s="1">
        <v>54491</v>
      </c>
      <c r="Q479" s="1">
        <v>84816</v>
      </c>
      <c r="R479" s="1">
        <v>0</v>
      </c>
    </row>
    <row r="480" spans="1:18">
      <c r="A480" s="3">
        <v>45919.916682581017</v>
      </c>
      <c r="B480" s="1">
        <v>954967</v>
      </c>
      <c r="C480" s="1">
        <v>215911</v>
      </c>
      <c r="D480" s="1">
        <v>52369.3</v>
      </c>
      <c r="E480" s="1">
        <v>0</v>
      </c>
      <c r="F480" s="1">
        <v>420315</v>
      </c>
      <c r="G480" s="1">
        <v>93347.7</v>
      </c>
      <c r="H480" s="1">
        <v>380282</v>
      </c>
      <c r="I480" s="1">
        <v>764773</v>
      </c>
      <c r="J480" s="1">
        <v>54084.3</v>
      </c>
      <c r="K480" s="1">
        <v>89807.5</v>
      </c>
      <c r="L480" s="1">
        <v>9921.5</v>
      </c>
      <c r="M480" s="1">
        <v>89753.7</v>
      </c>
      <c r="N480" s="1">
        <v>13246.6</v>
      </c>
      <c r="O480" s="1">
        <v>3283.6</v>
      </c>
      <c r="P480" s="1">
        <v>54491</v>
      </c>
      <c r="Q480" s="1">
        <v>84816</v>
      </c>
      <c r="R480" s="1">
        <v>0</v>
      </c>
    </row>
    <row r="481" spans="1:18">
      <c r="A481" s="3">
        <v>45919.958349305554</v>
      </c>
      <c r="B481" s="1">
        <v>955555</v>
      </c>
      <c r="C481" s="1">
        <v>216052</v>
      </c>
      <c r="D481" s="1">
        <v>52380.5</v>
      </c>
      <c r="E481" s="1">
        <v>0</v>
      </c>
      <c r="F481" s="1">
        <v>420331</v>
      </c>
      <c r="G481" s="1">
        <v>93403.3</v>
      </c>
      <c r="H481" s="1">
        <v>380293</v>
      </c>
      <c r="I481" s="1">
        <v>764978</v>
      </c>
      <c r="J481" s="1">
        <v>54091.5</v>
      </c>
      <c r="K481" s="1">
        <v>89809.7</v>
      </c>
      <c r="L481" s="1">
        <v>9936.5</v>
      </c>
      <c r="M481" s="1">
        <v>89763.3</v>
      </c>
      <c r="N481" s="1">
        <v>13300.8</v>
      </c>
      <c r="O481" s="1">
        <v>3300.5</v>
      </c>
      <c r="P481" s="1">
        <v>54491</v>
      </c>
      <c r="Q481" s="1">
        <v>84816</v>
      </c>
      <c r="R481" s="1">
        <v>0</v>
      </c>
    </row>
    <row r="482" spans="1:18">
      <c r="A482" s="3">
        <v>45920.000016030092</v>
      </c>
      <c r="B482" s="1">
        <v>956108</v>
      </c>
      <c r="C482" s="1">
        <v>216190</v>
      </c>
      <c r="D482" s="1">
        <v>52391.5</v>
      </c>
      <c r="E482" s="1">
        <v>0</v>
      </c>
      <c r="F482" s="1">
        <v>420347</v>
      </c>
      <c r="G482" s="1">
        <v>93453.7</v>
      </c>
      <c r="H482" s="1">
        <v>380304</v>
      </c>
      <c r="I482" s="1">
        <v>765161</v>
      </c>
      <c r="J482" s="1">
        <v>54098.6</v>
      </c>
      <c r="K482" s="1">
        <v>89811.8</v>
      </c>
      <c r="L482" s="1">
        <v>9951.7999999999993</v>
      </c>
      <c r="M482" s="1">
        <v>89771.3</v>
      </c>
      <c r="N482" s="1">
        <v>13354.8</v>
      </c>
      <c r="O482" s="1">
        <v>3316.7</v>
      </c>
      <c r="P482" s="1">
        <v>54491</v>
      </c>
      <c r="Q482" s="1">
        <v>84816</v>
      </c>
      <c r="R482" s="1">
        <v>0</v>
      </c>
    </row>
    <row r="483" spans="1:18">
      <c r="A483" s="3">
        <v>45920.041682754629</v>
      </c>
      <c r="B483" s="1">
        <v>956651</v>
      </c>
      <c r="C483" s="1">
        <v>216328</v>
      </c>
      <c r="D483" s="1">
        <v>52400.6</v>
      </c>
      <c r="E483" s="1">
        <v>0</v>
      </c>
      <c r="F483" s="1">
        <v>420363</v>
      </c>
      <c r="G483" s="1">
        <v>93500</v>
      </c>
      <c r="H483" s="1">
        <v>380315</v>
      </c>
      <c r="I483" s="1">
        <v>765342</v>
      </c>
      <c r="J483" s="1">
        <v>54105.7</v>
      </c>
      <c r="K483" s="1">
        <v>89814</v>
      </c>
      <c r="L483" s="1">
        <v>9966.9</v>
      </c>
      <c r="M483" s="1">
        <v>89778.9</v>
      </c>
      <c r="N483" s="1">
        <v>13407.6</v>
      </c>
      <c r="O483" s="1">
        <v>3332.5</v>
      </c>
      <c r="P483" s="1">
        <v>54491</v>
      </c>
      <c r="Q483" s="1">
        <v>84816</v>
      </c>
      <c r="R483" s="1">
        <v>0</v>
      </c>
    </row>
    <row r="484" spans="1:18">
      <c r="A484" s="3">
        <v>45920.083349479166</v>
      </c>
      <c r="B484" s="1">
        <v>957182</v>
      </c>
      <c r="C484" s="1">
        <v>216459</v>
      </c>
      <c r="D484" s="1">
        <v>52410.6</v>
      </c>
      <c r="E484" s="1">
        <v>0</v>
      </c>
      <c r="F484" s="1">
        <v>420379</v>
      </c>
      <c r="G484" s="1">
        <v>93545</v>
      </c>
      <c r="H484" s="1">
        <v>380326</v>
      </c>
      <c r="I484" s="1">
        <v>765516</v>
      </c>
      <c r="J484" s="1">
        <v>54112.5</v>
      </c>
      <c r="K484" s="1">
        <v>89816.2</v>
      </c>
      <c r="L484" s="1">
        <v>9982.5</v>
      </c>
      <c r="M484" s="1">
        <v>89786.8</v>
      </c>
      <c r="N484" s="1">
        <v>13461.5</v>
      </c>
      <c r="O484" s="1">
        <v>3349.7</v>
      </c>
      <c r="P484" s="1">
        <v>54491</v>
      </c>
      <c r="Q484" s="1">
        <v>84816</v>
      </c>
      <c r="R484" s="1">
        <v>0</v>
      </c>
    </row>
    <row r="485" spans="1:18">
      <c r="A485" s="3">
        <v>45920.125016203703</v>
      </c>
      <c r="B485" s="1">
        <v>957702</v>
      </c>
      <c r="C485" s="1">
        <v>216589</v>
      </c>
      <c r="D485" s="1">
        <v>52420</v>
      </c>
      <c r="E485" s="1">
        <v>0</v>
      </c>
      <c r="F485" s="1">
        <v>420396</v>
      </c>
      <c r="G485" s="1">
        <v>93589</v>
      </c>
      <c r="H485" s="1">
        <v>380337</v>
      </c>
      <c r="I485" s="1">
        <v>765683</v>
      </c>
      <c r="J485" s="1">
        <v>54119.3</v>
      </c>
      <c r="K485" s="1">
        <v>89818.4</v>
      </c>
      <c r="L485" s="1">
        <v>9998.5</v>
      </c>
      <c r="M485" s="1">
        <v>89794.7</v>
      </c>
      <c r="N485" s="1">
        <v>13514.8</v>
      </c>
      <c r="O485" s="1">
        <v>3366</v>
      </c>
      <c r="P485" s="1">
        <v>54491</v>
      </c>
      <c r="Q485" s="1">
        <v>84816</v>
      </c>
      <c r="R485" s="1">
        <v>0</v>
      </c>
    </row>
    <row r="486" spans="1:18">
      <c r="A486" s="3">
        <v>45920.16668292824</v>
      </c>
      <c r="B486" s="1">
        <v>958213</v>
      </c>
      <c r="C486" s="1">
        <v>216717</v>
      </c>
      <c r="D486" s="1">
        <v>52429.8</v>
      </c>
      <c r="E486" s="1">
        <v>0</v>
      </c>
      <c r="F486" s="1">
        <v>420411</v>
      </c>
      <c r="G486" s="1">
        <v>93632</v>
      </c>
      <c r="H486" s="1">
        <v>380348</v>
      </c>
      <c r="I486" s="1">
        <v>765844</v>
      </c>
      <c r="J486" s="1">
        <v>54126.1</v>
      </c>
      <c r="K486" s="1">
        <v>89821</v>
      </c>
      <c r="L486" s="1">
        <v>10014.1</v>
      </c>
      <c r="M486" s="1">
        <v>89802.6</v>
      </c>
      <c r="N486" s="1">
        <v>13568.1</v>
      </c>
      <c r="O486" s="1">
        <v>3382.6</v>
      </c>
      <c r="P486" s="1">
        <v>54491</v>
      </c>
      <c r="Q486" s="1">
        <v>84816</v>
      </c>
      <c r="R486" s="1">
        <v>0</v>
      </c>
    </row>
    <row r="487" spans="1:18">
      <c r="A487" s="3">
        <v>45920.208349652778</v>
      </c>
      <c r="B487" s="1">
        <v>958726</v>
      </c>
      <c r="C487" s="1">
        <v>216842</v>
      </c>
      <c r="D487" s="1">
        <v>52438.7</v>
      </c>
      <c r="E487" s="1">
        <v>0</v>
      </c>
      <c r="F487" s="1">
        <v>420427</v>
      </c>
      <c r="G487" s="1">
        <v>93674.3</v>
      </c>
      <c r="H487" s="1">
        <v>380358</v>
      </c>
      <c r="I487" s="1">
        <v>766014</v>
      </c>
      <c r="J487" s="1">
        <v>54132.7</v>
      </c>
      <c r="K487" s="1">
        <v>89823.1</v>
      </c>
      <c r="L487" s="1">
        <v>10029.4</v>
      </c>
      <c r="M487" s="1">
        <v>89810</v>
      </c>
      <c r="N487" s="1">
        <v>13621.3</v>
      </c>
      <c r="O487" s="1">
        <v>3399.9</v>
      </c>
      <c r="P487" s="1">
        <v>54491</v>
      </c>
      <c r="Q487" s="1">
        <v>84816</v>
      </c>
      <c r="R487" s="1">
        <v>0</v>
      </c>
    </row>
    <row r="488" spans="1:18">
      <c r="A488" s="3">
        <v>45920.250016377315</v>
      </c>
      <c r="B488" s="1">
        <v>959238</v>
      </c>
      <c r="C488" s="1">
        <v>216968</v>
      </c>
      <c r="D488" s="1">
        <v>52449.8</v>
      </c>
      <c r="E488" s="1">
        <v>0</v>
      </c>
      <c r="F488" s="1">
        <v>420442</v>
      </c>
      <c r="G488" s="1">
        <v>93716.9</v>
      </c>
      <c r="H488" s="1">
        <v>380369</v>
      </c>
      <c r="I488" s="1">
        <v>766182</v>
      </c>
      <c r="J488" s="1">
        <v>54139.3</v>
      </c>
      <c r="K488" s="1">
        <v>89825.2</v>
      </c>
      <c r="L488" s="1">
        <v>10043.4</v>
      </c>
      <c r="M488" s="1">
        <v>89817.5</v>
      </c>
      <c r="N488" s="1">
        <v>13674.2</v>
      </c>
      <c r="O488" s="1">
        <v>3416.2</v>
      </c>
      <c r="P488" s="1">
        <v>54491</v>
      </c>
      <c r="Q488" s="1">
        <v>84816</v>
      </c>
      <c r="R488" s="1">
        <v>0</v>
      </c>
    </row>
    <row r="489" spans="1:18">
      <c r="A489" s="3">
        <v>45920.291683101852</v>
      </c>
      <c r="B489" s="1">
        <v>959746</v>
      </c>
      <c r="C489" s="1">
        <v>217095</v>
      </c>
      <c r="D489" s="1">
        <v>52459.5</v>
      </c>
      <c r="E489" s="1">
        <v>0</v>
      </c>
      <c r="F489" s="1">
        <v>420458</v>
      </c>
      <c r="G489" s="1">
        <v>93759.1</v>
      </c>
      <c r="H489" s="1">
        <v>380380</v>
      </c>
      <c r="I489" s="1">
        <v>766347</v>
      </c>
      <c r="J489" s="1">
        <v>54146</v>
      </c>
      <c r="K489" s="1">
        <v>89827.199999999997</v>
      </c>
      <c r="L489" s="1">
        <v>10057.5</v>
      </c>
      <c r="M489" s="1">
        <v>89825</v>
      </c>
      <c r="N489" s="1">
        <v>13726.9</v>
      </c>
      <c r="O489" s="1">
        <v>3430.6</v>
      </c>
      <c r="P489" s="1">
        <v>54491</v>
      </c>
      <c r="Q489" s="1">
        <v>84816</v>
      </c>
      <c r="R489" s="1">
        <v>0</v>
      </c>
    </row>
    <row r="490" spans="1:18">
      <c r="A490" s="3">
        <v>45920.333349826389</v>
      </c>
      <c r="B490" s="1">
        <v>960261</v>
      </c>
      <c r="C490" s="1">
        <v>217223</v>
      </c>
      <c r="D490" s="1">
        <v>52469.1</v>
      </c>
      <c r="E490" s="1">
        <v>0</v>
      </c>
      <c r="F490" s="1">
        <v>420475</v>
      </c>
      <c r="G490" s="1">
        <v>93801.8</v>
      </c>
      <c r="H490" s="1">
        <v>380391</v>
      </c>
      <c r="I490" s="1">
        <v>766514</v>
      </c>
      <c r="J490" s="1">
        <v>54152.9</v>
      </c>
      <c r="K490" s="1">
        <v>89829.2</v>
      </c>
      <c r="L490" s="1">
        <v>10073.200000000001</v>
      </c>
      <c r="M490" s="1">
        <v>89832.3</v>
      </c>
      <c r="N490" s="1">
        <v>13779.9</v>
      </c>
      <c r="O490" s="1">
        <v>3447.4</v>
      </c>
      <c r="P490" s="1">
        <v>54491</v>
      </c>
      <c r="Q490" s="1">
        <v>84816</v>
      </c>
      <c r="R490" s="1">
        <v>0</v>
      </c>
    </row>
    <row r="491" spans="1:18">
      <c r="A491" s="3">
        <v>45920.375016550926</v>
      </c>
      <c r="B491" s="1">
        <v>960783</v>
      </c>
      <c r="C491" s="1">
        <v>217353</v>
      </c>
      <c r="D491" s="1">
        <v>52478.5</v>
      </c>
      <c r="E491" s="1">
        <v>0</v>
      </c>
      <c r="F491" s="1">
        <v>420496</v>
      </c>
      <c r="G491" s="1">
        <v>93843.7</v>
      </c>
      <c r="H491" s="1">
        <v>380403</v>
      </c>
      <c r="I491" s="1">
        <v>766682</v>
      </c>
      <c r="J491" s="1">
        <v>54159.9</v>
      </c>
      <c r="K491" s="1">
        <v>89831.3</v>
      </c>
      <c r="L491" s="1">
        <v>10087.700000000001</v>
      </c>
      <c r="M491" s="1">
        <v>89839.4</v>
      </c>
      <c r="N491" s="1">
        <v>13833</v>
      </c>
      <c r="O491" s="1">
        <v>3464.9</v>
      </c>
      <c r="P491" s="1">
        <v>54491</v>
      </c>
      <c r="Q491" s="1">
        <v>84816</v>
      </c>
      <c r="R491" s="1">
        <v>0</v>
      </c>
    </row>
    <row r="492" spans="1:18">
      <c r="A492" s="3">
        <v>45920.416683275464</v>
      </c>
      <c r="B492" s="1">
        <v>961322</v>
      </c>
      <c r="C492" s="1">
        <v>217484</v>
      </c>
      <c r="D492" s="1">
        <v>52490.2</v>
      </c>
      <c r="E492" s="1">
        <v>0</v>
      </c>
      <c r="F492" s="1">
        <v>420518</v>
      </c>
      <c r="G492" s="1">
        <v>93885.1</v>
      </c>
      <c r="H492" s="1">
        <v>380415</v>
      </c>
      <c r="I492" s="1">
        <v>766863</v>
      </c>
      <c r="J492" s="1">
        <v>54167.199999999997</v>
      </c>
      <c r="K492" s="1">
        <v>89833.2</v>
      </c>
      <c r="L492" s="1">
        <v>10100.700000000001</v>
      </c>
      <c r="M492" s="1">
        <v>89846.7</v>
      </c>
      <c r="N492" s="1">
        <v>13886.5</v>
      </c>
      <c r="O492" s="1">
        <v>3482.1</v>
      </c>
      <c r="P492" s="1">
        <v>54491</v>
      </c>
      <c r="Q492" s="1">
        <v>84816</v>
      </c>
      <c r="R492" s="1">
        <v>0</v>
      </c>
    </row>
    <row r="493" spans="1:18">
      <c r="A493" s="3">
        <v>45920.458350000001</v>
      </c>
      <c r="B493" s="1">
        <v>961890</v>
      </c>
      <c r="C493" s="1">
        <v>217626</v>
      </c>
      <c r="D493" s="1">
        <v>52501.7</v>
      </c>
      <c r="E493" s="1">
        <v>0</v>
      </c>
      <c r="F493" s="1">
        <v>420542</v>
      </c>
      <c r="G493" s="1">
        <v>93932.5</v>
      </c>
      <c r="H493" s="1">
        <v>380426</v>
      </c>
      <c r="I493" s="1">
        <v>767053</v>
      </c>
      <c r="J493" s="1">
        <v>54174.8</v>
      </c>
      <c r="K493" s="1">
        <v>89835.3</v>
      </c>
      <c r="L493" s="1">
        <v>10113.9</v>
      </c>
      <c r="M493" s="1">
        <v>89854.7</v>
      </c>
      <c r="N493" s="1">
        <v>13940.5</v>
      </c>
      <c r="O493" s="1">
        <v>3500.4</v>
      </c>
      <c r="P493" s="1">
        <v>54491</v>
      </c>
      <c r="Q493" s="1">
        <v>84816</v>
      </c>
      <c r="R493" s="1">
        <v>0</v>
      </c>
    </row>
    <row r="494" spans="1:18">
      <c r="A494" s="3">
        <v>45920.500016724538</v>
      </c>
      <c r="B494" s="1">
        <v>962476</v>
      </c>
      <c r="C494" s="1">
        <v>217775</v>
      </c>
      <c r="D494" s="1">
        <v>52512.800000000003</v>
      </c>
      <c r="E494" s="1">
        <v>0</v>
      </c>
      <c r="F494" s="1">
        <v>420563</v>
      </c>
      <c r="G494" s="1">
        <v>93978.7</v>
      </c>
      <c r="H494" s="1">
        <v>380436</v>
      </c>
      <c r="I494" s="1">
        <v>767253</v>
      </c>
      <c r="J494" s="1">
        <v>54182.3</v>
      </c>
      <c r="K494" s="1">
        <v>89840.9</v>
      </c>
      <c r="L494" s="1">
        <v>10126.5</v>
      </c>
      <c r="M494" s="1">
        <v>89863.7</v>
      </c>
      <c r="N494" s="1">
        <v>13994.2</v>
      </c>
      <c r="O494" s="1">
        <v>3518.3</v>
      </c>
      <c r="P494" s="1">
        <v>54491</v>
      </c>
      <c r="Q494" s="1">
        <v>84816</v>
      </c>
      <c r="R494" s="1">
        <v>0</v>
      </c>
    </row>
    <row r="495" spans="1:18">
      <c r="A495" s="3">
        <v>45920.541683449075</v>
      </c>
      <c r="B495" s="1">
        <v>963042</v>
      </c>
      <c r="C495" s="1">
        <v>217914</v>
      </c>
      <c r="D495" s="1">
        <v>52523.3</v>
      </c>
      <c r="E495" s="1">
        <v>0</v>
      </c>
      <c r="F495" s="1">
        <v>420588</v>
      </c>
      <c r="G495" s="1">
        <v>94022</v>
      </c>
      <c r="H495" s="1">
        <v>380447</v>
      </c>
      <c r="I495" s="1">
        <v>767446</v>
      </c>
      <c r="J495" s="1">
        <v>54189.4</v>
      </c>
      <c r="K495" s="1">
        <v>89846.8</v>
      </c>
      <c r="L495" s="1">
        <v>10142.200000000001</v>
      </c>
      <c r="M495" s="1">
        <v>89870.5</v>
      </c>
      <c r="N495" s="1">
        <v>14047.4</v>
      </c>
      <c r="O495" s="1">
        <v>3535.1</v>
      </c>
      <c r="P495" s="1">
        <v>54491</v>
      </c>
      <c r="Q495" s="1">
        <v>84816</v>
      </c>
      <c r="R495" s="1">
        <v>0</v>
      </c>
    </row>
    <row r="496" spans="1:18">
      <c r="A496" s="3">
        <v>45920.583350173612</v>
      </c>
      <c r="B496" s="1">
        <v>963605</v>
      </c>
      <c r="C496" s="1">
        <v>218057</v>
      </c>
      <c r="D496" s="1">
        <v>52533.8</v>
      </c>
      <c r="E496" s="1">
        <v>0</v>
      </c>
      <c r="F496" s="1">
        <v>420613</v>
      </c>
      <c r="G496" s="1">
        <v>94064.7</v>
      </c>
      <c r="H496" s="1">
        <v>380458</v>
      </c>
      <c r="I496" s="1">
        <v>767634</v>
      </c>
      <c r="J496" s="1">
        <v>54196</v>
      </c>
      <c r="K496" s="1">
        <v>89852.9</v>
      </c>
      <c r="L496" s="1">
        <v>10157.700000000001</v>
      </c>
      <c r="M496" s="1">
        <v>89877.4</v>
      </c>
      <c r="N496" s="1">
        <v>14100.1</v>
      </c>
      <c r="O496" s="1">
        <v>3552.1</v>
      </c>
      <c r="P496" s="1">
        <v>54491</v>
      </c>
      <c r="Q496" s="1">
        <v>84816</v>
      </c>
      <c r="R496" s="1">
        <v>0</v>
      </c>
    </row>
    <row r="497" spans="1:18">
      <c r="A497" s="3">
        <v>45920.62501689815</v>
      </c>
      <c r="B497" s="1">
        <v>964184</v>
      </c>
      <c r="C497" s="1">
        <v>218193</v>
      </c>
      <c r="D497" s="1">
        <v>52544.800000000003</v>
      </c>
      <c r="E497" s="1">
        <v>0</v>
      </c>
      <c r="F497" s="1">
        <v>420635</v>
      </c>
      <c r="G497" s="1">
        <v>94103.6</v>
      </c>
      <c r="H497" s="1">
        <v>380469</v>
      </c>
      <c r="I497" s="1">
        <v>767850</v>
      </c>
      <c r="J497" s="1">
        <v>54202.7</v>
      </c>
      <c r="K497" s="1">
        <v>89858.6</v>
      </c>
      <c r="L497" s="1">
        <v>10171.4</v>
      </c>
      <c r="M497" s="1">
        <v>89884.4</v>
      </c>
      <c r="N497" s="1">
        <v>14152.3</v>
      </c>
      <c r="O497" s="1">
        <v>3569.3</v>
      </c>
      <c r="P497" s="1">
        <v>54491</v>
      </c>
      <c r="Q497" s="1">
        <v>84816</v>
      </c>
      <c r="R497" s="1">
        <v>0</v>
      </c>
    </row>
    <row r="498" spans="1:18">
      <c r="A498" s="3">
        <v>45920.666683622687</v>
      </c>
      <c r="B498" s="1">
        <v>964797</v>
      </c>
      <c r="C498" s="1">
        <v>218349</v>
      </c>
      <c r="D498" s="1">
        <v>52556.800000000003</v>
      </c>
      <c r="E498" s="1">
        <v>0</v>
      </c>
      <c r="F498" s="1">
        <v>420658</v>
      </c>
      <c r="G498" s="1">
        <v>94140.6</v>
      </c>
      <c r="H498" s="1">
        <v>380480</v>
      </c>
      <c r="I498" s="1">
        <v>768073</v>
      </c>
      <c r="J498" s="1">
        <v>54210.3</v>
      </c>
      <c r="K498" s="1">
        <v>89864.5</v>
      </c>
      <c r="L498" s="1">
        <v>10186.700000000001</v>
      </c>
      <c r="M498" s="1">
        <v>89892.1</v>
      </c>
      <c r="N498" s="1">
        <v>14205.8</v>
      </c>
      <c r="O498" s="1">
        <v>3586.9</v>
      </c>
      <c r="P498" s="1">
        <v>54491</v>
      </c>
      <c r="Q498" s="1">
        <v>84816</v>
      </c>
      <c r="R498" s="1">
        <v>0</v>
      </c>
    </row>
    <row r="499" spans="1:18">
      <c r="A499" s="3">
        <v>45920.708350347224</v>
      </c>
      <c r="B499" s="1">
        <v>965407</v>
      </c>
      <c r="C499" s="1">
        <v>218506</v>
      </c>
      <c r="D499" s="1">
        <v>52567.9</v>
      </c>
      <c r="E499" s="1">
        <v>0</v>
      </c>
      <c r="F499" s="1">
        <v>420681</v>
      </c>
      <c r="G499" s="1">
        <v>94178.8</v>
      </c>
      <c r="H499" s="1">
        <v>380491</v>
      </c>
      <c r="I499" s="1">
        <v>768292</v>
      </c>
      <c r="J499" s="1">
        <v>54217.599999999999</v>
      </c>
      <c r="K499" s="1">
        <v>89870.8</v>
      </c>
      <c r="L499" s="1">
        <v>10200.4</v>
      </c>
      <c r="M499" s="1">
        <v>89899.8</v>
      </c>
      <c r="N499" s="1">
        <v>14259.2</v>
      </c>
      <c r="O499" s="1">
        <v>3605.1</v>
      </c>
      <c r="P499" s="1">
        <v>54491</v>
      </c>
      <c r="Q499" s="1">
        <v>84816</v>
      </c>
      <c r="R499" s="1">
        <v>0</v>
      </c>
    </row>
    <row r="500" spans="1:18">
      <c r="A500" s="3">
        <v>45920.750017071761</v>
      </c>
      <c r="B500" s="1">
        <v>965979</v>
      </c>
      <c r="C500" s="1">
        <v>218648</v>
      </c>
      <c r="D500" s="1">
        <v>52578.400000000001</v>
      </c>
      <c r="E500" s="1">
        <v>0</v>
      </c>
      <c r="F500" s="1">
        <v>420700</v>
      </c>
      <c r="G500" s="1">
        <v>94215.8</v>
      </c>
      <c r="H500" s="1">
        <v>380503</v>
      </c>
      <c r="I500" s="1">
        <v>768501</v>
      </c>
      <c r="J500" s="1">
        <v>54224.5</v>
      </c>
      <c r="K500" s="1">
        <v>89873.7</v>
      </c>
      <c r="L500" s="1">
        <v>10213.200000000001</v>
      </c>
      <c r="M500" s="1">
        <v>89907.199999999997</v>
      </c>
      <c r="N500" s="1">
        <v>14312.1</v>
      </c>
      <c r="O500" s="1">
        <v>3624.2</v>
      </c>
      <c r="P500" s="1">
        <v>54491</v>
      </c>
      <c r="Q500" s="1">
        <v>84816</v>
      </c>
      <c r="R500" s="1">
        <v>0</v>
      </c>
    </row>
    <row r="501" spans="1:18">
      <c r="A501" s="3">
        <v>45920.791683796298</v>
      </c>
      <c r="B501" s="1">
        <v>966523</v>
      </c>
      <c r="C501" s="1">
        <v>218771</v>
      </c>
      <c r="D501" s="1">
        <v>52587.6</v>
      </c>
      <c r="E501" s="1">
        <v>0</v>
      </c>
      <c r="F501" s="1">
        <v>420719</v>
      </c>
      <c r="G501" s="1">
        <v>94254.1</v>
      </c>
      <c r="H501" s="1">
        <v>380514</v>
      </c>
      <c r="I501" s="1">
        <v>768701</v>
      </c>
      <c r="J501" s="1">
        <v>54231.199999999997</v>
      </c>
      <c r="K501" s="1">
        <v>89875.9</v>
      </c>
      <c r="L501" s="1">
        <v>10227</v>
      </c>
      <c r="M501" s="1">
        <v>89914.7</v>
      </c>
      <c r="N501" s="1">
        <v>14364.9</v>
      </c>
      <c r="O501" s="1">
        <v>3642</v>
      </c>
      <c r="P501" s="1">
        <v>54491</v>
      </c>
      <c r="Q501" s="1">
        <v>84816</v>
      </c>
      <c r="R501" s="1">
        <v>0</v>
      </c>
    </row>
    <row r="502" spans="1:18">
      <c r="A502" s="3">
        <v>45920.833350520836</v>
      </c>
      <c r="B502" s="1">
        <v>967054</v>
      </c>
      <c r="C502" s="1">
        <v>218884</v>
      </c>
      <c r="D502" s="1">
        <v>52596.800000000003</v>
      </c>
      <c r="E502" s="1">
        <v>0</v>
      </c>
      <c r="F502" s="1">
        <v>420738</v>
      </c>
      <c r="G502" s="1">
        <v>94295.7</v>
      </c>
      <c r="H502" s="1">
        <v>380526</v>
      </c>
      <c r="I502" s="1">
        <v>768897</v>
      </c>
      <c r="J502" s="1">
        <v>54238.3</v>
      </c>
      <c r="K502" s="1">
        <v>89878.1</v>
      </c>
      <c r="L502" s="1">
        <v>10244.5</v>
      </c>
      <c r="M502" s="1">
        <v>89922.5</v>
      </c>
      <c r="N502" s="1">
        <v>14417.1</v>
      </c>
      <c r="O502" s="1">
        <v>3659.8</v>
      </c>
      <c r="P502" s="1">
        <v>54491</v>
      </c>
      <c r="Q502" s="1">
        <v>84816</v>
      </c>
      <c r="R502" s="1">
        <v>0</v>
      </c>
    </row>
    <row r="503" spans="1:18">
      <c r="A503" s="3">
        <v>45920.875017245373</v>
      </c>
      <c r="B503" s="1">
        <v>967567</v>
      </c>
      <c r="C503" s="1">
        <v>218990</v>
      </c>
      <c r="D503" s="1">
        <v>52605.1</v>
      </c>
      <c r="E503" s="1">
        <v>0</v>
      </c>
      <c r="F503" s="1">
        <v>420755</v>
      </c>
      <c r="G503" s="1">
        <v>94334.8</v>
      </c>
      <c r="H503" s="1">
        <v>380537</v>
      </c>
      <c r="I503" s="1">
        <v>769090</v>
      </c>
      <c r="J503" s="1">
        <v>54245</v>
      </c>
      <c r="K503" s="1">
        <v>89880.3</v>
      </c>
      <c r="L503" s="1">
        <v>10260.9</v>
      </c>
      <c r="M503" s="1">
        <v>89929.9</v>
      </c>
      <c r="N503" s="1">
        <v>14467.7</v>
      </c>
      <c r="O503" s="1">
        <v>3679.4</v>
      </c>
      <c r="P503" s="1">
        <v>54491</v>
      </c>
      <c r="Q503" s="1">
        <v>84816</v>
      </c>
      <c r="R503" s="1">
        <v>0</v>
      </c>
    </row>
    <row r="504" spans="1:18">
      <c r="A504" s="3">
        <v>45920.91668396991</v>
      </c>
      <c r="B504" s="1">
        <v>968072</v>
      </c>
      <c r="C504" s="1">
        <v>219095</v>
      </c>
      <c r="D504" s="1">
        <v>52614.6</v>
      </c>
      <c r="E504" s="1">
        <v>0</v>
      </c>
      <c r="F504" s="1">
        <v>420769</v>
      </c>
      <c r="G504" s="1">
        <v>94372.4</v>
      </c>
      <c r="H504" s="1">
        <v>380548</v>
      </c>
      <c r="I504" s="1">
        <v>769280</v>
      </c>
      <c r="J504" s="1">
        <v>54251.7</v>
      </c>
      <c r="K504" s="1">
        <v>89882.4</v>
      </c>
      <c r="L504" s="1">
        <v>10277.799999999999</v>
      </c>
      <c r="M504" s="1">
        <v>89937.600000000006</v>
      </c>
      <c r="N504" s="1">
        <v>14518.3</v>
      </c>
      <c r="O504" s="1">
        <v>3697.8</v>
      </c>
      <c r="P504" s="1">
        <v>54491</v>
      </c>
      <c r="Q504" s="1">
        <v>84816</v>
      </c>
      <c r="R504" s="1">
        <v>0</v>
      </c>
    </row>
    <row r="505" spans="1:18">
      <c r="A505" s="3">
        <v>45920.958350694447</v>
      </c>
      <c r="B505" s="1">
        <v>968565</v>
      </c>
      <c r="C505" s="1">
        <v>219197</v>
      </c>
      <c r="D505" s="1">
        <v>52624</v>
      </c>
      <c r="E505" s="1">
        <v>0</v>
      </c>
      <c r="F505" s="1">
        <v>420783</v>
      </c>
      <c r="G505" s="1">
        <v>94409.5</v>
      </c>
      <c r="H505" s="1">
        <v>380559</v>
      </c>
      <c r="I505" s="1">
        <v>769466</v>
      </c>
      <c r="J505" s="1">
        <v>54258.400000000001</v>
      </c>
      <c r="K505" s="1">
        <v>89884.7</v>
      </c>
      <c r="L505" s="1">
        <v>10292.6</v>
      </c>
      <c r="M505" s="1">
        <v>89945.600000000006</v>
      </c>
      <c r="N505" s="1">
        <v>14568.7</v>
      </c>
      <c r="O505" s="1">
        <v>3714.8</v>
      </c>
      <c r="P505" s="1">
        <v>54491</v>
      </c>
      <c r="Q505" s="1">
        <v>84816</v>
      </c>
      <c r="R505" s="1">
        <v>0</v>
      </c>
    </row>
    <row r="506" spans="1:18">
      <c r="A506" s="3">
        <v>45921.000017418984</v>
      </c>
      <c r="B506" s="1">
        <v>969045</v>
      </c>
      <c r="C506" s="1">
        <v>219296</v>
      </c>
      <c r="D506" s="1">
        <v>52632.5</v>
      </c>
      <c r="E506" s="1">
        <v>0</v>
      </c>
      <c r="F506" s="1">
        <v>420795</v>
      </c>
      <c r="G506" s="1">
        <v>94446.3</v>
      </c>
      <c r="H506" s="1">
        <v>380570</v>
      </c>
      <c r="I506" s="1">
        <v>769646</v>
      </c>
      <c r="J506" s="1">
        <v>54263.7</v>
      </c>
      <c r="K506" s="1">
        <v>89886.8</v>
      </c>
      <c r="L506" s="1">
        <v>10305.799999999999</v>
      </c>
      <c r="M506" s="1">
        <v>89953.3</v>
      </c>
      <c r="N506" s="1">
        <v>14619.1</v>
      </c>
      <c r="O506" s="1">
        <v>3731.6</v>
      </c>
      <c r="P506" s="1">
        <v>54491</v>
      </c>
      <c r="Q506" s="1">
        <v>84816</v>
      </c>
      <c r="R506" s="1">
        <v>0</v>
      </c>
    </row>
    <row r="507" spans="1:18">
      <c r="A507" s="3">
        <v>45921.041684143522</v>
      </c>
      <c r="B507" s="1">
        <v>969503</v>
      </c>
      <c r="C507" s="1">
        <v>219393</v>
      </c>
      <c r="D507" s="1">
        <v>52640.4</v>
      </c>
      <c r="E507" s="1">
        <v>0</v>
      </c>
      <c r="F507" s="1">
        <v>420808</v>
      </c>
      <c r="G507" s="1">
        <v>94482.4</v>
      </c>
      <c r="H507" s="1">
        <v>380581</v>
      </c>
      <c r="I507" s="1">
        <v>769817</v>
      </c>
      <c r="J507" s="1">
        <v>54266.8</v>
      </c>
      <c r="K507" s="1">
        <v>89889</v>
      </c>
      <c r="L507" s="1">
        <v>10318.6</v>
      </c>
      <c r="M507" s="1">
        <v>89960.7</v>
      </c>
      <c r="N507" s="1">
        <v>14668.8</v>
      </c>
      <c r="O507" s="1">
        <v>3747.2</v>
      </c>
      <c r="P507" s="1">
        <v>54491</v>
      </c>
      <c r="Q507" s="1">
        <v>84816</v>
      </c>
      <c r="R507" s="1">
        <v>0</v>
      </c>
    </row>
    <row r="508" spans="1:18">
      <c r="A508" s="3">
        <v>45921.083350868059</v>
      </c>
      <c r="B508" s="1">
        <v>969953</v>
      </c>
      <c r="C508" s="1">
        <v>219487</v>
      </c>
      <c r="D508" s="1">
        <v>52649.8</v>
      </c>
      <c r="E508" s="1">
        <v>0</v>
      </c>
      <c r="F508" s="1">
        <v>420820</v>
      </c>
      <c r="G508" s="1">
        <v>94519.5</v>
      </c>
      <c r="H508" s="1">
        <v>380592</v>
      </c>
      <c r="I508" s="1">
        <v>769977</v>
      </c>
      <c r="J508" s="1">
        <v>54270.1</v>
      </c>
      <c r="K508" s="1">
        <v>89891.199999999997</v>
      </c>
      <c r="L508" s="1">
        <v>10331.799999999999</v>
      </c>
      <c r="M508" s="1">
        <v>89968.5</v>
      </c>
      <c r="N508" s="1">
        <v>14718.2</v>
      </c>
      <c r="O508" s="1">
        <v>3763.7</v>
      </c>
      <c r="P508" s="1">
        <v>54491</v>
      </c>
      <c r="Q508" s="1">
        <v>84816</v>
      </c>
      <c r="R508" s="1">
        <v>0</v>
      </c>
    </row>
    <row r="509" spans="1:18">
      <c r="A509" s="3">
        <v>45921.125017592596</v>
      </c>
      <c r="B509" s="1">
        <v>970399</v>
      </c>
      <c r="C509" s="1">
        <v>219581</v>
      </c>
      <c r="D509" s="1">
        <v>52659.4</v>
      </c>
      <c r="E509" s="1">
        <v>0</v>
      </c>
      <c r="F509" s="1">
        <v>420833</v>
      </c>
      <c r="G509" s="1">
        <v>94556.5</v>
      </c>
      <c r="H509" s="1">
        <v>380603</v>
      </c>
      <c r="I509" s="1">
        <v>770136</v>
      </c>
      <c r="J509" s="1">
        <v>54273.4</v>
      </c>
      <c r="K509" s="1">
        <v>89893.5</v>
      </c>
      <c r="L509" s="1">
        <v>10345.700000000001</v>
      </c>
      <c r="M509" s="1">
        <v>89976.2</v>
      </c>
      <c r="N509" s="1">
        <v>14767.6</v>
      </c>
      <c r="O509" s="1">
        <v>3780</v>
      </c>
      <c r="P509" s="1">
        <v>54491</v>
      </c>
      <c r="Q509" s="1">
        <v>84816</v>
      </c>
      <c r="R509" s="1">
        <v>0</v>
      </c>
    </row>
    <row r="510" spans="1:18">
      <c r="A510" s="3">
        <v>45921.166684317126</v>
      </c>
      <c r="B510" s="1">
        <v>970842</v>
      </c>
      <c r="C510" s="1">
        <v>219677</v>
      </c>
      <c r="D510" s="1">
        <v>52668.2</v>
      </c>
      <c r="E510" s="1">
        <v>0</v>
      </c>
      <c r="F510" s="1">
        <v>420846</v>
      </c>
      <c r="G510" s="1">
        <v>94592</v>
      </c>
      <c r="H510" s="1">
        <v>380613</v>
      </c>
      <c r="I510" s="1">
        <v>770293</v>
      </c>
      <c r="J510" s="1">
        <v>54276.6</v>
      </c>
      <c r="K510" s="1">
        <v>89895.6</v>
      </c>
      <c r="L510" s="1">
        <v>10360.1</v>
      </c>
      <c r="M510" s="1">
        <v>89983.9</v>
      </c>
      <c r="N510" s="1">
        <v>14817.4</v>
      </c>
      <c r="O510" s="1">
        <v>3796.5</v>
      </c>
      <c r="P510" s="1">
        <v>54491</v>
      </c>
      <c r="Q510" s="1">
        <v>84816</v>
      </c>
      <c r="R510" s="1">
        <v>0</v>
      </c>
    </row>
    <row r="511" spans="1:18">
      <c r="A511" s="3">
        <v>45921.208351041663</v>
      </c>
      <c r="B511" s="1">
        <v>971271</v>
      </c>
      <c r="C511" s="1">
        <v>219770</v>
      </c>
      <c r="D511" s="1">
        <v>52676.7</v>
      </c>
      <c r="E511" s="1">
        <v>0</v>
      </c>
      <c r="F511" s="1">
        <v>420857</v>
      </c>
      <c r="G511" s="1">
        <v>94627.5</v>
      </c>
      <c r="H511" s="1">
        <v>380624</v>
      </c>
      <c r="I511" s="1">
        <v>770443</v>
      </c>
      <c r="J511" s="1">
        <v>54279.8</v>
      </c>
      <c r="K511" s="1">
        <v>89897.9</v>
      </c>
      <c r="L511" s="1">
        <v>10372.9</v>
      </c>
      <c r="M511" s="1">
        <v>89991.3</v>
      </c>
      <c r="N511" s="1">
        <v>14866.7</v>
      </c>
      <c r="O511" s="1">
        <v>3813.3</v>
      </c>
      <c r="P511" s="1">
        <v>54491</v>
      </c>
      <c r="Q511" s="1">
        <v>84816</v>
      </c>
      <c r="R511" s="1">
        <v>0</v>
      </c>
    </row>
    <row r="512" spans="1:18">
      <c r="A512" s="3">
        <v>45921.2500177662</v>
      </c>
      <c r="B512" s="1">
        <v>971704</v>
      </c>
      <c r="C512" s="1">
        <v>219863</v>
      </c>
      <c r="D512" s="1">
        <v>52685.599999999999</v>
      </c>
      <c r="E512" s="1">
        <v>0</v>
      </c>
      <c r="F512" s="1">
        <v>420870</v>
      </c>
      <c r="G512" s="1">
        <v>94663</v>
      </c>
      <c r="H512" s="1">
        <v>380634</v>
      </c>
      <c r="I512" s="1">
        <v>770594</v>
      </c>
      <c r="J512" s="1">
        <v>54282.8</v>
      </c>
      <c r="K512" s="1">
        <v>89900.1</v>
      </c>
      <c r="L512" s="1">
        <v>10385.700000000001</v>
      </c>
      <c r="M512" s="1">
        <v>89999.3</v>
      </c>
      <c r="N512" s="1">
        <v>14916.1</v>
      </c>
      <c r="O512" s="1">
        <v>3830.1</v>
      </c>
      <c r="P512" s="1">
        <v>54491</v>
      </c>
      <c r="Q512" s="1">
        <v>84816</v>
      </c>
      <c r="R512" s="1">
        <v>0</v>
      </c>
    </row>
    <row r="513" spans="1:19">
      <c r="A513" s="3">
        <v>45921.291684490738</v>
      </c>
      <c r="B513" s="1">
        <v>972141</v>
      </c>
      <c r="C513" s="1">
        <v>219955</v>
      </c>
      <c r="D513" s="1">
        <v>52694.400000000001</v>
      </c>
      <c r="E513" s="1">
        <v>0</v>
      </c>
      <c r="F513" s="1">
        <v>420883</v>
      </c>
      <c r="G513" s="1">
        <v>94697.4</v>
      </c>
      <c r="H513" s="1">
        <v>380645</v>
      </c>
      <c r="I513" s="1">
        <v>770751</v>
      </c>
      <c r="J513" s="1">
        <v>54285.9</v>
      </c>
      <c r="K513" s="1">
        <v>89902.399999999994</v>
      </c>
      <c r="L513" s="1">
        <v>10398.9</v>
      </c>
      <c r="M513" s="1">
        <v>90007.5</v>
      </c>
      <c r="N513" s="1">
        <v>14965.8</v>
      </c>
      <c r="O513" s="1">
        <v>3844.9</v>
      </c>
      <c r="P513" s="1">
        <v>54491</v>
      </c>
      <c r="Q513" s="1">
        <v>84816</v>
      </c>
      <c r="R513" s="1">
        <v>0</v>
      </c>
    </row>
    <row r="514" spans="1:19">
      <c r="A514" s="3">
        <v>45921.333351215275</v>
      </c>
      <c r="B514" s="1">
        <v>972573</v>
      </c>
      <c r="C514" s="1">
        <v>220049</v>
      </c>
      <c r="D514" s="1">
        <v>52703.8</v>
      </c>
      <c r="E514" s="1">
        <v>0</v>
      </c>
      <c r="F514" s="1">
        <v>420896</v>
      </c>
      <c r="G514" s="1">
        <v>94732</v>
      </c>
      <c r="H514" s="1">
        <v>380655</v>
      </c>
      <c r="I514" s="1">
        <v>770902</v>
      </c>
      <c r="J514" s="1">
        <v>54289.2</v>
      </c>
      <c r="K514" s="1">
        <v>89904.5</v>
      </c>
      <c r="L514" s="1">
        <v>10411.9</v>
      </c>
      <c r="M514" s="1">
        <v>90015.2</v>
      </c>
      <c r="N514" s="1">
        <v>15015.4</v>
      </c>
      <c r="O514" s="1">
        <v>3861.1</v>
      </c>
      <c r="P514" s="1">
        <v>54491</v>
      </c>
      <c r="Q514" s="1">
        <v>84816</v>
      </c>
      <c r="R514" s="1">
        <v>0</v>
      </c>
    </row>
    <row r="515" spans="1:19">
      <c r="A515" s="3">
        <v>45921.375017939812</v>
      </c>
      <c r="B515" s="1">
        <v>973001</v>
      </c>
      <c r="C515" s="1">
        <v>220138</v>
      </c>
      <c r="D515" s="1">
        <v>52712.5</v>
      </c>
      <c r="E515" s="1">
        <v>0</v>
      </c>
      <c r="F515" s="1">
        <v>420906</v>
      </c>
      <c r="G515" s="1">
        <v>94763</v>
      </c>
      <c r="H515" s="1">
        <v>380666</v>
      </c>
      <c r="I515" s="1">
        <v>771064</v>
      </c>
      <c r="J515" s="1">
        <v>54292.6</v>
      </c>
      <c r="K515" s="1">
        <v>89906.5</v>
      </c>
      <c r="L515" s="1">
        <v>10425.1</v>
      </c>
      <c r="M515" s="1">
        <v>90022.8</v>
      </c>
      <c r="N515" s="1">
        <v>15066.7</v>
      </c>
      <c r="O515" s="1">
        <v>3870.9</v>
      </c>
      <c r="P515" s="1">
        <v>54491</v>
      </c>
      <c r="Q515" s="1">
        <v>84816</v>
      </c>
      <c r="R515" s="1">
        <v>0</v>
      </c>
    </row>
    <row r="516" spans="1:19">
      <c r="A516" s="3">
        <v>45921.416684664349</v>
      </c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10"/>
    </row>
    <row r="517" spans="1:19">
      <c r="A517" s="3">
        <v>45921.458351388887</v>
      </c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10"/>
    </row>
    <row r="518" spans="1:19">
      <c r="A518" s="3">
        <v>45921.500018113424</v>
      </c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10"/>
    </row>
    <row r="519" spans="1:19">
      <c r="A519" s="3">
        <v>45921.541684837961</v>
      </c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10"/>
    </row>
    <row r="520" spans="1:19">
      <c r="A520" s="3">
        <v>45921.583351562498</v>
      </c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10"/>
    </row>
    <row r="521" spans="1:19">
      <c r="A521" s="3">
        <v>45921.625018287035</v>
      </c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10"/>
    </row>
    <row r="522" spans="1:19">
      <c r="A522" s="3">
        <v>45921.666685011573</v>
      </c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10"/>
    </row>
    <row r="523" spans="1:19">
      <c r="A523" s="3">
        <v>45921.70835173611</v>
      </c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10"/>
    </row>
    <row r="524" spans="1:19">
      <c r="A524" s="3">
        <v>45921.750018460647</v>
      </c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10"/>
    </row>
    <row r="525" spans="1:19">
      <c r="A525" s="3">
        <v>45921.791685185184</v>
      </c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10"/>
    </row>
    <row r="526" spans="1:19">
      <c r="A526" s="3">
        <v>45921.833351909721</v>
      </c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10"/>
    </row>
    <row r="527" spans="1:19">
      <c r="A527" s="3">
        <v>45921.875018634259</v>
      </c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10"/>
    </row>
    <row r="528" spans="1:19">
      <c r="A528" s="3">
        <v>45921.916685358796</v>
      </c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10"/>
    </row>
    <row r="529" spans="1:19">
      <c r="A529" s="3">
        <v>45921.958352083333</v>
      </c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10"/>
    </row>
    <row r="530" spans="1:19">
      <c r="A530" s="3">
        <v>45922.00001880787</v>
      </c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10"/>
    </row>
    <row r="531" spans="1:19">
      <c r="A531" s="3">
        <v>45922.041685532407</v>
      </c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10"/>
    </row>
    <row r="532" spans="1:19">
      <c r="A532" s="3">
        <v>45922.083352256945</v>
      </c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10"/>
    </row>
    <row r="533" spans="1:19">
      <c r="A533" s="3">
        <v>45922.125018981482</v>
      </c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10"/>
    </row>
    <row r="534" spans="1:19">
      <c r="A534" s="3">
        <v>45922.166685706019</v>
      </c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10"/>
    </row>
    <row r="535" spans="1:19">
      <c r="A535" s="3">
        <v>45922.208352430556</v>
      </c>
    </row>
    <row r="536" spans="1:19">
      <c r="A536" s="3">
        <v>45922.250019155093</v>
      </c>
    </row>
    <row r="537" spans="1:19">
      <c r="A537" s="3">
        <v>45922.291685879631</v>
      </c>
    </row>
    <row r="538" spans="1:19">
      <c r="A538" s="3">
        <v>45922.333352604168</v>
      </c>
    </row>
    <row r="539" spans="1:19">
      <c r="A539" s="3">
        <v>45922.375019328705</v>
      </c>
    </row>
    <row r="540" spans="1:19">
      <c r="A540" s="3">
        <v>45922.416686053242</v>
      </c>
    </row>
    <row r="541" spans="1:19">
      <c r="A541" s="3">
        <v>45922.45835277778</v>
      </c>
    </row>
    <row r="542" spans="1:19">
      <c r="A542" s="3">
        <v>45922.500019502317</v>
      </c>
    </row>
    <row r="543" spans="1:19">
      <c r="A543" s="3">
        <v>45922.541686226854</v>
      </c>
    </row>
    <row r="544" spans="1:19">
      <c r="A544" s="3">
        <v>45922.583352951391</v>
      </c>
    </row>
    <row r="545" spans="1:1">
      <c r="A545" s="3">
        <v>45922.625019675928</v>
      </c>
    </row>
    <row r="546" spans="1:1">
      <c r="A546" s="3">
        <v>45922.666686400466</v>
      </c>
    </row>
    <row r="547" spans="1:1">
      <c r="A547" s="3">
        <v>45922.708353125003</v>
      </c>
    </row>
    <row r="548" spans="1:1">
      <c r="A548" s="3">
        <v>45922.75001984954</v>
      </c>
    </row>
    <row r="549" spans="1:1">
      <c r="A549" s="3">
        <v>45922.791686574077</v>
      </c>
    </row>
    <row r="550" spans="1:1">
      <c r="A550" s="3">
        <v>45922.833353298614</v>
      </c>
    </row>
    <row r="551" spans="1:1">
      <c r="A551" s="3">
        <v>45922.875020023152</v>
      </c>
    </row>
    <row r="552" spans="1:1">
      <c r="A552" s="3">
        <v>45922.916686747689</v>
      </c>
    </row>
    <row r="553" spans="1:1">
      <c r="A553" s="3">
        <v>45922.958353472219</v>
      </c>
    </row>
    <row r="554" spans="1:1">
      <c r="A554" s="3">
        <v>45923.000020196756</v>
      </c>
    </row>
    <row r="555" spans="1:1">
      <c r="A555" s="3">
        <v>45923.041686921293</v>
      </c>
    </row>
    <row r="556" spans="1:1">
      <c r="A556" s="3">
        <v>45923.08335364583</v>
      </c>
    </row>
    <row r="557" spans="1:1">
      <c r="A557" s="3">
        <v>45923.125020370368</v>
      </c>
    </row>
    <row r="558" spans="1:1">
      <c r="A558" s="3">
        <v>45923.166687094905</v>
      </c>
    </row>
    <row r="559" spans="1:1">
      <c r="A559" s="3">
        <v>45923.208353819442</v>
      </c>
    </row>
    <row r="560" spans="1:1">
      <c r="A560" s="3">
        <v>45923.250020543979</v>
      </c>
    </row>
    <row r="561" spans="1:1">
      <c r="A561" s="3">
        <v>45923.291687268516</v>
      </c>
    </row>
    <row r="562" spans="1:1">
      <c r="A562" s="3">
        <v>45923.333353993054</v>
      </c>
    </row>
    <row r="563" spans="1:1">
      <c r="A563" s="3">
        <v>45923.375020717591</v>
      </c>
    </row>
    <row r="564" spans="1:1">
      <c r="A564" s="3">
        <v>45923.416687442128</v>
      </c>
    </row>
    <row r="565" spans="1:1">
      <c r="A565" s="3">
        <v>45923.458354166665</v>
      </c>
    </row>
    <row r="566" spans="1:1">
      <c r="A566" s="3">
        <v>45923.500020891202</v>
      </c>
    </row>
    <row r="567" spans="1:1">
      <c r="A567" s="3">
        <v>45923.54168761574</v>
      </c>
    </row>
    <row r="568" spans="1:1">
      <c r="A568" s="3">
        <v>45923.583354340277</v>
      </c>
    </row>
    <row r="569" spans="1:1">
      <c r="A569" s="3">
        <v>45923.625021064814</v>
      </c>
    </row>
    <row r="570" spans="1:1">
      <c r="A570" s="3">
        <v>45923.666687789351</v>
      </c>
    </row>
    <row r="571" spans="1:1">
      <c r="A571" s="3">
        <v>45923.708354513888</v>
      </c>
    </row>
    <row r="572" spans="1:1">
      <c r="A572" s="3">
        <v>45923.750021238426</v>
      </c>
    </row>
    <row r="573" spans="1:1">
      <c r="A573" s="3">
        <v>45923.791687962963</v>
      </c>
    </row>
    <row r="574" spans="1:1">
      <c r="A574" s="3">
        <v>45923.8333546875</v>
      </c>
    </row>
    <row r="575" spans="1:1">
      <c r="A575" s="3">
        <v>45923.875021412037</v>
      </c>
    </row>
    <row r="576" spans="1:1">
      <c r="A576" s="3">
        <v>45923.916688136575</v>
      </c>
    </row>
    <row r="577" spans="1:1">
      <c r="A577" s="3">
        <v>45923.958354861112</v>
      </c>
    </row>
    <row r="578" spans="1:1">
      <c r="A578" s="3">
        <v>45924.000021585649</v>
      </c>
    </row>
    <row r="579" spans="1:1">
      <c r="A579" s="3">
        <v>45924.041688310186</v>
      </c>
    </row>
    <row r="580" spans="1:1">
      <c r="A580" s="3">
        <v>45924.083355034723</v>
      </c>
    </row>
    <row r="581" spans="1:1">
      <c r="A581" s="3">
        <v>45924.125021759261</v>
      </c>
    </row>
    <row r="582" spans="1:1">
      <c r="A582" s="3">
        <v>45924.166688483798</v>
      </c>
    </row>
    <row r="583" spans="1:1">
      <c r="A583" s="3">
        <v>45924.208355208335</v>
      </c>
    </row>
    <row r="584" spans="1:1">
      <c r="A584" s="3">
        <v>45924.250021932872</v>
      </c>
    </row>
    <row r="585" spans="1:1">
      <c r="A585" s="3">
        <v>45924.291688657409</v>
      </c>
    </row>
    <row r="586" spans="1:1">
      <c r="A586" s="3">
        <v>45924.333355381947</v>
      </c>
    </row>
    <row r="587" spans="1:1">
      <c r="A587" s="3">
        <v>45924.375022106484</v>
      </c>
    </row>
    <row r="588" spans="1:1">
      <c r="A588" s="3">
        <v>45924.416688831021</v>
      </c>
    </row>
    <row r="589" spans="1:1">
      <c r="A589" s="3">
        <v>45924.458355555558</v>
      </c>
    </row>
    <row r="590" spans="1:1">
      <c r="A590" s="3">
        <v>45924.500022280095</v>
      </c>
    </row>
    <row r="591" spans="1:1">
      <c r="A591" s="3">
        <v>45924.541689004633</v>
      </c>
    </row>
    <row r="592" spans="1:1">
      <c r="A592" s="3">
        <v>45924.58335572917</v>
      </c>
    </row>
    <row r="593" spans="1:1">
      <c r="A593" s="3">
        <v>45924.625022453707</v>
      </c>
    </row>
    <row r="594" spans="1:1">
      <c r="A594" s="3">
        <v>45924.666689178244</v>
      </c>
    </row>
    <row r="595" spans="1:1">
      <c r="A595" s="3">
        <v>45924.708355902774</v>
      </c>
    </row>
    <row r="596" spans="1:1">
      <c r="A596" s="3">
        <v>45924.750022627311</v>
      </c>
    </row>
    <row r="597" spans="1:1">
      <c r="A597" s="3">
        <v>45924.791689351849</v>
      </c>
    </row>
    <row r="598" spans="1:1">
      <c r="A598" s="3">
        <v>45924.833356076386</v>
      </c>
    </row>
    <row r="599" spans="1:1">
      <c r="A599" s="3">
        <v>45924.875022800923</v>
      </c>
    </row>
    <row r="600" spans="1:1">
      <c r="A600" s="3">
        <v>45924.91668952546</v>
      </c>
    </row>
    <row r="601" spans="1:1">
      <c r="A601" s="3">
        <v>45924.958356249997</v>
      </c>
    </row>
    <row r="602" spans="1:1">
      <c r="A602" s="3">
        <v>45925.000022974535</v>
      </c>
    </row>
    <row r="603" spans="1:1">
      <c r="A603" s="3">
        <v>45925.041689699072</v>
      </c>
    </row>
    <row r="604" spans="1:1">
      <c r="A604" s="3">
        <v>45925.083356423609</v>
      </c>
    </row>
    <row r="605" spans="1:1">
      <c r="A605" s="3">
        <v>45925.125023148146</v>
      </c>
    </row>
    <row r="606" spans="1:1">
      <c r="A606" s="3">
        <v>45925.166689872683</v>
      </c>
    </row>
    <row r="607" spans="1:1">
      <c r="A607" s="3">
        <v>45925.208356597221</v>
      </c>
    </row>
    <row r="608" spans="1:1">
      <c r="A608" s="3">
        <v>45925.250023321758</v>
      </c>
    </row>
    <row r="609" spans="1:1">
      <c r="A609" s="3">
        <v>45925.291690046295</v>
      </c>
    </row>
    <row r="610" spans="1:1">
      <c r="A610" s="3">
        <v>45925.333356770832</v>
      </c>
    </row>
    <row r="611" spans="1:1">
      <c r="A611" s="3">
        <v>45925.37502349537</v>
      </c>
    </row>
    <row r="612" spans="1:1">
      <c r="A612" s="3">
        <v>45925.416690219907</v>
      </c>
    </row>
    <row r="613" spans="1:1">
      <c r="A613" s="3">
        <v>45925.458356944444</v>
      </c>
    </row>
    <row r="614" spans="1:1">
      <c r="A614" s="3">
        <v>45925.500023668981</v>
      </c>
    </row>
    <row r="615" spans="1:1">
      <c r="A615" s="3">
        <v>45925.541690393518</v>
      </c>
    </row>
    <row r="616" spans="1:1">
      <c r="A616" s="3">
        <v>45925.583357118056</v>
      </c>
    </row>
    <row r="617" spans="1:1">
      <c r="A617" s="3">
        <v>45925.625023842593</v>
      </c>
    </row>
    <row r="618" spans="1:1">
      <c r="A618" s="3">
        <v>45925.66669056713</v>
      </c>
    </row>
    <row r="619" spans="1:1">
      <c r="A619" s="3">
        <v>45925.708357291667</v>
      </c>
    </row>
    <row r="620" spans="1:1">
      <c r="A620" s="3">
        <v>45925.750024016204</v>
      </c>
    </row>
    <row r="621" spans="1:1">
      <c r="A621" s="3">
        <v>45925.791690740742</v>
      </c>
    </row>
    <row r="622" spans="1:1">
      <c r="A622" s="3">
        <v>45925.833357465279</v>
      </c>
    </row>
    <row r="623" spans="1:1">
      <c r="A623" s="3">
        <v>45925.875024189816</v>
      </c>
    </row>
    <row r="624" spans="1:1">
      <c r="A624" s="3">
        <v>45925.916690914353</v>
      </c>
    </row>
    <row r="625" spans="1:1">
      <c r="A625" s="3">
        <v>45925.95835763889</v>
      </c>
    </row>
    <row r="626" spans="1:1">
      <c r="A626" s="3">
        <v>45926.000024363428</v>
      </c>
    </row>
    <row r="627" spans="1:1">
      <c r="A627" s="3">
        <v>45926.041691087965</v>
      </c>
    </row>
    <row r="628" spans="1:1">
      <c r="A628" s="3">
        <v>45926.083357812502</v>
      </c>
    </row>
    <row r="629" spans="1:1">
      <c r="A629" s="3">
        <v>45926.125024537039</v>
      </c>
    </row>
    <row r="630" spans="1:1">
      <c r="A630" s="3">
        <v>45926.166691261576</v>
      </c>
    </row>
    <row r="631" spans="1:1">
      <c r="A631" s="3">
        <v>45926.208357986114</v>
      </c>
    </row>
    <row r="632" spans="1:1">
      <c r="A632" s="3">
        <v>45926.250024710651</v>
      </c>
    </row>
    <row r="633" spans="1:1">
      <c r="A633" s="3">
        <v>45926.291691435188</v>
      </c>
    </row>
    <row r="634" spans="1:1">
      <c r="A634" s="3">
        <v>45926.333358159725</v>
      </c>
    </row>
    <row r="635" spans="1:1">
      <c r="A635" s="3">
        <v>45926.375024884263</v>
      </c>
    </row>
    <row r="636" spans="1:1">
      <c r="A636" s="3">
        <v>45926.4166916088</v>
      </c>
    </row>
    <row r="637" spans="1:1">
      <c r="A637" s="3">
        <v>45926.458358333337</v>
      </c>
    </row>
    <row r="638" spans="1:1">
      <c r="A638" s="3">
        <v>45926.500025057867</v>
      </c>
    </row>
    <row r="639" spans="1:1">
      <c r="A639" s="3">
        <v>45926.541691782404</v>
      </c>
    </row>
    <row r="640" spans="1:1">
      <c r="A640" s="3">
        <v>45926.583358506941</v>
      </c>
    </row>
    <row r="641" spans="1:1">
      <c r="A641" s="3">
        <v>45926.625025231479</v>
      </c>
    </row>
    <row r="642" spans="1:1">
      <c r="A642" s="3">
        <v>45926.666691956016</v>
      </c>
    </row>
    <row r="643" spans="1:1">
      <c r="A643" s="3">
        <v>45926.708358680553</v>
      </c>
    </row>
    <row r="644" spans="1:1">
      <c r="A644" s="3">
        <v>45926.75002540509</v>
      </c>
    </row>
    <row r="645" spans="1:1">
      <c r="A645" s="3">
        <v>45926.791692129627</v>
      </c>
    </row>
    <row r="646" spans="1:1">
      <c r="A646" s="3">
        <v>45926.833358854165</v>
      </c>
    </row>
    <row r="647" spans="1:1">
      <c r="A647" s="3">
        <v>45926.875025578702</v>
      </c>
    </row>
    <row r="648" spans="1:1">
      <c r="A648" s="3">
        <v>45926.916692303239</v>
      </c>
    </row>
    <row r="649" spans="1:1">
      <c r="A649" s="3">
        <v>45926.958359027776</v>
      </c>
    </row>
    <row r="650" spans="1:1">
      <c r="A650" s="3">
        <v>45927.000025752313</v>
      </c>
    </row>
    <row r="651" spans="1:1">
      <c r="A651" s="3">
        <v>45927.041692476851</v>
      </c>
    </row>
    <row r="652" spans="1:1">
      <c r="A652" s="3">
        <v>45927.083359201388</v>
      </c>
    </row>
    <row r="653" spans="1:1">
      <c r="A653" s="3">
        <v>45927.125025925925</v>
      </c>
    </row>
    <row r="654" spans="1:1">
      <c r="A654" s="3">
        <v>45927.166692650462</v>
      </c>
    </row>
    <row r="655" spans="1:1">
      <c r="A655" s="3">
        <v>45927.208359374999</v>
      </c>
    </row>
    <row r="656" spans="1:1">
      <c r="A656" s="3">
        <v>45927.250026099537</v>
      </c>
    </row>
    <row r="657" spans="1:1">
      <c r="A657" s="3">
        <v>45927.291692824074</v>
      </c>
    </row>
    <row r="658" spans="1:1">
      <c r="A658" s="3">
        <v>45927.333359548611</v>
      </c>
    </row>
    <row r="659" spans="1:1">
      <c r="A659" s="3">
        <v>45927.375026273148</v>
      </c>
    </row>
    <row r="660" spans="1:1">
      <c r="A660" s="3">
        <v>45927.416692997685</v>
      </c>
    </row>
    <row r="661" spans="1:1">
      <c r="A661" s="3">
        <v>45927.458359722223</v>
      </c>
    </row>
    <row r="662" spans="1:1">
      <c r="A662" s="3">
        <v>45927.50002644676</v>
      </c>
    </row>
    <row r="663" spans="1:1">
      <c r="A663" s="3">
        <v>45927.541693171297</v>
      </c>
    </row>
    <row r="664" spans="1:1">
      <c r="A664" s="3">
        <v>45927.583359895834</v>
      </c>
    </row>
    <row r="665" spans="1:1">
      <c r="A665" s="3">
        <v>45927.625026620372</v>
      </c>
    </row>
    <row r="666" spans="1:1">
      <c r="A666" s="3">
        <v>45927.666693344909</v>
      </c>
    </row>
    <row r="667" spans="1:1">
      <c r="A667" s="3">
        <v>45927.708360069446</v>
      </c>
    </row>
    <row r="668" spans="1:1">
      <c r="A668" s="3">
        <v>45927.750026793983</v>
      </c>
    </row>
    <row r="669" spans="1:1">
      <c r="A669" s="3">
        <v>45927.79169351852</v>
      </c>
    </row>
    <row r="670" spans="1:1">
      <c r="A670" s="3">
        <v>45927.833360243058</v>
      </c>
    </row>
    <row r="671" spans="1:1">
      <c r="A671" s="3">
        <v>45927.875026967595</v>
      </c>
    </row>
    <row r="672" spans="1:1">
      <c r="A672" s="3">
        <v>45927.916693692132</v>
      </c>
    </row>
    <row r="673" spans="1:1">
      <c r="A673" s="3">
        <v>45927.958360416669</v>
      </c>
    </row>
    <row r="674" spans="1:1">
      <c r="A674" s="3">
        <v>45928.000027141206</v>
      </c>
    </row>
    <row r="675" spans="1:1">
      <c r="A675" s="3">
        <v>45928.041693865744</v>
      </c>
    </row>
    <row r="676" spans="1:1">
      <c r="A676" s="3">
        <v>45928.083360590281</v>
      </c>
    </row>
    <row r="677" spans="1:1">
      <c r="A677" s="3">
        <v>45928.125027314818</v>
      </c>
    </row>
    <row r="678" spans="1:1">
      <c r="A678" s="3">
        <v>45928.166694039355</v>
      </c>
    </row>
    <row r="679" spans="1:1">
      <c r="A679" s="3">
        <v>45928.208360763892</v>
      </c>
    </row>
    <row r="680" spans="1:1">
      <c r="A680" s="3">
        <v>45928.250027488422</v>
      </c>
    </row>
    <row r="681" spans="1:1">
      <c r="A681" s="3">
        <v>45928.29169421296</v>
      </c>
    </row>
    <row r="682" spans="1:1">
      <c r="A682" s="3">
        <v>45928.333360937497</v>
      </c>
    </row>
    <row r="683" spans="1:1">
      <c r="A683" s="3">
        <v>45928.375027662034</v>
      </c>
    </row>
    <row r="684" spans="1:1">
      <c r="A684" s="3">
        <v>45928.416694386571</v>
      </c>
    </row>
    <row r="685" spans="1:1">
      <c r="A685" s="3">
        <v>45928.458361111108</v>
      </c>
    </row>
    <row r="686" spans="1:1">
      <c r="A686" s="3">
        <v>45928.500027835646</v>
      </c>
    </row>
    <row r="687" spans="1:1">
      <c r="A687" s="3">
        <v>45928.541694560183</v>
      </c>
    </row>
    <row r="688" spans="1:1">
      <c r="A688" s="3">
        <v>45928.58336128472</v>
      </c>
    </row>
    <row r="689" spans="1:1">
      <c r="A689" s="3">
        <v>45928.625028009257</v>
      </c>
    </row>
    <row r="690" spans="1:1">
      <c r="A690" s="3">
        <v>45928.666694733794</v>
      </c>
    </row>
    <row r="691" spans="1:1">
      <c r="A691" s="3">
        <v>45928.708361458332</v>
      </c>
    </row>
    <row r="692" spans="1:1">
      <c r="A692" s="3">
        <v>45928.750028182869</v>
      </c>
    </row>
    <row r="693" spans="1:1">
      <c r="A693" s="3">
        <v>45928.791694907406</v>
      </c>
    </row>
    <row r="694" spans="1:1">
      <c r="A694" s="3">
        <v>45928.833361631943</v>
      </c>
    </row>
    <row r="695" spans="1:1">
      <c r="A695" s="3">
        <v>45928.87502835648</v>
      </c>
    </row>
    <row r="696" spans="1:1">
      <c r="A696" s="3">
        <v>45928.916695081018</v>
      </c>
    </row>
    <row r="697" spans="1:1">
      <c r="A697" s="3">
        <v>45928.958361805555</v>
      </c>
    </row>
    <row r="698" spans="1:1">
      <c r="A698" s="3">
        <v>45929.000028530092</v>
      </c>
    </row>
    <row r="699" spans="1:1">
      <c r="A699" s="3">
        <v>45929.041695254629</v>
      </c>
    </row>
    <row r="700" spans="1:1">
      <c r="A700" s="3">
        <v>45929.083361979167</v>
      </c>
    </row>
    <row r="701" spans="1:1">
      <c r="A701" s="3">
        <v>45929.125028703704</v>
      </c>
    </row>
    <row r="702" spans="1:1">
      <c r="A702" s="3">
        <v>45929.166695428241</v>
      </c>
    </row>
    <row r="703" spans="1:1">
      <c r="A703" s="3">
        <v>45929.208362152778</v>
      </c>
    </row>
    <row r="704" spans="1:1">
      <c r="A704" s="3">
        <v>45929.250028877315</v>
      </c>
    </row>
    <row r="705" spans="1:1">
      <c r="A705" s="3">
        <v>45929.291695601853</v>
      </c>
    </row>
    <row r="706" spans="1:1">
      <c r="A706" s="3">
        <v>45929.33336232639</v>
      </c>
    </row>
    <row r="707" spans="1:1">
      <c r="A707" s="3">
        <v>45929.375029050927</v>
      </c>
    </row>
    <row r="708" spans="1:1">
      <c r="A708" s="3">
        <v>45929.416695775464</v>
      </c>
    </row>
    <row r="709" spans="1:1">
      <c r="A709" s="3">
        <v>45929.458362500001</v>
      </c>
    </row>
    <row r="710" spans="1:1">
      <c r="A710" s="3">
        <v>45929.500029224539</v>
      </c>
    </row>
    <row r="711" spans="1:1">
      <c r="A711" s="3">
        <v>45929.541695949076</v>
      </c>
    </row>
    <row r="712" spans="1:1">
      <c r="A712" s="3">
        <v>45929.583362673613</v>
      </c>
    </row>
    <row r="713" spans="1:1">
      <c r="A713" s="3">
        <v>45929.62502939815</v>
      </c>
    </row>
    <row r="714" spans="1:1">
      <c r="A714" s="3">
        <v>45929.666696122687</v>
      </c>
    </row>
    <row r="715" spans="1:1">
      <c r="A715" s="3">
        <v>45929.708362847225</v>
      </c>
    </row>
    <row r="716" spans="1:1">
      <c r="A716" s="3">
        <v>45929.750029571762</v>
      </c>
    </row>
    <row r="717" spans="1:1">
      <c r="A717" s="3">
        <v>45929.791696296299</v>
      </c>
    </row>
    <row r="718" spans="1:1">
      <c r="A718" s="3">
        <v>45929.833363020836</v>
      </c>
    </row>
    <row r="719" spans="1:1">
      <c r="A719" s="3">
        <v>45929.875029745373</v>
      </c>
    </row>
    <row r="720" spans="1:1">
      <c r="A720" s="3">
        <v>45929.916696469911</v>
      </c>
    </row>
    <row r="721" spans="1:22">
      <c r="A721" s="3">
        <v>45929.958363194448</v>
      </c>
    </row>
    <row r="722" spans="1:22">
      <c r="A722" s="3">
        <v>45930.000029918985</v>
      </c>
    </row>
    <row r="723" spans="1:22">
      <c r="A723" s="3">
        <v>45930.041696643515</v>
      </c>
      <c r="T723" s="10"/>
      <c r="U723" s="10"/>
      <c r="V723" s="10"/>
    </row>
    <row r="724" spans="1:22">
      <c r="A724" s="3">
        <v>45930.083363368052</v>
      </c>
      <c r="T724" s="10"/>
      <c r="U724" s="10"/>
      <c r="V724" s="10"/>
    </row>
    <row r="725" spans="1:22">
      <c r="A725" s="3">
        <v>45930.125030092589</v>
      </c>
      <c r="T725" s="10"/>
      <c r="U725" s="10"/>
      <c r="V725" s="10"/>
    </row>
    <row r="726" spans="1:22">
      <c r="A726" s="3">
        <v>45930.166696817127</v>
      </c>
      <c r="T726" s="10"/>
      <c r="U726" s="10"/>
      <c r="V726" s="10"/>
    </row>
    <row r="727" spans="1:22">
      <c r="A727" s="3">
        <v>45930.208363541664</v>
      </c>
      <c r="T727" s="10"/>
      <c r="U727" s="10"/>
      <c r="V727" s="10"/>
    </row>
    <row r="728" spans="1:22">
      <c r="A728" s="3">
        <v>45930.250030266201</v>
      </c>
      <c r="T728" s="10"/>
      <c r="U728" s="10"/>
      <c r="V728" s="10"/>
    </row>
    <row r="729" spans="1:22">
      <c r="A729" s="3">
        <v>45930.291696990738</v>
      </c>
      <c r="T729" s="10"/>
      <c r="U729" s="10"/>
      <c r="V729" s="10"/>
    </row>
    <row r="730" spans="1:22">
      <c r="A730" s="3">
        <v>45930.333363715275</v>
      </c>
      <c r="T730" s="10"/>
      <c r="U730" s="10"/>
      <c r="V730" s="10"/>
    </row>
    <row r="731" spans="1:22">
      <c r="A731" s="3">
        <v>45930.375030439813</v>
      </c>
      <c r="T731" s="10"/>
      <c r="U731" s="10"/>
      <c r="V731" s="10"/>
    </row>
    <row r="732" spans="1:22">
      <c r="A732" s="3">
        <v>45930.41669716435</v>
      </c>
      <c r="T732" s="10"/>
      <c r="U732" s="10"/>
      <c r="V732" s="10"/>
    </row>
    <row r="733" spans="1:22">
      <c r="A733" s="3">
        <v>45930.458363888887</v>
      </c>
      <c r="T733" s="10"/>
      <c r="U733" s="10"/>
      <c r="V733" s="10"/>
    </row>
    <row r="734" spans="1:22">
      <c r="A734" s="3">
        <v>45930.500030613424</v>
      </c>
      <c r="T734" s="10"/>
      <c r="U734" s="10"/>
      <c r="V734" s="10"/>
    </row>
    <row r="735" spans="1:22">
      <c r="A735" s="3">
        <v>45930.541697337962</v>
      </c>
      <c r="T735" s="10"/>
      <c r="U735" s="10"/>
      <c r="V735" s="10"/>
    </row>
    <row r="736" spans="1:22">
      <c r="A736" s="3">
        <v>45930.583364062499</v>
      </c>
      <c r="T736" s="10"/>
      <c r="U736" s="10"/>
      <c r="V736" s="10"/>
    </row>
    <row r="737" spans="1:22">
      <c r="A737" s="3">
        <v>45930.625030787036</v>
      </c>
      <c r="T737" s="10"/>
      <c r="U737" s="10"/>
      <c r="V737" s="10"/>
    </row>
    <row r="738" spans="1:22">
      <c r="A738" s="3">
        <v>45930.666697511573</v>
      </c>
      <c r="T738" s="10"/>
      <c r="U738" s="10"/>
      <c r="V738" s="10"/>
    </row>
    <row r="739" spans="1:22">
      <c r="A739" s="3">
        <v>45930.70836423611</v>
      </c>
      <c r="T739" s="10"/>
      <c r="U739" s="10"/>
      <c r="V739" s="10"/>
    </row>
    <row r="740" spans="1:22">
      <c r="A740" s="3">
        <v>45930.750030960648</v>
      </c>
      <c r="T740" s="10"/>
      <c r="U740" s="10"/>
      <c r="V740" s="10"/>
    </row>
    <row r="741" spans="1:22">
      <c r="A741" s="3">
        <v>45930.791697685185</v>
      </c>
      <c r="T741" s="10"/>
      <c r="U741" s="10"/>
      <c r="V741" s="10"/>
    </row>
    <row r="742" spans="1:22">
      <c r="A742" s="3">
        <v>45930.833364409722</v>
      </c>
      <c r="T742" s="10"/>
      <c r="U742" s="10"/>
      <c r="V742" s="10"/>
    </row>
    <row r="743" spans="1:22">
      <c r="A743" s="3">
        <v>45930.875031134259</v>
      </c>
      <c r="T743" s="10"/>
      <c r="U743" s="10"/>
      <c r="V743" s="10"/>
    </row>
    <row r="744" spans="1:22">
      <c r="A744" s="3">
        <v>45930.916697858796</v>
      </c>
      <c r="T744" s="10"/>
      <c r="U744" s="10"/>
      <c r="V744" s="10"/>
    </row>
    <row r="745" spans="1:22">
      <c r="A745" s="3">
        <v>45930.958364583334</v>
      </c>
      <c r="T745" s="10"/>
      <c r="U745" s="10"/>
      <c r="V745" s="10"/>
    </row>
    <row r="746" spans="1:22">
      <c r="A746" s="3">
        <v>45931.000031307871</v>
      </c>
      <c r="T746" s="10"/>
      <c r="U746" s="10"/>
      <c r="V746" s="10"/>
    </row>
    <row r="747" spans="1:22">
      <c r="A747" s="3">
        <v>45931.041698032408</v>
      </c>
      <c r="T747" s="10"/>
      <c r="U747" s="10"/>
      <c r="V747" s="10"/>
    </row>
    <row r="748" spans="1:22">
      <c r="A748" s="3">
        <v>45931.083364756945</v>
      </c>
      <c r="T748" s="10"/>
      <c r="U748" s="10"/>
      <c r="V748" s="10"/>
    </row>
    <row r="749" spans="1:22">
      <c r="A749" s="3">
        <v>45931.125031481482</v>
      </c>
      <c r="T749" s="10"/>
      <c r="U749" s="10"/>
      <c r="V749" s="10"/>
    </row>
    <row r="750" spans="1:22">
      <c r="A750" s="3">
        <v>45931.16669820602</v>
      </c>
      <c r="T750" s="10"/>
      <c r="U750" s="10"/>
      <c r="V750" s="10"/>
    </row>
    <row r="751" spans="1:22">
      <c r="A751" s="3">
        <v>45931.208364930557</v>
      </c>
      <c r="T751" s="10"/>
      <c r="U751" s="10"/>
      <c r="V751" s="10"/>
    </row>
    <row r="752" spans="1:22">
      <c r="A752" s="3">
        <v>45931.250031655094</v>
      </c>
      <c r="T752" s="10"/>
      <c r="U752" s="10"/>
      <c r="V752" s="10"/>
    </row>
    <row r="753" spans="1:22">
      <c r="A753" s="3">
        <v>45931.291698379631</v>
      </c>
      <c r="T753" s="10"/>
      <c r="U753" s="10"/>
      <c r="V753" s="10"/>
    </row>
    <row r="754" spans="1:22">
      <c r="A754" s="3">
        <v>45931.333365104168</v>
      </c>
      <c r="T754" s="10"/>
      <c r="U754" s="10"/>
      <c r="V754" s="10"/>
    </row>
    <row r="755" spans="1:22">
      <c r="A755" s="3">
        <v>45931.375031828706</v>
      </c>
      <c r="T755" s="10"/>
      <c r="U755" s="10"/>
      <c r="V755" s="10"/>
    </row>
    <row r="756" spans="1:22">
      <c r="A756" s="3">
        <v>45931.416698553243</v>
      </c>
      <c r="T756" s="10"/>
      <c r="U756" s="10"/>
      <c r="V756" s="10"/>
    </row>
    <row r="757" spans="1:22">
      <c r="A757" s="3">
        <v>45931.45836527778</v>
      </c>
      <c r="T757" s="10"/>
      <c r="U757" s="10"/>
      <c r="V757" s="10"/>
    </row>
    <row r="758" spans="1:22">
      <c r="A758" s="3">
        <v>45931.500032002317</v>
      </c>
      <c r="T758" s="10"/>
      <c r="U758" s="10"/>
      <c r="V758" s="10"/>
    </row>
    <row r="759" spans="1:22">
      <c r="A759" s="3">
        <v>45931.541698726855</v>
      </c>
      <c r="T759" s="10"/>
      <c r="U759" s="10"/>
      <c r="V759" s="10"/>
    </row>
    <row r="760" spans="1:22">
      <c r="A760" s="3">
        <v>45931.583365451392</v>
      </c>
      <c r="T760" s="10"/>
      <c r="U760" s="10"/>
      <c r="V760" s="10"/>
    </row>
    <row r="761" spans="1:22">
      <c r="A761" s="3">
        <v>45931.625032175929</v>
      </c>
      <c r="T761" s="10"/>
      <c r="U761" s="10"/>
      <c r="V761" s="10"/>
    </row>
    <row r="762" spans="1:22">
      <c r="A762" s="3">
        <v>45931.666698900466</v>
      </c>
      <c r="T762" s="10"/>
      <c r="U762" s="10"/>
      <c r="V762" s="10"/>
    </row>
    <row r="763" spans="1:22">
      <c r="A763" s="3">
        <v>45931.708365625003</v>
      </c>
      <c r="T763" s="10"/>
      <c r="U763" s="10"/>
      <c r="V763" s="10"/>
    </row>
    <row r="764" spans="1:22">
      <c r="A764" s="3"/>
      <c r="T764" s="10"/>
      <c r="U764" s="10"/>
      <c r="V764" s="10"/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84E08-586C-41A0-9485-D649656FD862}">
  <dimension ref="A1:R736"/>
  <sheetViews>
    <sheetView tabSelected="1" workbookViewId="0">
      <pane xSplit="1" ySplit="1" topLeftCell="B500" activePane="bottomRight" state="frozen"/>
      <selection pane="topRight" activeCell="B1" sqref="B1"/>
      <selection pane="bottomLeft" activeCell="A2" sqref="A2"/>
      <selection pane="bottomRight" activeCell="O377" sqref="O377"/>
    </sheetView>
  </sheetViews>
  <sheetFormatPr defaultRowHeight="18.75"/>
  <cols>
    <col min="1" max="1" width="15.875" bestFit="1" customWidth="1"/>
  </cols>
  <sheetData>
    <row r="1" spans="1:18">
      <c r="A1" s="1" t="s">
        <v>23</v>
      </c>
      <c r="B1" s="1" t="s">
        <v>24</v>
      </c>
      <c r="C1" s="1" t="s">
        <v>25</v>
      </c>
      <c r="D1" s="1" t="s">
        <v>26</v>
      </c>
      <c r="E1" s="1" t="s">
        <v>27</v>
      </c>
      <c r="F1" s="1" t="s">
        <v>28</v>
      </c>
      <c r="G1" s="1" t="s">
        <v>29</v>
      </c>
      <c r="H1" s="1" t="s">
        <v>30</v>
      </c>
      <c r="I1" s="1" t="s">
        <v>31</v>
      </c>
      <c r="J1" s="1" t="s">
        <v>32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37</v>
      </c>
      <c r="P1" s="1" t="s">
        <v>38</v>
      </c>
      <c r="Q1" s="1" t="s">
        <v>39</v>
      </c>
      <c r="R1" s="1" t="s">
        <v>40</v>
      </c>
    </row>
    <row r="2" spans="1:18">
      <c r="A2" s="4">
        <v>45900</v>
      </c>
      <c r="B2">
        <f>電力量!B3-電力量!B2</f>
        <v>719</v>
      </c>
      <c r="C2">
        <f>電力量!C3-電力量!C2</f>
        <v>190</v>
      </c>
      <c r="D2">
        <f>電力量!D3-電力量!D2</f>
        <v>15.099999999998545</v>
      </c>
      <c r="E2">
        <f>電力量!E3-電力量!E2</f>
        <v>0</v>
      </c>
      <c r="F2">
        <f>電力量!F3-電力量!F2</f>
        <v>22</v>
      </c>
      <c r="G2">
        <f>電力量!G3-電力量!G2</f>
        <v>55</v>
      </c>
      <c r="H2">
        <f>電力量!H3-電力量!H2</f>
        <v>12</v>
      </c>
      <c r="I2">
        <f>電力量!I3-電力量!I2</f>
        <v>228</v>
      </c>
      <c r="J2">
        <f>電力量!J3-電力量!J2</f>
        <v>6.8000000000029104</v>
      </c>
      <c r="K2">
        <f>電力量!K3-電力量!K2</f>
        <v>3.6000000000058208</v>
      </c>
      <c r="L2">
        <f>電力量!L3-電力量!L2</f>
        <v>22</v>
      </c>
      <c r="M2">
        <f>電力量!M3-電力量!M2</f>
        <v>38.700000000011642</v>
      </c>
      <c r="N2">
        <f>電力量!N3-電力量!N2</f>
        <v>55.69999999999709</v>
      </c>
      <c r="O2">
        <f>電力量!O3-電力量!O2</f>
        <v>18.30000000000291</v>
      </c>
      <c r="P2">
        <f>電力量!P3-電力量!P2</f>
        <v>0</v>
      </c>
      <c r="Q2">
        <f>電力量!Q3-電力量!Q2</f>
        <v>0</v>
      </c>
      <c r="R2">
        <f>電力量!R3-電力量!R2</f>
        <v>0</v>
      </c>
    </row>
    <row r="3" spans="1:18">
      <c r="A3" s="4">
        <f t="shared" ref="A3" si="0">A2+(1/24)</f>
        <v>45900.041666666664</v>
      </c>
      <c r="B3">
        <f>電力量!B4-電力量!B3</f>
        <v>700</v>
      </c>
      <c r="C3">
        <f>電力量!C4-電力量!C3</f>
        <v>186</v>
      </c>
      <c r="D3">
        <f>電力量!D4-電力量!D3</f>
        <v>14.599999999998545</v>
      </c>
      <c r="E3">
        <f>電力量!E4-電力量!E3</f>
        <v>0</v>
      </c>
      <c r="F3">
        <f>電力量!F4-電力量!F3</f>
        <v>21</v>
      </c>
      <c r="G3">
        <f>電力量!G4-電力量!G3</f>
        <v>53.099999999998545</v>
      </c>
      <c r="H3">
        <f>電力量!H4-電力量!H3</f>
        <v>12</v>
      </c>
      <c r="I3">
        <f>電力量!I4-電力量!I3</f>
        <v>218</v>
      </c>
      <c r="J3">
        <f>電力量!J4-電力量!J3</f>
        <v>6.5</v>
      </c>
      <c r="K3">
        <f>電力量!K4-電力量!K3</f>
        <v>3.5999999999912689</v>
      </c>
      <c r="L3">
        <f>電力量!L4-電力量!L3</f>
        <v>21.80000000000291</v>
      </c>
      <c r="M3">
        <f>電力量!M4-電力量!M3</f>
        <v>38.599999999991269</v>
      </c>
      <c r="N3">
        <f>電力量!N4-電力量!N3</f>
        <v>55.30000000000291</v>
      </c>
      <c r="O3">
        <f>電力量!O4-電力量!O3</f>
        <v>19</v>
      </c>
      <c r="P3">
        <f>電力量!P4-電力量!P3</f>
        <v>0</v>
      </c>
      <c r="Q3">
        <f>電力量!Q4-電力量!Q3</f>
        <v>0</v>
      </c>
      <c r="R3">
        <f>電力量!R4-電力量!R3</f>
        <v>0</v>
      </c>
    </row>
    <row r="4" spans="1:18">
      <c r="A4" s="4">
        <f t="shared" ref="A4" si="1">A2+(2/24)</f>
        <v>45900.083333333336</v>
      </c>
      <c r="B4">
        <f>電力量!B5-電力量!B4</f>
        <v>698</v>
      </c>
      <c r="C4">
        <f>電力量!C5-電力量!C4</f>
        <v>181</v>
      </c>
      <c r="D4">
        <f>電力量!D5-電力量!D4</f>
        <v>16.5</v>
      </c>
      <c r="E4">
        <f>電力量!E5-電力量!E4</f>
        <v>0</v>
      </c>
      <c r="F4">
        <f>電力量!F5-電力量!F4</f>
        <v>21</v>
      </c>
      <c r="G4">
        <f>電力量!G5-電力量!G4</f>
        <v>51.900000000001455</v>
      </c>
      <c r="H4">
        <f>電力量!H5-電力量!H4</f>
        <v>12</v>
      </c>
      <c r="I4">
        <f>電力量!I5-電力量!I4</f>
        <v>215</v>
      </c>
      <c r="J4">
        <f>電力量!J5-電力量!J4</f>
        <v>6.2999999999956344</v>
      </c>
      <c r="K4">
        <f>電力量!K5-電力量!K4</f>
        <v>3.5</v>
      </c>
      <c r="L4">
        <f>電力量!L5-電力量!L4</f>
        <v>24.399999999994179</v>
      </c>
      <c r="M4">
        <f>電力量!M5-電力量!M4</f>
        <v>40</v>
      </c>
      <c r="N4">
        <f>電力量!N5-電力量!N4</f>
        <v>55</v>
      </c>
      <c r="O4">
        <f>電力量!O5-電力量!O4</f>
        <v>19.80000000000291</v>
      </c>
      <c r="P4">
        <f>電力量!P5-電力量!P4</f>
        <v>0</v>
      </c>
      <c r="Q4">
        <f>電力量!Q5-電力量!Q4</f>
        <v>0</v>
      </c>
      <c r="R4">
        <f>電力量!R5-電力量!R4</f>
        <v>0</v>
      </c>
    </row>
    <row r="5" spans="1:18">
      <c r="A5" s="4">
        <f t="shared" ref="A5" si="2">A2+(3/24)</f>
        <v>45900.125</v>
      </c>
      <c r="B5">
        <f>電力量!B6-電力量!B5</f>
        <v>684</v>
      </c>
      <c r="C5">
        <f>電力量!C6-電力量!C5</f>
        <v>174</v>
      </c>
      <c r="D5">
        <f>電力量!D6-電力量!D5</f>
        <v>14.5</v>
      </c>
      <c r="E5">
        <f>電力量!E6-電力量!E5</f>
        <v>0</v>
      </c>
      <c r="F5">
        <f>電力量!F6-電力量!F5</f>
        <v>21</v>
      </c>
      <c r="G5">
        <f>電力量!G6-電力量!G5</f>
        <v>51.400000000001455</v>
      </c>
      <c r="H5">
        <f>電力量!H6-電力量!H5</f>
        <v>13</v>
      </c>
      <c r="I5">
        <f>電力量!I6-電力量!I5</f>
        <v>213</v>
      </c>
      <c r="J5">
        <f>電力量!J6-電力量!J5</f>
        <v>6.5999999999985448</v>
      </c>
      <c r="K5">
        <f>電力量!K6-電力量!K5</f>
        <v>3.5</v>
      </c>
      <c r="L5">
        <f>電力量!L6-電力量!L5</f>
        <v>25.69999999999709</v>
      </c>
      <c r="M5">
        <f>電力量!M6-電力量!M5</f>
        <v>39.80000000000291</v>
      </c>
      <c r="N5">
        <f>電力量!N6-電力量!N5</f>
        <v>55.19999999999709</v>
      </c>
      <c r="O5">
        <f>電力量!O6-電力量!O5</f>
        <v>19</v>
      </c>
      <c r="P5">
        <f>電力量!P6-電力量!P5</f>
        <v>0</v>
      </c>
      <c r="Q5">
        <f>電力量!Q6-電力量!Q5</f>
        <v>0</v>
      </c>
      <c r="R5">
        <f>電力量!R6-電力量!R5</f>
        <v>0</v>
      </c>
    </row>
    <row r="6" spans="1:18">
      <c r="A6" s="4">
        <f t="shared" ref="A6" si="3">A2+(4/24)</f>
        <v>45900.166666666664</v>
      </c>
      <c r="B6">
        <f>電力量!B7-電力量!B6</f>
        <v>672</v>
      </c>
      <c r="C6">
        <f>電力量!C7-電力量!C6</f>
        <v>168</v>
      </c>
      <c r="D6">
        <f>電力量!D7-電力量!D6</f>
        <v>14.200000000004366</v>
      </c>
      <c r="E6">
        <f>電力量!E7-電力量!E6</f>
        <v>0</v>
      </c>
      <c r="F6">
        <f>電力量!F7-電力量!F6</f>
        <v>20</v>
      </c>
      <c r="G6">
        <f>電力量!G7-電力量!G6</f>
        <v>51.099999999998545</v>
      </c>
      <c r="H6">
        <f>電力量!H7-電力量!H6</f>
        <v>11</v>
      </c>
      <c r="I6">
        <f>電力量!I7-電力量!I6</f>
        <v>215</v>
      </c>
      <c r="J6">
        <f>電力量!J7-電力量!J6</f>
        <v>6</v>
      </c>
      <c r="K6">
        <f>電力量!K7-電力量!K6</f>
        <v>3.4000000000087311</v>
      </c>
      <c r="L6">
        <f>電力量!L7-電力量!L6</f>
        <v>21.19999999999709</v>
      </c>
      <c r="M6">
        <f>電力量!M7-電力量!M6</f>
        <v>37.19999999999709</v>
      </c>
      <c r="N6">
        <f>電力量!N7-電力量!N6</f>
        <v>55.100000000005821</v>
      </c>
      <c r="O6">
        <f>電力量!O7-電力量!O6</f>
        <v>19.5</v>
      </c>
      <c r="P6">
        <f>電力量!P7-電力量!P6</f>
        <v>0</v>
      </c>
      <c r="Q6">
        <f>電力量!Q7-電力量!Q6</f>
        <v>0</v>
      </c>
      <c r="R6">
        <f>電力量!R7-電力量!R6</f>
        <v>0</v>
      </c>
    </row>
    <row r="7" spans="1:18">
      <c r="A7" s="4">
        <f t="shared" ref="A7" si="4">A2+(5/24)</f>
        <v>45900.208333333336</v>
      </c>
      <c r="B7">
        <f>電力量!B8-電力量!B7</f>
        <v>665</v>
      </c>
      <c r="C7">
        <f>電力量!C8-電力量!C7</f>
        <v>168</v>
      </c>
      <c r="D7">
        <f>電力量!D8-電力量!D7</f>
        <v>14.19999999999709</v>
      </c>
      <c r="E7">
        <f>電力量!E8-電力量!E7</f>
        <v>0</v>
      </c>
      <c r="F7">
        <f>電力量!F8-電力量!F7</f>
        <v>20</v>
      </c>
      <c r="G7">
        <f>電力量!G8-電力量!G7</f>
        <v>50.19999999999709</v>
      </c>
      <c r="H7">
        <f>電力量!H8-電力量!H7</f>
        <v>13</v>
      </c>
      <c r="I7">
        <f>電力量!I8-電力量!I7</f>
        <v>213</v>
      </c>
      <c r="J7">
        <f>電力量!J8-電力量!J7</f>
        <v>6.2000000000043656</v>
      </c>
      <c r="K7">
        <f>電力量!K8-電力量!K7</f>
        <v>3.2999999999883585</v>
      </c>
      <c r="L7">
        <f>電力量!L8-電力量!L7</f>
        <v>20.900000000008731</v>
      </c>
      <c r="M7">
        <f>電力量!M8-電力量!M7</f>
        <v>36.600000000005821</v>
      </c>
      <c r="N7">
        <f>電力量!N8-電力量!N7</f>
        <v>55</v>
      </c>
      <c r="O7">
        <f>電力量!O8-電力量!O7</f>
        <v>19</v>
      </c>
      <c r="P7">
        <f>電力量!P8-電力量!P7</f>
        <v>0</v>
      </c>
      <c r="Q7">
        <f>電力量!Q8-電力量!Q7</f>
        <v>0</v>
      </c>
      <c r="R7">
        <f>電力量!R8-電力量!R7</f>
        <v>0</v>
      </c>
    </row>
    <row r="8" spans="1:18">
      <c r="A8" s="4">
        <f t="shared" ref="A8" si="5">A2+(6/24)</f>
        <v>45900.25</v>
      </c>
      <c r="B8">
        <f>電力量!B9-電力量!B8</f>
        <v>654</v>
      </c>
      <c r="C8">
        <f>電力量!C9-電力量!C8</f>
        <v>167</v>
      </c>
      <c r="D8">
        <f>電力量!D9-電力量!D8</f>
        <v>14.80000000000291</v>
      </c>
      <c r="E8">
        <f>電力量!E9-電力量!E8</f>
        <v>0</v>
      </c>
      <c r="F8">
        <f>電力量!F9-電力量!F8</f>
        <v>21</v>
      </c>
      <c r="G8">
        <f>電力量!G9-電力量!G8</f>
        <v>49</v>
      </c>
      <c r="H8">
        <f>電力量!H9-電力量!H8</f>
        <v>12</v>
      </c>
      <c r="I8">
        <f>電力量!I9-電力量!I8</f>
        <v>206</v>
      </c>
      <c r="J8">
        <f>電力量!J9-電力量!J8</f>
        <v>6</v>
      </c>
      <c r="K8">
        <f>電力量!K9-電力量!K8</f>
        <v>2.9000000000087311</v>
      </c>
      <c r="L8">
        <f>電力量!L9-電力量!L8</f>
        <v>21.099999999991269</v>
      </c>
      <c r="M8">
        <f>電力量!M9-電力量!M8</f>
        <v>36.099999999991269</v>
      </c>
      <c r="N8">
        <f>電力量!N9-電力量!N8</f>
        <v>54.099999999991269</v>
      </c>
      <c r="O8">
        <f>電力量!O9-電力量!O8</f>
        <v>16.19999999999709</v>
      </c>
      <c r="P8">
        <f>電力量!P9-電力量!P8</f>
        <v>0</v>
      </c>
      <c r="Q8">
        <f>電力量!Q9-電力量!Q8</f>
        <v>1</v>
      </c>
      <c r="R8">
        <f>電力量!R9-電力量!R8</f>
        <v>0</v>
      </c>
    </row>
    <row r="9" spans="1:18">
      <c r="A9" s="4">
        <f t="shared" ref="A9" si="6">A2+(7/24)</f>
        <v>45900.291666666664</v>
      </c>
      <c r="B9">
        <f>電力量!B10-電力量!B9</f>
        <v>677</v>
      </c>
      <c r="C9">
        <f>電力量!C10-電力量!C9</f>
        <v>175</v>
      </c>
      <c r="D9">
        <f>電力量!D10-電力量!D9</f>
        <v>13.599999999998545</v>
      </c>
      <c r="E9">
        <f>電力量!E10-電力量!E9</f>
        <v>0</v>
      </c>
      <c r="F9">
        <f>電力量!F10-電力量!F9</f>
        <v>21</v>
      </c>
      <c r="G9">
        <f>電力量!G10-電力量!G9</f>
        <v>47.200000000004366</v>
      </c>
      <c r="H9">
        <f>電力量!H10-電力量!H9</f>
        <v>12</v>
      </c>
      <c r="I9">
        <f>電力量!I10-電力量!I9</f>
        <v>222</v>
      </c>
      <c r="J9">
        <f>電力量!J10-電力量!J9</f>
        <v>6.5999999999985448</v>
      </c>
      <c r="K9">
        <f>電力量!K10-電力量!K9</f>
        <v>0.69999999999708962</v>
      </c>
      <c r="L9">
        <f>電力量!L10-電力量!L9</f>
        <v>21.100000000005821</v>
      </c>
      <c r="M9">
        <f>電力量!M10-電力量!M9</f>
        <v>36.700000000011642</v>
      </c>
      <c r="N9">
        <f>電力量!N10-電力量!N9</f>
        <v>51.600000000005821</v>
      </c>
      <c r="O9">
        <f>電力量!O10-電力量!O9</f>
        <v>18.900000000008731</v>
      </c>
      <c r="P9">
        <f>電力量!P10-電力量!P9</f>
        <v>1</v>
      </c>
      <c r="Q9">
        <f>電力量!Q10-電力量!Q9</f>
        <v>3</v>
      </c>
      <c r="R9">
        <f>電力量!R10-電力量!R9</f>
        <v>0</v>
      </c>
    </row>
    <row r="10" spans="1:18">
      <c r="A10" s="4">
        <f t="shared" ref="A10" si="7">A2+(8/24)</f>
        <v>45900.333333333336</v>
      </c>
      <c r="B10">
        <f>電力量!B11-電力量!B10</f>
        <v>680</v>
      </c>
      <c r="C10">
        <f>電力量!C11-電力量!C10</f>
        <v>176</v>
      </c>
      <c r="D10">
        <f>電力量!D11-電力量!D10</f>
        <v>13.599999999998545</v>
      </c>
      <c r="E10">
        <f>電力量!E11-電力量!E10</f>
        <v>0</v>
      </c>
      <c r="F10">
        <f>電力量!F11-電力量!F10</f>
        <v>22</v>
      </c>
      <c r="G10">
        <f>電力量!G11-電力量!G10</f>
        <v>39.19999999999709</v>
      </c>
      <c r="H10">
        <f>電力量!H11-電力量!H10</f>
        <v>12</v>
      </c>
      <c r="I10">
        <f>電力量!I11-電力量!I10</f>
        <v>228</v>
      </c>
      <c r="J10">
        <f>電力量!J11-電力量!J10</f>
        <v>6.5999999999985448</v>
      </c>
      <c r="K10">
        <f>電力量!K11-電力量!K10</f>
        <v>0</v>
      </c>
      <c r="L10">
        <f>電力量!L11-電力量!L10</f>
        <v>21</v>
      </c>
      <c r="M10">
        <f>電力量!M11-電力量!M10</f>
        <v>39</v>
      </c>
      <c r="N10">
        <f>電力量!N11-電力量!N10</f>
        <v>49.19999999999709</v>
      </c>
      <c r="O10">
        <f>電力量!O11-電力量!O10</f>
        <v>18.899999999994179</v>
      </c>
      <c r="P10">
        <f>電力量!P11-電力量!P10</f>
        <v>5</v>
      </c>
      <c r="Q10">
        <f>電力量!Q11-電力量!Q10</f>
        <v>8</v>
      </c>
      <c r="R10">
        <f>電力量!R11-電力量!R10</f>
        <v>0</v>
      </c>
    </row>
    <row r="11" spans="1:18">
      <c r="A11" s="4">
        <f t="shared" ref="A11" si="8">A2+(9/24)</f>
        <v>45900.375</v>
      </c>
      <c r="B11">
        <f>電力量!B12-電力量!B11</f>
        <v>681</v>
      </c>
      <c r="C11">
        <f>電力量!C12-電力量!C11</f>
        <v>181</v>
      </c>
      <c r="D11">
        <f>電力量!D12-電力量!D11</f>
        <v>14</v>
      </c>
      <c r="E11">
        <f>電力量!E12-電力量!E11</f>
        <v>0</v>
      </c>
      <c r="F11">
        <f>電力量!F12-電力量!F11</f>
        <v>23</v>
      </c>
      <c r="G11">
        <f>電力量!G12-電力量!G11</f>
        <v>30.200000000004366</v>
      </c>
      <c r="H11">
        <f>電力量!H12-電力量!H11</f>
        <v>12</v>
      </c>
      <c r="I11">
        <f>電力量!I12-電力量!I11</f>
        <v>244</v>
      </c>
      <c r="J11">
        <f>電力量!J12-電力量!J11</f>
        <v>7</v>
      </c>
      <c r="K11">
        <f>電力量!K12-電力量!K11</f>
        <v>0</v>
      </c>
      <c r="L11">
        <f>電力量!L12-電力量!L11</f>
        <v>21.100000000005821</v>
      </c>
      <c r="M11">
        <f>電力量!M12-電力量!M11</f>
        <v>40.799999999988358</v>
      </c>
      <c r="N11">
        <f>電力量!N12-電力量!N11</f>
        <v>45.69999999999709</v>
      </c>
      <c r="O11">
        <f>電力量!O12-電力量!O11</f>
        <v>18</v>
      </c>
      <c r="P11">
        <f>電力量!P12-電力量!P11</f>
        <v>10</v>
      </c>
      <c r="Q11">
        <f>電力量!Q12-電力量!Q11</f>
        <v>15</v>
      </c>
      <c r="R11">
        <f>電力量!R12-電力量!R11</f>
        <v>0</v>
      </c>
    </row>
    <row r="12" spans="1:18">
      <c r="A12" s="4">
        <f t="shared" ref="A12" si="9">A2+(10/24)</f>
        <v>45900.416666666664</v>
      </c>
      <c r="B12">
        <f>電力量!B13-電力量!B12</f>
        <v>690</v>
      </c>
      <c r="C12">
        <f>電力量!C13-電力量!C12</f>
        <v>182</v>
      </c>
      <c r="D12">
        <f>電力量!D13-電力量!D12</f>
        <v>17.30000000000291</v>
      </c>
      <c r="E12">
        <f>電力量!E13-電力量!E12</f>
        <v>0</v>
      </c>
      <c r="F12">
        <f>電力量!F13-電力量!F12</f>
        <v>24</v>
      </c>
      <c r="G12">
        <f>電力量!G13-電力量!G12</f>
        <v>25.099999999998545</v>
      </c>
      <c r="H12">
        <f>電力量!H13-電力量!H12</f>
        <v>12</v>
      </c>
      <c r="I12">
        <f>電力量!I13-電力量!I12</f>
        <v>250</v>
      </c>
      <c r="J12">
        <f>電力量!J13-電力量!J12</f>
        <v>7.0999999999985448</v>
      </c>
      <c r="K12">
        <f>電力量!K13-電力量!K12</f>
        <v>0</v>
      </c>
      <c r="L12">
        <f>電力量!L13-電力量!L12</f>
        <v>26.899999999994179</v>
      </c>
      <c r="M12">
        <f>電力量!M13-電力量!M12</f>
        <v>40.700000000011642</v>
      </c>
      <c r="N12">
        <f>電力量!N13-電力量!N12</f>
        <v>42.700000000011642</v>
      </c>
      <c r="O12">
        <f>電力量!O13-電力量!O12</f>
        <v>19.69999999999709</v>
      </c>
      <c r="P12">
        <f>電力量!P13-電力量!P12</f>
        <v>13</v>
      </c>
      <c r="Q12">
        <f>電力量!Q13-電力量!Q12</f>
        <v>19</v>
      </c>
      <c r="R12">
        <f>電力量!R13-電力量!R12</f>
        <v>0</v>
      </c>
    </row>
    <row r="13" spans="1:18">
      <c r="A13" s="4">
        <f t="shared" ref="A13" si="10">A2+(11/24)</f>
        <v>45900.458333333336</v>
      </c>
      <c r="B13">
        <f>電力量!B14-電力量!B13</f>
        <v>693</v>
      </c>
      <c r="C13">
        <f>電力量!C14-電力量!C13</f>
        <v>185</v>
      </c>
      <c r="D13">
        <f>電力量!D14-電力量!D13</f>
        <v>19.19999999999709</v>
      </c>
      <c r="E13">
        <f>電力量!E14-電力量!E13</f>
        <v>0</v>
      </c>
      <c r="F13">
        <f>電力量!F14-電力量!F13</f>
        <v>27</v>
      </c>
      <c r="G13">
        <f>電力量!G14-電力量!G13</f>
        <v>21.400000000001455</v>
      </c>
      <c r="H13">
        <f>電力量!H14-電力量!H13</f>
        <v>13</v>
      </c>
      <c r="I13">
        <f>電力量!I14-電力量!I13</f>
        <v>255</v>
      </c>
      <c r="J13">
        <f>電力量!J14-電力量!J13</f>
        <v>7.2000000000043656</v>
      </c>
      <c r="K13">
        <f>電力量!K14-電力量!K13</f>
        <v>0</v>
      </c>
      <c r="L13">
        <f>電力量!L14-電力量!L13</f>
        <v>25.100000000005821</v>
      </c>
      <c r="M13">
        <f>電力量!M14-電力量!M13</f>
        <v>41.299999999988358</v>
      </c>
      <c r="N13">
        <f>電力量!N14-電力量!N13</f>
        <v>41.399999999994179</v>
      </c>
      <c r="O13">
        <f>電力量!O14-電力量!O13</f>
        <v>19.5</v>
      </c>
      <c r="P13">
        <f>電力量!P14-電力量!P13</f>
        <v>15</v>
      </c>
      <c r="Q13">
        <f>電力量!Q14-電力量!Q13</f>
        <v>24</v>
      </c>
      <c r="R13">
        <f>電力量!R14-電力量!R13</f>
        <v>0</v>
      </c>
    </row>
    <row r="14" spans="1:18">
      <c r="A14" s="4">
        <f t="shared" ref="A14" si="11">A2+(12/24)</f>
        <v>45900.5</v>
      </c>
      <c r="B14">
        <f>電力量!B15-電力量!B14</f>
        <v>727</v>
      </c>
      <c r="C14">
        <f>電力量!C15-電力量!C14</f>
        <v>194</v>
      </c>
      <c r="D14">
        <f>電力量!D15-電力量!D14</f>
        <v>21.099999999998545</v>
      </c>
      <c r="E14">
        <f>電力量!E15-電力量!E14</f>
        <v>0</v>
      </c>
      <c r="F14">
        <f>電力量!F15-電力量!F14</f>
        <v>27</v>
      </c>
      <c r="G14">
        <f>電力量!G15-電力量!G14</f>
        <v>20.599999999998545</v>
      </c>
      <c r="H14">
        <f>電力量!H15-電力量!H14</f>
        <v>12</v>
      </c>
      <c r="I14">
        <f>電力量!I15-電力量!I14</f>
        <v>275</v>
      </c>
      <c r="J14">
        <f>電力量!J15-電力量!J14</f>
        <v>7.6999999999970896</v>
      </c>
      <c r="K14">
        <f>電力量!K15-電力量!K14</f>
        <v>0</v>
      </c>
      <c r="L14">
        <f>電力量!L15-電力量!L14</f>
        <v>28.899999999994179</v>
      </c>
      <c r="M14">
        <f>電力量!M15-電力量!M14</f>
        <v>42.80000000000291</v>
      </c>
      <c r="N14">
        <f>電力量!N15-電力量!N14</f>
        <v>40</v>
      </c>
      <c r="O14">
        <f>電力量!O15-電力量!O14</f>
        <v>17.69999999999709</v>
      </c>
      <c r="P14">
        <f>電力量!P15-電力量!P14</f>
        <v>16</v>
      </c>
      <c r="Q14">
        <f>電力量!Q15-電力量!Q14</f>
        <v>24</v>
      </c>
      <c r="R14">
        <f>電力量!R15-電力量!R14</f>
        <v>0</v>
      </c>
    </row>
    <row r="15" spans="1:18">
      <c r="A15" s="4">
        <f t="shared" ref="A15" si="12">A2+(13/24)</f>
        <v>45900.541666666664</v>
      </c>
      <c r="B15">
        <f>電力量!B16-電力量!B15</f>
        <v>778</v>
      </c>
      <c r="C15">
        <f>電力量!C16-電力量!C15</f>
        <v>205</v>
      </c>
      <c r="D15">
        <f>電力量!D16-電力量!D15</f>
        <v>23.100000000005821</v>
      </c>
      <c r="E15">
        <f>電力量!E16-電力量!E15</f>
        <v>0</v>
      </c>
      <c r="F15">
        <f>電力量!F16-電力量!F15</f>
        <v>31</v>
      </c>
      <c r="G15">
        <f>電力量!G16-電力量!G15</f>
        <v>26.69999999999709</v>
      </c>
      <c r="H15">
        <f>電力量!H16-電力量!H15</f>
        <v>13</v>
      </c>
      <c r="I15">
        <f>電力量!I16-電力量!I15</f>
        <v>293</v>
      </c>
      <c r="J15">
        <f>電力量!J16-電力量!J15</f>
        <v>8.0999999999985448</v>
      </c>
      <c r="K15">
        <f>電力量!K16-電力量!K15</f>
        <v>0</v>
      </c>
      <c r="L15">
        <f>電力量!L16-電力量!L15</f>
        <v>32.600000000005821</v>
      </c>
      <c r="M15">
        <f>電力量!M16-電力量!M15</f>
        <v>41.900000000008731</v>
      </c>
      <c r="N15">
        <f>電力量!N16-電力量!N15</f>
        <v>40.600000000005821</v>
      </c>
      <c r="O15">
        <f>電力量!O16-電力量!O15</f>
        <v>18.80000000000291</v>
      </c>
      <c r="P15">
        <f>電力量!P16-電力量!P15</f>
        <v>15</v>
      </c>
      <c r="Q15">
        <f>電力量!Q16-電力量!Q15</f>
        <v>23</v>
      </c>
      <c r="R15">
        <f>電力量!R16-電力量!R15</f>
        <v>0</v>
      </c>
    </row>
    <row r="16" spans="1:18">
      <c r="A16" s="4">
        <f t="shared" ref="A16" si="13">A2+(14/24)</f>
        <v>45900.583333333336</v>
      </c>
      <c r="B16">
        <f>電力量!B17-電力量!B16</f>
        <v>823</v>
      </c>
      <c r="C16">
        <f>電力量!C17-電力量!C16</f>
        <v>225</v>
      </c>
      <c r="D16">
        <f>電力量!D17-電力量!D16</f>
        <v>22.19999999999709</v>
      </c>
      <c r="E16">
        <f>電力量!E17-電力量!E16</f>
        <v>0</v>
      </c>
      <c r="F16">
        <f>電力量!F17-電力量!F16</f>
        <v>32</v>
      </c>
      <c r="G16">
        <f>電力量!G17-電力量!G16</f>
        <v>43.5</v>
      </c>
      <c r="H16">
        <f>電力量!H17-電力量!H16</f>
        <v>17</v>
      </c>
      <c r="I16">
        <f>電力量!I17-電力量!I16</f>
        <v>285</v>
      </c>
      <c r="J16">
        <f>電力量!J17-電力量!J16</f>
        <v>8.2000000000043656</v>
      </c>
      <c r="K16">
        <f>電力量!K17-電力量!K16</f>
        <v>0</v>
      </c>
      <c r="L16">
        <f>電力量!L17-電力量!L16</f>
        <v>27.19999999999709</v>
      </c>
      <c r="M16">
        <f>電力量!M17-電力量!M16</f>
        <v>43.19999999999709</v>
      </c>
      <c r="N16">
        <f>電力量!N17-電力量!N16</f>
        <v>46.899999999994179</v>
      </c>
      <c r="O16">
        <f>電力量!O17-電力量!O16</f>
        <v>19.69999999999709</v>
      </c>
      <c r="P16">
        <f>電力量!P17-電力量!P16</f>
        <v>8</v>
      </c>
      <c r="Q16">
        <f>電力量!Q17-電力量!Q16</f>
        <v>12</v>
      </c>
      <c r="R16">
        <f>電力量!R17-電力量!R16</f>
        <v>0</v>
      </c>
    </row>
    <row r="17" spans="1:18">
      <c r="A17" s="4">
        <f t="shared" ref="A17" si="14">A2+(15/24)</f>
        <v>45900.625</v>
      </c>
      <c r="B17">
        <f>電力量!B18-電力量!B17</f>
        <v>851</v>
      </c>
      <c r="C17">
        <f>電力量!C18-電力量!C17</f>
        <v>226</v>
      </c>
      <c r="D17">
        <f>電力量!D18-電力量!D17</f>
        <v>27.099999999998545</v>
      </c>
      <c r="E17">
        <f>電力量!E18-電力量!E17</f>
        <v>0</v>
      </c>
      <c r="F17">
        <f>電力量!F18-電力量!F17</f>
        <v>30</v>
      </c>
      <c r="G17">
        <f>電力量!G18-電力量!G17</f>
        <v>50.099999999998545</v>
      </c>
      <c r="H17">
        <f>電力量!H18-電力量!H17</f>
        <v>17</v>
      </c>
      <c r="I17">
        <f>電力量!I18-電力量!I17</f>
        <v>290</v>
      </c>
      <c r="J17">
        <f>電力量!J18-電力量!J17</f>
        <v>7.7999999999956344</v>
      </c>
      <c r="K17">
        <f>電力量!K18-電力量!K17</f>
        <v>0</v>
      </c>
      <c r="L17">
        <f>電力量!L18-電力量!L17</f>
        <v>28.69999999999709</v>
      </c>
      <c r="M17">
        <f>電力量!M18-電力量!M17</f>
        <v>45.80000000000291</v>
      </c>
      <c r="N17">
        <f>電力量!N18-電力量!N17</f>
        <v>48.399999999994179</v>
      </c>
      <c r="O17">
        <f>電力量!O18-電力量!O17</f>
        <v>20.80000000000291</v>
      </c>
      <c r="P17">
        <f>電力量!P18-電力量!P17</f>
        <v>6</v>
      </c>
      <c r="Q17">
        <f>電力量!Q18-電力量!Q17</f>
        <v>10</v>
      </c>
      <c r="R17">
        <f>電力量!R18-電力量!R17</f>
        <v>0</v>
      </c>
    </row>
    <row r="18" spans="1:18">
      <c r="A18" s="4">
        <f t="shared" ref="A18" si="15">A2+(16/24)</f>
        <v>45900.666666666664</v>
      </c>
      <c r="B18">
        <f>電力量!B19-電力量!B18</f>
        <v>822</v>
      </c>
      <c r="C18">
        <f>電力量!C19-電力量!C18</f>
        <v>216</v>
      </c>
      <c r="D18">
        <f>電力量!D19-電力量!D18</f>
        <v>22</v>
      </c>
      <c r="E18">
        <f>電力量!E19-電力量!E18</f>
        <v>0</v>
      </c>
      <c r="F18">
        <f>電力量!F19-電力量!F18</f>
        <v>28</v>
      </c>
      <c r="G18">
        <f>電力量!G19-電力量!G18</f>
        <v>47.30000000000291</v>
      </c>
      <c r="H18">
        <f>電力量!H19-電力量!H18</f>
        <v>15</v>
      </c>
      <c r="I18">
        <f>電力量!I19-電力量!I18</f>
        <v>283</v>
      </c>
      <c r="J18">
        <f>電力量!J19-電力量!J18</f>
        <v>7.6000000000058208</v>
      </c>
      <c r="K18">
        <f>電力量!K19-電力量!K18</f>
        <v>0.39999999999417923</v>
      </c>
      <c r="L18">
        <f>電力量!L19-電力量!L18</f>
        <v>29.19999999999709</v>
      </c>
      <c r="M18">
        <f>電力量!M19-電力量!M18</f>
        <v>45.599999999991269</v>
      </c>
      <c r="N18">
        <f>電力量!N19-電力量!N18</f>
        <v>49.30000000000291</v>
      </c>
      <c r="O18">
        <f>電力量!O19-電力量!O18</f>
        <v>19.30000000000291</v>
      </c>
      <c r="P18">
        <f>電力量!P19-電力量!P18</f>
        <v>6</v>
      </c>
      <c r="Q18">
        <f>電力量!Q19-電力量!Q18</f>
        <v>10</v>
      </c>
      <c r="R18">
        <f>電力量!R19-電力量!R18</f>
        <v>0</v>
      </c>
    </row>
    <row r="19" spans="1:18">
      <c r="A19" s="4">
        <f t="shared" ref="A19" si="16">A2+(17/24)</f>
        <v>45900.708333333336</v>
      </c>
      <c r="B19">
        <f>電力量!B20-電力量!B19</f>
        <v>785</v>
      </c>
      <c r="C19">
        <f>電力量!C20-電力量!C19</f>
        <v>197</v>
      </c>
      <c r="D19">
        <f>電力量!D20-電力量!D19</f>
        <v>17</v>
      </c>
      <c r="E19">
        <f>電力量!E20-電力量!E19</f>
        <v>0</v>
      </c>
      <c r="F19">
        <f>電力量!F20-電力量!F19</f>
        <v>23</v>
      </c>
      <c r="G19">
        <f>電力量!G20-電力量!G19</f>
        <v>57.80000000000291</v>
      </c>
      <c r="H19">
        <f>電力量!H20-電力量!H19</f>
        <v>17</v>
      </c>
      <c r="I19">
        <f>電力量!I20-電力量!I19</f>
        <v>266</v>
      </c>
      <c r="J19">
        <f>電力量!J20-電力量!J19</f>
        <v>7</v>
      </c>
      <c r="K19">
        <f>電力量!K20-電力量!K19</f>
        <v>3.2000000000116415</v>
      </c>
      <c r="L19">
        <f>電力量!L20-電力量!L19</f>
        <v>24</v>
      </c>
      <c r="M19">
        <f>電力量!M20-電力量!M19</f>
        <v>43</v>
      </c>
      <c r="N19">
        <f>電力量!N20-電力量!N19</f>
        <v>54</v>
      </c>
      <c r="O19">
        <f>電力量!O20-電力量!O19</f>
        <v>18.30000000000291</v>
      </c>
      <c r="P19">
        <f>電力量!P20-電力量!P19</f>
        <v>1</v>
      </c>
      <c r="Q19">
        <f>電力量!Q20-電力量!Q19</f>
        <v>0</v>
      </c>
      <c r="R19">
        <f>電力量!R20-電力量!R19</f>
        <v>0</v>
      </c>
    </row>
    <row r="20" spans="1:18">
      <c r="A20" s="4">
        <f t="shared" ref="A20" si="17">A2+(18/24)</f>
        <v>45900.75</v>
      </c>
      <c r="B20">
        <f>電力量!B21-電力量!B20</f>
        <v>752</v>
      </c>
      <c r="C20">
        <f>電力量!C21-電力量!C20</f>
        <v>190</v>
      </c>
      <c r="D20">
        <f>電力量!D21-電力量!D20</f>
        <v>16.099999999998545</v>
      </c>
      <c r="E20">
        <f>電力量!E21-電力量!E20</f>
        <v>0</v>
      </c>
      <c r="F20">
        <f>電力量!F21-電力量!F20</f>
        <v>23</v>
      </c>
      <c r="G20">
        <f>電力量!G21-電力量!G20</f>
        <v>54.19999999999709</v>
      </c>
      <c r="H20">
        <f>電力量!H21-電力量!H20</f>
        <v>13</v>
      </c>
      <c r="I20">
        <f>電力量!I21-電力量!I20</f>
        <v>256</v>
      </c>
      <c r="J20">
        <f>電力量!J21-電力量!J20</f>
        <v>6.6999999999970896</v>
      </c>
      <c r="K20">
        <f>電力量!K21-電力量!K20</f>
        <v>3.6999999999970896</v>
      </c>
      <c r="L20">
        <f>電力量!L21-電力量!L20</f>
        <v>21.69999999999709</v>
      </c>
      <c r="M20">
        <f>電力量!M21-電力量!M20</f>
        <v>40.80000000000291</v>
      </c>
      <c r="N20">
        <f>電力量!N21-電力量!N20</f>
        <v>54.5</v>
      </c>
      <c r="O20">
        <f>電力量!O21-電力量!O20</f>
        <v>16.30000000000291</v>
      </c>
      <c r="P20">
        <f>電力量!P21-電力量!P20</f>
        <v>0</v>
      </c>
      <c r="Q20">
        <f>電力量!Q21-電力量!Q20</f>
        <v>0</v>
      </c>
      <c r="R20">
        <f>電力量!R21-電力量!R20</f>
        <v>0</v>
      </c>
    </row>
    <row r="21" spans="1:18">
      <c r="A21" s="4">
        <f t="shared" ref="A21" si="18">A2+(19/24)</f>
        <v>45900.791666666664</v>
      </c>
      <c r="B21">
        <f>電力量!B22-電力量!B21</f>
        <v>737</v>
      </c>
      <c r="C21">
        <f>電力量!C22-電力量!C21</f>
        <v>186</v>
      </c>
      <c r="D21">
        <f>電力量!D22-電力量!D21</f>
        <v>15.80000000000291</v>
      </c>
      <c r="E21">
        <f>電力量!E22-電力量!E21</f>
        <v>0</v>
      </c>
      <c r="F21">
        <f>電力量!F22-電力量!F21</f>
        <v>23</v>
      </c>
      <c r="G21">
        <f>電力量!G22-電力量!G21</f>
        <v>55.900000000001455</v>
      </c>
      <c r="H21">
        <f>電力量!H22-電力量!H21</f>
        <v>13</v>
      </c>
      <c r="I21">
        <f>電力量!I22-電力量!I21</f>
        <v>246</v>
      </c>
      <c r="J21">
        <f>電力量!J22-電力量!J21</f>
        <v>6.6999999999970896</v>
      </c>
      <c r="K21">
        <f>電力量!K22-電力量!K21</f>
        <v>3.5</v>
      </c>
      <c r="L21">
        <f>電力量!L22-電力量!L21</f>
        <v>22.100000000005821</v>
      </c>
      <c r="M21">
        <f>電力量!M22-電力量!M21</f>
        <v>38.69999999999709</v>
      </c>
      <c r="N21">
        <f>電力量!N22-電力量!N21</f>
        <v>54.80000000000291</v>
      </c>
      <c r="O21">
        <f>電力量!O22-電力量!O21</f>
        <v>19.69999999999709</v>
      </c>
      <c r="P21">
        <f>電力量!P22-電力量!P21</f>
        <v>0</v>
      </c>
      <c r="Q21">
        <f>電力量!Q22-電力量!Q21</f>
        <v>0</v>
      </c>
      <c r="R21">
        <f>電力量!R22-電力量!R21</f>
        <v>0</v>
      </c>
    </row>
    <row r="22" spans="1:18">
      <c r="A22" s="4">
        <f t="shared" ref="A22" si="19">A2+(20/24)</f>
        <v>45900.833333333336</v>
      </c>
      <c r="B22">
        <f>電力量!B23-電力量!B22</f>
        <v>728</v>
      </c>
      <c r="C22">
        <f>電力量!C23-電力量!C22</f>
        <v>183</v>
      </c>
      <c r="D22">
        <f>電力量!D23-電力量!D22</f>
        <v>17.400000000001455</v>
      </c>
      <c r="E22">
        <f>電力量!E23-電力量!E22</f>
        <v>0</v>
      </c>
      <c r="F22">
        <f>電力量!F23-電力量!F22</f>
        <v>25</v>
      </c>
      <c r="G22">
        <f>電力量!G23-電力量!G22</f>
        <v>55.5</v>
      </c>
      <c r="H22">
        <f>電力量!H23-電力量!H22</f>
        <v>12</v>
      </c>
      <c r="I22">
        <f>電力量!I23-電力量!I22</f>
        <v>239</v>
      </c>
      <c r="J22">
        <f>電力量!J23-電力量!J22</f>
        <v>6.5</v>
      </c>
      <c r="K22">
        <f>電力量!K23-電力量!K22</f>
        <v>3.5</v>
      </c>
      <c r="L22">
        <f>電力量!L23-電力量!L22</f>
        <v>22.30000000000291</v>
      </c>
      <c r="M22">
        <f>電力量!M23-電力量!M22</f>
        <v>36.600000000005821</v>
      </c>
      <c r="N22">
        <f>電力量!N23-電力量!N22</f>
        <v>54.69999999999709</v>
      </c>
      <c r="O22">
        <f>電力量!O23-電力量!O22</f>
        <v>19.099999999991269</v>
      </c>
      <c r="P22">
        <f>電力量!P23-電力量!P22</f>
        <v>0</v>
      </c>
      <c r="Q22">
        <f>電力量!Q23-電力量!Q22</f>
        <v>0</v>
      </c>
      <c r="R22">
        <f>電力量!R23-電力量!R22</f>
        <v>0</v>
      </c>
    </row>
    <row r="23" spans="1:18">
      <c r="A23" s="4">
        <f t="shared" ref="A23" si="20">A2+(21/24)</f>
        <v>45900.875</v>
      </c>
      <c r="B23">
        <f>電力量!B24-電力量!B23</f>
        <v>729</v>
      </c>
      <c r="C23">
        <f>電力量!C24-電力量!C23</f>
        <v>187</v>
      </c>
      <c r="D23">
        <f>電力量!D24-電力量!D23</f>
        <v>19.099999999998545</v>
      </c>
      <c r="E23">
        <f>電力量!E24-電力量!E23</f>
        <v>0</v>
      </c>
      <c r="F23">
        <f>電力量!F24-電力量!F23</f>
        <v>27</v>
      </c>
      <c r="G23">
        <f>電力量!G24-電力量!G23</f>
        <v>55.19999999999709</v>
      </c>
      <c r="H23">
        <f>電力量!H24-電力量!H23</f>
        <v>13</v>
      </c>
      <c r="I23">
        <f>電力量!I24-電力量!I23</f>
        <v>231</v>
      </c>
      <c r="J23">
        <f>電力量!J24-電力量!J23</f>
        <v>6.4000000000014552</v>
      </c>
      <c r="K23">
        <f>電力量!K24-電力量!K23</f>
        <v>3.6999999999970896</v>
      </c>
      <c r="L23">
        <f>電力量!L24-電力量!L23</f>
        <v>22.80000000000291</v>
      </c>
      <c r="M23">
        <f>電力量!M24-電力量!M23</f>
        <v>37.69999999999709</v>
      </c>
      <c r="N23">
        <f>電力量!N24-電力量!N23</f>
        <v>55.30000000000291</v>
      </c>
      <c r="O23">
        <f>電力量!O24-電力量!O23</f>
        <v>18.900000000008731</v>
      </c>
      <c r="P23">
        <f>電力量!P24-電力量!P23</f>
        <v>0</v>
      </c>
      <c r="Q23">
        <f>電力量!Q24-電力量!Q23</f>
        <v>0</v>
      </c>
      <c r="R23">
        <f>電力量!R24-電力量!R23</f>
        <v>0</v>
      </c>
    </row>
    <row r="24" spans="1:18">
      <c r="A24" s="4">
        <f t="shared" ref="A24" si="21">A2+(22/24)</f>
        <v>45900.916666666664</v>
      </c>
      <c r="B24">
        <f>電力量!B25-電力量!B24</f>
        <v>722</v>
      </c>
      <c r="C24">
        <f>電力量!C25-電力量!C24</f>
        <v>181</v>
      </c>
      <c r="D24">
        <f>電力量!D25-電力量!D24</f>
        <v>17</v>
      </c>
      <c r="E24">
        <f>電力量!E25-電力量!E24</f>
        <v>0</v>
      </c>
      <c r="F24">
        <f>電力量!F25-電力量!F24</f>
        <v>24</v>
      </c>
      <c r="G24">
        <f>電力量!G25-電力量!G24</f>
        <v>55.700000000004366</v>
      </c>
      <c r="H24">
        <f>電力量!H25-電力量!H24</f>
        <v>12</v>
      </c>
      <c r="I24">
        <f>電力量!I25-電力量!I24</f>
        <v>230</v>
      </c>
      <c r="J24">
        <f>電力量!J25-電力量!J24</f>
        <v>6.8000000000029104</v>
      </c>
      <c r="K24">
        <f>電力量!K25-電力量!K24</f>
        <v>3.6000000000058208</v>
      </c>
      <c r="L24">
        <f>電力量!L25-電力量!L24</f>
        <v>23.5</v>
      </c>
      <c r="M24">
        <f>電力量!M25-電力量!M24</f>
        <v>38.399999999994179</v>
      </c>
      <c r="N24">
        <f>電力量!N25-電力量!N24</f>
        <v>55</v>
      </c>
      <c r="O24">
        <f>電力量!O25-電力量!O24</f>
        <v>19.80000000000291</v>
      </c>
      <c r="P24">
        <f>電力量!P25-電力量!P24</f>
        <v>0</v>
      </c>
      <c r="Q24">
        <f>電力量!Q25-電力量!Q24</f>
        <v>0</v>
      </c>
      <c r="R24">
        <f>電力量!R25-電力量!R24</f>
        <v>0</v>
      </c>
    </row>
    <row r="25" spans="1:18">
      <c r="A25" s="4">
        <f t="shared" ref="A25" si="22">A2+(23/24)</f>
        <v>45900.958333333336</v>
      </c>
      <c r="B25">
        <f>電力量!B26-電力量!B25</f>
        <v>720</v>
      </c>
      <c r="C25">
        <f>電力量!C26-電力量!C25</f>
        <v>182</v>
      </c>
      <c r="D25">
        <f>電力量!D26-電力量!D25</f>
        <v>16.5</v>
      </c>
      <c r="E25">
        <f>電力量!E26-電力量!E25</f>
        <v>0</v>
      </c>
      <c r="F25">
        <f>電力量!F26-電力量!F25</f>
        <v>24</v>
      </c>
      <c r="G25">
        <f>電力量!G26-電力量!G25</f>
        <v>56.299999999995634</v>
      </c>
      <c r="H25">
        <f>電力量!H26-電力量!H25</f>
        <v>13</v>
      </c>
      <c r="I25">
        <f>電力量!I26-電力量!I25</f>
        <v>228</v>
      </c>
      <c r="J25">
        <f>電力量!J26-電力量!J25</f>
        <v>6.4000000000014552</v>
      </c>
      <c r="K25">
        <f>電力量!K26-電力量!K25</f>
        <v>4.0999999999912689</v>
      </c>
      <c r="L25">
        <f>電力量!L26-電力量!L25</f>
        <v>23.799999999988358</v>
      </c>
      <c r="M25">
        <f>電力量!M26-電力量!M25</f>
        <v>40.600000000005821</v>
      </c>
      <c r="N25">
        <f>電力量!N26-電力量!N25</f>
        <v>54.30000000000291</v>
      </c>
      <c r="O25">
        <f>電力量!O26-電力量!O25</f>
        <v>19.299999999988358</v>
      </c>
      <c r="P25">
        <f>電力量!P26-電力量!P25</f>
        <v>0</v>
      </c>
      <c r="Q25">
        <f>電力量!Q26-電力量!Q25</f>
        <v>0</v>
      </c>
      <c r="R25">
        <f>電力量!R26-電力量!R25</f>
        <v>0</v>
      </c>
    </row>
    <row r="26" spans="1:18">
      <c r="A26" s="4">
        <v>45901</v>
      </c>
      <c r="B26">
        <f>電力量!B27-電力量!B26</f>
        <v>709</v>
      </c>
      <c r="C26">
        <f>電力量!C27-電力量!C26</f>
        <v>177</v>
      </c>
      <c r="D26">
        <f>電力量!D27-電力量!D26</f>
        <v>18.900000000001455</v>
      </c>
      <c r="E26">
        <f>電力量!E27-電力量!E26</f>
        <v>0</v>
      </c>
      <c r="F26">
        <f>電力量!F27-電力量!F26</f>
        <v>24</v>
      </c>
      <c r="G26">
        <f>電力量!G27-電力量!G26</f>
        <v>54.700000000004366</v>
      </c>
      <c r="H26">
        <f>電力量!H27-電力量!H26</f>
        <v>13</v>
      </c>
      <c r="I26">
        <f>電力量!I27-電力量!I26</f>
        <v>225</v>
      </c>
      <c r="J26">
        <f>電力量!J27-電力量!J26</f>
        <v>6.6999999999970896</v>
      </c>
      <c r="K26">
        <f>電力量!K27-電力量!K26</f>
        <v>3.5</v>
      </c>
      <c r="L26">
        <f>電力量!L27-電力量!L26</f>
        <v>23.700000000011642</v>
      </c>
      <c r="M26">
        <f>電力量!M27-電力量!M26</f>
        <v>38.600000000005821</v>
      </c>
      <c r="N26">
        <f>電力量!N27-電力量!N26</f>
        <v>55.099999999991269</v>
      </c>
      <c r="O26">
        <f>電力量!O27-電力量!O26</f>
        <v>17.5</v>
      </c>
      <c r="P26">
        <f>電力量!P27-電力量!P26</f>
        <v>0</v>
      </c>
      <c r="Q26">
        <f>電力量!Q27-電力量!Q26</f>
        <v>0</v>
      </c>
      <c r="R26">
        <f>電力量!R27-電力量!R26</f>
        <v>0</v>
      </c>
    </row>
    <row r="27" spans="1:18">
      <c r="A27" s="4">
        <f t="shared" ref="A27:A75" si="23">A26+(1/24)</f>
        <v>45901.041666666664</v>
      </c>
      <c r="B27">
        <f>電力量!B28-電力量!B27</f>
        <v>676</v>
      </c>
      <c r="C27">
        <f>電力量!C28-電力量!C27</f>
        <v>160</v>
      </c>
      <c r="D27">
        <f>電力量!D28-電力量!D27</f>
        <v>15.5</v>
      </c>
      <c r="E27">
        <f>電力量!E28-電力量!E27</f>
        <v>0</v>
      </c>
      <c r="F27">
        <f>電力量!F28-電力量!F27</f>
        <v>22</v>
      </c>
      <c r="G27">
        <f>電力量!G28-電力量!G27</f>
        <v>54</v>
      </c>
      <c r="H27">
        <f>電力量!H28-電力量!H27</f>
        <v>12</v>
      </c>
      <c r="I27">
        <f>電力量!I28-電力量!I27</f>
        <v>216</v>
      </c>
      <c r="J27">
        <f>電力量!J28-電力量!J27</f>
        <v>6.4000000000014552</v>
      </c>
      <c r="K27">
        <f>電力量!K28-電力量!K27</f>
        <v>3.6000000000058208</v>
      </c>
      <c r="L27">
        <f>電力量!L28-電力量!L27</f>
        <v>23.5</v>
      </c>
      <c r="M27">
        <f>電力量!M28-電力量!M27</f>
        <v>37.19999999999709</v>
      </c>
      <c r="N27">
        <f>電力量!N28-電力量!N27</f>
        <v>54.5</v>
      </c>
      <c r="O27">
        <f>電力量!O28-電力量!O27</f>
        <v>20.400000000008731</v>
      </c>
      <c r="P27">
        <f>電力量!P28-電力量!P27</f>
        <v>0</v>
      </c>
      <c r="Q27">
        <f>電力量!Q28-電力量!Q27</f>
        <v>0</v>
      </c>
      <c r="R27">
        <f>電力量!R28-電力量!R27</f>
        <v>0</v>
      </c>
    </row>
    <row r="28" spans="1:18">
      <c r="A28" s="4">
        <f t="shared" ref="A28:A76" si="24">A26+(2/24)</f>
        <v>45901.083333333336</v>
      </c>
      <c r="B28">
        <f>電力量!B29-電力量!B28</f>
        <v>678</v>
      </c>
      <c r="C28">
        <f>電力量!C29-電力量!C28</f>
        <v>174</v>
      </c>
      <c r="D28">
        <f>電力量!D29-電力量!D28</f>
        <v>13.799999999995634</v>
      </c>
      <c r="E28">
        <f>電力量!E29-電力量!E28</f>
        <v>0</v>
      </c>
      <c r="F28">
        <f>電力量!F29-電力量!F28</f>
        <v>22</v>
      </c>
      <c r="G28">
        <f>電力量!G29-電力量!G28</f>
        <v>50.599999999998545</v>
      </c>
      <c r="H28">
        <f>電力量!H29-電力量!H28</f>
        <v>12</v>
      </c>
      <c r="I28">
        <f>電力量!I29-電力量!I28</f>
        <v>213</v>
      </c>
      <c r="J28">
        <f>電力量!J29-電力量!J28</f>
        <v>6.0999999999985448</v>
      </c>
      <c r="K28">
        <f>電力量!K29-電力量!K28</f>
        <v>3.3999999999941792</v>
      </c>
      <c r="L28">
        <f>電力量!L29-電力量!L28</f>
        <v>22.899999999994179</v>
      </c>
      <c r="M28">
        <f>電力量!M29-電力量!M28</f>
        <v>37.599999999991269</v>
      </c>
      <c r="N28">
        <f>電力量!N29-電力量!N28</f>
        <v>54.600000000005821</v>
      </c>
      <c r="O28">
        <f>電力量!O29-電力量!O28</f>
        <v>18.599999999991269</v>
      </c>
      <c r="P28">
        <f>電力量!P29-電力量!P28</f>
        <v>0</v>
      </c>
      <c r="Q28">
        <f>電力量!Q29-電力量!Q28</f>
        <v>0</v>
      </c>
      <c r="R28">
        <f>電力量!R29-電力量!R28</f>
        <v>0</v>
      </c>
    </row>
    <row r="29" spans="1:18">
      <c r="A29" s="4">
        <f t="shared" ref="A29:A77" si="25">A26+(3/24)</f>
        <v>45901.125</v>
      </c>
      <c r="B29">
        <f>電力量!B30-電力量!B29</f>
        <v>681</v>
      </c>
      <c r="C29">
        <f>電力量!C30-電力量!C29</f>
        <v>177</v>
      </c>
      <c r="D29">
        <f>電力量!D30-電力量!D29</f>
        <v>14.600000000005821</v>
      </c>
      <c r="E29">
        <f>電力量!E30-電力量!E29</f>
        <v>0</v>
      </c>
      <c r="F29">
        <f>電力量!F30-電力量!F29</f>
        <v>21</v>
      </c>
      <c r="G29">
        <f>電力量!G30-電力量!G29</f>
        <v>51.5</v>
      </c>
      <c r="H29">
        <f>電力量!H30-電力量!H29</f>
        <v>13</v>
      </c>
      <c r="I29">
        <f>電力量!I30-電力量!I29</f>
        <v>213</v>
      </c>
      <c r="J29">
        <f>電力量!J30-電力量!J29</f>
        <v>6.4000000000014552</v>
      </c>
      <c r="K29">
        <f>電力量!K30-電力量!K29</f>
        <v>3.5</v>
      </c>
      <c r="L29">
        <f>電力量!L30-電力量!L29</f>
        <v>21.69999999999709</v>
      </c>
      <c r="M29">
        <f>電力量!M30-電力量!M29</f>
        <v>37</v>
      </c>
      <c r="N29">
        <f>電力量!N30-電力量!N29</f>
        <v>54.899999999994179</v>
      </c>
      <c r="O29">
        <f>電力量!O30-電力量!O29</f>
        <v>19.5</v>
      </c>
      <c r="P29">
        <f>電力量!P30-電力量!P29</f>
        <v>0</v>
      </c>
      <c r="Q29">
        <f>電力量!Q30-電力量!Q29</f>
        <v>0</v>
      </c>
      <c r="R29">
        <f>電力量!R30-電力量!R29</f>
        <v>0</v>
      </c>
    </row>
    <row r="30" spans="1:18">
      <c r="A30" s="4">
        <f t="shared" ref="A30:A78" si="26">A26+(4/24)</f>
        <v>45901.166666666664</v>
      </c>
      <c r="B30">
        <f>電力量!B31-電力量!B30</f>
        <v>675</v>
      </c>
      <c r="C30">
        <f>電力量!C31-電力量!C30</f>
        <v>177</v>
      </c>
      <c r="D30">
        <f>電力量!D31-電力量!D30</f>
        <v>14.399999999994179</v>
      </c>
      <c r="E30">
        <f>電力量!E31-電力量!E30</f>
        <v>0</v>
      </c>
      <c r="F30">
        <f>電力量!F31-電力量!F30</f>
        <v>20</v>
      </c>
      <c r="G30">
        <f>電力量!G31-電力量!G30</f>
        <v>50.799999999995634</v>
      </c>
      <c r="H30">
        <f>電力量!H31-電力量!H30</f>
        <v>12</v>
      </c>
      <c r="I30">
        <f>電力量!I31-電力量!I30</f>
        <v>208</v>
      </c>
      <c r="J30">
        <f>電力量!J31-電力量!J30</f>
        <v>5.9000000000014552</v>
      </c>
      <c r="K30">
        <f>電力量!K31-電力量!K30</f>
        <v>3.4000000000087311</v>
      </c>
      <c r="L30">
        <f>電力量!L31-電力量!L30</f>
        <v>19.69999999999709</v>
      </c>
      <c r="M30">
        <f>電力量!M31-電力量!M30</f>
        <v>37.900000000008731</v>
      </c>
      <c r="N30">
        <f>電力量!N31-電力量!N30</f>
        <v>54.80000000000291</v>
      </c>
      <c r="O30">
        <f>電力量!O31-電力量!O30</f>
        <v>19.5</v>
      </c>
      <c r="P30">
        <f>電力量!P31-電力量!P30</f>
        <v>0</v>
      </c>
      <c r="Q30">
        <f>電力量!Q31-電力量!Q30</f>
        <v>0</v>
      </c>
      <c r="R30">
        <f>電力量!R31-電力量!R30</f>
        <v>0</v>
      </c>
    </row>
    <row r="31" spans="1:18">
      <c r="A31" s="4">
        <f t="shared" ref="A31:A79" si="27">A26+(5/24)</f>
        <v>45901.208333333336</v>
      </c>
      <c r="B31">
        <f>電力量!B32-電力量!B31</f>
        <v>678</v>
      </c>
      <c r="C31">
        <f>電力量!C32-電力量!C31</f>
        <v>177</v>
      </c>
      <c r="D31">
        <f>電力量!D32-電力量!D31</f>
        <v>16.5</v>
      </c>
      <c r="E31">
        <f>電力量!E32-電力量!E31</f>
        <v>0</v>
      </c>
      <c r="F31">
        <f>電力量!F32-電力量!F31</f>
        <v>21</v>
      </c>
      <c r="G31">
        <f>電力量!G32-電力量!G31</f>
        <v>50.700000000004366</v>
      </c>
      <c r="H31">
        <f>電力量!H32-電力量!H31</f>
        <v>12</v>
      </c>
      <c r="I31">
        <f>電力量!I32-電力量!I31</f>
        <v>211</v>
      </c>
      <c r="J31">
        <f>電力量!J32-電力量!J31</f>
        <v>6.0999999999985448</v>
      </c>
      <c r="K31">
        <f>電力量!K32-電力量!K31</f>
        <v>3.5</v>
      </c>
      <c r="L31">
        <f>電力量!L32-電力量!L31</f>
        <v>19.100000000005821</v>
      </c>
      <c r="M31">
        <f>電力量!M32-電力量!M31</f>
        <v>38.5</v>
      </c>
      <c r="N31">
        <f>電力量!N32-電力量!N31</f>
        <v>54.5</v>
      </c>
      <c r="O31">
        <f>電力量!O32-電力量!O31</f>
        <v>20.30000000000291</v>
      </c>
      <c r="P31">
        <f>電力量!P32-電力量!P31</f>
        <v>0</v>
      </c>
      <c r="Q31">
        <f>電力量!Q32-電力量!Q31</f>
        <v>0</v>
      </c>
      <c r="R31">
        <f>電力量!R32-電力量!R31</f>
        <v>0</v>
      </c>
    </row>
    <row r="32" spans="1:18">
      <c r="A32" s="4">
        <f t="shared" ref="A32:A80" si="28">A26+(6/24)</f>
        <v>45901.25</v>
      </c>
      <c r="B32">
        <f>電力量!B33-電力量!B32</f>
        <v>690</v>
      </c>
      <c r="C32">
        <f>電力量!C33-電力量!C32</f>
        <v>181</v>
      </c>
      <c r="D32">
        <f>電力量!D33-電力量!D32</f>
        <v>16.30000000000291</v>
      </c>
      <c r="E32">
        <f>電力量!E33-電力量!E32</f>
        <v>0</v>
      </c>
      <c r="F32">
        <f>電力量!F33-電力量!F32</f>
        <v>20</v>
      </c>
      <c r="G32">
        <f>電力量!G33-電力量!G32</f>
        <v>49.799999999995634</v>
      </c>
      <c r="H32">
        <f>電力量!H33-電力量!H32</f>
        <v>13</v>
      </c>
      <c r="I32">
        <f>電力量!I33-電力量!I32</f>
        <v>214</v>
      </c>
      <c r="J32">
        <f>電力量!J33-電力量!J32</f>
        <v>6</v>
      </c>
      <c r="K32">
        <f>電力量!K33-電力量!K32</f>
        <v>3</v>
      </c>
      <c r="L32">
        <f>電力量!L33-電力量!L32</f>
        <v>21.80000000000291</v>
      </c>
      <c r="M32">
        <f>電力量!M33-電力量!M32</f>
        <v>36.399999999994179</v>
      </c>
      <c r="N32">
        <f>電力量!N33-電力量!N32</f>
        <v>54.5</v>
      </c>
      <c r="O32">
        <f>電力量!O33-電力量!O32</f>
        <v>21.900000000008731</v>
      </c>
      <c r="P32">
        <f>電力量!P33-電力量!P32</f>
        <v>0</v>
      </c>
      <c r="Q32">
        <f>電力量!Q33-電力量!Q32</f>
        <v>1</v>
      </c>
      <c r="R32">
        <f>電力量!R33-電力量!R32</f>
        <v>0</v>
      </c>
    </row>
    <row r="33" spans="1:18">
      <c r="A33" s="4">
        <f t="shared" ref="A33:A81" si="29">A26+(7/24)</f>
        <v>45901.291666666664</v>
      </c>
      <c r="B33">
        <f>電力量!B34-電力量!B33</f>
        <v>730</v>
      </c>
      <c r="C33">
        <f>電力量!C34-電力量!C33</f>
        <v>193</v>
      </c>
      <c r="D33">
        <f>電力量!D34-電力量!D33</f>
        <v>17.69999999999709</v>
      </c>
      <c r="E33">
        <f>電力量!E34-電力量!E33</f>
        <v>0</v>
      </c>
      <c r="F33">
        <f>電力量!F34-電力量!F33</f>
        <v>21</v>
      </c>
      <c r="G33">
        <f>電力量!G34-電力量!G33</f>
        <v>49.5</v>
      </c>
      <c r="H33">
        <f>電力量!H34-電力量!H33</f>
        <v>12</v>
      </c>
      <c r="I33">
        <f>電力量!I34-電力量!I33</f>
        <v>230</v>
      </c>
      <c r="J33">
        <f>電力量!J34-電力量!J33</f>
        <v>6.2999999999956344</v>
      </c>
      <c r="K33">
        <f>電力量!K34-電力量!K33</f>
        <v>1.1999999999970896</v>
      </c>
      <c r="L33">
        <f>電力量!L34-電力量!L33</f>
        <v>24.099999999991269</v>
      </c>
      <c r="M33">
        <f>電力量!M34-電力量!M33</f>
        <v>37.100000000005821</v>
      </c>
      <c r="N33">
        <f>電力量!N34-電力量!N33</f>
        <v>51.400000000008731</v>
      </c>
      <c r="O33">
        <f>電力量!O34-電力量!O33</f>
        <v>25</v>
      </c>
      <c r="P33">
        <f>電力量!P34-電力量!P33</f>
        <v>1</v>
      </c>
      <c r="Q33">
        <f>電力量!Q34-電力量!Q33</f>
        <v>3</v>
      </c>
      <c r="R33">
        <f>電力量!R34-電力量!R33</f>
        <v>0</v>
      </c>
    </row>
    <row r="34" spans="1:18">
      <c r="A34" s="4">
        <f t="shared" ref="A34:A82" si="30">A26+(8/24)</f>
        <v>45901.333333333336</v>
      </c>
      <c r="B34">
        <f>電力量!B35-電力量!B34</f>
        <v>875</v>
      </c>
      <c r="C34">
        <f>電力量!C35-電力量!C34</f>
        <v>243</v>
      </c>
      <c r="D34">
        <f>電力量!D35-電力量!D34</f>
        <v>19.700000000004366</v>
      </c>
      <c r="E34">
        <f>電力量!E35-電力量!E34</f>
        <v>0</v>
      </c>
      <c r="F34">
        <f>電力量!F35-電力量!F34</f>
        <v>28</v>
      </c>
      <c r="G34">
        <f>電力量!G35-電力量!G34</f>
        <v>49.5</v>
      </c>
      <c r="H34">
        <f>電力量!H35-電力量!H34</f>
        <v>12</v>
      </c>
      <c r="I34">
        <f>電力量!I35-電力量!I34</f>
        <v>278</v>
      </c>
      <c r="J34">
        <f>電力量!J35-電力量!J34</f>
        <v>6.8000000000029104</v>
      </c>
      <c r="K34">
        <f>電力量!K35-電力量!K34</f>
        <v>0.30000000000291038</v>
      </c>
      <c r="L34">
        <f>電力量!L35-電力量!L34</f>
        <v>31.100000000005821</v>
      </c>
      <c r="M34">
        <f>電力量!M35-電力量!M34</f>
        <v>49.5</v>
      </c>
      <c r="N34">
        <f>電力量!N35-電力量!N34</f>
        <v>50.19999999999709</v>
      </c>
      <c r="O34">
        <f>電力量!O35-電力量!O34</f>
        <v>35.399999999994179</v>
      </c>
      <c r="P34">
        <f>電力量!P35-電力量!P34</f>
        <v>6</v>
      </c>
      <c r="Q34">
        <f>電力量!Q35-電力量!Q34</f>
        <v>10</v>
      </c>
      <c r="R34">
        <f>電力量!R35-電力量!R34</f>
        <v>0</v>
      </c>
    </row>
    <row r="35" spans="1:18">
      <c r="A35" s="4">
        <f t="shared" ref="A35:A83" si="31">A26+(9/24)</f>
        <v>45901.375</v>
      </c>
      <c r="B35">
        <f>電力量!B36-電力量!B35</f>
        <v>1125</v>
      </c>
      <c r="C35">
        <f>電力量!C36-電力量!C35</f>
        <v>339</v>
      </c>
      <c r="D35">
        <f>電力量!D36-電力量!D35</f>
        <v>27.19999999999709</v>
      </c>
      <c r="E35">
        <f>電力量!E36-電力量!E35</f>
        <v>0</v>
      </c>
      <c r="F35">
        <f>電力量!F36-電力量!F35</f>
        <v>34</v>
      </c>
      <c r="G35">
        <f>電力量!G36-電力量!G35</f>
        <v>59.80000000000291</v>
      </c>
      <c r="H35">
        <f>電力量!H36-電力量!H35</f>
        <v>15</v>
      </c>
      <c r="I35">
        <f>電力量!I36-電力量!I35</f>
        <v>354</v>
      </c>
      <c r="J35">
        <f>電力量!J36-電力量!J35</f>
        <v>7.0999999999985448</v>
      </c>
      <c r="K35">
        <f>電力量!K36-電力量!K35</f>
        <v>0.5</v>
      </c>
      <c r="L35">
        <f>電力量!L36-電力量!L35</f>
        <v>41.69999999999709</v>
      </c>
      <c r="M35">
        <f>電力量!M36-電力量!M35</f>
        <v>56.19999999999709</v>
      </c>
      <c r="N35">
        <f>電力量!N36-電力量!N35</f>
        <v>51.599999999991269</v>
      </c>
      <c r="O35">
        <f>電力量!O36-電力量!O35</f>
        <v>52</v>
      </c>
      <c r="P35">
        <f>電力量!P36-電力量!P35</f>
        <v>10</v>
      </c>
      <c r="Q35">
        <f>電力量!Q36-電力量!Q35</f>
        <v>15</v>
      </c>
      <c r="R35">
        <f>電力量!R36-電力量!R35</f>
        <v>0</v>
      </c>
    </row>
    <row r="36" spans="1:18">
      <c r="A36" s="4">
        <f t="shared" ref="A36:A84" si="32">A26+(10/24)</f>
        <v>45901.416666666664</v>
      </c>
      <c r="B36">
        <f>電力量!B37-電力量!B36</f>
        <v>1318</v>
      </c>
      <c r="C36">
        <f>電力量!C37-電力量!C36</f>
        <v>373</v>
      </c>
      <c r="D36">
        <f>電力量!D37-電力量!D36</f>
        <v>31.700000000004366</v>
      </c>
      <c r="E36">
        <f>電力量!E37-電力量!E36</f>
        <v>0</v>
      </c>
      <c r="F36">
        <f>電力量!F37-電力量!F36</f>
        <v>55</v>
      </c>
      <c r="G36">
        <f>電力量!G37-電力量!G36</f>
        <v>76.69999999999709</v>
      </c>
      <c r="H36">
        <f>電力量!H37-電力量!H36</f>
        <v>17</v>
      </c>
      <c r="I36">
        <f>電力量!I37-電力量!I36</f>
        <v>430</v>
      </c>
      <c r="J36">
        <f>電力量!J37-電力量!J36</f>
        <v>12</v>
      </c>
      <c r="K36">
        <f>電力量!K37-電力量!K36</f>
        <v>0</v>
      </c>
      <c r="L36">
        <f>電力量!L37-電力量!L36</f>
        <v>49.5</v>
      </c>
      <c r="M36">
        <f>電力量!M37-電力量!M36</f>
        <v>63.30000000000291</v>
      </c>
      <c r="N36">
        <f>電力量!N37-電力量!N36</f>
        <v>50.200000000011642</v>
      </c>
      <c r="O36">
        <f>電力量!O37-電力量!O36</f>
        <v>69.5</v>
      </c>
      <c r="P36">
        <f>電力量!P37-電力量!P36</f>
        <v>13</v>
      </c>
      <c r="Q36">
        <f>電力量!Q37-電力量!Q36</f>
        <v>20</v>
      </c>
      <c r="R36">
        <f>電力量!R37-電力量!R36</f>
        <v>0</v>
      </c>
    </row>
    <row r="37" spans="1:18">
      <c r="A37" s="4">
        <f t="shared" ref="A37:A85" si="33">A26+(11/24)</f>
        <v>45901.458333333336</v>
      </c>
      <c r="B37">
        <f>電力量!B38-電力量!B37</f>
        <v>1349</v>
      </c>
      <c r="C37">
        <f>電力量!C38-電力量!C37</f>
        <v>377</v>
      </c>
      <c r="D37">
        <f>電力量!D38-電力量!D37</f>
        <v>38.599999999998545</v>
      </c>
      <c r="E37">
        <f>電力量!E38-電力量!E37</f>
        <v>0</v>
      </c>
      <c r="F37">
        <f>電力量!F38-電力量!F37</f>
        <v>53</v>
      </c>
      <c r="G37">
        <f>電力量!G38-電力量!G37</f>
        <v>81.600000000005821</v>
      </c>
      <c r="H37">
        <f>電力量!H38-電力量!H37</f>
        <v>17</v>
      </c>
      <c r="I37">
        <f>電力量!I38-電力量!I37</f>
        <v>460</v>
      </c>
      <c r="J37">
        <f>電力量!J38-電力量!J37</f>
        <v>13.30000000000291</v>
      </c>
      <c r="K37">
        <f>電力量!K38-電力量!K37</f>
        <v>0</v>
      </c>
      <c r="L37">
        <f>電力量!L38-電力量!L37</f>
        <v>44.400000000008731</v>
      </c>
      <c r="M37">
        <f>電力量!M38-電力量!M37</f>
        <v>62.80000000000291</v>
      </c>
      <c r="N37">
        <f>電力量!N38-電力量!N37</f>
        <v>50.599999999991269</v>
      </c>
      <c r="O37">
        <f>電力量!O38-電力量!O37</f>
        <v>67.399999999994179</v>
      </c>
      <c r="P37">
        <f>電力量!P38-電力量!P37</f>
        <v>15</v>
      </c>
      <c r="Q37">
        <f>電力量!Q38-電力量!Q37</f>
        <v>23</v>
      </c>
      <c r="R37">
        <f>電力量!R38-電力量!R37</f>
        <v>0</v>
      </c>
    </row>
    <row r="38" spans="1:18">
      <c r="A38" s="4">
        <f t="shared" ref="A38:A86" si="34">A26+(12/24)</f>
        <v>45901.5</v>
      </c>
      <c r="B38">
        <f>電力量!B39-電力量!B38</f>
        <v>1386</v>
      </c>
      <c r="C38">
        <f>電力量!C39-電力量!C38</f>
        <v>381</v>
      </c>
      <c r="D38">
        <f>電力量!D39-電力量!D38</f>
        <v>44.900000000001455</v>
      </c>
      <c r="E38">
        <f>電力量!E39-電力量!E38</f>
        <v>0</v>
      </c>
      <c r="F38">
        <f>電力量!F39-電力量!F38</f>
        <v>56</v>
      </c>
      <c r="G38">
        <f>電力量!G39-電力量!G38</f>
        <v>80.69999999999709</v>
      </c>
      <c r="H38">
        <f>電力量!H39-電力量!H38</f>
        <v>14</v>
      </c>
      <c r="I38">
        <f>電力量!I39-電力量!I38</f>
        <v>483</v>
      </c>
      <c r="J38">
        <f>電力量!J39-電力量!J38</f>
        <v>11.69999999999709</v>
      </c>
      <c r="K38">
        <f>電力量!K39-電力量!K38</f>
        <v>0.19999999999708962</v>
      </c>
      <c r="L38">
        <f>電力量!L39-電力量!L38</f>
        <v>46.399999999994179</v>
      </c>
      <c r="M38">
        <f>電力量!M39-電力量!M38</f>
        <v>64</v>
      </c>
      <c r="N38">
        <f>電力量!N39-電力量!N38</f>
        <v>49.69999999999709</v>
      </c>
      <c r="O38">
        <f>電力量!O39-電力量!O38</f>
        <v>69.5</v>
      </c>
      <c r="P38">
        <f>電力量!P39-電力量!P38</f>
        <v>16</v>
      </c>
      <c r="Q38">
        <f>電力量!Q39-電力量!Q38</f>
        <v>25</v>
      </c>
      <c r="R38">
        <f>電力量!R39-電力量!R38</f>
        <v>0</v>
      </c>
    </row>
    <row r="39" spans="1:18">
      <c r="A39" s="4">
        <f t="shared" ref="A39:A87" si="35">A26+(13/24)</f>
        <v>45901.541666666664</v>
      </c>
      <c r="B39">
        <f>電力量!B40-電力量!B39</f>
        <v>1458</v>
      </c>
      <c r="C39">
        <f>電力量!C40-電力量!C39</f>
        <v>391</v>
      </c>
      <c r="D39">
        <f>電力量!D40-電力量!D39</f>
        <v>45.099999999998545</v>
      </c>
      <c r="E39">
        <f>電力量!E40-電力量!E39</f>
        <v>0</v>
      </c>
      <c r="F39">
        <f>電力量!F40-電力量!F39</f>
        <v>53</v>
      </c>
      <c r="G39">
        <f>電力量!G40-電力量!G39</f>
        <v>94</v>
      </c>
      <c r="H39">
        <f>電力量!H40-電力量!H39</f>
        <v>46</v>
      </c>
      <c r="I39">
        <f>電力量!I40-電力量!I39</f>
        <v>481</v>
      </c>
      <c r="J39">
        <f>電力量!J40-電力量!J39</f>
        <v>11.200000000004366</v>
      </c>
      <c r="K39">
        <f>電力量!K40-電力量!K39</f>
        <v>0</v>
      </c>
      <c r="L39">
        <f>電力量!L40-電力量!L39</f>
        <v>52.600000000005821</v>
      </c>
      <c r="M39">
        <f>電力量!M40-電力量!M39</f>
        <v>73.299999999988358</v>
      </c>
      <c r="N39">
        <f>電力量!N40-電力量!N39</f>
        <v>44.700000000011642</v>
      </c>
      <c r="O39">
        <f>電力量!O40-電力量!O39</f>
        <v>73.30000000000291</v>
      </c>
      <c r="P39">
        <f>電力量!P40-電力量!P39</f>
        <v>17</v>
      </c>
      <c r="Q39">
        <f>電力量!Q40-電力量!Q39</f>
        <v>24</v>
      </c>
      <c r="R39">
        <f>電力量!R40-電力量!R39</f>
        <v>0</v>
      </c>
    </row>
    <row r="40" spans="1:18">
      <c r="A40" s="4">
        <f t="shared" ref="A40:A88" si="36">A26+(14/24)</f>
        <v>45901.583333333336</v>
      </c>
      <c r="B40">
        <f>電力量!B41-電力量!B40</f>
        <v>1464</v>
      </c>
      <c r="C40">
        <f>電力量!C41-電力量!C40</f>
        <v>417</v>
      </c>
      <c r="D40">
        <f>電力量!D41-電力量!D40</f>
        <v>37.400000000001455</v>
      </c>
      <c r="E40">
        <f>電力量!E41-電力量!E40</f>
        <v>0</v>
      </c>
      <c r="F40">
        <f>電力量!F41-電力量!F40</f>
        <v>53</v>
      </c>
      <c r="G40">
        <f>電力量!G41-電力量!G40</f>
        <v>105.80000000000291</v>
      </c>
      <c r="H40">
        <f>電力量!H41-電力量!H40</f>
        <v>23</v>
      </c>
      <c r="I40">
        <f>電力量!I41-電力量!I40</f>
        <v>482</v>
      </c>
      <c r="J40">
        <f>電力量!J41-電力量!J40</f>
        <v>14.799999999995634</v>
      </c>
      <c r="K40">
        <f>電力量!K41-電力量!K40</f>
        <v>1.0999999999912689</v>
      </c>
      <c r="L40">
        <f>電力量!L41-電力量!L40</f>
        <v>52</v>
      </c>
      <c r="M40">
        <f>電力量!M41-電力量!M40</f>
        <v>79.80000000000291</v>
      </c>
      <c r="N40">
        <f>電力量!N41-電力量!N40</f>
        <v>48.899999999994179</v>
      </c>
      <c r="O40">
        <f>電力量!O41-電力量!O40</f>
        <v>56.900000000008731</v>
      </c>
      <c r="P40">
        <f>電力量!P41-電力量!P40</f>
        <v>13</v>
      </c>
      <c r="Q40">
        <f>電力量!Q41-電力量!Q40</f>
        <v>21</v>
      </c>
      <c r="R40">
        <f>電力量!R41-電力量!R40</f>
        <v>0</v>
      </c>
    </row>
    <row r="41" spans="1:18">
      <c r="A41" s="4">
        <f t="shared" ref="A41:A89" si="37">A26+(15/24)</f>
        <v>45901.625</v>
      </c>
      <c r="B41">
        <f>電力量!B42-電力量!B41</f>
        <v>1416</v>
      </c>
      <c r="C41">
        <f>電力量!C42-電力量!C41</f>
        <v>412</v>
      </c>
      <c r="D41">
        <f>電力量!D42-電力量!D41</f>
        <v>35.5</v>
      </c>
      <c r="E41">
        <f>電力量!E42-電力量!E41</f>
        <v>0</v>
      </c>
      <c r="F41">
        <f>電力量!F42-電力量!F41</f>
        <v>51</v>
      </c>
      <c r="G41">
        <f>電力量!G42-電力量!G41</f>
        <v>100.29999999999563</v>
      </c>
      <c r="H41">
        <f>電力量!H42-電力量!H41</f>
        <v>15</v>
      </c>
      <c r="I41">
        <f>電力量!I42-電力量!I41</f>
        <v>491</v>
      </c>
      <c r="J41">
        <f>電力量!J42-電力量!J41</f>
        <v>16.400000000001455</v>
      </c>
      <c r="K41">
        <f>電力量!K42-電力量!K41</f>
        <v>0</v>
      </c>
      <c r="L41">
        <f>電力量!L42-電力量!L41</f>
        <v>49.799999999988358</v>
      </c>
      <c r="M41">
        <f>電力量!M42-電力量!M41</f>
        <v>69.69999999999709</v>
      </c>
      <c r="N41">
        <f>電力量!N42-電力量!N41</f>
        <v>50.30000000000291</v>
      </c>
      <c r="O41">
        <f>電力量!O42-電力量!O41</f>
        <v>30.299999999988358</v>
      </c>
      <c r="P41">
        <f>電力量!P42-電力量!P41</f>
        <v>12</v>
      </c>
      <c r="Q41">
        <f>電力量!Q42-電力量!Q41</f>
        <v>18</v>
      </c>
      <c r="R41">
        <f>電力量!R42-電力量!R41</f>
        <v>0</v>
      </c>
    </row>
    <row r="42" spans="1:18">
      <c r="A42" s="4">
        <f t="shared" ref="A42:A90" si="38">A26+(16/24)</f>
        <v>45901.666666666664</v>
      </c>
      <c r="B42">
        <f>電力量!B43-電力量!B42</f>
        <v>1338</v>
      </c>
      <c r="C42">
        <f>電力量!C43-電力量!C42</f>
        <v>384</v>
      </c>
      <c r="D42">
        <f>電力量!D43-電力量!D42</f>
        <v>32.5</v>
      </c>
      <c r="E42">
        <f>電力量!E43-電力量!E42</f>
        <v>0</v>
      </c>
      <c r="F42">
        <f>電力量!F43-電力量!F42</f>
        <v>47</v>
      </c>
      <c r="G42">
        <f>電力量!G43-電力量!G42</f>
        <v>102.20000000000437</v>
      </c>
      <c r="H42">
        <f>電力量!H43-電力量!H42</f>
        <v>13</v>
      </c>
      <c r="I42">
        <f>電力量!I43-電力量!I42</f>
        <v>472</v>
      </c>
      <c r="J42">
        <f>電力量!J43-電力量!J42</f>
        <v>11.19999999999709</v>
      </c>
      <c r="K42">
        <f>電力量!K43-電力量!K42</f>
        <v>3.8000000000029104</v>
      </c>
      <c r="L42">
        <f>電力量!L43-電力量!L42</f>
        <v>51</v>
      </c>
      <c r="M42">
        <f>電力量!M43-電力量!M42</f>
        <v>56.30000000000291</v>
      </c>
      <c r="N42">
        <f>電力量!N43-電力量!N42</f>
        <v>52.099999999991269</v>
      </c>
      <c r="O42">
        <f>電力量!O43-電力量!O42</f>
        <v>28.200000000011642</v>
      </c>
      <c r="P42">
        <f>電力量!P43-電力量!P42</f>
        <v>9</v>
      </c>
      <c r="Q42">
        <f>電力量!Q43-電力量!Q42</f>
        <v>13</v>
      </c>
      <c r="R42">
        <f>電力量!R43-電力量!R42</f>
        <v>0</v>
      </c>
    </row>
    <row r="43" spans="1:18">
      <c r="A43" s="4">
        <f t="shared" ref="A43:A91" si="39">A26+(17/24)</f>
        <v>45901.708333333336</v>
      </c>
      <c r="B43">
        <f>電力量!B44-電力量!B43</f>
        <v>1195</v>
      </c>
      <c r="C43">
        <f>電力量!C44-電力量!C43</f>
        <v>342</v>
      </c>
      <c r="D43">
        <f>電力量!D44-電力量!D43</f>
        <v>26.099999999998545</v>
      </c>
      <c r="E43">
        <f>電力量!E44-電力量!E43</f>
        <v>0</v>
      </c>
      <c r="F43">
        <f>電力量!F44-電力量!F43</f>
        <v>42</v>
      </c>
      <c r="G43">
        <f>電力量!G44-電力量!G43</f>
        <v>89.69999999999709</v>
      </c>
      <c r="H43">
        <f>電力量!H44-電力量!H43</f>
        <v>14</v>
      </c>
      <c r="I43">
        <f>電力量!I44-電力量!I43</f>
        <v>413</v>
      </c>
      <c r="J43">
        <f>電力量!J44-電力量!J43</f>
        <v>7.9000000000014552</v>
      </c>
      <c r="K43">
        <f>電力量!K44-電力量!K43</f>
        <v>5.1000000000058208</v>
      </c>
      <c r="L43">
        <f>電力量!L44-電力量!L43</f>
        <v>43.200000000011642</v>
      </c>
      <c r="M43">
        <f>電力量!M44-電力量!M43</f>
        <v>50.100000000005821</v>
      </c>
      <c r="N43">
        <f>電力量!N44-電力量!N43</f>
        <v>55.600000000005821</v>
      </c>
      <c r="O43">
        <f>電力量!O44-電力量!O43</f>
        <v>26.599999999991269</v>
      </c>
      <c r="P43">
        <f>電力量!P44-電力量!P43</f>
        <v>4</v>
      </c>
      <c r="Q43">
        <f>電力量!Q44-電力量!Q43</f>
        <v>7</v>
      </c>
      <c r="R43">
        <f>電力量!R44-電力量!R43</f>
        <v>0</v>
      </c>
    </row>
    <row r="44" spans="1:18">
      <c r="A44" s="4">
        <f t="shared" ref="A44:A92" si="40">A26+(18/24)</f>
        <v>45901.75</v>
      </c>
      <c r="B44">
        <f>電力量!B45-電力量!B44</f>
        <v>1035</v>
      </c>
      <c r="C44">
        <f>電力量!C45-電力量!C44</f>
        <v>293</v>
      </c>
      <c r="D44">
        <f>電力量!D45-電力量!D44</f>
        <v>21.099999999998545</v>
      </c>
      <c r="E44">
        <f>電力量!E45-電力量!E44</f>
        <v>0</v>
      </c>
      <c r="F44">
        <f>電力量!F45-電力量!F44</f>
        <v>34</v>
      </c>
      <c r="G44">
        <f>電力量!G45-電力量!G44</f>
        <v>80.5</v>
      </c>
      <c r="H44">
        <f>電力量!H45-電力量!H44</f>
        <v>19</v>
      </c>
      <c r="I44">
        <f>電力量!I45-電力量!I44</f>
        <v>353</v>
      </c>
      <c r="J44">
        <f>電力量!J45-電力量!J44</f>
        <v>7.7000000000043656</v>
      </c>
      <c r="K44">
        <f>電力量!K45-電力量!K44</f>
        <v>5.1999999999970896</v>
      </c>
      <c r="L44">
        <f>電力量!L45-電力量!L44</f>
        <v>31.399999999994179</v>
      </c>
      <c r="M44">
        <f>電力量!M45-電力量!M44</f>
        <v>46.19999999999709</v>
      </c>
      <c r="N44">
        <f>電力量!N45-電力量!N44</f>
        <v>56.600000000005821</v>
      </c>
      <c r="O44">
        <f>電力量!O45-電力量!O44</f>
        <v>21.80000000000291</v>
      </c>
      <c r="P44">
        <f>電力量!P45-電力量!P44</f>
        <v>0</v>
      </c>
      <c r="Q44">
        <f>電力量!Q45-電力量!Q44</f>
        <v>0</v>
      </c>
      <c r="R44">
        <f>電力量!R45-電力量!R44</f>
        <v>0</v>
      </c>
    </row>
    <row r="45" spans="1:18">
      <c r="A45" s="4">
        <f t="shared" ref="A45:A93" si="41">A26+(19/24)</f>
        <v>45901.791666666664</v>
      </c>
      <c r="B45">
        <f>電力量!B46-電力量!B45</f>
        <v>948</v>
      </c>
      <c r="C45">
        <f>電力量!C46-電力量!C45</f>
        <v>254</v>
      </c>
      <c r="D45">
        <f>電力量!D46-電力量!D45</f>
        <v>21.19999999999709</v>
      </c>
      <c r="E45">
        <f>電力量!E46-電力量!E45</f>
        <v>0</v>
      </c>
      <c r="F45">
        <f>電力量!F46-電力量!F45</f>
        <v>30</v>
      </c>
      <c r="G45">
        <f>電力量!G46-電力量!G45</f>
        <v>81.19999999999709</v>
      </c>
      <c r="H45">
        <f>電力量!H46-電力量!H45</f>
        <v>17</v>
      </c>
      <c r="I45">
        <f>電力量!I46-電力量!I45</f>
        <v>317</v>
      </c>
      <c r="J45">
        <f>電力量!J46-電力量!J45</f>
        <v>6.8999999999941792</v>
      </c>
      <c r="K45">
        <f>電力量!K46-電力量!K45</f>
        <v>5.1999999999970896</v>
      </c>
      <c r="L45">
        <f>電力量!L46-電力量!L45</f>
        <v>29.30000000000291</v>
      </c>
      <c r="M45">
        <f>電力量!M46-電力量!M45</f>
        <v>42.69999999999709</v>
      </c>
      <c r="N45">
        <f>電力量!N46-電力量!N45</f>
        <v>57</v>
      </c>
      <c r="O45">
        <f>電力量!O46-電力量!O45</f>
        <v>23.30000000000291</v>
      </c>
      <c r="P45">
        <f>電力量!P46-電力量!P45</f>
        <v>0</v>
      </c>
      <c r="Q45">
        <f>電力量!Q46-電力量!Q45</f>
        <v>0</v>
      </c>
      <c r="R45">
        <f>電力量!R46-電力量!R45</f>
        <v>0</v>
      </c>
    </row>
    <row r="46" spans="1:18">
      <c r="A46" s="4">
        <f t="shared" ref="A46:A94" si="42">A26+(20/24)</f>
        <v>45901.833333333336</v>
      </c>
      <c r="B46">
        <f>電力量!B47-電力量!B46</f>
        <v>888</v>
      </c>
      <c r="C46">
        <f>電力量!C47-電力量!C46</f>
        <v>230</v>
      </c>
      <c r="D46">
        <f>電力量!D47-電力量!D46</f>
        <v>21.400000000001455</v>
      </c>
      <c r="E46">
        <f>電力量!E47-電力量!E46</f>
        <v>0</v>
      </c>
      <c r="F46">
        <f>電力量!F47-電力量!F46</f>
        <v>26</v>
      </c>
      <c r="G46">
        <f>電力量!G47-電力量!G46</f>
        <v>74.400000000001455</v>
      </c>
      <c r="H46">
        <f>電力量!H47-電力量!H46</f>
        <v>17</v>
      </c>
      <c r="I46">
        <f>電力量!I47-電力量!I46</f>
        <v>289</v>
      </c>
      <c r="J46">
        <f>電力量!J47-電力量!J46</f>
        <v>7.5</v>
      </c>
      <c r="K46">
        <f>電力量!K47-電力量!K46</f>
        <v>5.3000000000029104</v>
      </c>
      <c r="L46">
        <f>電力量!L47-電力量!L46</f>
        <v>33.5</v>
      </c>
      <c r="M46">
        <f>電力量!M47-電力量!M46</f>
        <v>41.5</v>
      </c>
      <c r="N46">
        <f>電力量!N47-電力量!N46</f>
        <v>56.399999999994179</v>
      </c>
      <c r="O46">
        <f>電力量!O47-電力量!O46</f>
        <v>23.80000000000291</v>
      </c>
      <c r="P46">
        <f>電力量!P47-電力量!P46</f>
        <v>0</v>
      </c>
      <c r="Q46">
        <f>電力量!Q47-電力量!Q46</f>
        <v>0</v>
      </c>
      <c r="R46">
        <f>電力量!R47-電力量!R46</f>
        <v>0</v>
      </c>
    </row>
    <row r="47" spans="1:18">
      <c r="A47" s="4">
        <f t="shared" ref="A47:A95" si="43">A26+(21/24)</f>
        <v>45901.875</v>
      </c>
      <c r="B47">
        <f>電力量!B48-電力量!B47</f>
        <v>848</v>
      </c>
      <c r="C47">
        <f>電力量!C48-電力量!C47</f>
        <v>228</v>
      </c>
      <c r="D47">
        <f>電力量!D48-電力量!D47</f>
        <v>21.400000000001455</v>
      </c>
      <c r="E47">
        <f>電力量!E48-電力量!E47</f>
        <v>0</v>
      </c>
      <c r="F47">
        <f>電力量!F48-電力量!F47</f>
        <v>25</v>
      </c>
      <c r="G47">
        <f>電力量!G48-電力量!G47</f>
        <v>69.5</v>
      </c>
      <c r="H47">
        <f>電力量!H48-電力量!H47</f>
        <v>17</v>
      </c>
      <c r="I47">
        <f>電力量!I48-電力量!I47</f>
        <v>268</v>
      </c>
      <c r="J47">
        <f>電力量!J48-電力量!J47</f>
        <v>7.4000000000014552</v>
      </c>
      <c r="K47">
        <f>電力量!K48-電力量!K47</f>
        <v>4.8999999999941792</v>
      </c>
      <c r="L47">
        <f>電力量!L48-電力量!L47</f>
        <v>29.099999999991269</v>
      </c>
      <c r="M47">
        <f>電力量!M48-電力量!M47</f>
        <v>39.5</v>
      </c>
      <c r="N47">
        <f>電力量!N48-電力量!N47</f>
        <v>56.399999999994179</v>
      </c>
      <c r="O47">
        <f>電力量!O48-電力量!O47</f>
        <v>23.19999999999709</v>
      </c>
      <c r="P47">
        <f>電力量!P48-電力量!P47</f>
        <v>0</v>
      </c>
      <c r="Q47">
        <f>電力量!Q48-電力量!Q47</f>
        <v>0</v>
      </c>
      <c r="R47">
        <f>電力量!R48-電力量!R47</f>
        <v>0</v>
      </c>
    </row>
    <row r="48" spans="1:18">
      <c r="A48" s="4">
        <f t="shared" ref="A48:A96" si="44">A26+(22/24)</f>
        <v>45901.916666666664</v>
      </c>
      <c r="B48">
        <f>電力量!B49-電力量!B48</f>
        <v>820</v>
      </c>
      <c r="C48">
        <f>電力量!C49-電力量!C48</f>
        <v>221</v>
      </c>
      <c r="D48">
        <f>電力量!D49-電力量!D48</f>
        <v>19.400000000001455</v>
      </c>
      <c r="E48">
        <f>電力量!E49-電力量!E48</f>
        <v>0</v>
      </c>
      <c r="F48">
        <f>電力量!F49-電力量!F48</f>
        <v>24</v>
      </c>
      <c r="G48">
        <f>電力量!G49-電力量!G48</f>
        <v>65.099999999998545</v>
      </c>
      <c r="H48">
        <f>電力量!H49-電力量!H48</f>
        <v>16</v>
      </c>
      <c r="I48">
        <f>電力量!I49-電力量!I48</f>
        <v>263</v>
      </c>
      <c r="J48">
        <f>電力量!J49-電力量!J48</f>
        <v>6.8000000000029104</v>
      </c>
      <c r="K48">
        <f>電力量!K49-電力量!K48</f>
        <v>4.6000000000058208</v>
      </c>
      <c r="L48">
        <f>電力量!L49-電力量!L48</f>
        <v>27</v>
      </c>
      <c r="M48">
        <f>電力量!M49-電力量!M48</f>
        <v>42.19999999999709</v>
      </c>
      <c r="N48">
        <f>電力量!N49-電力量!N48</f>
        <v>56</v>
      </c>
      <c r="O48">
        <f>電力量!O49-電力量!O48</f>
        <v>19.69999999999709</v>
      </c>
      <c r="P48">
        <f>電力量!P49-電力量!P48</f>
        <v>0</v>
      </c>
      <c r="Q48">
        <f>電力量!Q49-電力量!Q48</f>
        <v>0</v>
      </c>
      <c r="R48">
        <f>電力量!R49-電力量!R48</f>
        <v>0</v>
      </c>
    </row>
    <row r="49" spans="1:18">
      <c r="A49" s="4">
        <f t="shared" ref="A49:A97" si="45">A26+(23/24)</f>
        <v>45901.958333333336</v>
      </c>
      <c r="B49">
        <f>電力量!B50-電力量!B49</f>
        <v>784</v>
      </c>
      <c r="C49">
        <f>電力量!C50-電力量!C49</f>
        <v>206</v>
      </c>
      <c r="D49">
        <f>電力量!D50-電力量!D49</f>
        <v>18.5</v>
      </c>
      <c r="E49">
        <f>電力量!E50-電力量!E49</f>
        <v>0</v>
      </c>
      <c r="F49">
        <f>電力量!F50-電力量!F49</f>
        <v>23</v>
      </c>
      <c r="G49">
        <f>電力量!G50-電力量!G49</f>
        <v>60</v>
      </c>
      <c r="H49">
        <f>電力量!H50-電力量!H49</f>
        <v>13</v>
      </c>
      <c r="I49">
        <f>電力量!I50-電力量!I49</f>
        <v>257</v>
      </c>
      <c r="J49">
        <f>電力量!J50-電力量!J49</f>
        <v>7</v>
      </c>
      <c r="K49">
        <f>電力量!K50-電力量!K49</f>
        <v>4.5</v>
      </c>
      <c r="L49">
        <f>電力量!L50-電力量!L49</f>
        <v>26.80000000000291</v>
      </c>
      <c r="M49">
        <f>電力量!M50-電力量!M49</f>
        <v>39.900000000008731</v>
      </c>
      <c r="N49">
        <f>電力量!N50-電力量!N49</f>
        <v>55.200000000011642</v>
      </c>
      <c r="O49">
        <f>電力量!O50-電力量!O49</f>
        <v>19.100000000005821</v>
      </c>
      <c r="P49">
        <f>電力量!P50-電力量!P49</f>
        <v>0</v>
      </c>
      <c r="Q49">
        <f>電力量!Q50-電力量!Q49</f>
        <v>0</v>
      </c>
      <c r="R49">
        <f>電力量!R50-電力量!R49</f>
        <v>0</v>
      </c>
    </row>
    <row r="50" spans="1:18">
      <c r="A50" s="4">
        <v>45902</v>
      </c>
      <c r="B50">
        <f>電力量!B51-電力量!B50</f>
        <v>744</v>
      </c>
      <c r="C50">
        <f>電力量!C51-電力量!C50</f>
        <v>194</v>
      </c>
      <c r="D50">
        <f>電力量!D51-電力量!D50</f>
        <v>16.900000000001455</v>
      </c>
      <c r="E50">
        <f>電力量!E51-電力量!E50</f>
        <v>0</v>
      </c>
      <c r="F50">
        <f>電力量!F51-電力量!F50</f>
        <v>21</v>
      </c>
      <c r="G50">
        <f>電力量!G51-電力量!G50</f>
        <v>57.80000000000291</v>
      </c>
      <c r="H50">
        <f>電力量!H51-電力量!H50</f>
        <v>12</v>
      </c>
      <c r="I50">
        <f>電力量!I51-電力量!I50</f>
        <v>243</v>
      </c>
      <c r="J50">
        <f>電力量!J51-電力量!J50</f>
        <v>6.5</v>
      </c>
      <c r="K50">
        <f>電力量!K51-電力量!K50</f>
        <v>4.6000000000058208</v>
      </c>
      <c r="L50">
        <f>電力量!L51-電力量!L50</f>
        <v>26</v>
      </c>
      <c r="M50">
        <f>電力量!M51-電力量!M50</f>
        <v>38</v>
      </c>
      <c r="N50">
        <f>電力量!N51-電力量!N50</f>
        <v>55.399999999994179</v>
      </c>
      <c r="O50">
        <f>電力量!O51-電力量!O50</f>
        <v>19.19999999999709</v>
      </c>
      <c r="P50">
        <f>電力量!P51-電力量!P50</f>
        <v>0</v>
      </c>
      <c r="Q50">
        <f>電力量!Q51-電力量!Q50</f>
        <v>0</v>
      </c>
      <c r="R50">
        <f>電力量!R51-電力量!R50</f>
        <v>0</v>
      </c>
    </row>
    <row r="51" spans="1:18">
      <c r="A51" s="4">
        <f t="shared" si="23"/>
        <v>45902.041666666664</v>
      </c>
      <c r="B51">
        <f>電力量!B52-電力量!B51</f>
        <v>720</v>
      </c>
      <c r="C51">
        <f>電力量!C52-電力量!C51</f>
        <v>185</v>
      </c>
      <c r="D51">
        <f>電力量!D52-電力量!D51</f>
        <v>16.19999999999709</v>
      </c>
      <c r="E51">
        <f>電力量!E52-電力量!E51</f>
        <v>0</v>
      </c>
      <c r="F51">
        <f>電力量!F52-電力量!F51</f>
        <v>21</v>
      </c>
      <c r="G51">
        <f>電力量!G52-電力量!G51</f>
        <v>56.5</v>
      </c>
      <c r="H51">
        <f>電力量!H52-電力量!H51</f>
        <v>14</v>
      </c>
      <c r="I51">
        <f>電力量!I52-電力量!I51</f>
        <v>227</v>
      </c>
      <c r="J51">
        <f>電力量!J52-電力量!J51</f>
        <v>6.6999999999970896</v>
      </c>
      <c r="K51">
        <f>電力量!K52-電力量!K51</f>
        <v>4.5</v>
      </c>
      <c r="L51">
        <f>電力量!L52-電力量!L51</f>
        <v>26.19999999999709</v>
      </c>
      <c r="M51">
        <f>電力量!M52-電力量!M51</f>
        <v>38.19999999999709</v>
      </c>
      <c r="N51">
        <f>電力量!N52-電力量!N51</f>
        <v>55.30000000000291</v>
      </c>
      <c r="O51">
        <f>電力量!O52-電力量!O51</f>
        <v>19.099999999991269</v>
      </c>
      <c r="P51">
        <f>電力量!P52-電力量!P51</f>
        <v>0</v>
      </c>
      <c r="Q51">
        <f>電力量!Q52-電力量!Q51</f>
        <v>0</v>
      </c>
      <c r="R51">
        <f>電力量!R52-電力量!R51</f>
        <v>0</v>
      </c>
    </row>
    <row r="52" spans="1:18">
      <c r="A52" s="4">
        <f t="shared" si="24"/>
        <v>45902.083333333336</v>
      </c>
      <c r="B52">
        <f>電力量!B53-電力量!B52</f>
        <v>718</v>
      </c>
      <c r="C52">
        <f>電力量!C53-電力量!C52</f>
        <v>189</v>
      </c>
      <c r="D52">
        <f>電力量!D53-電力量!D52</f>
        <v>16.5</v>
      </c>
      <c r="E52">
        <f>電力量!E53-電力量!E52</f>
        <v>0</v>
      </c>
      <c r="F52">
        <f>電力量!F53-電力量!F52</f>
        <v>20</v>
      </c>
      <c r="G52">
        <f>電力量!G53-電力量!G52</f>
        <v>56.399999999994179</v>
      </c>
      <c r="H52">
        <f>電力量!H53-電力量!H52</f>
        <v>12</v>
      </c>
      <c r="I52">
        <f>電力量!I53-電力量!I52</f>
        <v>223</v>
      </c>
      <c r="J52">
        <f>電力量!J53-電力量!J52</f>
        <v>6.5999999999985448</v>
      </c>
      <c r="K52">
        <f>電力量!K53-電力量!K52</f>
        <v>4.5999999999912689</v>
      </c>
      <c r="L52">
        <f>電力量!L53-電力量!L52</f>
        <v>25.80000000000291</v>
      </c>
      <c r="M52">
        <f>電力量!M53-電力量!M52</f>
        <v>38.30000000000291</v>
      </c>
      <c r="N52">
        <f>電力量!N53-電力量!N52</f>
        <v>55.099999999991269</v>
      </c>
      <c r="O52">
        <f>電力量!O53-電力量!O52</f>
        <v>19.5</v>
      </c>
      <c r="P52">
        <f>電力量!P53-電力量!P52</f>
        <v>0</v>
      </c>
      <c r="Q52">
        <f>電力量!Q53-電力量!Q52</f>
        <v>0</v>
      </c>
      <c r="R52">
        <f>電力量!R53-電力量!R52</f>
        <v>0</v>
      </c>
    </row>
    <row r="53" spans="1:18">
      <c r="A53" s="4">
        <f t="shared" si="25"/>
        <v>45902.125</v>
      </c>
      <c r="B53">
        <f>電力量!B54-電力量!B53</f>
        <v>720</v>
      </c>
      <c r="C53">
        <f>電力量!C54-電力量!C53</f>
        <v>189</v>
      </c>
      <c r="D53">
        <f>電力量!D54-電力量!D53</f>
        <v>15.5</v>
      </c>
      <c r="E53">
        <f>電力量!E54-電力量!E53</f>
        <v>0</v>
      </c>
      <c r="F53">
        <f>電力量!F54-電力量!F53</f>
        <v>21</v>
      </c>
      <c r="G53">
        <f>電力量!G54-電力量!G53</f>
        <v>55.900000000008731</v>
      </c>
      <c r="H53">
        <f>電力量!H54-電力量!H53</f>
        <v>12</v>
      </c>
      <c r="I53">
        <f>電力量!I54-電力量!I53</f>
        <v>225</v>
      </c>
      <c r="J53">
        <f>電力量!J54-電力量!J53</f>
        <v>6.7000000000043656</v>
      </c>
      <c r="K53">
        <f>電力量!K54-電力量!K53</f>
        <v>4.4000000000087311</v>
      </c>
      <c r="L53">
        <f>電力量!L54-電力量!L53</f>
        <v>25.30000000000291</v>
      </c>
      <c r="M53">
        <f>電力量!M54-電力量!M53</f>
        <v>41.099999999991269</v>
      </c>
      <c r="N53">
        <f>電力量!N54-電力量!N53</f>
        <v>56.30000000000291</v>
      </c>
      <c r="O53">
        <f>電力量!O54-電力量!O53</f>
        <v>18.5</v>
      </c>
      <c r="P53">
        <f>電力量!P54-電力量!P53</f>
        <v>0</v>
      </c>
      <c r="Q53">
        <f>電力量!Q54-電力量!Q53</f>
        <v>0</v>
      </c>
      <c r="R53">
        <f>電力量!R54-電力量!R53</f>
        <v>0</v>
      </c>
    </row>
    <row r="54" spans="1:18">
      <c r="A54" s="4">
        <f t="shared" si="26"/>
        <v>45902.166666666664</v>
      </c>
      <c r="B54">
        <f>電力量!B55-電力量!B54</f>
        <v>710</v>
      </c>
      <c r="C54">
        <f>電力量!C55-電力量!C54</f>
        <v>184</v>
      </c>
      <c r="D54">
        <f>電力量!D55-電力量!D54</f>
        <v>13.599999999998545</v>
      </c>
      <c r="E54">
        <f>電力量!E55-電力量!E54</f>
        <v>0</v>
      </c>
      <c r="F54">
        <f>電力量!F55-電力量!F54</f>
        <v>20</v>
      </c>
      <c r="G54">
        <f>電力量!G55-電力量!G54</f>
        <v>55.19999999999709</v>
      </c>
      <c r="H54">
        <f>電力量!H55-電力量!H54</f>
        <v>13</v>
      </c>
      <c r="I54">
        <f>電力量!I55-電力量!I54</f>
        <v>227</v>
      </c>
      <c r="J54">
        <f>電力量!J55-電力量!J54</f>
        <v>6.5</v>
      </c>
      <c r="K54">
        <f>電力量!K55-電力量!K54</f>
        <v>4.3999999999941792</v>
      </c>
      <c r="L54">
        <f>電力量!L55-電力量!L54</f>
        <v>23.899999999994179</v>
      </c>
      <c r="M54">
        <f>電力量!M55-電力量!M54</f>
        <v>38.80000000000291</v>
      </c>
      <c r="N54">
        <f>電力量!N55-電力量!N54</f>
        <v>56.19999999999709</v>
      </c>
      <c r="O54">
        <f>電力量!O55-電力量!O54</f>
        <v>19.30000000000291</v>
      </c>
      <c r="P54">
        <f>電力量!P55-電力量!P54</f>
        <v>0</v>
      </c>
      <c r="Q54">
        <f>電力量!Q55-電力量!Q54</f>
        <v>0</v>
      </c>
      <c r="R54">
        <f>電力量!R55-電力量!R54</f>
        <v>0</v>
      </c>
    </row>
    <row r="55" spans="1:18">
      <c r="A55" s="4">
        <f t="shared" si="27"/>
        <v>45902.208333333336</v>
      </c>
      <c r="B55">
        <f>電力量!B56-電力量!B55</f>
        <v>691</v>
      </c>
      <c r="C55">
        <f>電力量!C56-電力量!C55</f>
        <v>184</v>
      </c>
      <c r="D55">
        <f>電力量!D56-電力量!D55</f>
        <v>13.400000000001455</v>
      </c>
      <c r="E55">
        <f>電力量!E56-電力量!E55</f>
        <v>0</v>
      </c>
      <c r="F55">
        <f>電力量!F56-電力量!F55</f>
        <v>19</v>
      </c>
      <c r="G55">
        <f>電力量!G56-電力量!G55</f>
        <v>52.5</v>
      </c>
      <c r="H55">
        <f>電力量!H56-電力量!H55</f>
        <v>12</v>
      </c>
      <c r="I55">
        <f>電力量!I56-電力量!I55</f>
        <v>214</v>
      </c>
      <c r="J55">
        <f>電力量!J56-電力量!J55</f>
        <v>6.1999999999970896</v>
      </c>
      <c r="K55">
        <f>電力量!K56-電力量!K55</f>
        <v>4.3999999999941792</v>
      </c>
      <c r="L55">
        <f>電力量!L56-電力量!L55</f>
        <v>21.30000000000291</v>
      </c>
      <c r="M55">
        <f>電力量!M56-電力量!M55</f>
        <v>37.19999999999709</v>
      </c>
      <c r="N55">
        <f>電力量!N56-電力量!N55</f>
        <v>55</v>
      </c>
      <c r="O55">
        <f>電力量!O56-電力量!O55</f>
        <v>21.80000000000291</v>
      </c>
      <c r="P55">
        <f>電力量!P56-電力量!P55</f>
        <v>0</v>
      </c>
      <c r="Q55">
        <f>電力量!Q56-電力量!Q55</f>
        <v>0</v>
      </c>
      <c r="R55">
        <f>電力量!R56-電力量!R55</f>
        <v>0</v>
      </c>
    </row>
    <row r="56" spans="1:18">
      <c r="A56" s="4">
        <f t="shared" si="28"/>
        <v>45902.25</v>
      </c>
      <c r="B56">
        <f>電力量!B57-電力量!B56</f>
        <v>695</v>
      </c>
      <c r="C56">
        <f>電力量!C57-電力量!C56</f>
        <v>184</v>
      </c>
      <c r="D56">
        <f>電力量!D57-電力量!D56</f>
        <v>14.5</v>
      </c>
      <c r="E56">
        <f>電力量!E57-電力量!E56</f>
        <v>0</v>
      </c>
      <c r="F56">
        <f>電力量!F57-電力量!F56</f>
        <v>21</v>
      </c>
      <c r="G56">
        <f>電力量!G57-電力量!G56</f>
        <v>51</v>
      </c>
      <c r="H56">
        <f>電力量!H57-電力量!H56</f>
        <v>12</v>
      </c>
      <c r="I56">
        <f>電力量!I57-電力量!I56</f>
        <v>222</v>
      </c>
      <c r="J56">
        <f>電力量!J57-電力量!J56</f>
        <v>6.2000000000043656</v>
      </c>
      <c r="K56">
        <f>電力量!K57-電力量!K56</f>
        <v>3.2000000000116415</v>
      </c>
      <c r="L56">
        <f>電力量!L57-電力量!L56</f>
        <v>21.80000000000291</v>
      </c>
      <c r="M56">
        <f>電力量!M57-電力量!M56</f>
        <v>36.900000000008731</v>
      </c>
      <c r="N56">
        <f>電力量!N57-電力量!N56</f>
        <v>53.80000000000291</v>
      </c>
      <c r="O56">
        <f>電力量!O57-電力量!O56</f>
        <v>21.19999999999709</v>
      </c>
      <c r="P56">
        <f>電力量!P57-電力量!P56</f>
        <v>1</v>
      </c>
      <c r="Q56">
        <f>電力量!Q57-電力量!Q56</f>
        <v>1</v>
      </c>
      <c r="R56">
        <f>電力量!R57-電力量!R56</f>
        <v>0</v>
      </c>
    </row>
    <row r="57" spans="1:18">
      <c r="A57" s="4">
        <f t="shared" si="29"/>
        <v>45902.291666666664</v>
      </c>
      <c r="B57">
        <f>電力量!B58-電力量!B57</f>
        <v>729</v>
      </c>
      <c r="C57">
        <f>電力量!C58-電力量!C57</f>
        <v>198</v>
      </c>
      <c r="D57">
        <f>電力量!D58-電力量!D57</f>
        <v>14</v>
      </c>
      <c r="E57">
        <f>電力量!E58-電力量!E57</f>
        <v>0</v>
      </c>
      <c r="F57">
        <f>電力量!F58-電力量!F57</f>
        <v>20</v>
      </c>
      <c r="G57">
        <f>電力量!G58-電力量!G57</f>
        <v>45.69999999999709</v>
      </c>
      <c r="H57">
        <f>電力量!H58-電力量!H57</f>
        <v>12</v>
      </c>
      <c r="I57">
        <f>電力量!I58-電力量!I57</f>
        <v>236</v>
      </c>
      <c r="J57">
        <f>電力量!J58-電力量!J57</f>
        <v>6.8999999999941792</v>
      </c>
      <c r="K57">
        <f>電力量!K58-電力量!K57</f>
        <v>0.5</v>
      </c>
      <c r="L57">
        <f>電力量!L58-電力量!L57</f>
        <v>23.100000000005821</v>
      </c>
      <c r="M57">
        <f>電力量!M58-電力量!M57</f>
        <v>39.80000000000291</v>
      </c>
      <c r="N57">
        <f>電力量!N58-電力量!N57</f>
        <v>49.80000000000291</v>
      </c>
      <c r="O57">
        <f>電力量!O58-電力量!O57</f>
        <v>24.400000000008731</v>
      </c>
      <c r="P57">
        <f>電力量!P58-電力量!P57</f>
        <v>3</v>
      </c>
      <c r="Q57">
        <f>電力量!Q58-電力量!Q57</f>
        <v>6</v>
      </c>
      <c r="R57">
        <f>電力量!R58-電力量!R57</f>
        <v>0</v>
      </c>
    </row>
    <row r="58" spans="1:18">
      <c r="A58" s="4">
        <f t="shared" si="30"/>
        <v>45902.333333333336</v>
      </c>
      <c r="B58">
        <f>電力量!B59-電力量!B58</f>
        <v>876</v>
      </c>
      <c r="C58">
        <f>電力量!C59-電力量!C58</f>
        <v>224</v>
      </c>
      <c r="D58">
        <f>電力量!D59-電力量!D58</f>
        <v>16.19999999999709</v>
      </c>
      <c r="E58">
        <f>電力量!E59-電力量!E58</f>
        <v>0</v>
      </c>
      <c r="F58">
        <f>電力量!F59-電力量!F58</f>
        <v>26</v>
      </c>
      <c r="G58">
        <f>電力量!G59-電力量!G58</f>
        <v>48.69999999999709</v>
      </c>
      <c r="H58">
        <f>電力量!H59-電力量!H58</f>
        <v>29</v>
      </c>
      <c r="I58">
        <f>電力量!I59-電力量!I58</f>
        <v>285</v>
      </c>
      <c r="J58">
        <f>電力量!J59-電力量!J58</f>
        <v>7.1000000000058208</v>
      </c>
      <c r="K58">
        <f>電力量!K59-電力量!K58</f>
        <v>0</v>
      </c>
      <c r="L58">
        <f>電力量!L59-電力量!L58</f>
        <v>29.5</v>
      </c>
      <c r="M58">
        <f>電力量!M59-電力量!M58</f>
        <v>47.69999999999709</v>
      </c>
      <c r="N58">
        <f>電力量!N59-電力量!N58</f>
        <v>49.600000000005821</v>
      </c>
      <c r="O58">
        <f>電力量!O59-電力量!O58</f>
        <v>36.299999999988358</v>
      </c>
      <c r="P58">
        <f>電力量!P59-電力量!P58</f>
        <v>6</v>
      </c>
      <c r="Q58">
        <f>電力量!Q59-電力量!Q58</f>
        <v>9</v>
      </c>
      <c r="R58">
        <f>電力量!R59-電力量!R58</f>
        <v>0</v>
      </c>
    </row>
    <row r="59" spans="1:18">
      <c r="A59" s="4">
        <f t="shared" si="31"/>
        <v>45902.375</v>
      </c>
      <c r="B59">
        <f>電力量!B60-電力量!B59</f>
        <v>1137</v>
      </c>
      <c r="C59">
        <f>電力量!C60-電力量!C59</f>
        <v>318</v>
      </c>
      <c r="D59">
        <f>電力量!D60-電力量!D59</f>
        <v>26.30000000000291</v>
      </c>
      <c r="E59">
        <f>電力量!E60-電力量!E59</f>
        <v>0</v>
      </c>
      <c r="F59">
        <f>電力量!F60-電力量!F59</f>
        <v>39</v>
      </c>
      <c r="G59">
        <f>電力量!G60-電力量!G59</f>
        <v>59.100000000005821</v>
      </c>
      <c r="H59">
        <f>電力量!H60-電力量!H59</f>
        <v>39</v>
      </c>
      <c r="I59">
        <f>電力量!I60-電力量!I59</f>
        <v>349</v>
      </c>
      <c r="J59">
        <f>電力量!J60-電力量!J59</f>
        <v>7.2999999999956344</v>
      </c>
      <c r="K59">
        <f>電力量!K60-電力量!K59</f>
        <v>0.19999999999708962</v>
      </c>
      <c r="L59">
        <f>電力量!L60-電力量!L59</f>
        <v>36.799999999988358</v>
      </c>
      <c r="M59">
        <f>電力量!M60-電力量!M59</f>
        <v>51.80000000000291</v>
      </c>
      <c r="N59">
        <f>電力量!N60-電力量!N59</f>
        <v>49.5</v>
      </c>
      <c r="O59">
        <f>電力量!O60-電力量!O59</f>
        <v>54.400000000008731</v>
      </c>
      <c r="P59">
        <f>電力量!P60-電力量!P59</f>
        <v>7</v>
      </c>
      <c r="Q59">
        <f>電力量!Q60-電力量!Q59</f>
        <v>12</v>
      </c>
      <c r="R59">
        <f>電力量!R60-電力量!R59</f>
        <v>0</v>
      </c>
    </row>
    <row r="60" spans="1:18">
      <c r="A60" s="4">
        <f t="shared" si="32"/>
        <v>45902.416666666664</v>
      </c>
      <c r="B60">
        <f>電力量!B61-電力量!B60</f>
        <v>1277</v>
      </c>
      <c r="C60">
        <f>電力量!C61-電力量!C60</f>
        <v>348</v>
      </c>
      <c r="D60">
        <f>電力量!D61-電力量!D60</f>
        <v>30.69999999999709</v>
      </c>
      <c r="E60">
        <f>電力量!E61-電力量!E60</f>
        <v>0</v>
      </c>
      <c r="F60">
        <f>電力量!F61-電力量!F60</f>
        <v>60</v>
      </c>
      <c r="G60">
        <f>電力量!G61-電力量!G60</f>
        <v>62.5</v>
      </c>
      <c r="H60">
        <f>電力量!H61-電力量!H60</f>
        <v>43</v>
      </c>
      <c r="I60">
        <f>電力量!I61-電力量!I60</f>
        <v>409</v>
      </c>
      <c r="J60">
        <f>電力量!J61-電力量!J60</f>
        <v>13.80000000000291</v>
      </c>
      <c r="K60">
        <f>電力量!K61-電力量!K60</f>
        <v>1.8999999999941792</v>
      </c>
      <c r="L60">
        <f>電力量!L61-電力量!L60</f>
        <v>34.900000000008731</v>
      </c>
      <c r="M60">
        <f>電力量!M61-電力量!M60</f>
        <v>48.799999999988358</v>
      </c>
      <c r="N60">
        <f>電力量!N61-電力量!N60</f>
        <v>50.69999999999709</v>
      </c>
      <c r="O60">
        <f>電力量!O61-電力量!O60</f>
        <v>68.19999999999709</v>
      </c>
      <c r="P60">
        <f>電力量!P61-電力量!P60</f>
        <v>10</v>
      </c>
      <c r="Q60">
        <f>電力量!Q61-電力量!Q60</f>
        <v>15</v>
      </c>
      <c r="R60">
        <f>電力量!R61-電力量!R60</f>
        <v>0</v>
      </c>
    </row>
    <row r="61" spans="1:18">
      <c r="A61" s="4">
        <f t="shared" si="33"/>
        <v>45902.458333333336</v>
      </c>
      <c r="B61">
        <f>電力量!B62-電力量!B61</f>
        <v>1333</v>
      </c>
      <c r="C61">
        <f>電力量!C62-電力量!C61</f>
        <v>377</v>
      </c>
      <c r="D61">
        <f>電力量!D62-電力量!D61</f>
        <v>27.5</v>
      </c>
      <c r="E61">
        <f>電力量!E62-電力量!E61</f>
        <v>0</v>
      </c>
      <c r="F61">
        <f>電力量!F62-電力量!F61</f>
        <v>52</v>
      </c>
      <c r="G61">
        <f>電力量!G62-電力量!G61</f>
        <v>75.5</v>
      </c>
      <c r="H61">
        <f>電力量!H62-電力量!H61</f>
        <v>37</v>
      </c>
      <c r="I61">
        <f>電力量!I62-電力量!I61</f>
        <v>438</v>
      </c>
      <c r="J61">
        <f>電力量!J62-電力量!J61</f>
        <v>11.299999999995634</v>
      </c>
      <c r="K61">
        <f>電力量!K62-電力量!K61</f>
        <v>2.4000000000087311</v>
      </c>
      <c r="L61">
        <f>電力量!L62-電力量!L61</f>
        <v>39.599999999991269</v>
      </c>
      <c r="M61">
        <f>電力量!M62-電力量!M61</f>
        <v>53.30000000000291</v>
      </c>
      <c r="N61">
        <f>電力量!N62-電力量!N61</f>
        <v>49.899999999994179</v>
      </c>
      <c r="O61">
        <f>電力量!O62-電力量!O61</f>
        <v>64</v>
      </c>
      <c r="P61">
        <f>電力量!P62-電力量!P61</f>
        <v>9</v>
      </c>
      <c r="Q61">
        <f>電力量!Q62-電力量!Q61</f>
        <v>13</v>
      </c>
      <c r="R61">
        <f>電力量!R62-電力量!R61</f>
        <v>0</v>
      </c>
    </row>
    <row r="62" spans="1:18">
      <c r="A62" s="4">
        <f t="shared" si="34"/>
        <v>45902.5</v>
      </c>
      <c r="B62">
        <f>電力量!B63-電力量!B62</f>
        <v>1344</v>
      </c>
      <c r="C62">
        <f>電力量!C63-電力量!C62</f>
        <v>376</v>
      </c>
      <c r="D62">
        <f>電力量!D63-電力量!D62</f>
        <v>30.5</v>
      </c>
      <c r="E62">
        <f>電力量!E63-電力量!E62</f>
        <v>0</v>
      </c>
      <c r="F62">
        <f>電力量!F63-電力量!F62</f>
        <v>46</v>
      </c>
      <c r="G62">
        <f>電力量!G63-電力量!G62</f>
        <v>79</v>
      </c>
      <c r="H62">
        <f>電力量!H63-電力量!H62</f>
        <v>38</v>
      </c>
      <c r="I62">
        <f>電力量!I63-電力量!I62</f>
        <v>446</v>
      </c>
      <c r="J62">
        <f>電力量!J63-電力量!J62</f>
        <v>12.30000000000291</v>
      </c>
      <c r="K62">
        <f>電力量!K63-電力量!K62</f>
        <v>0.19999999999708962</v>
      </c>
      <c r="L62">
        <f>電力量!L63-電力量!L62</f>
        <v>40.400000000008731</v>
      </c>
      <c r="M62">
        <f>電力量!M63-電力量!M62</f>
        <v>51.30000000000291</v>
      </c>
      <c r="N62">
        <f>電力量!N63-電力量!N62</f>
        <v>47.600000000005821</v>
      </c>
      <c r="O62">
        <f>電力量!O63-電力量!O62</f>
        <v>68.399999999994179</v>
      </c>
      <c r="P62">
        <f>電力量!P63-電力量!P62</f>
        <v>10</v>
      </c>
      <c r="Q62">
        <f>電力量!Q63-電力量!Q62</f>
        <v>17</v>
      </c>
      <c r="R62">
        <f>電力量!R63-電力量!R62</f>
        <v>0</v>
      </c>
    </row>
    <row r="63" spans="1:18">
      <c r="A63" s="4">
        <f t="shared" si="35"/>
        <v>45902.541666666664</v>
      </c>
      <c r="B63">
        <f>電力量!B64-電力量!B63</f>
        <v>1445</v>
      </c>
      <c r="C63">
        <f>電力量!C64-電力量!C63</f>
        <v>393</v>
      </c>
      <c r="D63">
        <f>電力量!D64-電力量!D63</f>
        <v>44.900000000001455</v>
      </c>
      <c r="E63">
        <f>電力量!E64-電力量!E63</f>
        <v>0</v>
      </c>
      <c r="F63">
        <f>電力量!F64-電力量!F63</f>
        <v>59</v>
      </c>
      <c r="G63">
        <f>電力量!G64-電力量!G63</f>
        <v>89.600000000005821</v>
      </c>
      <c r="H63">
        <f>電力量!H64-電力量!H63</f>
        <v>38</v>
      </c>
      <c r="I63">
        <f>電力量!I64-電力量!I63</f>
        <v>466</v>
      </c>
      <c r="J63">
        <f>電力量!J64-電力量!J63</f>
        <v>15.400000000001455</v>
      </c>
      <c r="K63">
        <f>電力量!K64-電力量!K63</f>
        <v>1.8999999999941792</v>
      </c>
      <c r="L63">
        <f>電力量!L64-電力量!L63</f>
        <v>40.80000000000291</v>
      </c>
      <c r="M63">
        <f>電力量!M64-電力量!M63</f>
        <v>51.5</v>
      </c>
      <c r="N63">
        <f>電力量!N64-電力量!N63</f>
        <v>52.69999999999709</v>
      </c>
      <c r="O63">
        <f>電力量!O64-電力量!O63</f>
        <v>76.900000000008731</v>
      </c>
      <c r="P63">
        <f>電力量!P64-電力量!P63</f>
        <v>9</v>
      </c>
      <c r="Q63">
        <f>電力量!Q64-電力量!Q63</f>
        <v>13</v>
      </c>
      <c r="R63">
        <f>電力量!R64-電力量!R63</f>
        <v>0</v>
      </c>
    </row>
    <row r="64" spans="1:18">
      <c r="A64" s="4">
        <f t="shared" si="36"/>
        <v>45902.583333333336</v>
      </c>
      <c r="B64">
        <f>電力量!B65-電力量!B64</f>
        <v>1417</v>
      </c>
      <c r="C64">
        <f>電力量!C65-電力量!C64</f>
        <v>397</v>
      </c>
      <c r="D64">
        <f>電力量!D65-電力量!D64</f>
        <v>39.599999999998545</v>
      </c>
      <c r="E64">
        <f>電力量!E65-電力量!E64</f>
        <v>0</v>
      </c>
      <c r="F64">
        <f>電力量!F65-電力量!F64</f>
        <v>65</v>
      </c>
      <c r="G64">
        <f>電力量!G65-電力量!G64</f>
        <v>88.899999999994179</v>
      </c>
      <c r="H64">
        <f>電力量!H65-電力量!H64</f>
        <v>34</v>
      </c>
      <c r="I64">
        <f>電力量!I65-電力量!I64</f>
        <v>453</v>
      </c>
      <c r="J64">
        <f>電力量!J65-電力量!J64</f>
        <v>14.299999999995634</v>
      </c>
      <c r="K64">
        <f>電力量!K65-電力量!K64</f>
        <v>4.4000000000087311</v>
      </c>
      <c r="L64">
        <f>電力量!L65-電力量!L64</f>
        <v>47.799999999988358</v>
      </c>
      <c r="M64">
        <f>電力量!M65-電力量!M64</f>
        <v>52.399999999994179</v>
      </c>
      <c r="N64">
        <f>電力量!N65-電力量!N64</f>
        <v>49.5</v>
      </c>
      <c r="O64">
        <f>電力量!O65-電力量!O64</f>
        <v>54.69999999999709</v>
      </c>
      <c r="P64">
        <f>電力量!P65-電力量!P64</f>
        <v>7</v>
      </c>
      <c r="Q64">
        <f>電力量!Q65-電力量!Q64</f>
        <v>12</v>
      </c>
      <c r="R64">
        <f>電力量!R65-電力量!R64</f>
        <v>0</v>
      </c>
    </row>
    <row r="65" spans="1:18">
      <c r="A65" s="4">
        <f t="shared" si="37"/>
        <v>45902.625</v>
      </c>
      <c r="B65">
        <f>電力量!B66-電力量!B65</f>
        <v>1427</v>
      </c>
      <c r="C65">
        <f>電力量!C66-電力量!C65</f>
        <v>407</v>
      </c>
      <c r="D65">
        <f>電力量!D66-電力量!D65</f>
        <v>38.900000000001455</v>
      </c>
      <c r="E65">
        <f>電力量!E66-電力量!E65</f>
        <v>0</v>
      </c>
      <c r="F65">
        <f>電力量!F66-電力量!F65</f>
        <v>64</v>
      </c>
      <c r="G65">
        <f>電力量!G66-電力量!G65</f>
        <v>89.899999999994179</v>
      </c>
      <c r="H65">
        <f>電力量!H66-電力量!H65</f>
        <v>33</v>
      </c>
      <c r="I65">
        <f>電力量!I66-電力量!I65</f>
        <v>477</v>
      </c>
      <c r="J65">
        <f>電力量!J66-電力量!J65</f>
        <v>12.30000000000291</v>
      </c>
      <c r="K65">
        <f>電力量!K66-電力量!K65</f>
        <v>3.3999999999941792</v>
      </c>
      <c r="L65">
        <f>電力量!L66-電力量!L65</f>
        <v>46.100000000005821</v>
      </c>
      <c r="M65">
        <f>電力量!M66-電力量!M65</f>
        <v>60.400000000008731</v>
      </c>
      <c r="N65">
        <f>電力量!N66-電力量!N65</f>
        <v>52.80000000000291</v>
      </c>
      <c r="O65">
        <f>電力量!O66-電力量!O65</f>
        <v>33.5</v>
      </c>
      <c r="P65">
        <f>電力量!P66-電力量!P65</f>
        <v>9</v>
      </c>
      <c r="Q65">
        <f>電力量!Q66-電力量!Q65</f>
        <v>13</v>
      </c>
      <c r="R65">
        <f>電力量!R66-電力量!R65</f>
        <v>0</v>
      </c>
    </row>
    <row r="66" spans="1:18">
      <c r="A66" s="4">
        <f t="shared" si="38"/>
        <v>45902.666666666664</v>
      </c>
      <c r="B66">
        <f>電力量!B67-電力量!B66</f>
        <v>1330</v>
      </c>
      <c r="C66">
        <f>電力量!C67-電力量!C66</f>
        <v>371</v>
      </c>
      <c r="D66">
        <f>電力量!D67-電力量!D66</f>
        <v>34.700000000004366</v>
      </c>
      <c r="E66">
        <f>電力量!E67-電力量!E66</f>
        <v>0</v>
      </c>
      <c r="F66">
        <f>電力量!F67-電力量!F66</f>
        <v>52</v>
      </c>
      <c r="G66">
        <f>電力量!G67-電力量!G66</f>
        <v>93.400000000008731</v>
      </c>
      <c r="H66">
        <f>電力量!H67-電力量!H66</f>
        <v>33</v>
      </c>
      <c r="I66">
        <f>電力量!I67-電力量!I66</f>
        <v>435</v>
      </c>
      <c r="J66">
        <f>電力量!J67-電力量!J66</f>
        <v>10</v>
      </c>
      <c r="K66">
        <f>電力量!K67-電力量!K66</f>
        <v>6.6000000000058208</v>
      </c>
      <c r="L66">
        <f>電力量!L67-電力量!L66</f>
        <v>48.100000000005821</v>
      </c>
      <c r="M66">
        <f>電力量!M67-電力量!M66</f>
        <v>55.5</v>
      </c>
      <c r="N66">
        <f>電力量!N67-電力量!N66</f>
        <v>54.399999999994179</v>
      </c>
      <c r="O66">
        <f>電力量!O67-電力量!O66</f>
        <v>30.899999999994179</v>
      </c>
      <c r="P66">
        <f>電力量!P67-電力量!P66</f>
        <v>8</v>
      </c>
      <c r="Q66">
        <f>電力量!Q67-電力量!Q66</f>
        <v>12</v>
      </c>
      <c r="R66">
        <f>電力量!R67-電力量!R66</f>
        <v>0</v>
      </c>
    </row>
    <row r="67" spans="1:18">
      <c r="A67" s="4">
        <f t="shared" si="39"/>
        <v>45902.708333333336</v>
      </c>
      <c r="B67">
        <f>電力量!B68-電力量!B67</f>
        <v>1213</v>
      </c>
      <c r="C67">
        <f>電力量!C68-電力量!C67</f>
        <v>322</v>
      </c>
      <c r="D67">
        <f>電力量!D68-電力量!D67</f>
        <v>28.799999999995634</v>
      </c>
      <c r="E67">
        <f>電力量!E68-電力量!E67</f>
        <v>0</v>
      </c>
      <c r="F67">
        <f>電力量!F68-電力量!F67</f>
        <v>46</v>
      </c>
      <c r="G67">
        <f>電力量!G68-電力量!G67</f>
        <v>88.099999999991269</v>
      </c>
      <c r="H67">
        <f>電力量!H68-電力量!H67</f>
        <v>41</v>
      </c>
      <c r="I67">
        <f>電力量!I68-電力量!I67</f>
        <v>407</v>
      </c>
      <c r="J67">
        <f>電力量!J68-電力量!J67</f>
        <v>10.19999999999709</v>
      </c>
      <c r="K67">
        <f>電力量!K68-電力量!K67</f>
        <v>4.2999999999883585</v>
      </c>
      <c r="L67">
        <f>電力量!L68-電力量!L67</f>
        <v>42.5</v>
      </c>
      <c r="M67">
        <f>電力量!M68-電力量!M67</f>
        <v>48.099999999991269</v>
      </c>
      <c r="N67">
        <f>電力量!N68-電力量!N67</f>
        <v>56.400000000008731</v>
      </c>
      <c r="O67">
        <f>電力量!O68-電力量!O67</f>
        <v>26.80000000000291</v>
      </c>
      <c r="P67">
        <f>電力量!P68-電力量!P67</f>
        <v>4</v>
      </c>
      <c r="Q67">
        <f>電力量!Q68-電力量!Q67</f>
        <v>7</v>
      </c>
      <c r="R67">
        <f>電力量!R68-電力量!R67</f>
        <v>0</v>
      </c>
    </row>
    <row r="68" spans="1:18">
      <c r="A68" s="4">
        <f t="shared" si="40"/>
        <v>45902.75</v>
      </c>
      <c r="B68">
        <f>電力量!B69-電力量!B68</f>
        <v>1048</v>
      </c>
      <c r="C68">
        <f>電力量!C69-電力量!C68</f>
        <v>276</v>
      </c>
      <c r="D68">
        <f>電力量!D69-電力量!D68</f>
        <v>27.200000000004366</v>
      </c>
      <c r="E68">
        <f>電力量!E69-電力量!E68</f>
        <v>0</v>
      </c>
      <c r="F68">
        <f>電力量!F69-電力量!F68</f>
        <v>37</v>
      </c>
      <c r="G68">
        <f>電力量!G69-電力量!G68</f>
        <v>85.100000000005821</v>
      </c>
      <c r="H68">
        <f>電力量!H69-電力量!H68</f>
        <v>25</v>
      </c>
      <c r="I68">
        <f>電力量!I69-電力量!I68</f>
        <v>356</v>
      </c>
      <c r="J68">
        <f>電力量!J69-電力量!J68</f>
        <v>9</v>
      </c>
      <c r="K68">
        <f>電力量!K69-電力量!K68</f>
        <v>4.5</v>
      </c>
      <c r="L68">
        <f>電力量!L69-電力量!L68</f>
        <v>28</v>
      </c>
      <c r="M68">
        <f>電力量!M69-電力量!M68</f>
        <v>45.200000000011642</v>
      </c>
      <c r="N68">
        <f>電力量!N69-電力量!N68</f>
        <v>54.799999999988358</v>
      </c>
      <c r="O68">
        <f>電力量!O69-電力量!O68</f>
        <v>20.80000000000291</v>
      </c>
      <c r="P68">
        <f>電力量!P69-電力量!P68</f>
        <v>0</v>
      </c>
      <c r="Q68">
        <f>電力量!Q69-電力量!Q68</f>
        <v>0</v>
      </c>
      <c r="R68">
        <f>電力量!R69-電力量!R68</f>
        <v>0</v>
      </c>
    </row>
    <row r="69" spans="1:18">
      <c r="A69" s="4">
        <f t="shared" si="41"/>
        <v>45902.791666666664</v>
      </c>
      <c r="B69">
        <f>電力量!B70-電力量!B69</f>
        <v>896</v>
      </c>
      <c r="C69">
        <f>電力量!C70-電力量!C69</f>
        <v>244</v>
      </c>
      <c r="D69">
        <f>電力量!D70-電力量!D69</f>
        <v>19.5</v>
      </c>
      <c r="E69">
        <f>電力量!E70-電力量!E69</f>
        <v>0</v>
      </c>
      <c r="F69">
        <f>電力量!F70-電力量!F69</f>
        <v>27</v>
      </c>
      <c r="G69">
        <f>電力量!G70-電力量!G69</f>
        <v>73.80000000000291</v>
      </c>
      <c r="H69">
        <f>電力量!H70-電力量!H69</f>
        <v>13</v>
      </c>
      <c r="I69">
        <f>電力量!I70-電力量!I69</f>
        <v>292</v>
      </c>
      <c r="J69">
        <f>電力量!J70-電力量!J69</f>
        <v>8.4000000000014552</v>
      </c>
      <c r="K69">
        <f>電力量!K70-電力量!K69</f>
        <v>4.4000000000087311</v>
      </c>
      <c r="L69">
        <f>電力量!L70-電力量!L69</f>
        <v>25.599999999991269</v>
      </c>
      <c r="M69">
        <f>電力量!M70-電力量!M69</f>
        <v>44.899999999994179</v>
      </c>
      <c r="N69">
        <f>電力量!N70-電力量!N69</f>
        <v>56.30000000000291</v>
      </c>
      <c r="O69">
        <f>電力量!O70-電力量!O69</f>
        <v>22.69999999999709</v>
      </c>
      <c r="P69">
        <f>電力量!P70-電力量!P69</f>
        <v>0</v>
      </c>
      <c r="Q69">
        <f>電力量!Q70-電力量!Q69</f>
        <v>0</v>
      </c>
      <c r="R69">
        <f>電力量!R70-電力量!R69</f>
        <v>0</v>
      </c>
    </row>
    <row r="70" spans="1:18">
      <c r="A70" s="4">
        <f t="shared" si="42"/>
        <v>45902.833333333336</v>
      </c>
      <c r="B70">
        <f>電力量!B71-電力量!B70</f>
        <v>811</v>
      </c>
      <c r="C70">
        <f>電力量!C71-電力量!C70</f>
        <v>215</v>
      </c>
      <c r="D70">
        <f>電力量!D71-電力量!D70</f>
        <v>17.899999999994179</v>
      </c>
      <c r="E70">
        <f>電力量!E71-電力量!E70</f>
        <v>0</v>
      </c>
      <c r="F70">
        <f>電力量!F71-電力量!F70</f>
        <v>23</v>
      </c>
      <c r="G70">
        <f>電力量!G71-電力量!G70</f>
        <v>62.30000000000291</v>
      </c>
      <c r="H70">
        <f>電力量!H71-電力量!H70</f>
        <v>13</v>
      </c>
      <c r="I70">
        <f>電力量!I71-電力量!I70</f>
        <v>265</v>
      </c>
      <c r="J70">
        <f>電力量!J71-電力量!J70</f>
        <v>8.5</v>
      </c>
      <c r="K70">
        <f>電力量!K71-電力量!K70</f>
        <v>4.3999999999941792</v>
      </c>
      <c r="L70">
        <f>電力量!L71-電力量!L70</f>
        <v>26.600000000005821</v>
      </c>
      <c r="M70">
        <f>電力量!M71-電力量!M70</f>
        <v>42.100000000005821</v>
      </c>
      <c r="N70">
        <f>電力量!N71-電力量!N70</f>
        <v>53.69999999999709</v>
      </c>
      <c r="O70">
        <f>電力量!O71-電力量!O70</f>
        <v>23.19999999999709</v>
      </c>
      <c r="P70">
        <f>電力量!P71-電力量!P70</f>
        <v>0</v>
      </c>
      <c r="Q70">
        <f>電力量!Q71-電力量!Q70</f>
        <v>0</v>
      </c>
      <c r="R70">
        <f>電力量!R71-電力量!R70</f>
        <v>0</v>
      </c>
    </row>
    <row r="71" spans="1:18">
      <c r="A71" s="4">
        <f t="shared" si="43"/>
        <v>45902.875</v>
      </c>
      <c r="B71">
        <f>電力量!B72-電力量!B71</f>
        <v>772</v>
      </c>
      <c r="C71">
        <f>電力量!C72-電力量!C71</f>
        <v>205</v>
      </c>
      <c r="D71">
        <f>電力量!D72-電力量!D71</f>
        <v>16.100000000005821</v>
      </c>
      <c r="E71">
        <f>電力量!E72-電力量!E71</f>
        <v>0</v>
      </c>
      <c r="F71">
        <f>電力量!F72-電力量!F71</f>
        <v>22</v>
      </c>
      <c r="G71">
        <f>電力量!G72-電力量!G71</f>
        <v>59.69999999999709</v>
      </c>
      <c r="H71">
        <f>電力量!H72-電力量!H71</f>
        <v>13</v>
      </c>
      <c r="I71">
        <f>電力量!I72-電力量!I71</f>
        <v>240</v>
      </c>
      <c r="J71">
        <f>電力量!J72-電力量!J71</f>
        <v>7.9000000000014552</v>
      </c>
      <c r="K71">
        <f>電力量!K72-電力量!K71</f>
        <v>3.9000000000087311</v>
      </c>
      <c r="L71">
        <f>電力量!L72-電力量!L71</f>
        <v>27.80000000000291</v>
      </c>
      <c r="M71">
        <f>電力量!M72-電力量!M71</f>
        <v>42.299999999988358</v>
      </c>
      <c r="N71">
        <f>電力量!N72-電力量!N71</f>
        <v>57.400000000008731</v>
      </c>
      <c r="O71">
        <f>電力量!O72-電力量!O71</f>
        <v>22</v>
      </c>
      <c r="P71">
        <f>電力量!P72-電力量!P71</f>
        <v>0</v>
      </c>
      <c r="Q71">
        <f>電力量!Q72-電力量!Q71</f>
        <v>0</v>
      </c>
      <c r="R71">
        <f>電力量!R72-電力量!R71</f>
        <v>0</v>
      </c>
    </row>
    <row r="72" spans="1:18">
      <c r="A72" s="4">
        <f t="shared" si="44"/>
        <v>45902.916666666664</v>
      </c>
      <c r="B72">
        <f>電力量!B73-電力量!B72</f>
        <v>745</v>
      </c>
      <c r="C72">
        <f>電力量!C73-電力量!C72</f>
        <v>195</v>
      </c>
      <c r="D72">
        <f>電力量!D73-電力量!D72</f>
        <v>16.799999999995634</v>
      </c>
      <c r="E72">
        <f>電力量!E73-電力量!E72</f>
        <v>0</v>
      </c>
      <c r="F72">
        <f>電力量!F73-電力量!F72</f>
        <v>22</v>
      </c>
      <c r="G72">
        <f>電力量!G73-電力量!G72</f>
        <v>57.399999999994179</v>
      </c>
      <c r="H72">
        <f>電力量!H73-電力量!H72</f>
        <v>12</v>
      </c>
      <c r="I72">
        <f>電力量!I73-電力量!I72</f>
        <v>238</v>
      </c>
      <c r="J72">
        <f>電力量!J73-電力量!J72</f>
        <v>6.5</v>
      </c>
      <c r="K72">
        <f>電力量!K73-電力量!K72</f>
        <v>3.5</v>
      </c>
      <c r="L72">
        <f>電力量!L73-電力量!L72</f>
        <v>26.899999999994179</v>
      </c>
      <c r="M72">
        <f>電力量!M73-電力量!M72</f>
        <v>41.900000000008731</v>
      </c>
      <c r="N72">
        <f>電力量!N73-電力量!N72</f>
        <v>53.599999999991269</v>
      </c>
      <c r="O72">
        <f>電力量!O73-電力量!O72</f>
        <v>19.900000000008731</v>
      </c>
      <c r="P72">
        <f>電力量!P73-電力量!P72</f>
        <v>0</v>
      </c>
      <c r="Q72">
        <f>電力量!Q73-電力量!Q72</f>
        <v>0</v>
      </c>
      <c r="R72">
        <f>電力量!R73-電力量!R72</f>
        <v>0</v>
      </c>
    </row>
    <row r="73" spans="1:18">
      <c r="A73" s="4">
        <f t="shared" si="45"/>
        <v>45902.958333333336</v>
      </c>
      <c r="B73">
        <f>電力量!B74-電力量!B73</f>
        <v>742</v>
      </c>
      <c r="C73">
        <f>電力量!C74-電力量!C73</f>
        <v>185</v>
      </c>
      <c r="D73">
        <f>電力量!D74-電力量!D73</f>
        <v>15.099999999998545</v>
      </c>
      <c r="E73">
        <f>電力量!E74-電力量!E73</f>
        <v>0</v>
      </c>
      <c r="F73">
        <f>電力量!F74-電力量!F73</f>
        <v>26</v>
      </c>
      <c r="G73">
        <f>電力量!G74-電力量!G73</f>
        <v>56.400000000008731</v>
      </c>
      <c r="H73">
        <f>電力量!H74-電力量!H73</f>
        <v>12</v>
      </c>
      <c r="I73">
        <f>電力量!I74-電力量!I73</f>
        <v>243</v>
      </c>
      <c r="J73">
        <f>電力量!J74-電力量!J73</f>
        <v>6.4000000000014552</v>
      </c>
      <c r="K73">
        <f>電力量!K74-電力量!K73</f>
        <v>3.3999999999941792</v>
      </c>
      <c r="L73">
        <f>電力量!L74-電力量!L73</f>
        <v>26.399999999994179</v>
      </c>
      <c r="M73">
        <f>電力量!M74-電力量!M73</f>
        <v>42</v>
      </c>
      <c r="N73">
        <f>電力量!N74-電力量!N73</f>
        <v>53.600000000005821</v>
      </c>
      <c r="O73">
        <f>電力量!O74-電力量!O73</f>
        <v>19.80000000000291</v>
      </c>
      <c r="P73">
        <f>電力量!P74-電力量!P73</f>
        <v>0</v>
      </c>
      <c r="Q73">
        <f>電力量!Q74-電力量!Q73</f>
        <v>0</v>
      </c>
      <c r="R73">
        <f>電力量!R74-電力量!R73</f>
        <v>0</v>
      </c>
    </row>
    <row r="74" spans="1:18">
      <c r="A74" s="4">
        <v>45903</v>
      </c>
      <c r="B74">
        <f>電力量!B75-電力量!B74</f>
        <v>705</v>
      </c>
      <c r="C74">
        <f>電力量!C75-電力量!C74</f>
        <v>178</v>
      </c>
      <c r="D74">
        <f>電力量!D75-電力量!D74</f>
        <v>15.30000000000291</v>
      </c>
      <c r="E74">
        <f>電力量!E75-電力量!E74</f>
        <v>0</v>
      </c>
      <c r="F74">
        <f>電力量!F75-電力量!F74</f>
        <v>25</v>
      </c>
      <c r="G74">
        <f>電力量!G75-電力量!G74</f>
        <v>56.399999999994179</v>
      </c>
      <c r="H74">
        <f>電力量!H75-電力量!H74</f>
        <v>12</v>
      </c>
      <c r="I74">
        <f>電力量!I75-電力量!I74</f>
        <v>224</v>
      </c>
      <c r="J74">
        <f>電力量!J75-電力量!J74</f>
        <v>6.4000000000014552</v>
      </c>
      <c r="K74">
        <f>電力量!K75-電力量!K74</f>
        <v>3.6999999999970896</v>
      </c>
      <c r="L74">
        <f>電力量!L75-電力量!L74</f>
        <v>25.80000000000291</v>
      </c>
      <c r="M74">
        <f>電力量!M75-電力量!M74</f>
        <v>38.69999999999709</v>
      </c>
      <c r="N74">
        <f>電力量!N75-電力量!N74</f>
        <v>54</v>
      </c>
      <c r="O74">
        <f>電力量!O75-電力量!O74</f>
        <v>17.799999999988358</v>
      </c>
      <c r="P74">
        <f>電力量!P75-電力量!P74</f>
        <v>0</v>
      </c>
      <c r="Q74">
        <f>電力量!Q75-電力量!Q74</f>
        <v>0</v>
      </c>
      <c r="R74">
        <f>電力量!R75-電力量!R74</f>
        <v>0</v>
      </c>
    </row>
    <row r="75" spans="1:18">
      <c r="A75" s="4">
        <f t="shared" si="23"/>
        <v>45903.041666666664</v>
      </c>
      <c r="B75">
        <f>電力量!B76-電力量!B75</f>
        <v>691</v>
      </c>
      <c r="C75">
        <f>電力量!C76-電力量!C75</f>
        <v>173</v>
      </c>
      <c r="D75">
        <f>電力量!D76-電力量!D75</f>
        <v>16.80000000000291</v>
      </c>
      <c r="E75">
        <f>電力量!E76-電力量!E75</f>
        <v>0</v>
      </c>
      <c r="F75">
        <f>電力量!F76-電力量!F75</f>
        <v>24</v>
      </c>
      <c r="G75">
        <f>電力量!G76-電力量!G75</f>
        <v>56.100000000005821</v>
      </c>
      <c r="H75">
        <f>電力量!H76-電力量!H75</f>
        <v>12</v>
      </c>
      <c r="I75">
        <f>電力量!I76-電力量!I75</f>
        <v>217</v>
      </c>
      <c r="J75">
        <f>電力量!J76-電力量!J75</f>
        <v>6.0999999999985448</v>
      </c>
      <c r="K75">
        <f>電力量!K76-電力量!K75</f>
        <v>3.6000000000058208</v>
      </c>
      <c r="L75">
        <f>電力量!L76-電力量!L75</f>
        <v>25.69999999999709</v>
      </c>
      <c r="M75">
        <f>電力量!M76-電力量!M75</f>
        <v>35.30000000000291</v>
      </c>
      <c r="N75">
        <f>電力量!N76-電力量!N75</f>
        <v>53.69999999999709</v>
      </c>
      <c r="O75">
        <f>電力量!O76-電力量!O75</f>
        <v>18.700000000011642</v>
      </c>
      <c r="P75">
        <f>電力量!P76-電力量!P75</f>
        <v>0</v>
      </c>
      <c r="Q75">
        <f>電力量!Q76-電力量!Q75</f>
        <v>0</v>
      </c>
      <c r="R75">
        <f>電力量!R76-電力量!R75</f>
        <v>0</v>
      </c>
    </row>
    <row r="76" spans="1:18">
      <c r="A76" s="4">
        <f t="shared" si="24"/>
        <v>45903.083333333336</v>
      </c>
      <c r="B76">
        <f>電力量!B77-電力量!B76</f>
        <v>673</v>
      </c>
      <c r="C76">
        <f>電力量!C77-電力量!C76</f>
        <v>169</v>
      </c>
      <c r="D76">
        <f>電力量!D77-電力量!D76</f>
        <v>15.69999999999709</v>
      </c>
      <c r="E76">
        <f>電力量!E77-電力量!E76</f>
        <v>0</v>
      </c>
      <c r="F76">
        <f>電力量!F77-電力量!F76</f>
        <v>23</v>
      </c>
      <c r="G76">
        <f>電力量!G77-電力量!G76</f>
        <v>55.099999999991269</v>
      </c>
      <c r="H76">
        <f>電力量!H77-電力量!H76</f>
        <v>11</v>
      </c>
      <c r="I76">
        <f>電力量!I77-電力量!I76</f>
        <v>209</v>
      </c>
      <c r="J76">
        <f>電力量!J77-電力量!J76</f>
        <v>6.2999999999956344</v>
      </c>
      <c r="K76">
        <f>電力量!K77-電力量!K76</f>
        <v>3.3999999999941792</v>
      </c>
      <c r="L76">
        <f>電力量!L77-電力量!L76</f>
        <v>24.400000000008731</v>
      </c>
      <c r="M76">
        <f>電力量!M77-電力量!M76</f>
        <v>35.5</v>
      </c>
      <c r="N76">
        <f>電力量!N77-電力量!N76</f>
        <v>53.400000000008731</v>
      </c>
      <c r="O76">
        <f>電力量!O77-電力量!O76</f>
        <v>18.099999999991269</v>
      </c>
      <c r="P76">
        <f>電力量!P77-電力量!P76</f>
        <v>0</v>
      </c>
      <c r="Q76">
        <f>電力量!Q77-電力量!Q76</f>
        <v>0</v>
      </c>
      <c r="R76">
        <f>電力量!R77-電力量!R76</f>
        <v>0</v>
      </c>
    </row>
    <row r="77" spans="1:18">
      <c r="A77" s="4">
        <f t="shared" si="25"/>
        <v>45903.125</v>
      </c>
      <c r="B77">
        <f>電力量!B78-電力量!B77</f>
        <v>670</v>
      </c>
      <c r="C77">
        <f>電力量!C78-電力量!C77</f>
        <v>169</v>
      </c>
      <c r="D77">
        <f>電力量!D78-電力量!D77</f>
        <v>15.5</v>
      </c>
      <c r="E77">
        <f>電力量!E78-電力量!E77</f>
        <v>0</v>
      </c>
      <c r="F77">
        <f>電力量!F78-電力量!F77</f>
        <v>20</v>
      </c>
      <c r="G77">
        <f>電力量!G78-電力量!G77</f>
        <v>53.69999999999709</v>
      </c>
      <c r="H77">
        <f>電力量!H78-電力量!H77</f>
        <v>13</v>
      </c>
      <c r="I77">
        <f>電力量!I78-電力量!I77</f>
        <v>210</v>
      </c>
      <c r="J77">
        <f>電力量!J78-電力量!J77</f>
        <v>6.3000000000029104</v>
      </c>
      <c r="K77">
        <f>電力量!K78-電力量!K77</f>
        <v>3.4000000000087311</v>
      </c>
      <c r="L77">
        <f>電力量!L78-電力量!L77</f>
        <v>23.099999999991269</v>
      </c>
      <c r="M77">
        <f>電力量!M78-電力量!M77</f>
        <v>35.69999999999709</v>
      </c>
      <c r="N77">
        <f>電力量!N78-電力量!N77</f>
        <v>53.299999999988358</v>
      </c>
      <c r="O77">
        <f>電力量!O78-電力量!O77</f>
        <v>19</v>
      </c>
      <c r="P77">
        <f>電力量!P78-電力量!P77</f>
        <v>0</v>
      </c>
      <c r="Q77">
        <f>電力量!Q78-電力量!Q77</f>
        <v>0</v>
      </c>
      <c r="R77">
        <f>電力量!R78-電力量!R77</f>
        <v>0</v>
      </c>
    </row>
    <row r="78" spans="1:18">
      <c r="A78" s="4">
        <f t="shared" si="26"/>
        <v>45903.166666666664</v>
      </c>
      <c r="B78">
        <f>電力量!B79-電力量!B78</f>
        <v>672</v>
      </c>
      <c r="C78">
        <f>電力量!C79-電力量!C78</f>
        <v>171</v>
      </c>
      <c r="D78">
        <f>電力量!D79-電力量!D78</f>
        <v>15</v>
      </c>
      <c r="E78">
        <f>電力量!E79-電力量!E78</f>
        <v>0</v>
      </c>
      <c r="F78">
        <f>電力量!F79-電力量!F78</f>
        <v>20</v>
      </c>
      <c r="G78">
        <f>電力量!G79-電力量!G78</f>
        <v>54.5</v>
      </c>
      <c r="H78">
        <f>電力量!H79-電力量!H78</f>
        <v>12</v>
      </c>
      <c r="I78">
        <f>電力量!I79-電力量!I78</f>
        <v>208</v>
      </c>
      <c r="J78">
        <f>電力量!J79-電力量!J78</f>
        <v>6.0999999999985448</v>
      </c>
      <c r="K78">
        <f>電力量!K79-電力量!K78</f>
        <v>3.2999999999883585</v>
      </c>
      <c r="L78">
        <f>電力量!L79-電力量!L78</f>
        <v>22.5</v>
      </c>
      <c r="M78">
        <f>電力量!M79-電力量!M78</f>
        <v>35.899999999994179</v>
      </c>
      <c r="N78">
        <f>電力量!N79-電力量!N78</f>
        <v>56.700000000011642</v>
      </c>
      <c r="O78">
        <f>電力量!O79-電力量!O78</f>
        <v>19.600000000005821</v>
      </c>
      <c r="P78">
        <f>電力量!P79-電力量!P78</f>
        <v>0</v>
      </c>
      <c r="Q78">
        <f>電力量!Q79-電力量!Q78</f>
        <v>0</v>
      </c>
      <c r="R78">
        <f>電力量!R79-電力量!R78</f>
        <v>0</v>
      </c>
    </row>
    <row r="79" spans="1:18">
      <c r="A79" s="4">
        <f t="shared" si="27"/>
        <v>45903.208333333336</v>
      </c>
      <c r="B79">
        <f>電力量!B80-電力量!B79</f>
        <v>661</v>
      </c>
      <c r="C79">
        <f>電力量!C80-電力量!C79</f>
        <v>170</v>
      </c>
      <c r="D79">
        <f>電力量!D80-電力量!D79</f>
        <v>14.400000000001455</v>
      </c>
      <c r="E79">
        <f>電力量!E80-電力量!E79</f>
        <v>0</v>
      </c>
      <c r="F79">
        <f>電力量!F80-電力量!F79</f>
        <v>20</v>
      </c>
      <c r="G79">
        <f>電力量!G80-電力量!G79</f>
        <v>54.5</v>
      </c>
      <c r="H79">
        <f>電力量!H80-電力量!H79</f>
        <v>12</v>
      </c>
      <c r="I79">
        <f>電力量!I80-電力量!I79</f>
        <v>204</v>
      </c>
      <c r="J79">
        <f>電力量!J80-電力量!J79</f>
        <v>6</v>
      </c>
      <c r="K79">
        <f>電力量!K80-電力量!K79</f>
        <v>3.3000000000029104</v>
      </c>
      <c r="L79">
        <f>電力量!L80-電力量!L79</f>
        <v>20.900000000008731</v>
      </c>
      <c r="M79">
        <f>電力量!M80-電力量!M79</f>
        <v>34.80000000000291</v>
      </c>
      <c r="N79">
        <f>電力量!N80-電力量!N79</f>
        <v>53.5</v>
      </c>
      <c r="O79">
        <f>電力量!O80-電力量!O79</f>
        <v>20.599999999991269</v>
      </c>
      <c r="P79">
        <f>電力量!P80-電力量!P79</f>
        <v>0</v>
      </c>
      <c r="Q79">
        <f>電力量!Q80-電力量!Q79</f>
        <v>0</v>
      </c>
      <c r="R79">
        <f>電力量!R80-電力量!R79</f>
        <v>0</v>
      </c>
    </row>
    <row r="80" spans="1:18">
      <c r="A80" s="4">
        <f t="shared" si="28"/>
        <v>45903.25</v>
      </c>
      <c r="B80">
        <f>電力量!B81-電力量!B80</f>
        <v>677</v>
      </c>
      <c r="C80">
        <f>電力量!C81-電力量!C80</f>
        <v>175</v>
      </c>
      <c r="D80">
        <f>電力量!D81-電力量!D80</f>
        <v>14</v>
      </c>
      <c r="E80">
        <f>電力量!E81-電力量!E80</f>
        <v>0</v>
      </c>
      <c r="F80">
        <f>電力量!F81-電力量!F80</f>
        <v>19</v>
      </c>
      <c r="G80">
        <f>電力量!G81-電力量!G80</f>
        <v>54</v>
      </c>
      <c r="H80">
        <f>電力量!H81-電力量!H80</f>
        <v>12</v>
      </c>
      <c r="I80">
        <f>電力量!I81-電力量!I80</f>
        <v>212</v>
      </c>
      <c r="J80">
        <f>電力量!J81-電力量!J80</f>
        <v>6</v>
      </c>
      <c r="K80">
        <f>電力量!K81-電力量!K80</f>
        <v>3.1000000000058208</v>
      </c>
      <c r="L80">
        <f>電力量!L81-電力量!L80</f>
        <v>20.599999999991269</v>
      </c>
      <c r="M80">
        <f>電力量!M81-電力量!M80</f>
        <v>35.30000000000291</v>
      </c>
      <c r="N80">
        <f>電力量!N81-電力量!N80</f>
        <v>52.899999999994179</v>
      </c>
      <c r="O80">
        <f>電力量!O81-電力量!O80</f>
        <v>21.400000000008731</v>
      </c>
      <c r="P80">
        <f>電力量!P81-電力量!P80</f>
        <v>0</v>
      </c>
      <c r="Q80">
        <f>電力量!Q81-電力量!Q80</f>
        <v>0</v>
      </c>
      <c r="R80">
        <f>電力量!R81-電力量!R80</f>
        <v>0</v>
      </c>
    </row>
    <row r="81" spans="1:18">
      <c r="A81" s="4">
        <f t="shared" si="29"/>
        <v>45903.291666666664</v>
      </c>
      <c r="B81">
        <f>電力量!B82-電力量!B81</f>
        <v>714</v>
      </c>
      <c r="C81">
        <f>電力量!C82-電力量!C81</f>
        <v>183</v>
      </c>
      <c r="D81">
        <f>電力量!D82-電力量!D81</f>
        <v>14</v>
      </c>
      <c r="E81">
        <f>電力量!E82-電力量!E81</f>
        <v>0</v>
      </c>
      <c r="F81">
        <f>電力量!F82-電力量!F81</f>
        <v>21</v>
      </c>
      <c r="G81">
        <f>電力量!G82-電力量!G81</f>
        <v>54.30000000000291</v>
      </c>
      <c r="H81">
        <f>電力量!H82-電力量!H81</f>
        <v>11</v>
      </c>
      <c r="I81">
        <f>電力量!I82-電力量!I81</f>
        <v>227</v>
      </c>
      <c r="J81">
        <f>電力量!J82-電力量!J81</f>
        <v>6.9000000000014552</v>
      </c>
      <c r="K81">
        <f>電力量!K82-電力量!K81</f>
        <v>1.3000000000029104</v>
      </c>
      <c r="L81">
        <f>電力量!L82-電力量!L81</f>
        <v>22.400000000008731</v>
      </c>
      <c r="M81">
        <f>電力量!M82-電力量!M81</f>
        <v>37.80000000000291</v>
      </c>
      <c r="N81">
        <f>電力量!N82-電力量!N81</f>
        <v>51.100000000005821</v>
      </c>
      <c r="O81">
        <f>電力量!O82-電力量!O81</f>
        <v>26.099999999991269</v>
      </c>
      <c r="P81">
        <f>電力量!P82-電力量!P81</f>
        <v>1</v>
      </c>
      <c r="Q81">
        <f>電力量!Q82-電力量!Q81</f>
        <v>3</v>
      </c>
      <c r="R81">
        <f>電力量!R82-電力量!R81</f>
        <v>0</v>
      </c>
    </row>
    <row r="82" spans="1:18">
      <c r="A82" s="4">
        <f t="shared" si="30"/>
        <v>45903.333333333336</v>
      </c>
      <c r="B82">
        <f>電力量!B83-電力量!B82</f>
        <v>829</v>
      </c>
      <c r="C82">
        <f>電力量!C83-電力量!C82</f>
        <v>212</v>
      </c>
      <c r="D82">
        <f>電力量!D83-電力量!D82</f>
        <v>20.900000000001455</v>
      </c>
      <c r="E82">
        <f>電力量!E83-電力量!E82</f>
        <v>0</v>
      </c>
      <c r="F82">
        <f>電力量!F83-電力量!F82</f>
        <v>27</v>
      </c>
      <c r="G82">
        <f>電力量!G83-電力量!G82</f>
        <v>51.5</v>
      </c>
      <c r="H82">
        <f>電力量!H83-電力量!H82</f>
        <v>12</v>
      </c>
      <c r="I82">
        <f>電力量!I83-電力量!I82</f>
        <v>276</v>
      </c>
      <c r="J82">
        <f>電力量!J83-電力量!J82</f>
        <v>7</v>
      </c>
      <c r="K82">
        <f>電力量!K83-電力量!K82</f>
        <v>0.69999999999708962</v>
      </c>
      <c r="L82">
        <f>電力量!L83-電力量!L82</f>
        <v>27.19999999999709</v>
      </c>
      <c r="M82">
        <f>電力量!M83-電力量!M82</f>
        <v>39.099999999991269</v>
      </c>
      <c r="N82">
        <f>電力量!N83-電力量!N82</f>
        <v>49.399999999994179</v>
      </c>
      <c r="O82">
        <f>電力量!O83-電力量!O82</f>
        <v>40.100000000005821</v>
      </c>
      <c r="P82">
        <f>電力量!P83-電力量!P82</f>
        <v>6</v>
      </c>
      <c r="Q82">
        <f>電力量!Q83-電力量!Q82</f>
        <v>9</v>
      </c>
      <c r="R82">
        <f>電力量!R83-電力量!R82</f>
        <v>0</v>
      </c>
    </row>
    <row r="83" spans="1:18">
      <c r="A83" s="4">
        <f t="shared" si="31"/>
        <v>45903.375</v>
      </c>
      <c r="B83">
        <f>電力量!B84-電力量!B83</f>
        <v>1045</v>
      </c>
      <c r="C83">
        <f>電力量!C84-電力量!C83</f>
        <v>284</v>
      </c>
      <c r="D83">
        <f>電力量!D84-電力量!D83</f>
        <v>26.399999999994179</v>
      </c>
      <c r="E83">
        <f>電力量!E84-電力量!E83</f>
        <v>0</v>
      </c>
      <c r="F83">
        <f>電力量!F84-電力量!F83</f>
        <v>40</v>
      </c>
      <c r="G83">
        <f>電力量!G84-電力量!G83</f>
        <v>55.19999999999709</v>
      </c>
      <c r="H83">
        <f>電力量!H84-電力量!H83</f>
        <v>19</v>
      </c>
      <c r="I83">
        <f>電力量!I84-電力量!I83</f>
        <v>342</v>
      </c>
      <c r="J83">
        <f>電力量!J84-電力量!J83</f>
        <v>7.4000000000014552</v>
      </c>
      <c r="K83">
        <f>電力量!K84-電力量!K83</f>
        <v>0.19999999999708962</v>
      </c>
      <c r="L83">
        <f>電力量!L84-電力量!L83</f>
        <v>29.399999999994179</v>
      </c>
      <c r="M83">
        <f>電力量!M84-電力量!M83</f>
        <v>41.600000000005821</v>
      </c>
      <c r="N83">
        <f>電力量!N84-電力量!N83</f>
        <v>47.30000000000291</v>
      </c>
      <c r="O83">
        <f>電力量!O84-電力量!O83</f>
        <v>57.80000000000291</v>
      </c>
      <c r="P83">
        <f>電力量!P84-電力量!P83</f>
        <v>10</v>
      </c>
      <c r="Q83">
        <f>電力量!Q84-電力量!Q83</f>
        <v>16</v>
      </c>
      <c r="R83">
        <f>電力量!R84-電力量!R83</f>
        <v>0</v>
      </c>
    </row>
    <row r="84" spans="1:18">
      <c r="A84" s="4">
        <f t="shared" si="32"/>
        <v>45903.416666666664</v>
      </c>
      <c r="B84">
        <f>電力量!B85-電力量!B84</f>
        <v>1227</v>
      </c>
      <c r="C84">
        <f>電力量!C85-電力量!C84</f>
        <v>318</v>
      </c>
      <c r="D84">
        <f>電力量!D85-電力量!D84</f>
        <v>27.100000000005821</v>
      </c>
      <c r="E84">
        <f>電力量!E85-電力量!E84</f>
        <v>0</v>
      </c>
      <c r="F84">
        <f>電力量!F85-電力量!F84</f>
        <v>53</v>
      </c>
      <c r="G84">
        <f>電力量!G85-電力量!G84</f>
        <v>73.600000000005821</v>
      </c>
      <c r="H84">
        <f>電力量!H85-電力量!H84</f>
        <v>41</v>
      </c>
      <c r="I84">
        <f>電力量!I85-電力量!I84</f>
        <v>410</v>
      </c>
      <c r="J84">
        <f>電力量!J85-電力量!J84</f>
        <v>12.299999999995634</v>
      </c>
      <c r="K84">
        <f>電力量!K85-電力量!K84</f>
        <v>0.39999999999417923</v>
      </c>
      <c r="L84">
        <f>電力量!L85-電力量!L84</f>
        <v>33</v>
      </c>
      <c r="M84">
        <f>電力量!M85-電力量!M84</f>
        <v>43.600000000005821</v>
      </c>
      <c r="N84">
        <f>電力量!N85-電力量!N84</f>
        <v>45.899999999994179</v>
      </c>
      <c r="O84">
        <f>電力量!O85-電力量!O84</f>
        <v>69.399999999994179</v>
      </c>
      <c r="P84">
        <f>電力量!P85-電力量!P84</f>
        <v>13</v>
      </c>
      <c r="Q84">
        <f>電力量!Q85-電力量!Q84</f>
        <v>20</v>
      </c>
      <c r="R84">
        <f>電力量!R85-電力量!R84</f>
        <v>0</v>
      </c>
    </row>
    <row r="85" spans="1:18">
      <c r="A85" s="4">
        <f t="shared" si="33"/>
        <v>45903.458333333336</v>
      </c>
      <c r="B85">
        <f>電力量!B86-電力量!B85</f>
        <v>1268</v>
      </c>
      <c r="C85">
        <f>電力量!C86-電力量!C85</f>
        <v>328</v>
      </c>
      <c r="D85">
        <f>電力量!D86-電力量!D85</f>
        <v>27.599999999998545</v>
      </c>
      <c r="E85">
        <f>電力量!E86-電力量!E85</f>
        <v>0</v>
      </c>
      <c r="F85">
        <f>電力量!F86-電力量!F85</f>
        <v>57</v>
      </c>
      <c r="G85">
        <f>電力量!G86-電力量!G85</f>
        <v>78.5</v>
      </c>
      <c r="H85">
        <f>電力量!H86-電力量!H85</f>
        <v>23</v>
      </c>
      <c r="I85">
        <f>電力量!I86-電力量!I85</f>
        <v>449</v>
      </c>
      <c r="J85">
        <f>電力量!J86-電力量!J85</f>
        <v>12.5</v>
      </c>
      <c r="K85">
        <f>電力量!K86-電力量!K85</f>
        <v>0.10000000000582077</v>
      </c>
      <c r="L85">
        <f>電力量!L86-電力量!L85</f>
        <v>35.400000000008731</v>
      </c>
      <c r="M85">
        <f>電力量!M86-電力量!M85</f>
        <v>45.099999999991269</v>
      </c>
      <c r="N85">
        <f>電力量!N86-電力量!N85</f>
        <v>44.5</v>
      </c>
      <c r="O85">
        <f>電力量!O86-電力量!O85</f>
        <v>64.80000000000291</v>
      </c>
      <c r="P85">
        <f>電力量!P86-電力量!P85</f>
        <v>16</v>
      </c>
      <c r="Q85">
        <f>電力量!Q86-電力量!Q85</f>
        <v>24</v>
      </c>
      <c r="R85">
        <f>電力量!R86-電力量!R85</f>
        <v>0</v>
      </c>
    </row>
    <row r="86" spans="1:18">
      <c r="A86" s="4">
        <f t="shared" si="34"/>
        <v>45903.5</v>
      </c>
      <c r="B86">
        <f>電力量!B87-電力量!B86</f>
        <v>1321</v>
      </c>
      <c r="C86">
        <f>電力量!C87-電力量!C86</f>
        <v>343</v>
      </c>
      <c r="D86">
        <f>電力量!D87-電力量!D86</f>
        <v>35.900000000001455</v>
      </c>
      <c r="E86">
        <f>電力量!E87-電力量!E86</f>
        <v>0</v>
      </c>
      <c r="F86">
        <f>電力量!F87-電力量!F86</f>
        <v>66</v>
      </c>
      <c r="G86">
        <f>電力量!G87-電力量!G86</f>
        <v>73</v>
      </c>
      <c r="H86">
        <f>電力量!H87-電力量!H86</f>
        <v>35</v>
      </c>
      <c r="I86">
        <f>電力量!I87-電力量!I86</f>
        <v>451</v>
      </c>
      <c r="J86">
        <f>電力量!J87-電力量!J86</f>
        <v>11.400000000001455</v>
      </c>
      <c r="K86">
        <f>電力量!K87-電力量!K86</f>
        <v>0</v>
      </c>
      <c r="L86">
        <f>電力量!L87-電力量!L86</f>
        <v>41.5</v>
      </c>
      <c r="M86">
        <f>電力量!M87-電力量!M86</f>
        <v>49.400000000008731</v>
      </c>
      <c r="N86">
        <f>電力量!N87-電力量!N86</f>
        <v>43.19999999999709</v>
      </c>
      <c r="O86">
        <f>電力量!O87-電力量!O86</f>
        <v>71.600000000005821</v>
      </c>
      <c r="P86">
        <f>電力量!P87-電力量!P86</f>
        <v>16</v>
      </c>
      <c r="Q86">
        <f>電力量!Q87-電力量!Q86</f>
        <v>24</v>
      </c>
      <c r="R86">
        <f>電力量!R87-電力量!R86</f>
        <v>0</v>
      </c>
    </row>
    <row r="87" spans="1:18">
      <c r="A87" s="4">
        <f t="shared" si="35"/>
        <v>45903.541666666664</v>
      </c>
      <c r="B87">
        <f>電力量!B88-電力量!B87</f>
        <v>1396</v>
      </c>
      <c r="C87">
        <f>電力量!C88-電力量!C87</f>
        <v>360</v>
      </c>
      <c r="D87">
        <f>電力量!D88-電力量!D87</f>
        <v>36</v>
      </c>
      <c r="E87">
        <f>電力量!E88-電力量!E87</f>
        <v>0</v>
      </c>
      <c r="F87">
        <f>電力量!F88-電力量!F87</f>
        <v>63</v>
      </c>
      <c r="G87">
        <f>電力量!G88-電力量!G87</f>
        <v>85.399999999994179</v>
      </c>
      <c r="H87">
        <f>電力量!H88-電力量!H87</f>
        <v>27</v>
      </c>
      <c r="I87">
        <f>電力量!I88-電力量!I87</f>
        <v>462</v>
      </c>
      <c r="J87">
        <f>電力量!J88-電力量!J87</f>
        <v>12.400000000001455</v>
      </c>
      <c r="K87">
        <f>電力量!K88-電力量!K87</f>
        <v>0</v>
      </c>
      <c r="L87">
        <f>電力量!L88-電力量!L87</f>
        <v>54.599999999991269</v>
      </c>
      <c r="M87">
        <f>電力量!M88-電力量!M87</f>
        <v>62.099999999991269</v>
      </c>
      <c r="N87">
        <f>電力量!N88-電力量!N87</f>
        <v>45.900000000008731</v>
      </c>
      <c r="O87">
        <f>電力量!O88-電力量!O87</f>
        <v>76.69999999999709</v>
      </c>
      <c r="P87">
        <f>電力量!P88-電力量!P87</f>
        <v>14</v>
      </c>
      <c r="Q87">
        <f>電力量!Q88-電力量!Q87</f>
        <v>22</v>
      </c>
      <c r="R87">
        <f>電力量!R88-電力量!R87</f>
        <v>0</v>
      </c>
    </row>
    <row r="88" spans="1:18">
      <c r="A88" s="4">
        <f t="shared" si="36"/>
        <v>45903.583333333336</v>
      </c>
      <c r="B88">
        <f>電力量!B89-電力量!B88</f>
        <v>1476</v>
      </c>
      <c r="C88">
        <f>電力量!C89-電力量!C88</f>
        <v>368</v>
      </c>
      <c r="D88">
        <f>電力量!D89-電力量!D88</f>
        <v>33.399999999994179</v>
      </c>
      <c r="E88">
        <f>電力量!E89-電力量!E88</f>
        <v>0</v>
      </c>
      <c r="F88">
        <f>電力量!F89-電力量!F88</f>
        <v>57</v>
      </c>
      <c r="G88">
        <f>電力量!G89-電力量!G88</f>
        <v>100</v>
      </c>
      <c r="H88">
        <f>電力量!H89-電力量!H88</f>
        <v>85</v>
      </c>
      <c r="I88">
        <f>電力量!I89-電力量!I88</f>
        <v>470</v>
      </c>
      <c r="J88">
        <f>電力量!J89-電力量!J88</f>
        <v>12.099999999998545</v>
      </c>
      <c r="K88">
        <f>電力量!K89-電力量!K88</f>
        <v>2.8000000000029104</v>
      </c>
      <c r="L88">
        <f>電力量!L89-電力量!L88</f>
        <v>55.30000000000291</v>
      </c>
      <c r="M88">
        <f>電力量!M89-電力量!M88</f>
        <v>57.900000000008731</v>
      </c>
      <c r="N88">
        <f>電力量!N89-電力量!N88</f>
        <v>49.5</v>
      </c>
      <c r="O88">
        <f>電力量!O89-電力量!O88</f>
        <v>56</v>
      </c>
      <c r="P88">
        <f>電力量!P89-電力量!P88</f>
        <v>10</v>
      </c>
      <c r="Q88">
        <f>電力量!Q89-電力量!Q88</f>
        <v>15</v>
      </c>
      <c r="R88">
        <f>電力量!R89-電力量!R88</f>
        <v>0</v>
      </c>
    </row>
    <row r="89" spans="1:18">
      <c r="A89" s="4">
        <f t="shared" si="37"/>
        <v>45903.625</v>
      </c>
      <c r="B89">
        <f>電力量!B90-電力量!B89</f>
        <v>1411</v>
      </c>
      <c r="C89">
        <f>電力量!C90-電力量!C89</f>
        <v>364</v>
      </c>
      <c r="D89">
        <f>電力量!D90-電力量!D89</f>
        <v>36.400000000001455</v>
      </c>
      <c r="E89">
        <f>電力量!E90-電力量!E89</f>
        <v>0</v>
      </c>
      <c r="F89">
        <f>電力量!F90-電力量!F89</f>
        <v>57</v>
      </c>
      <c r="G89">
        <f>電力量!G90-電力量!G89</f>
        <v>99.700000000011642</v>
      </c>
      <c r="H89">
        <f>電力量!H90-電力量!H89</f>
        <v>79</v>
      </c>
      <c r="I89">
        <f>電力量!I90-電力量!I89</f>
        <v>451</v>
      </c>
      <c r="J89">
        <f>電力量!J90-電力量!J89</f>
        <v>11.900000000001455</v>
      </c>
      <c r="K89">
        <f>電力量!K90-電力量!K89</f>
        <v>0.59999999999126885</v>
      </c>
      <c r="L89">
        <f>電力量!L90-電力量!L89</f>
        <v>47.100000000005821</v>
      </c>
      <c r="M89">
        <f>電力量!M90-電力量!M89</f>
        <v>55.5</v>
      </c>
      <c r="N89">
        <f>電力量!N90-電力量!N89</f>
        <v>49.80000000000291</v>
      </c>
      <c r="O89">
        <f>電力量!O90-電力量!O89</f>
        <v>33.599999999991269</v>
      </c>
      <c r="P89">
        <f>電力量!P90-電力量!P89</f>
        <v>11</v>
      </c>
      <c r="Q89">
        <f>電力量!Q90-電力量!Q89</f>
        <v>16</v>
      </c>
      <c r="R89">
        <f>電力量!R90-電力量!R89</f>
        <v>0</v>
      </c>
    </row>
    <row r="90" spans="1:18">
      <c r="A90" s="4">
        <f t="shared" si="38"/>
        <v>45903.666666666664</v>
      </c>
      <c r="B90">
        <f>電力量!B91-電力量!B90</f>
        <v>1349</v>
      </c>
      <c r="C90">
        <f>電力量!C91-電力量!C90</f>
        <v>346</v>
      </c>
      <c r="D90">
        <f>電力量!D91-電力量!D90</f>
        <v>34.599999999998545</v>
      </c>
      <c r="E90">
        <f>電力量!E91-電力量!E90</f>
        <v>0</v>
      </c>
      <c r="F90">
        <f>電力量!F91-電力量!F90</f>
        <v>53</v>
      </c>
      <c r="G90">
        <f>電力量!G91-電力量!G90</f>
        <v>96.799999999988358</v>
      </c>
      <c r="H90">
        <f>電力量!H91-電力量!H90</f>
        <v>74</v>
      </c>
      <c r="I90">
        <f>電力量!I91-電力量!I90</f>
        <v>429</v>
      </c>
      <c r="J90">
        <f>電力量!J91-電力量!J90</f>
        <v>11.900000000001455</v>
      </c>
      <c r="K90">
        <f>電力量!K91-電力量!K90</f>
        <v>2.4000000000087311</v>
      </c>
      <c r="L90">
        <f>電力量!L91-電力量!L90</f>
        <v>44.399999999994179</v>
      </c>
      <c r="M90">
        <f>電力量!M91-電力量!M90</f>
        <v>50.299999999988358</v>
      </c>
      <c r="N90">
        <f>電力量!N91-電力量!N90</f>
        <v>53.399999999994179</v>
      </c>
      <c r="O90">
        <f>電力量!O91-電力量!O90</f>
        <v>34.400000000008731</v>
      </c>
      <c r="P90">
        <f>電力量!P91-電力量!P90</f>
        <v>7</v>
      </c>
      <c r="Q90">
        <f>電力量!Q91-電力量!Q90</f>
        <v>12</v>
      </c>
      <c r="R90">
        <f>電力量!R91-電力量!R90</f>
        <v>0</v>
      </c>
    </row>
    <row r="91" spans="1:18">
      <c r="A91" s="4">
        <f t="shared" si="39"/>
        <v>45903.708333333336</v>
      </c>
      <c r="B91">
        <f>電力量!B92-電力量!B91</f>
        <v>1187</v>
      </c>
      <c r="C91">
        <f>電力量!C92-電力量!C91</f>
        <v>301</v>
      </c>
      <c r="D91">
        <f>電力量!D92-電力量!D91</f>
        <v>23.600000000005821</v>
      </c>
      <c r="E91">
        <f>電力量!E92-電力量!E91</f>
        <v>0</v>
      </c>
      <c r="F91">
        <f>電力量!F92-電力量!F91</f>
        <v>40</v>
      </c>
      <c r="G91">
        <f>電力量!G92-電力量!G91</f>
        <v>83.200000000011642</v>
      </c>
      <c r="H91">
        <f>電力量!H92-電力量!H91</f>
        <v>33</v>
      </c>
      <c r="I91">
        <f>電力量!I92-電力量!I91</f>
        <v>409</v>
      </c>
      <c r="J91">
        <f>電力量!J92-電力量!J91</f>
        <v>8.5999999999985448</v>
      </c>
      <c r="K91">
        <f>電力量!K92-電力量!K91</f>
        <v>3.8000000000029104</v>
      </c>
      <c r="L91">
        <f>電力量!L92-電力量!L91</f>
        <v>46.30000000000291</v>
      </c>
      <c r="M91">
        <f>電力量!M92-電力量!M91</f>
        <v>46</v>
      </c>
      <c r="N91">
        <f>電力量!N92-電力量!N91</f>
        <v>57.100000000005821</v>
      </c>
      <c r="O91">
        <f>電力量!O92-電力量!O91</f>
        <v>30.099999999991269</v>
      </c>
      <c r="P91">
        <f>電力量!P92-電力量!P91</f>
        <v>4</v>
      </c>
      <c r="Q91">
        <f>電力量!Q92-電力量!Q91</f>
        <v>6</v>
      </c>
      <c r="R91">
        <f>電力量!R92-電力量!R91</f>
        <v>0</v>
      </c>
    </row>
    <row r="92" spans="1:18">
      <c r="A92" s="4">
        <f t="shared" si="40"/>
        <v>45903.75</v>
      </c>
      <c r="B92">
        <f>電力量!B93-電力量!B92</f>
        <v>1015</v>
      </c>
      <c r="C92">
        <f>電力量!C93-電力量!C92</f>
        <v>241</v>
      </c>
      <c r="D92">
        <f>電力量!D93-電力量!D92</f>
        <v>19.19999999999709</v>
      </c>
      <c r="E92">
        <f>電力量!E93-電力量!E92</f>
        <v>0</v>
      </c>
      <c r="F92">
        <f>電力量!F93-電力量!F92</f>
        <v>34</v>
      </c>
      <c r="G92">
        <f>電力量!G93-電力量!G92</f>
        <v>73.099999999991269</v>
      </c>
      <c r="H92">
        <f>電力量!H93-電力量!H92</f>
        <v>13</v>
      </c>
      <c r="I92">
        <f>電力量!I93-電力量!I92</f>
        <v>386</v>
      </c>
      <c r="J92">
        <f>電力量!J93-電力量!J92</f>
        <v>7.5999999999985448</v>
      </c>
      <c r="K92">
        <f>電力量!K93-電力量!K92</f>
        <v>3.6999999999970896</v>
      </c>
      <c r="L92">
        <f>電力量!L93-電力量!L92</f>
        <v>37.5</v>
      </c>
      <c r="M92">
        <f>電力量!M93-電力量!M92</f>
        <v>44</v>
      </c>
      <c r="N92">
        <f>電力量!N93-電力量!N92</f>
        <v>56.399999999994179</v>
      </c>
      <c r="O92">
        <f>電力量!O93-電力量!O92</f>
        <v>25.900000000008731</v>
      </c>
      <c r="P92">
        <f>電力量!P93-電力量!P92</f>
        <v>0</v>
      </c>
      <c r="Q92">
        <f>電力量!Q93-電力量!Q92</f>
        <v>0</v>
      </c>
      <c r="R92">
        <f>電力量!R93-電力量!R92</f>
        <v>0</v>
      </c>
    </row>
    <row r="93" spans="1:18">
      <c r="A93" s="4">
        <f t="shared" si="41"/>
        <v>45903.791666666664</v>
      </c>
      <c r="B93">
        <f>電力量!B94-電力量!B93</f>
        <v>887</v>
      </c>
      <c r="C93">
        <f>電力量!C94-電力量!C93</f>
        <v>217</v>
      </c>
      <c r="D93">
        <f>電力量!D94-電力量!D93</f>
        <v>17.69999999999709</v>
      </c>
      <c r="E93">
        <f>電力量!E94-電力量!E93</f>
        <v>0</v>
      </c>
      <c r="F93">
        <f>電力量!F94-電力量!F93</f>
        <v>28</v>
      </c>
      <c r="G93">
        <f>電力量!G94-電力量!G93</f>
        <v>68.400000000008731</v>
      </c>
      <c r="H93">
        <f>電力量!H94-電力量!H93</f>
        <v>13</v>
      </c>
      <c r="I93">
        <f>電力量!I94-電力量!I93</f>
        <v>316</v>
      </c>
      <c r="J93">
        <f>電力量!J94-電力量!J93</f>
        <v>7.5</v>
      </c>
      <c r="K93">
        <f>電力量!K94-電力量!K93</f>
        <v>3.5999999999912689</v>
      </c>
      <c r="L93">
        <f>電力量!L94-電力量!L93</f>
        <v>31.100000000005821</v>
      </c>
      <c r="M93">
        <f>電力量!M94-電力量!M93</f>
        <v>39.900000000008731</v>
      </c>
      <c r="N93">
        <f>電力量!N94-電力量!N93</f>
        <v>56.30000000000291</v>
      </c>
      <c r="O93">
        <f>電力量!O94-電力量!O93</f>
        <v>27.69999999999709</v>
      </c>
      <c r="P93">
        <f>電力量!P94-電力量!P93</f>
        <v>0</v>
      </c>
      <c r="Q93">
        <f>電力量!Q94-電力量!Q93</f>
        <v>0</v>
      </c>
      <c r="R93">
        <f>電力量!R94-電力量!R93</f>
        <v>0</v>
      </c>
    </row>
    <row r="94" spans="1:18">
      <c r="A94" s="4">
        <f t="shared" si="42"/>
        <v>45903.833333333336</v>
      </c>
      <c r="B94">
        <f>電力量!B95-電力量!B94</f>
        <v>828</v>
      </c>
      <c r="C94">
        <f>電力量!C95-電力量!C94</f>
        <v>210</v>
      </c>
      <c r="D94">
        <f>電力量!D95-電力量!D94</f>
        <v>17.80000000000291</v>
      </c>
      <c r="E94">
        <f>電力量!E95-電力量!E94</f>
        <v>0</v>
      </c>
      <c r="F94">
        <f>電力量!F95-電力量!F94</f>
        <v>24</v>
      </c>
      <c r="G94">
        <f>電力量!G95-電力量!G94</f>
        <v>65.299999999988358</v>
      </c>
      <c r="H94">
        <f>電力量!H95-電力量!H94</f>
        <v>13</v>
      </c>
      <c r="I94">
        <f>電力量!I95-電力量!I94</f>
        <v>274</v>
      </c>
      <c r="J94">
        <f>電力量!J95-電力量!J94</f>
        <v>6.8000000000029104</v>
      </c>
      <c r="K94">
        <f>電力量!K95-電力量!K94</f>
        <v>3.5</v>
      </c>
      <c r="L94">
        <f>電力量!L95-電力量!L94</f>
        <v>27.399999999994179</v>
      </c>
      <c r="M94">
        <f>電力量!M95-電力量!M94</f>
        <v>39.69999999999709</v>
      </c>
      <c r="N94">
        <f>電力量!N95-電力量!N94</f>
        <v>55.899999999994179</v>
      </c>
      <c r="O94">
        <f>電力量!O95-電力量!O94</f>
        <v>29.600000000005821</v>
      </c>
      <c r="P94">
        <f>電力量!P95-電力量!P94</f>
        <v>0</v>
      </c>
      <c r="Q94">
        <f>電力量!Q95-電力量!Q94</f>
        <v>0</v>
      </c>
      <c r="R94">
        <f>電力量!R95-電力量!R94</f>
        <v>0</v>
      </c>
    </row>
    <row r="95" spans="1:18">
      <c r="A95" s="4">
        <f t="shared" si="43"/>
        <v>45903.875</v>
      </c>
      <c r="B95">
        <f>電力量!B96-電力量!B95</f>
        <v>797</v>
      </c>
      <c r="C95">
        <f>電力量!C96-電力量!C95</f>
        <v>207</v>
      </c>
      <c r="D95">
        <f>電力量!D96-電力量!D95</f>
        <v>16.099999999998545</v>
      </c>
      <c r="E95">
        <f>電力量!E96-電力量!E95</f>
        <v>0</v>
      </c>
      <c r="F95">
        <f>電力量!F96-電力量!F95</f>
        <v>23</v>
      </c>
      <c r="G95">
        <f>電力量!G96-電力量!G95</f>
        <v>66.100000000005821</v>
      </c>
      <c r="H95">
        <f>電力量!H96-電力量!H95</f>
        <v>13</v>
      </c>
      <c r="I95">
        <f>電力量!I96-電力量!I95</f>
        <v>251</v>
      </c>
      <c r="J95">
        <f>電力量!J96-電力量!J95</f>
        <v>7.1999999999970896</v>
      </c>
      <c r="K95">
        <f>電力量!K96-電力量!K95</f>
        <v>3.4000000000087311</v>
      </c>
      <c r="L95">
        <f>電力量!L96-電力量!L95</f>
        <v>31.19999999999709</v>
      </c>
      <c r="M95">
        <f>電力量!M96-電力量!M95</f>
        <v>41.100000000005821</v>
      </c>
      <c r="N95">
        <f>電力量!N96-電力量!N95</f>
        <v>55.19999999999709</v>
      </c>
      <c r="O95">
        <f>電力量!O96-電力量!O95</f>
        <v>27.5</v>
      </c>
      <c r="P95">
        <f>電力量!P96-電力量!P95</f>
        <v>0</v>
      </c>
      <c r="Q95">
        <f>電力量!Q96-電力量!Q95</f>
        <v>0</v>
      </c>
      <c r="R95">
        <f>電力量!R96-電力量!R95</f>
        <v>0</v>
      </c>
    </row>
    <row r="96" spans="1:18">
      <c r="A96" s="4">
        <f t="shared" si="44"/>
        <v>45903.916666666664</v>
      </c>
      <c r="B96">
        <f>電力量!B97-電力量!B96</f>
        <v>771</v>
      </c>
      <c r="C96">
        <f>電力量!C97-電力量!C96</f>
        <v>201</v>
      </c>
      <c r="D96">
        <f>電力量!D97-電力量!D96</f>
        <v>15.30000000000291</v>
      </c>
      <c r="E96">
        <f>電力量!E97-電力量!E96</f>
        <v>0</v>
      </c>
      <c r="F96">
        <f>電力量!F97-電力量!F96</f>
        <v>22</v>
      </c>
      <c r="G96">
        <f>電力量!G97-電力量!G96</f>
        <v>60.30000000000291</v>
      </c>
      <c r="H96">
        <f>電力量!H97-電力量!H96</f>
        <v>12</v>
      </c>
      <c r="I96">
        <f>電力量!I97-電力量!I96</f>
        <v>240</v>
      </c>
      <c r="J96">
        <f>電力量!J97-電力量!J96</f>
        <v>7</v>
      </c>
      <c r="K96">
        <f>電力量!K97-電力量!K96</f>
        <v>3.5</v>
      </c>
      <c r="L96">
        <f>電力量!L97-電力量!L96</f>
        <v>30.100000000005821</v>
      </c>
      <c r="M96">
        <f>電力量!M97-電力量!M96</f>
        <v>40.799999999988358</v>
      </c>
      <c r="N96">
        <f>電力量!N97-電力量!N96</f>
        <v>56</v>
      </c>
      <c r="O96">
        <f>電力量!O97-電力量!O96</f>
        <v>25.799999999988358</v>
      </c>
      <c r="P96">
        <f>電力量!P97-電力量!P96</f>
        <v>0</v>
      </c>
      <c r="Q96">
        <f>電力量!Q97-電力量!Q96</f>
        <v>0</v>
      </c>
      <c r="R96">
        <f>電力量!R97-電力量!R96</f>
        <v>0</v>
      </c>
    </row>
    <row r="97" spans="1:18">
      <c r="A97" s="4">
        <f t="shared" si="45"/>
        <v>45903.958333333336</v>
      </c>
      <c r="B97">
        <f>電力量!B98-電力量!B97</f>
        <v>745</v>
      </c>
      <c r="C97">
        <f>電力量!C98-電力量!C97</f>
        <v>187</v>
      </c>
      <c r="D97">
        <f>電力量!D98-電力量!D97</f>
        <v>13.5</v>
      </c>
      <c r="E97">
        <f>電力量!E98-電力量!E97</f>
        <v>0</v>
      </c>
      <c r="F97">
        <f>電力量!F98-電力量!F97</f>
        <v>23</v>
      </c>
      <c r="G97">
        <f>電力量!G98-電力量!G97</f>
        <v>60.099999999991269</v>
      </c>
      <c r="H97">
        <f>電力量!H98-電力量!H97</f>
        <v>13</v>
      </c>
      <c r="I97">
        <f>電力量!I98-電力量!I97</f>
        <v>237</v>
      </c>
      <c r="J97">
        <f>電力量!J98-電力量!J97</f>
        <v>6.8000000000029104</v>
      </c>
      <c r="K97">
        <f>電力量!K98-電力量!K97</f>
        <v>3.3000000000029104</v>
      </c>
      <c r="L97">
        <f>電力量!L98-電力量!L97</f>
        <v>28.599999999991269</v>
      </c>
      <c r="M97">
        <f>電力量!M98-電力量!M97</f>
        <v>37.200000000011642</v>
      </c>
      <c r="N97">
        <f>電力量!N98-電力量!N97</f>
        <v>55.400000000008731</v>
      </c>
      <c r="O97">
        <f>電力量!O98-電力量!O97</f>
        <v>25.100000000005821</v>
      </c>
      <c r="P97">
        <f>電力量!P98-電力量!P97</f>
        <v>0</v>
      </c>
      <c r="Q97">
        <f>電力量!Q98-電力量!Q97</f>
        <v>0</v>
      </c>
      <c r="R97">
        <f>電力量!R98-電力量!R97</f>
        <v>0</v>
      </c>
    </row>
    <row r="98" spans="1:18">
      <c r="A98" s="4">
        <v>45904</v>
      </c>
      <c r="B98">
        <f>電力量!B99-電力量!B98</f>
        <v>720</v>
      </c>
      <c r="C98">
        <f>電力量!C99-電力量!C98</f>
        <v>180</v>
      </c>
      <c r="D98">
        <f>電力量!D99-電力量!D98</f>
        <v>13.099999999998545</v>
      </c>
      <c r="E98">
        <f>電力量!E99-電力量!E98</f>
        <v>0</v>
      </c>
      <c r="F98">
        <f>電力量!F99-電力量!F98</f>
        <v>22</v>
      </c>
      <c r="G98">
        <f>電力量!G99-電力量!G98</f>
        <v>60.80000000000291</v>
      </c>
      <c r="H98">
        <f>電力量!H99-電力量!H98</f>
        <v>12</v>
      </c>
      <c r="I98">
        <f>電力量!I99-電力量!I98</f>
        <v>226</v>
      </c>
      <c r="J98">
        <f>電力量!J99-電力量!J98</f>
        <v>6.5999999999985448</v>
      </c>
      <c r="K98">
        <f>電力量!K99-電力量!K98</f>
        <v>3.2999999999883585</v>
      </c>
      <c r="L98">
        <f>電力量!L99-電力量!L98</f>
        <v>28</v>
      </c>
      <c r="M98">
        <f>電力量!M99-電力量!M98</f>
        <v>37.19999999999709</v>
      </c>
      <c r="N98">
        <f>電力量!N99-電力量!N98</f>
        <v>55.399999999994179</v>
      </c>
      <c r="O98">
        <f>電力量!O99-電力量!O98</f>
        <v>23.5</v>
      </c>
      <c r="P98">
        <f>電力量!P99-電力量!P98</f>
        <v>0</v>
      </c>
      <c r="Q98">
        <f>電力量!Q99-電力量!Q98</f>
        <v>0</v>
      </c>
      <c r="R98">
        <f>電力量!R99-電力量!R98</f>
        <v>0</v>
      </c>
    </row>
    <row r="99" spans="1:18">
      <c r="A99" s="4">
        <f t="shared" ref="A99:A147" si="46">A98+(1/24)</f>
        <v>45904.041666666664</v>
      </c>
      <c r="B99">
        <f>電力量!B100-電力量!B99</f>
        <v>718</v>
      </c>
      <c r="C99">
        <f>電力量!C100-電力量!C99</f>
        <v>186</v>
      </c>
      <c r="D99">
        <f>電力量!D100-電力量!D99</f>
        <v>13.5</v>
      </c>
      <c r="E99">
        <f>電力量!E100-電力量!E99</f>
        <v>0</v>
      </c>
      <c r="F99">
        <f>電力量!F100-電力量!F99</f>
        <v>21</v>
      </c>
      <c r="G99">
        <f>電力量!G100-電力量!G99</f>
        <v>58.400000000008731</v>
      </c>
      <c r="H99">
        <f>電力量!H100-電力量!H99</f>
        <v>12</v>
      </c>
      <c r="I99">
        <f>電力量!I100-電力量!I99</f>
        <v>222</v>
      </c>
      <c r="J99">
        <f>電力量!J100-電力量!J99</f>
        <v>6.3000000000029104</v>
      </c>
      <c r="K99">
        <f>電力量!K100-電力量!K99</f>
        <v>3.2000000000116415</v>
      </c>
      <c r="L99">
        <f>電力量!L100-電力量!L99</f>
        <v>26.900000000008731</v>
      </c>
      <c r="M99">
        <f>電力量!M100-電力量!M99</f>
        <v>36.80000000000291</v>
      </c>
      <c r="N99">
        <f>電力量!N100-電力量!N99</f>
        <v>54.69999999999709</v>
      </c>
      <c r="O99">
        <f>電力量!O100-電力量!O99</f>
        <v>25.899999999994179</v>
      </c>
      <c r="P99">
        <f>電力量!P100-電力量!P99</f>
        <v>0</v>
      </c>
      <c r="Q99">
        <f>電力量!Q100-電力量!Q99</f>
        <v>0</v>
      </c>
      <c r="R99">
        <f>電力量!R100-電力量!R99</f>
        <v>0</v>
      </c>
    </row>
    <row r="100" spans="1:18">
      <c r="A100" s="4">
        <f t="shared" ref="A100:A148" si="47">A98+(2/24)</f>
        <v>45904.083333333336</v>
      </c>
      <c r="B100">
        <f>電力量!B101-電力量!B100</f>
        <v>696</v>
      </c>
      <c r="C100">
        <f>電力量!C101-電力量!C100</f>
        <v>177</v>
      </c>
      <c r="D100">
        <f>電力量!D101-電力量!D100</f>
        <v>13.099999999998545</v>
      </c>
      <c r="E100">
        <f>電力量!E101-電力量!E100</f>
        <v>0</v>
      </c>
      <c r="F100">
        <f>電力量!F101-電力量!F100</f>
        <v>19</v>
      </c>
      <c r="G100">
        <f>電力量!G101-電力量!G100</f>
        <v>55.799999999988358</v>
      </c>
      <c r="H100">
        <f>電力量!H101-電力量!H100</f>
        <v>12</v>
      </c>
      <c r="I100">
        <f>電力量!I101-電力量!I100</f>
        <v>216</v>
      </c>
      <c r="J100">
        <f>電力量!J101-電力量!J100</f>
        <v>6.5</v>
      </c>
      <c r="K100">
        <f>電力量!K101-電力量!K100</f>
        <v>3.2999999999883585</v>
      </c>
      <c r="L100">
        <f>電力量!L101-電力量!L100</f>
        <v>25.099999999991269</v>
      </c>
      <c r="M100">
        <f>電力量!M101-電力量!M100</f>
        <v>36.599999999991269</v>
      </c>
      <c r="N100">
        <f>電力量!N101-電力量!N100</f>
        <v>54.400000000008731</v>
      </c>
      <c r="O100">
        <f>電力量!O101-電力量!O100</f>
        <v>25.30000000000291</v>
      </c>
      <c r="P100">
        <f>電力量!P101-電力量!P100</f>
        <v>0</v>
      </c>
      <c r="Q100">
        <f>電力量!Q101-電力量!Q100</f>
        <v>0</v>
      </c>
      <c r="R100">
        <f>電力量!R101-電力量!R100</f>
        <v>0</v>
      </c>
    </row>
    <row r="101" spans="1:18">
      <c r="A101" s="4">
        <f t="shared" ref="A101:A149" si="48">A98+(3/24)</f>
        <v>45904.125</v>
      </c>
      <c r="B101">
        <f>電力量!B102-電力量!B101</f>
        <v>696</v>
      </c>
      <c r="C101">
        <f>電力量!C102-電力量!C101</f>
        <v>181</v>
      </c>
      <c r="D101">
        <f>電力量!D102-電力量!D101</f>
        <v>13.30000000000291</v>
      </c>
      <c r="E101">
        <f>電力量!E102-電力量!E101</f>
        <v>0</v>
      </c>
      <c r="F101">
        <f>電力量!F102-電力量!F101</f>
        <v>19</v>
      </c>
      <c r="G101">
        <f>電力量!G102-電力量!G101</f>
        <v>54.400000000008731</v>
      </c>
      <c r="H101">
        <f>電力量!H102-電力量!H101</f>
        <v>12</v>
      </c>
      <c r="I101">
        <f>電力量!I102-電力量!I101</f>
        <v>214</v>
      </c>
      <c r="J101">
        <f>電力量!J102-電力量!J101</f>
        <v>6.3999999999941792</v>
      </c>
      <c r="K101">
        <f>電力量!K102-電力量!K101</f>
        <v>3.3000000000029104</v>
      </c>
      <c r="L101">
        <f>電力量!L102-電力量!L101</f>
        <v>25.30000000000291</v>
      </c>
      <c r="M101">
        <f>電力量!M102-電力量!M101</f>
        <v>37.600000000005821</v>
      </c>
      <c r="N101">
        <f>電力量!N102-電力量!N101</f>
        <v>54.599999999991269</v>
      </c>
      <c r="O101">
        <f>電力量!O102-電力量!O101</f>
        <v>24.600000000005821</v>
      </c>
      <c r="P101">
        <f>電力量!P102-電力量!P101</f>
        <v>0</v>
      </c>
      <c r="Q101">
        <f>電力量!Q102-電力量!Q101</f>
        <v>0</v>
      </c>
      <c r="R101">
        <f>電力量!R102-電力量!R101</f>
        <v>0</v>
      </c>
    </row>
    <row r="102" spans="1:18">
      <c r="A102" s="4">
        <f t="shared" ref="A102:A150" si="49">A98+(4/24)</f>
        <v>45904.166666666664</v>
      </c>
      <c r="B102">
        <f>電力量!B103-電力量!B102</f>
        <v>700</v>
      </c>
      <c r="C102">
        <f>電力量!C103-電力量!C102</f>
        <v>177</v>
      </c>
      <c r="D102">
        <f>電力量!D103-電力量!D102</f>
        <v>14.299999999995634</v>
      </c>
      <c r="E102">
        <f>電力量!E103-電力量!E102</f>
        <v>0</v>
      </c>
      <c r="F102">
        <f>電力量!F103-電力量!F102</f>
        <v>19</v>
      </c>
      <c r="G102">
        <f>電力量!G103-電力量!G102</f>
        <v>55.5</v>
      </c>
      <c r="H102">
        <f>電力量!H103-電力量!H102</f>
        <v>12</v>
      </c>
      <c r="I102">
        <f>電力量!I103-電力量!I102</f>
        <v>215</v>
      </c>
      <c r="J102">
        <f>電力量!J103-電力量!J102</f>
        <v>6.1000000000058208</v>
      </c>
      <c r="K102">
        <f>電力量!K103-電力量!K102</f>
        <v>3.3000000000029104</v>
      </c>
      <c r="L102">
        <f>電力量!L103-電力量!L102</f>
        <v>26.100000000005821</v>
      </c>
      <c r="M102">
        <f>電力量!M103-電力量!M102</f>
        <v>39.30000000000291</v>
      </c>
      <c r="N102">
        <f>電力量!N103-電力量!N102</f>
        <v>55</v>
      </c>
      <c r="O102">
        <f>電力量!O103-電力量!O102</f>
        <v>25.599999999991269</v>
      </c>
      <c r="P102">
        <f>電力量!P103-電力量!P102</f>
        <v>0</v>
      </c>
      <c r="Q102">
        <f>電力量!Q103-電力量!Q102</f>
        <v>0</v>
      </c>
      <c r="R102">
        <f>電力量!R103-電力量!R102</f>
        <v>0</v>
      </c>
    </row>
    <row r="103" spans="1:18">
      <c r="A103" s="4">
        <f t="shared" ref="A103:A151" si="50">A98+(5/24)</f>
        <v>45904.208333333336</v>
      </c>
      <c r="B103">
        <f>電力量!B104-電力量!B103</f>
        <v>706</v>
      </c>
      <c r="C103">
        <f>電力量!C104-電力量!C103</f>
        <v>179</v>
      </c>
      <c r="D103">
        <f>電力量!D104-電力量!D103</f>
        <v>16.100000000005821</v>
      </c>
      <c r="E103">
        <f>電力量!E104-電力量!E103</f>
        <v>0</v>
      </c>
      <c r="F103">
        <f>電力量!F104-電力量!F103</f>
        <v>19</v>
      </c>
      <c r="G103">
        <f>電力量!G104-電力量!G103</f>
        <v>55.19999999999709</v>
      </c>
      <c r="H103">
        <f>電力量!H104-電力量!H103</f>
        <v>12</v>
      </c>
      <c r="I103">
        <f>電力量!I104-電力量!I103</f>
        <v>215</v>
      </c>
      <c r="J103">
        <f>電力量!J104-電力量!J103</f>
        <v>6.1999999999970896</v>
      </c>
      <c r="K103">
        <f>電力量!K104-電力量!K103</f>
        <v>3.1999999999970896</v>
      </c>
      <c r="L103">
        <f>電力量!L104-電力量!L103</f>
        <v>29</v>
      </c>
      <c r="M103">
        <f>電力量!M104-電力量!M103</f>
        <v>36.799999999988358</v>
      </c>
      <c r="N103">
        <f>電力量!N104-電力量!N103</f>
        <v>54.80000000000291</v>
      </c>
      <c r="O103">
        <f>電力量!O104-電力量!O103</f>
        <v>27.700000000011642</v>
      </c>
      <c r="P103">
        <f>電力量!P104-電力量!P103</f>
        <v>0</v>
      </c>
      <c r="Q103">
        <f>電力量!Q104-電力量!Q103</f>
        <v>0</v>
      </c>
      <c r="R103">
        <f>電力量!R104-電力量!R103</f>
        <v>0</v>
      </c>
    </row>
    <row r="104" spans="1:18">
      <c r="A104" s="4">
        <f t="shared" ref="A104:A152" si="51">A98+(6/24)</f>
        <v>45904.25</v>
      </c>
      <c r="B104">
        <f>電力量!B105-電力量!B104</f>
        <v>710</v>
      </c>
      <c r="C104">
        <f>電力量!C105-電力量!C104</f>
        <v>181</v>
      </c>
      <c r="D104">
        <f>電力量!D105-電力量!D104</f>
        <v>14.69999999999709</v>
      </c>
      <c r="E104">
        <f>電力量!E105-電力量!E104</f>
        <v>0</v>
      </c>
      <c r="F104">
        <f>電力量!F105-電力量!F104</f>
        <v>18</v>
      </c>
      <c r="G104">
        <f>電力量!G105-電力量!G104</f>
        <v>54.100000000005821</v>
      </c>
      <c r="H104">
        <f>電力量!H105-電力量!H104</f>
        <v>13</v>
      </c>
      <c r="I104">
        <f>電力量!I105-電力量!I104</f>
        <v>222</v>
      </c>
      <c r="J104">
        <f>電力量!J105-電力量!J104</f>
        <v>6.4000000000014552</v>
      </c>
      <c r="K104">
        <f>電力量!K105-電力量!K104</f>
        <v>3.3000000000029104</v>
      </c>
      <c r="L104">
        <f>電力量!L105-電力量!L104</f>
        <v>25</v>
      </c>
      <c r="M104">
        <f>電力量!M105-電力量!M104</f>
        <v>36.100000000005821</v>
      </c>
      <c r="N104">
        <f>電力量!N105-電力量!N104</f>
        <v>54.400000000008731</v>
      </c>
      <c r="O104">
        <f>電力量!O105-電力量!O104</f>
        <v>26.5</v>
      </c>
      <c r="P104">
        <f>電力量!P105-電力量!P104</f>
        <v>1</v>
      </c>
      <c r="Q104">
        <f>電力量!Q105-電力量!Q104</f>
        <v>1</v>
      </c>
      <c r="R104">
        <f>電力量!R105-電力量!R104</f>
        <v>0</v>
      </c>
    </row>
    <row r="105" spans="1:18">
      <c r="A105" s="4">
        <f t="shared" ref="A105:A153" si="52">A98+(7/24)</f>
        <v>45904.291666666664</v>
      </c>
      <c r="B105">
        <f>電力量!B106-電力量!B105</f>
        <v>738</v>
      </c>
      <c r="C105">
        <f>電力量!C106-電力量!C105</f>
        <v>188</v>
      </c>
      <c r="D105">
        <f>電力量!D106-電力量!D105</f>
        <v>17.30000000000291</v>
      </c>
      <c r="E105">
        <f>電力量!E106-電力量!E105</f>
        <v>0</v>
      </c>
      <c r="F105">
        <f>電力量!F106-電力量!F105</f>
        <v>20</v>
      </c>
      <c r="G105">
        <f>電力量!G106-電力量!G105</f>
        <v>54</v>
      </c>
      <c r="H105">
        <f>電力量!H106-電力量!H105</f>
        <v>30</v>
      </c>
      <c r="I105">
        <f>電力量!I106-電力量!I105</f>
        <v>223</v>
      </c>
      <c r="J105">
        <f>電力量!J106-電力量!J105</f>
        <v>6.5</v>
      </c>
      <c r="K105">
        <f>電力量!K106-電力量!K105</f>
        <v>1.6999999999970896</v>
      </c>
      <c r="L105">
        <f>電力量!L106-電力量!L105</f>
        <v>25.19999999999709</v>
      </c>
      <c r="M105">
        <f>電力量!M106-電力量!M105</f>
        <v>36.19999999999709</v>
      </c>
      <c r="N105">
        <f>電力量!N106-電力量!N105</f>
        <v>52.099999999991269</v>
      </c>
      <c r="O105">
        <f>電力量!O106-電力量!O105</f>
        <v>30.19999999999709</v>
      </c>
      <c r="P105">
        <f>電力量!P106-電力量!P105</f>
        <v>1</v>
      </c>
      <c r="Q105">
        <f>電力量!Q106-電力量!Q105</f>
        <v>2</v>
      </c>
      <c r="R105">
        <f>電力量!R106-電力量!R105</f>
        <v>0</v>
      </c>
    </row>
    <row r="106" spans="1:18">
      <c r="A106" s="4">
        <f t="shared" ref="A106:A154" si="53">A98+(8/24)</f>
        <v>45904.333333333336</v>
      </c>
      <c r="B106">
        <f>電力量!B107-電力量!B106</f>
        <v>888</v>
      </c>
      <c r="C106">
        <f>電力量!C107-電力量!C106</f>
        <v>222</v>
      </c>
      <c r="D106">
        <f>電力量!D107-電力量!D106</f>
        <v>19.599999999998545</v>
      </c>
      <c r="E106">
        <f>電力量!E107-電力量!E106</f>
        <v>0</v>
      </c>
      <c r="F106">
        <f>電力量!F107-電力量!F106</f>
        <v>23</v>
      </c>
      <c r="G106">
        <f>電力量!G107-電力量!G106</f>
        <v>51.599999999991269</v>
      </c>
      <c r="H106">
        <f>電力量!H107-電力量!H106</f>
        <v>57</v>
      </c>
      <c r="I106">
        <f>電力量!I107-電力量!I106</f>
        <v>258</v>
      </c>
      <c r="J106">
        <f>電力量!J107-電力量!J106</f>
        <v>6.5999999999985448</v>
      </c>
      <c r="K106">
        <f>電力量!K107-電力量!K106</f>
        <v>3.1999999999970896</v>
      </c>
      <c r="L106">
        <f>電力量!L107-電力量!L106</f>
        <v>38.899999999994179</v>
      </c>
      <c r="M106">
        <f>電力量!M107-電力量!M106</f>
        <v>44.100000000005821</v>
      </c>
      <c r="N106">
        <f>電力量!N107-電力量!N106</f>
        <v>51.400000000008731</v>
      </c>
      <c r="O106">
        <f>電力量!O107-電力量!O106</f>
        <v>39.599999999991269</v>
      </c>
      <c r="P106">
        <f>電力量!P107-電力量!P106</f>
        <v>3</v>
      </c>
      <c r="Q106">
        <f>電力量!Q107-電力量!Q106</f>
        <v>5</v>
      </c>
      <c r="R106">
        <f>電力量!R107-電力量!R106</f>
        <v>0</v>
      </c>
    </row>
    <row r="107" spans="1:18">
      <c r="A107" s="4">
        <f t="shared" ref="A107:A155" si="54">A98+(9/24)</f>
        <v>45904.375</v>
      </c>
      <c r="B107">
        <f>電力量!B108-電力量!B107</f>
        <v>1086</v>
      </c>
      <c r="C107">
        <f>電力量!C108-電力量!C107</f>
        <v>275</v>
      </c>
      <c r="D107">
        <f>電力量!D108-電力量!D107</f>
        <v>27.299999999995634</v>
      </c>
      <c r="E107">
        <f>電力量!E108-電力量!E107</f>
        <v>0</v>
      </c>
      <c r="F107">
        <f>電力量!F108-電力量!F107</f>
        <v>29</v>
      </c>
      <c r="G107">
        <f>電力量!G108-電力量!G107</f>
        <v>72.19999999999709</v>
      </c>
      <c r="H107">
        <f>電力量!H108-電力量!H107</f>
        <v>50</v>
      </c>
      <c r="I107">
        <f>電力量!I108-電力量!I107</f>
        <v>330</v>
      </c>
      <c r="J107">
        <f>電力量!J108-電力量!J107</f>
        <v>6.5999999999985448</v>
      </c>
      <c r="K107">
        <f>電力量!K108-電力量!K107</f>
        <v>2.1000000000058208</v>
      </c>
      <c r="L107">
        <f>電力量!L108-電力量!L107</f>
        <v>38.30000000000291</v>
      </c>
      <c r="M107">
        <f>電力量!M108-電力量!M107</f>
        <v>46.30000000000291</v>
      </c>
      <c r="N107">
        <f>電力量!N108-電力量!N107</f>
        <v>51.599999999991269</v>
      </c>
      <c r="O107">
        <f>電力量!O108-電力量!O107</f>
        <v>53.200000000011642</v>
      </c>
      <c r="P107">
        <f>電力量!P108-電力量!P107</f>
        <v>4</v>
      </c>
      <c r="Q107">
        <f>電力量!Q108-電力量!Q107</f>
        <v>7</v>
      </c>
      <c r="R107">
        <f>電力量!R108-電力量!R107</f>
        <v>0</v>
      </c>
    </row>
    <row r="108" spans="1:18">
      <c r="A108" s="4">
        <f t="shared" ref="A108:A156" si="55">A98+(10/24)</f>
        <v>45904.416666666664</v>
      </c>
      <c r="B108">
        <f>電力量!B109-電力量!B108</f>
        <v>1219</v>
      </c>
      <c r="C108">
        <f>電力量!C109-電力量!C108</f>
        <v>313</v>
      </c>
      <c r="D108">
        <f>電力量!D109-電力量!D108</f>
        <v>28.5</v>
      </c>
      <c r="E108">
        <f>電力量!E109-電力量!E108</f>
        <v>0</v>
      </c>
      <c r="F108">
        <f>電力量!F109-電力量!F108</f>
        <v>43</v>
      </c>
      <c r="G108">
        <f>電力量!G109-電力量!G108</f>
        <v>77.100000000005821</v>
      </c>
      <c r="H108">
        <f>電力量!H109-電力量!H108</f>
        <v>48</v>
      </c>
      <c r="I108">
        <f>電力量!I109-電力量!I108</f>
        <v>369</v>
      </c>
      <c r="J108">
        <f>電力量!J109-電力量!J108</f>
        <v>10.200000000004366</v>
      </c>
      <c r="K108">
        <f>電力量!K109-電力量!K108</f>
        <v>2.8000000000029104</v>
      </c>
      <c r="L108">
        <f>電力量!L109-電力量!L108</f>
        <v>40.80000000000291</v>
      </c>
      <c r="M108">
        <f>電力量!M109-電力量!M108</f>
        <v>50</v>
      </c>
      <c r="N108">
        <f>電力量!N109-電力量!N108</f>
        <v>50.5</v>
      </c>
      <c r="O108">
        <f>電力量!O109-電力量!O108</f>
        <v>74.899999999994179</v>
      </c>
      <c r="P108">
        <f>電力量!P109-電力量!P108</f>
        <v>6</v>
      </c>
      <c r="Q108">
        <f>電力量!Q109-電力量!Q108</f>
        <v>9</v>
      </c>
      <c r="R108">
        <f>電力量!R109-電力量!R108</f>
        <v>0</v>
      </c>
    </row>
    <row r="109" spans="1:18">
      <c r="A109" s="4">
        <f t="shared" ref="A109:A157" si="56">A98+(11/24)</f>
        <v>45904.458333333336</v>
      </c>
      <c r="B109">
        <f>電力量!B110-電力量!B109</f>
        <v>1300</v>
      </c>
      <c r="C109">
        <f>電力量!C110-電力量!C109</f>
        <v>342</v>
      </c>
      <c r="D109">
        <f>電力量!D110-電力量!D109</f>
        <v>29.200000000004366</v>
      </c>
      <c r="E109">
        <f>電力量!E110-電力量!E109</f>
        <v>0</v>
      </c>
      <c r="F109">
        <f>電力量!F110-電力量!F109</f>
        <v>49</v>
      </c>
      <c r="G109">
        <f>電力量!G110-電力量!G109</f>
        <v>82.399999999994179</v>
      </c>
      <c r="H109">
        <f>電力量!H110-電力量!H109</f>
        <v>55</v>
      </c>
      <c r="I109">
        <f>電力量!I110-電力量!I109</f>
        <v>394</v>
      </c>
      <c r="J109">
        <f>電力量!J110-電力量!J109</f>
        <v>10.5</v>
      </c>
      <c r="K109">
        <f>電力量!K110-電力量!K109</f>
        <v>2.1999999999970896</v>
      </c>
      <c r="L109">
        <f>電力量!L110-電力量!L109</f>
        <v>42.30000000000291</v>
      </c>
      <c r="M109">
        <f>電力量!M110-電力量!M109</f>
        <v>50.5</v>
      </c>
      <c r="N109">
        <f>電力量!N110-電力量!N109</f>
        <v>48.69999999999709</v>
      </c>
      <c r="O109">
        <f>電力量!O110-電力量!O109</f>
        <v>71.69999999999709</v>
      </c>
      <c r="P109">
        <f>電力量!P110-電力量!P109</f>
        <v>7</v>
      </c>
      <c r="Q109">
        <f>電力量!Q110-電力量!Q109</f>
        <v>11</v>
      </c>
      <c r="R109">
        <f>電力量!R110-電力量!R109</f>
        <v>0</v>
      </c>
    </row>
    <row r="110" spans="1:18">
      <c r="A110" s="4">
        <f t="shared" ref="A110:A158" si="57">A98+(12/24)</f>
        <v>45904.5</v>
      </c>
      <c r="B110">
        <f>電力量!B111-電力量!B110</f>
        <v>1326</v>
      </c>
      <c r="C110">
        <f>電力量!C111-電力量!C110</f>
        <v>337</v>
      </c>
      <c r="D110">
        <f>電力量!D111-電力量!D110</f>
        <v>32.599999999998545</v>
      </c>
      <c r="E110">
        <f>電力量!E111-電力量!E110</f>
        <v>0</v>
      </c>
      <c r="F110">
        <f>電力量!F111-電力量!F110</f>
        <v>48</v>
      </c>
      <c r="G110">
        <f>電力量!G111-電力量!G110</f>
        <v>90.700000000011642</v>
      </c>
      <c r="H110">
        <f>電力量!H111-電力量!H110</f>
        <v>53</v>
      </c>
      <c r="I110">
        <f>電力量!I111-電力量!I110</f>
        <v>414</v>
      </c>
      <c r="J110">
        <f>電力量!J111-電力量!J110</f>
        <v>9.6999999999970896</v>
      </c>
      <c r="K110">
        <f>電力量!K111-電力量!K110</f>
        <v>4.1999999999970896</v>
      </c>
      <c r="L110">
        <f>電力量!L111-電力量!L110</f>
        <v>45.69999999999709</v>
      </c>
      <c r="M110">
        <f>電力量!M111-電力量!M110</f>
        <v>46.399999999994179</v>
      </c>
      <c r="N110">
        <f>電力量!N111-電力量!N110</f>
        <v>51.100000000005821</v>
      </c>
      <c r="O110">
        <f>電力量!O111-電力量!O110</f>
        <v>70.100000000005821</v>
      </c>
      <c r="P110">
        <f>電力量!P111-電力量!P110</f>
        <v>5</v>
      </c>
      <c r="Q110">
        <f>電力量!Q111-電力量!Q110</f>
        <v>8</v>
      </c>
      <c r="R110">
        <f>電力量!R111-電力量!R110</f>
        <v>0</v>
      </c>
    </row>
    <row r="111" spans="1:18">
      <c r="A111" s="4">
        <f t="shared" ref="A111:A159" si="58">A98+(13/24)</f>
        <v>45904.541666666664</v>
      </c>
      <c r="B111">
        <f>電力量!B112-電力量!B111</f>
        <v>1374</v>
      </c>
      <c r="C111">
        <f>電力量!C112-電力量!C111</f>
        <v>339</v>
      </c>
      <c r="D111">
        <f>電力量!D112-電力量!D111</f>
        <v>32.400000000001455</v>
      </c>
      <c r="E111">
        <f>電力量!E112-電力量!E111</f>
        <v>0</v>
      </c>
      <c r="F111">
        <f>電力量!F112-電力量!F111</f>
        <v>48</v>
      </c>
      <c r="G111">
        <f>電力量!G112-電力量!G111</f>
        <v>105.29999999998836</v>
      </c>
      <c r="H111">
        <f>電力量!H112-電力量!H111</f>
        <v>58</v>
      </c>
      <c r="I111">
        <f>電力量!I112-電力量!I111</f>
        <v>414</v>
      </c>
      <c r="J111">
        <f>電力量!J112-電力量!J111</f>
        <v>9.1999999999970896</v>
      </c>
      <c r="K111">
        <f>電力量!K112-電力量!K111</f>
        <v>5.5</v>
      </c>
      <c r="L111">
        <f>電力量!L112-電力量!L111</f>
        <v>56.600000000005821</v>
      </c>
      <c r="M111">
        <f>電力量!M112-電力量!M111</f>
        <v>50.600000000005821</v>
      </c>
      <c r="N111">
        <f>電力量!N112-電力量!N111</f>
        <v>52.399999999994179</v>
      </c>
      <c r="O111">
        <f>電力量!O112-電力量!O111</f>
        <v>75.099999999991269</v>
      </c>
      <c r="P111">
        <f>電力量!P112-電力量!P111</f>
        <v>4</v>
      </c>
      <c r="Q111">
        <f>電力量!Q112-電力量!Q111</f>
        <v>5</v>
      </c>
      <c r="R111">
        <f>電力量!R112-電力量!R111</f>
        <v>0</v>
      </c>
    </row>
    <row r="112" spans="1:18">
      <c r="A112" s="4">
        <f t="shared" ref="A112:A160" si="59">A98+(14/24)</f>
        <v>45904.583333333336</v>
      </c>
      <c r="B112">
        <f>電力量!B113-電力量!B112</f>
        <v>1381</v>
      </c>
      <c r="C112">
        <f>電力量!C113-電力量!C112</f>
        <v>347</v>
      </c>
      <c r="D112">
        <f>電力量!D113-電力量!D112</f>
        <v>30.5</v>
      </c>
      <c r="E112">
        <f>電力量!E113-電力量!E112</f>
        <v>0</v>
      </c>
      <c r="F112">
        <f>電力量!F113-電力量!F112</f>
        <v>54</v>
      </c>
      <c r="G112">
        <f>電力量!G113-電力量!G112</f>
        <v>112.90000000000873</v>
      </c>
      <c r="H112">
        <f>電力量!H113-電力量!H112</f>
        <v>58</v>
      </c>
      <c r="I112">
        <f>電力量!I113-電力量!I112</f>
        <v>413</v>
      </c>
      <c r="J112">
        <f>電力量!J113-電力量!J112</f>
        <v>8.3000000000029104</v>
      </c>
      <c r="K112">
        <f>電力量!K113-電力量!K112</f>
        <v>8.3000000000029104</v>
      </c>
      <c r="L112">
        <f>電力量!L113-電力量!L112</f>
        <v>48.599999999991269</v>
      </c>
      <c r="M112">
        <f>電力量!M113-電力量!M112</f>
        <v>59.19999999999709</v>
      </c>
      <c r="N112">
        <f>電力量!N113-電力量!N112</f>
        <v>55.30000000000291</v>
      </c>
      <c r="O112">
        <f>電力量!O113-電力量!O112</f>
        <v>57.30000000000291</v>
      </c>
      <c r="P112">
        <f>電力量!P113-電力量!P112</f>
        <v>2</v>
      </c>
      <c r="Q112">
        <f>電力量!Q113-電力量!Q112</f>
        <v>4</v>
      </c>
      <c r="R112">
        <f>電力量!R113-電力量!R112</f>
        <v>0</v>
      </c>
    </row>
    <row r="113" spans="1:18">
      <c r="A113" s="4">
        <f t="shared" ref="A113:A161" si="60">A98+(15/24)</f>
        <v>45904.625</v>
      </c>
      <c r="B113">
        <f>電力量!B114-電力量!B113</f>
        <v>1295</v>
      </c>
      <c r="C113">
        <f>電力量!C114-電力量!C113</f>
        <v>333</v>
      </c>
      <c r="D113">
        <f>電力量!D114-電力量!D113</f>
        <v>27.299999999995634</v>
      </c>
      <c r="E113">
        <f>電力量!E114-電力量!E113</f>
        <v>0</v>
      </c>
      <c r="F113">
        <f>電力量!F114-電力量!F113</f>
        <v>49</v>
      </c>
      <c r="G113">
        <f>電力量!G114-電力量!G113</f>
        <v>104.39999999999418</v>
      </c>
      <c r="H113">
        <f>電力量!H114-電力量!H113</f>
        <v>57</v>
      </c>
      <c r="I113">
        <f>電力量!I114-電力量!I113</f>
        <v>411</v>
      </c>
      <c r="J113">
        <f>電力量!J114-電力量!J113</f>
        <v>7.5</v>
      </c>
      <c r="K113">
        <f>電力量!K114-電力量!K113</f>
        <v>9.1999999999970896</v>
      </c>
      <c r="L113">
        <f>電力量!L114-電力量!L113</f>
        <v>49.5</v>
      </c>
      <c r="M113">
        <f>電力量!M114-電力量!M113</f>
        <v>56.80000000000291</v>
      </c>
      <c r="N113">
        <f>電力量!N114-電力量!N113</f>
        <v>55.19999999999709</v>
      </c>
      <c r="O113">
        <f>電力量!O114-電力量!O113</f>
        <v>29.400000000008731</v>
      </c>
      <c r="P113">
        <f>電力量!P114-電力量!P113</f>
        <v>0</v>
      </c>
      <c r="Q113">
        <f>電力量!Q114-電力量!Q113</f>
        <v>1</v>
      </c>
      <c r="R113">
        <f>電力量!R114-電力量!R113</f>
        <v>0</v>
      </c>
    </row>
    <row r="114" spans="1:18">
      <c r="A114" s="4">
        <f t="shared" ref="A114:A162" si="61">A98+(16/24)</f>
        <v>45904.666666666664</v>
      </c>
      <c r="B114">
        <f>電力量!B115-電力量!B114</f>
        <v>1192</v>
      </c>
      <c r="C114">
        <f>電力量!C115-電力量!C114</f>
        <v>311</v>
      </c>
      <c r="D114">
        <f>電力量!D115-電力量!D114</f>
        <v>25</v>
      </c>
      <c r="E114">
        <f>電力量!E115-電力量!E114</f>
        <v>0</v>
      </c>
      <c r="F114">
        <f>電力量!F115-電力量!F114</f>
        <v>46</v>
      </c>
      <c r="G114">
        <f>電力量!G115-電力量!G114</f>
        <v>95.30000000000291</v>
      </c>
      <c r="H114">
        <f>電力量!H115-電力量!H114</f>
        <v>51</v>
      </c>
      <c r="I114">
        <f>電力量!I115-電力量!I114</f>
        <v>389</v>
      </c>
      <c r="J114">
        <f>電力量!J115-電力量!J114</f>
        <v>6.3000000000029104</v>
      </c>
      <c r="K114">
        <f>電力量!K115-電力量!K114</f>
        <v>8</v>
      </c>
      <c r="L114">
        <f>電力量!L115-電力量!L114</f>
        <v>39.5</v>
      </c>
      <c r="M114">
        <f>電力量!M115-電力量!M114</f>
        <v>55.299999999988358</v>
      </c>
      <c r="N114">
        <f>電力量!N115-電力量!N114</f>
        <v>55.400000000008731</v>
      </c>
      <c r="O114">
        <f>電力量!O115-電力量!O114</f>
        <v>27.899999999994179</v>
      </c>
      <c r="P114">
        <f>電力量!P115-電力量!P114</f>
        <v>1</v>
      </c>
      <c r="Q114">
        <f>電力量!Q115-電力量!Q114</f>
        <v>0</v>
      </c>
      <c r="R114">
        <f>電力量!R115-電力量!R114</f>
        <v>0</v>
      </c>
    </row>
    <row r="115" spans="1:18">
      <c r="A115" s="4">
        <f t="shared" ref="A115:A163" si="62">A98+(17/24)</f>
        <v>45904.708333333336</v>
      </c>
      <c r="B115">
        <f>電力量!B116-電力量!B115</f>
        <v>1062</v>
      </c>
      <c r="C115">
        <f>電力量!C116-電力量!C115</f>
        <v>275</v>
      </c>
      <c r="D115">
        <f>電力量!D116-電力量!D115</f>
        <v>24.400000000001455</v>
      </c>
      <c r="E115">
        <f>電力量!E116-電力量!E115</f>
        <v>0</v>
      </c>
      <c r="F115">
        <f>電力量!F116-電力量!F115</f>
        <v>40</v>
      </c>
      <c r="G115">
        <f>電力量!G116-電力量!G115</f>
        <v>84.899999999994179</v>
      </c>
      <c r="H115">
        <f>電力量!H116-電力量!H115</f>
        <v>34</v>
      </c>
      <c r="I115">
        <f>電力量!I116-電力量!I115</f>
        <v>351</v>
      </c>
      <c r="J115">
        <f>電力量!J116-電力量!J115</f>
        <v>6.3999999999941792</v>
      </c>
      <c r="K115">
        <f>電力量!K116-電力量!K115</f>
        <v>4.1000000000058208</v>
      </c>
      <c r="L115">
        <f>電力量!L116-電力量!L115</f>
        <v>33.900000000008731</v>
      </c>
      <c r="M115">
        <f>電力量!M116-電力量!M115</f>
        <v>47.5</v>
      </c>
      <c r="N115">
        <f>電力量!N116-電力量!N115</f>
        <v>55.80000000000291</v>
      </c>
      <c r="O115">
        <f>電力量!O116-電力量!O115</f>
        <v>24.30000000000291</v>
      </c>
      <c r="P115">
        <f>電力量!P116-電力量!P115</f>
        <v>0</v>
      </c>
      <c r="Q115">
        <f>電力量!Q116-電力量!Q115</f>
        <v>1</v>
      </c>
      <c r="R115">
        <f>電力量!R116-電力量!R115</f>
        <v>0</v>
      </c>
    </row>
    <row r="116" spans="1:18">
      <c r="A116" s="4">
        <f t="shared" ref="A116:A164" si="63">A98+(18/24)</f>
        <v>45904.75</v>
      </c>
      <c r="B116">
        <f>電力量!B117-電力量!B116</f>
        <v>936</v>
      </c>
      <c r="C116">
        <f>電力量!C117-電力量!C116</f>
        <v>237</v>
      </c>
      <c r="D116">
        <f>電力量!D117-電力量!D116</f>
        <v>22.900000000001455</v>
      </c>
      <c r="E116">
        <f>電力量!E117-電力量!E116</f>
        <v>0</v>
      </c>
      <c r="F116">
        <f>電力量!F117-電力量!F116</f>
        <v>31</v>
      </c>
      <c r="G116">
        <f>電力量!G117-電力量!G116</f>
        <v>77.700000000011642</v>
      </c>
      <c r="H116">
        <f>電力量!H117-電力量!H116</f>
        <v>18</v>
      </c>
      <c r="I116">
        <f>電力量!I117-電力量!I116</f>
        <v>317</v>
      </c>
      <c r="J116">
        <f>電力量!J117-電力量!J116</f>
        <v>5.9000000000014552</v>
      </c>
      <c r="K116">
        <f>電力量!K117-電力量!K116</f>
        <v>2.8999999999941792</v>
      </c>
      <c r="L116">
        <f>電力量!L117-電力量!L116</f>
        <v>28.099999999991269</v>
      </c>
      <c r="M116">
        <f>電力量!M117-電力量!M116</f>
        <v>45.700000000011642</v>
      </c>
      <c r="N116">
        <f>電力量!N117-電力量!N116</f>
        <v>57.099999999991269</v>
      </c>
      <c r="O116">
        <f>電力量!O117-電力量!O116</f>
        <v>20.899999999994179</v>
      </c>
      <c r="P116">
        <f>電力量!P117-電力量!P116</f>
        <v>0</v>
      </c>
      <c r="Q116">
        <f>電力量!Q117-電力量!Q116</f>
        <v>0</v>
      </c>
      <c r="R116">
        <f>電力量!R117-電力量!R116</f>
        <v>0</v>
      </c>
    </row>
    <row r="117" spans="1:18">
      <c r="A117" s="4">
        <f t="shared" ref="A117:A165" si="64">A98+(19/24)</f>
        <v>45904.791666666664</v>
      </c>
      <c r="B117">
        <f>電力量!B118-電力量!B117</f>
        <v>848</v>
      </c>
      <c r="C117">
        <f>電力量!C118-電力量!C117</f>
        <v>220</v>
      </c>
      <c r="D117">
        <f>電力量!D118-電力量!D117</f>
        <v>19.099999999998545</v>
      </c>
      <c r="E117">
        <f>電力量!E118-電力量!E117</f>
        <v>0</v>
      </c>
      <c r="F117">
        <f>電力量!F118-電力量!F117</f>
        <v>26</v>
      </c>
      <c r="G117">
        <f>電力量!G118-電力量!G117</f>
        <v>68.599999999991269</v>
      </c>
      <c r="H117">
        <f>電力量!H118-電力量!H117</f>
        <v>13</v>
      </c>
      <c r="I117">
        <f>電力量!I118-電力量!I117</f>
        <v>277</v>
      </c>
      <c r="J117">
        <f>電力量!J118-電力量!J117</f>
        <v>7.7000000000043656</v>
      </c>
      <c r="K117">
        <f>電力量!K118-電力量!K117</f>
        <v>3</v>
      </c>
      <c r="L117">
        <f>電力量!L118-電力量!L117</f>
        <v>25.5</v>
      </c>
      <c r="M117">
        <f>電力量!M118-電力量!M117</f>
        <v>44.799999999988358</v>
      </c>
      <c r="N117">
        <f>電力量!N118-電力量!N117</f>
        <v>54.600000000005821</v>
      </c>
      <c r="O117">
        <f>電力量!O118-電力量!O117</f>
        <v>22.900000000008731</v>
      </c>
      <c r="P117">
        <f>電力量!P118-電力量!P117</f>
        <v>0</v>
      </c>
      <c r="Q117">
        <f>電力量!Q118-電力量!Q117</f>
        <v>0</v>
      </c>
      <c r="R117">
        <f>電力量!R118-電力量!R117</f>
        <v>0</v>
      </c>
    </row>
    <row r="118" spans="1:18">
      <c r="A118" s="4">
        <f t="shared" ref="A118:A166" si="65">A98+(20/24)</f>
        <v>45904.833333333336</v>
      </c>
      <c r="B118">
        <f>電力量!B119-電力量!B118</f>
        <v>798</v>
      </c>
      <c r="C118">
        <f>電力量!C119-電力量!C118</f>
        <v>198</v>
      </c>
      <c r="D118">
        <f>電力量!D119-電力量!D118</f>
        <v>23.700000000004366</v>
      </c>
      <c r="E118">
        <f>電力量!E119-電力量!E118</f>
        <v>0</v>
      </c>
      <c r="F118">
        <f>電力量!F119-電力量!F118</f>
        <v>25</v>
      </c>
      <c r="G118">
        <f>電力量!G119-電力量!G118</f>
        <v>65.5</v>
      </c>
      <c r="H118">
        <f>電力量!H119-電力量!H118</f>
        <v>12</v>
      </c>
      <c r="I118">
        <f>電力量!I119-電力量!I118</f>
        <v>259</v>
      </c>
      <c r="J118">
        <f>電力量!J119-電力量!J118</f>
        <v>7.2999999999956344</v>
      </c>
      <c r="K118">
        <f>電力量!K119-電力量!K118</f>
        <v>3.1000000000058208</v>
      </c>
      <c r="L118" s="6">
        <f>100000+電力量!L119-電力量!L118</f>
        <v>24.100000000005821</v>
      </c>
      <c r="M118">
        <f>電力量!M119-電力量!M118</f>
        <v>45</v>
      </c>
      <c r="N118">
        <f>電力量!N119-電力量!N118</f>
        <v>53.80000000000291</v>
      </c>
      <c r="O118">
        <f>電力量!O119-電力量!O118</f>
        <v>23.69999999999709</v>
      </c>
      <c r="P118">
        <f>電力量!P119-電力量!P118</f>
        <v>0</v>
      </c>
      <c r="Q118">
        <f>電力量!Q119-電力量!Q118</f>
        <v>0</v>
      </c>
      <c r="R118">
        <f>電力量!R119-電力量!R118</f>
        <v>0</v>
      </c>
    </row>
    <row r="119" spans="1:18">
      <c r="A119" s="4">
        <f t="shared" ref="A119:A167" si="66">A98+(21/24)</f>
        <v>45904.875</v>
      </c>
      <c r="B119">
        <f>電力量!B120-電力量!B119</f>
        <v>765</v>
      </c>
      <c r="C119">
        <f>電力量!C120-電力量!C119</f>
        <v>185</v>
      </c>
      <c r="D119">
        <f>電力量!D120-電力量!D119</f>
        <v>19.899999999994179</v>
      </c>
      <c r="E119">
        <f>電力量!E120-電力量!E119</f>
        <v>0</v>
      </c>
      <c r="F119">
        <f>電力量!F120-電力量!F119</f>
        <v>23</v>
      </c>
      <c r="G119">
        <f>電力量!G120-電力量!G119</f>
        <v>64.900000000008731</v>
      </c>
      <c r="H119">
        <f>電力量!H120-電力量!H119</f>
        <v>12</v>
      </c>
      <c r="I119">
        <f>電力量!I120-電力量!I119</f>
        <v>250</v>
      </c>
      <c r="J119">
        <f>電力量!J120-電力量!J119</f>
        <v>6.2000000000043656</v>
      </c>
      <c r="K119">
        <f>電力量!K120-電力量!K119</f>
        <v>3.5</v>
      </c>
      <c r="L119">
        <f>電力量!L120-電力量!L119</f>
        <v>22.999999999999996</v>
      </c>
      <c r="M119">
        <f>電力量!M120-電力量!M119</f>
        <v>44.700000000011642</v>
      </c>
      <c r="N119">
        <f>電力量!N120-電力量!N119</f>
        <v>55</v>
      </c>
      <c r="O119">
        <f>電力量!O120-電力量!O119</f>
        <v>22.30000000000291</v>
      </c>
      <c r="P119">
        <f>電力量!P120-電力量!P119</f>
        <v>0</v>
      </c>
      <c r="Q119">
        <f>電力量!Q120-電力量!Q119</f>
        <v>0</v>
      </c>
      <c r="R119">
        <f>電力量!R120-電力量!R119</f>
        <v>0</v>
      </c>
    </row>
    <row r="120" spans="1:18">
      <c r="A120" s="4">
        <f t="shared" ref="A120:A168" si="67">A98+(22/24)</f>
        <v>45904.916666666664</v>
      </c>
      <c r="B120">
        <f>電力量!B121-電力量!B120</f>
        <v>724</v>
      </c>
      <c r="C120">
        <f>電力量!C121-電力量!C120</f>
        <v>174</v>
      </c>
      <c r="D120">
        <f>電力量!D121-電力量!D120</f>
        <v>15.900000000001455</v>
      </c>
      <c r="E120">
        <f>電力量!E121-電力量!E120</f>
        <v>0</v>
      </c>
      <c r="F120">
        <f>電力量!F121-電力量!F120</f>
        <v>23</v>
      </c>
      <c r="G120">
        <f>電力量!G121-電力量!G120</f>
        <v>61.69999999999709</v>
      </c>
      <c r="H120">
        <f>電力量!H121-電力量!H120</f>
        <v>12</v>
      </c>
      <c r="I120">
        <f>電力量!I121-電力量!I120</f>
        <v>233</v>
      </c>
      <c r="J120">
        <f>電力量!J121-電力量!J120</f>
        <v>6.0999999999985448</v>
      </c>
      <c r="K120">
        <f>電力量!K121-電力量!K120</f>
        <v>3</v>
      </c>
      <c r="L120">
        <f>電力量!L121-電力量!L120</f>
        <v>21.5</v>
      </c>
      <c r="M120">
        <f>電力量!M121-電力量!M120</f>
        <v>44.69999999999709</v>
      </c>
      <c r="N120">
        <f>電力量!N121-電力量!N120</f>
        <v>54.299999999988358</v>
      </c>
      <c r="O120">
        <f>電力量!O121-電力量!O120</f>
        <v>21.099999999991269</v>
      </c>
      <c r="P120">
        <f>電力量!P121-電力量!P120</f>
        <v>0</v>
      </c>
      <c r="Q120">
        <f>電力量!Q121-電力量!Q120</f>
        <v>0</v>
      </c>
      <c r="R120">
        <f>電力量!R121-電力量!R120</f>
        <v>0</v>
      </c>
    </row>
    <row r="121" spans="1:18">
      <c r="A121" s="4">
        <f t="shared" ref="A121:A169" si="68">A98+(23/24)</f>
        <v>45904.958333333336</v>
      </c>
      <c r="B121">
        <f>電力量!B122-電力量!B121</f>
        <v>710</v>
      </c>
      <c r="C121">
        <f>電力量!C122-電力量!C121</f>
        <v>172</v>
      </c>
      <c r="D121">
        <f>電力量!D122-電力量!D121</f>
        <v>14.599999999998545</v>
      </c>
      <c r="E121">
        <f>電力量!E122-電力量!E121</f>
        <v>0</v>
      </c>
      <c r="F121">
        <f>電力量!F122-電力量!F121</f>
        <v>24</v>
      </c>
      <c r="G121">
        <f>電力量!G122-電力量!G121</f>
        <v>58</v>
      </c>
      <c r="H121">
        <f>電力量!H122-電力量!H121</f>
        <v>12</v>
      </c>
      <c r="I121">
        <f>電力量!I122-電力量!I121</f>
        <v>228</v>
      </c>
      <c r="J121">
        <f>電力量!J122-電力量!J121</f>
        <v>5.9000000000014552</v>
      </c>
      <c r="K121">
        <f>電力量!K122-電力量!K121</f>
        <v>3.0999999999912689</v>
      </c>
      <c r="L121">
        <f>電力量!L122-電力量!L121</f>
        <v>22.400000000000006</v>
      </c>
      <c r="M121">
        <f>電力量!M122-電力量!M121</f>
        <v>44.80000000000291</v>
      </c>
      <c r="N121">
        <f>電力量!N122-電力量!N121</f>
        <v>53.600000000005821</v>
      </c>
      <c r="O121">
        <f>電力量!O122-電力量!O121</f>
        <v>20.600000000005821</v>
      </c>
      <c r="P121">
        <f>電力量!P122-電力量!P121</f>
        <v>0</v>
      </c>
      <c r="Q121">
        <f>電力量!Q122-電力量!Q121</f>
        <v>0</v>
      </c>
      <c r="R121">
        <f>電力量!R122-電力量!R121</f>
        <v>0</v>
      </c>
    </row>
    <row r="122" spans="1:18">
      <c r="A122" s="4">
        <v>45905</v>
      </c>
      <c r="B122">
        <f>電力量!B123-電力量!B122</f>
        <v>697</v>
      </c>
      <c r="C122">
        <f>電力量!C123-電力量!C122</f>
        <v>170</v>
      </c>
      <c r="D122">
        <f>電力量!D123-電力量!D122</f>
        <v>14.30000000000291</v>
      </c>
      <c r="E122">
        <f>電力量!E123-電力量!E122</f>
        <v>0</v>
      </c>
      <c r="F122">
        <f>電力量!F123-電力量!F122</f>
        <v>22</v>
      </c>
      <c r="G122">
        <f>電力量!G123-電力量!G122</f>
        <v>55.899999999994179</v>
      </c>
      <c r="H122">
        <f>電力量!H123-電力量!H122</f>
        <v>12</v>
      </c>
      <c r="I122">
        <f>電力量!I123-電力量!I122</f>
        <v>224</v>
      </c>
      <c r="J122">
        <f>電力量!J123-電力量!J122</f>
        <v>5.8999999999941792</v>
      </c>
      <c r="K122">
        <f>電力量!K123-電力量!K122</f>
        <v>3</v>
      </c>
      <c r="L122">
        <f>電力量!L123-電力量!L122</f>
        <v>21.799999999999997</v>
      </c>
      <c r="M122">
        <f>電力量!M123-電力量!M122</f>
        <v>44</v>
      </c>
      <c r="N122">
        <f>電力量!N123-電力量!N122</f>
        <v>53.5</v>
      </c>
      <c r="O122">
        <f>電力量!O123-電力量!O122</f>
        <v>18.899999999994179</v>
      </c>
      <c r="P122">
        <f>電力量!P123-電力量!P122</f>
        <v>0</v>
      </c>
      <c r="Q122">
        <f>電力量!Q123-電力量!Q122</f>
        <v>0</v>
      </c>
      <c r="R122">
        <f>電力量!R123-電力量!R122</f>
        <v>0</v>
      </c>
    </row>
    <row r="123" spans="1:18">
      <c r="A123" s="4">
        <f t="shared" si="46"/>
        <v>45905.041666666664</v>
      </c>
      <c r="B123">
        <f>電力量!B124-電力量!B123</f>
        <v>687</v>
      </c>
      <c r="C123">
        <f>電力量!C124-電力量!C123</f>
        <v>167</v>
      </c>
      <c r="D123">
        <f>電力量!D124-電力量!D123</f>
        <v>14.400000000001455</v>
      </c>
      <c r="E123">
        <f>電力量!E124-電力量!E123</f>
        <v>0</v>
      </c>
      <c r="F123">
        <f>電力量!F124-電力量!F123</f>
        <v>22</v>
      </c>
      <c r="G123">
        <f>電力量!G124-電力量!G123</f>
        <v>56.19999999999709</v>
      </c>
      <c r="H123">
        <f>電力量!H124-電力量!H123</f>
        <v>11</v>
      </c>
      <c r="I123">
        <f>電力量!I124-電力量!I123</f>
        <v>216</v>
      </c>
      <c r="J123">
        <f>電力量!J124-電力量!J123</f>
        <v>5.9000000000014552</v>
      </c>
      <c r="K123">
        <f>電力量!K124-電力量!K123</f>
        <v>3</v>
      </c>
      <c r="L123">
        <f>電力量!L124-電力量!L123</f>
        <v>21.5</v>
      </c>
      <c r="M123">
        <f>電力量!M124-電力量!M123</f>
        <v>44.299999999988358</v>
      </c>
      <c r="N123">
        <f>電力量!N124-電力量!N123</f>
        <v>53.69999999999709</v>
      </c>
      <c r="O123">
        <f>電力量!O124-電力量!O123</f>
        <v>20.600000000005821</v>
      </c>
      <c r="P123">
        <f>電力量!P124-電力量!P123</f>
        <v>0</v>
      </c>
      <c r="Q123">
        <f>電力量!Q124-電力量!Q123</f>
        <v>0</v>
      </c>
      <c r="R123">
        <f>電力量!R124-電力量!R123</f>
        <v>0</v>
      </c>
    </row>
    <row r="124" spans="1:18">
      <c r="A124" s="4">
        <f t="shared" si="47"/>
        <v>45905.083333333336</v>
      </c>
      <c r="B124">
        <f>電力量!B125-電力量!B124</f>
        <v>675</v>
      </c>
      <c r="C124">
        <f>電力量!C125-電力量!C124</f>
        <v>165</v>
      </c>
      <c r="D124">
        <f>電力量!D125-電力量!D124</f>
        <v>14.099999999998545</v>
      </c>
      <c r="E124">
        <f>電力量!E125-電力量!E124</f>
        <v>0</v>
      </c>
      <c r="F124">
        <f>電力量!F125-電力量!F124</f>
        <v>20</v>
      </c>
      <c r="G124">
        <f>電力量!G125-電力量!G124</f>
        <v>54.900000000008731</v>
      </c>
      <c r="H124">
        <f>電力量!H125-電力量!H124</f>
        <v>12</v>
      </c>
      <c r="I124">
        <f>電力量!I125-電力量!I124</f>
        <v>208</v>
      </c>
      <c r="J124">
        <f>電力量!J125-電力量!J124</f>
        <v>5.7000000000043656</v>
      </c>
      <c r="K124">
        <f>電力量!K125-電力量!K124</f>
        <v>3.1000000000058208</v>
      </c>
      <c r="L124">
        <f>電力量!L125-電力量!L124</f>
        <v>22.5</v>
      </c>
      <c r="M124">
        <f>電力量!M125-電力量!M124</f>
        <v>45.30000000000291</v>
      </c>
      <c r="N124">
        <f>電力量!N125-電力量!N124</f>
        <v>53.5</v>
      </c>
      <c r="O124">
        <f>電力量!O125-電力量!O124</f>
        <v>20.30000000000291</v>
      </c>
      <c r="P124">
        <f>電力量!P125-電力量!P124</f>
        <v>0</v>
      </c>
      <c r="Q124">
        <f>電力量!Q125-電力量!Q124</f>
        <v>0</v>
      </c>
      <c r="R124">
        <f>電力量!R125-電力量!R124</f>
        <v>0</v>
      </c>
    </row>
    <row r="125" spans="1:18">
      <c r="A125" s="4">
        <f t="shared" si="48"/>
        <v>45905.125</v>
      </c>
      <c r="B125">
        <f>電力量!B126-電力量!B125</f>
        <v>672</v>
      </c>
      <c r="C125">
        <f>電力量!C126-電力量!C125</f>
        <v>164</v>
      </c>
      <c r="D125">
        <f>電力量!D126-電力量!D125</f>
        <v>14.900000000001455</v>
      </c>
      <c r="E125">
        <f>電力量!E126-電力量!E125</f>
        <v>0</v>
      </c>
      <c r="F125">
        <f>電力量!F126-電力量!F125</f>
        <v>19</v>
      </c>
      <c r="G125">
        <f>電力量!G126-電力量!G125</f>
        <v>53.399999999994179</v>
      </c>
      <c r="H125">
        <f>電力量!H126-電力量!H125</f>
        <v>13</v>
      </c>
      <c r="I125">
        <f>電力量!I126-電力量!I125</f>
        <v>209</v>
      </c>
      <c r="J125">
        <f>電力量!J126-電力量!J125</f>
        <v>5.8999999999941792</v>
      </c>
      <c r="K125">
        <f>電力量!K126-電力量!K125</f>
        <v>3</v>
      </c>
      <c r="L125">
        <f>電力量!L126-電力量!L125</f>
        <v>21.800000000000011</v>
      </c>
      <c r="M125">
        <f>電力量!M126-電力量!M125</f>
        <v>44.600000000005821</v>
      </c>
      <c r="N125">
        <f>電力量!N126-電力量!N125</f>
        <v>54.100000000005821</v>
      </c>
      <c r="O125">
        <f>電力量!O126-電力量!O125</f>
        <v>19.799999999988358</v>
      </c>
      <c r="P125">
        <f>電力量!P126-電力量!P125</f>
        <v>0</v>
      </c>
      <c r="Q125">
        <f>電力量!Q126-電力量!Q125</f>
        <v>0</v>
      </c>
      <c r="R125">
        <f>電力量!R126-電力量!R125</f>
        <v>0</v>
      </c>
    </row>
    <row r="126" spans="1:18">
      <c r="A126" s="4">
        <f t="shared" si="49"/>
        <v>45905.166666666664</v>
      </c>
      <c r="B126">
        <f>電力量!B127-電力量!B126</f>
        <v>659</v>
      </c>
      <c r="C126">
        <f>電力量!C127-電力量!C126</f>
        <v>160</v>
      </c>
      <c r="D126">
        <f>電力量!D127-電力量!D126</f>
        <v>16.400000000001455</v>
      </c>
      <c r="E126">
        <f>電力量!E127-電力量!E126</f>
        <v>0</v>
      </c>
      <c r="F126">
        <f>電力量!F127-電力量!F126</f>
        <v>18</v>
      </c>
      <c r="G126">
        <f>電力量!G127-電力量!G126</f>
        <v>52.100000000005821</v>
      </c>
      <c r="H126">
        <f>電力量!H127-電力量!H126</f>
        <v>12</v>
      </c>
      <c r="I126">
        <f>電力量!I127-電力量!I126</f>
        <v>203</v>
      </c>
      <c r="J126">
        <f>電力量!J127-電力量!J126</f>
        <v>5.6000000000058208</v>
      </c>
      <c r="K126">
        <f>電力量!K127-電力量!K126</f>
        <v>3</v>
      </c>
      <c r="L126">
        <f>電力量!L127-電力量!L126</f>
        <v>20.5</v>
      </c>
      <c r="M126">
        <f>電力量!M127-電力量!M126</f>
        <v>43.30000000000291</v>
      </c>
      <c r="N126">
        <f>電力量!N127-電力量!N126</f>
        <v>54.19999999999709</v>
      </c>
      <c r="O126">
        <f>電力量!O127-電力量!O126</f>
        <v>20.5</v>
      </c>
      <c r="P126">
        <f>電力量!P127-電力量!P126</f>
        <v>0</v>
      </c>
      <c r="Q126">
        <f>電力量!Q127-電力量!Q126</f>
        <v>0</v>
      </c>
      <c r="R126">
        <f>電力量!R127-電力量!R126</f>
        <v>0</v>
      </c>
    </row>
    <row r="127" spans="1:18">
      <c r="A127" s="4">
        <f t="shared" si="50"/>
        <v>45905.208333333336</v>
      </c>
      <c r="B127">
        <f>電力量!B128-電力量!B127</f>
        <v>663</v>
      </c>
      <c r="C127">
        <f>電力量!C128-電力量!C127</f>
        <v>167</v>
      </c>
      <c r="D127">
        <f>電力量!D128-電力量!D127</f>
        <v>15.399999999994179</v>
      </c>
      <c r="E127">
        <f>電力量!E128-電力量!E127</f>
        <v>0</v>
      </c>
      <c r="F127">
        <f>電力量!F128-電力量!F127</f>
        <v>19</v>
      </c>
      <c r="G127">
        <f>電力量!G128-電力量!G127</f>
        <v>52.899999999994179</v>
      </c>
      <c r="H127">
        <f>電力量!H128-電力量!H127</f>
        <v>12</v>
      </c>
      <c r="I127">
        <f>電力量!I128-電力量!I127</f>
        <v>200</v>
      </c>
      <c r="J127">
        <f>電力量!J128-電力量!J127</f>
        <v>5.5999999999985448</v>
      </c>
      <c r="K127">
        <f>電力量!K128-電力量!K127</f>
        <v>3</v>
      </c>
      <c r="L127">
        <f>電力量!L128-電力量!L127</f>
        <v>19.899999999999977</v>
      </c>
      <c r="M127">
        <f>電力量!M128-電力量!M127</f>
        <v>41.5</v>
      </c>
      <c r="N127">
        <f>電力量!N128-電力量!N127</f>
        <v>53.69999999999709</v>
      </c>
      <c r="O127">
        <f>電力量!O128-電力量!O127</f>
        <v>23.100000000005821</v>
      </c>
      <c r="P127">
        <f>電力量!P128-電力量!P127</f>
        <v>0</v>
      </c>
      <c r="Q127">
        <f>電力量!Q128-電力量!Q127</f>
        <v>0</v>
      </c>
      <c r="R127">
        <f>電力量!R128-電力量!R127</f>
        <v>0</v>
      </c>
    </row>
    <row r="128" spans="1:18">
      <c r="A128" s="4">
        <f t="shared" si="51"/>
        <v>45905.25</v>
      </c>
      <c r="B128">
        <f>電力量!B129-電力量!B128</f>
        <v>673</v>
      </c>
      <c r="C128">
        <f>電力量!C129-電力量!C128</f>
        <v>174</v>
      </c>
      <c r="D128">
        <f>電力量!D129-電力量!D128</f>
        <v>15.30000000000291</v>
      </c>
      <c r="E128">
        <f>電力量!E129-電力量!E128</f>
        <v>0</v>
      </c>
      <c r="F128">
        <f>電力量!F129-電力量!F128</f>
        <v>19</v>
      </c>
      <c r="G128">
        <f>電力量!G129-電力量!G128</f>
        <v>55</v>
      </c>
      <c r="H128">
        <f>電力量!H129-電力量!H128</f>
        <v>12</v>
      </c>
      <c r="I128">
        <f>電力量!I129-電力量!I128</f>
        <v>204</v>
      </c>
      <c r="J128">
        <f>電力量!J129-電力量!J128</f>
        <v>5.9000000000014552</v>
      </c>
      <c r="K128">
        <f>電力量!K129-電力量!K128</f>
        <v>2.6000000000058208</v>
      </c>
      <c r="L128">
        <f>電力量!L129-電力量!L128</f>
        <v>19.400000000000006</v>
      </c>
      <c r="M128">
        <f>電力量!M129-電力量!M128</f>
        <v>41.69999999999709</v>
      </c>
      <c r="N128">
        <f>電力量!N129-電力量!N128</f>
        <v>53.5</v>
      </c>
      <c r="O128">
        <f>電力量!O129-電力量!O128</f>
        <v>21.899999999994179</v>
      </c>
      <c r="P128">
        <f>電力量!P129-電力量!P128</f>
        <v>0</v>
      </c>
      <c r="Q128">
        <f>電力量!Q129-電力量!Q128</f>
        <v>0</v>
      </c>
      <c r="R128">
        <f>電力量!R129-電力量!R128</f>
        <v>0</v>
      </c>
    </row>
    <row r="129" spans="1:18">
      <c r="A129" s="4">
        <f t="shared" si="52"/>
        <v>45905.291666666664</v>
      </c>
      <c r="B129">
        <f>電力量!B130-電力量!B129</f>
        <v>699</v>
      </c>
      <c r="C129">
        <f>電力量!C130-電力量!C129</f>
        <v>177</v>
      </c>
      <c r="D129">
        <f>電力量!D130-電力量!D129</f>
        <v>14.19999999999709</v>
      </c>
      <c r="E129">
        <f>電力量!E130-電力量!E129</f>
        <v>0</v>
      </c>
      <c r="F129">
        <f>電力量!F130-電力量!F129</f>
        <v>19</v>
      </c>
      <c r="G129">
        <f>電力量!G130-電力量!G129</f>
        <v>53.80000000000291</v>
      </c>
      <c r="H129">
        <f>電力量!H130-電力量!H129</f>
        <v>12</v>
      </c>
      <c r="I129">
        <f>電力量!I130-電力量!I129</f>
        <v>221</v>
      </c>
      <c r="J129">
        <f>電力量!J130-電力量!J129</f>
        <v>5.8999999999941792</v>
      </c>
      <c r="K129">
        <f>電力量!K130-電力量!K129</f>
        <v>1.0999999999912689</v>
      </c>
      <c r="L129">
        <f>電力量!L130-電力量!L129</f>
        <v>20</v>
      </c>
      <c r="M129">
        <f>電力量!M130-電力量!M129</f>
        <v>42.099999999991269</v>
      </c>
      <c r="N129">
        <f>電力量!N130-電力量!N129</f>
        <v>51.5</v>
      </c>
      <c r="O129">
        <f>電力量!O130-電力量!O129</f>
        <v>27.600000000005821</v>
      </c>
      <c r="P129">
        <f>電力量!P130-電力量!P129</f>
        <v>1</v>
      </c>
      <c r="Q129">
        <f>電力量!Q130-電力量!Q129</f>
        <v>2</v>
      </c>
      <c r="R129">
        <f>電力量!R130-電力量!R129</f>
        <v>0</v>
      </c>
    </row>
    <row r="130" spans="1:18">
      <c r="A130" s="4">
        <f t="shared" si="53"/>
        <v>45905.333333333336</v>
      </c>
      <c r="B130">
        <f>電力量!B131-電力量!B130</f>
        <v>809</v>
      </c>
      <c r="C130">
        <f>電力量!C131-電力量!C130</f>
        <v>198</v>
      </c>
      <c r="D130">
        <f>電力量!D131-電力量!D130</f>
        <v>19.30000000000291</v>
      </c>
      <c r="E130">
        <f>電力量!E131-電力量!E130</f>
        <v>0</v>
      </c>
      <c r="F130">
        <f>電力量!F131-電力量!F130</f>
        <v>25</v>
      </c>
      <c r="G130">
        <f>電力量!G131-電力量!G130</f>
        <v>50.80000000000291</v>
      </c>
      <c r="H130">
        <f>電力量!H131-電力量!H130</f>
        <v>12</v>
      </c>
      <c r="I130">
        <f>電力量!I131-電力量!I130</f>
        <v>258</v>
      </c>
      <c r="J130">
        <f>電力量!J131-電力量!J130</f>
        <v>6.4000000000014552</v>
      </c>
      <c r="K130">
        <f>電力量!K131-電力量!K130</f>
        <v>1.3000000000029104</v>
      </c>
      <c r="L130">
        <f>電力量!L131-電力量!L130</f>
        <v>32.099999999999994</v>
      </c>
      <c r="M130">
        <f>電力量!M131-電力量!M130</f>
        <v>49.5</v>
      </c>
      <c r="N130">
        <f>電力量!N131-電力量!N130</f>
        <v>49.5</v>
      </c>
      <c r="O130">
        <f>電力量!O131-電力量!O130</f>
        <v>37.399999999994179</v>
      </c>
      <c r="P130">
        <f>電力量!P131-電力量!P130</f>
        <v>6</v>
      </c>
      <c r="Q130">
        <f>電力量!Q131-電力量!Q130</f>
        <v>9</v>
      </c>
      <c r="R130">
        <f>電力量!R131-電力量!R130</f>
        <v>0</v>
      </c>
    </row>
    <row r="131" spans="1:18">
      <c r="A131" s="4">
        <f t="shared" si="54"/>
        <v>45905.375</v>
      </c>
      <c r="B131">
        <f>電力量!B132-電力量!B131</f>
        <v>1010</v>
      </c>
      <c r="C131">
        <f>電力量!C132-電力量!C131</f>
        <v>268</v>
      </c>
      <c r="D131">
        <f>電力量!D132-電力量!D131</f>
        <v>26</v>
      </c>
      <c r="E131">
        <f>電力量!E132-電力量!E131</f>
        <v>0</v>
      </c>
      <c r="F131">
        <f>電力量!F132-電力量!F131</f>
        <v>29</v>
      </c>
      <c r="G131">
        <f>電力量!G132-電力量!G131</f>
        <v>64.099999999991269</v>
      </c>
      <c r="H131">
        <f>電力量!H132-電力量!H131</f>
        <v>12</v>
      </c>
      <c r="I131">
        <f>電力量!I132-電力量!I131</f>
        <v>330</v>
      </c>
      <c r="J131">
        <f>電力量!J132-電力量!J131</f>
        <v>6.8000000000029104</v>
      </c>
      <c r="K131">
        <f>電力量!K132-電力量!K131</f>
        <v>1.6000000000058208</v>
      </c>
      <c r="L131">
        <f>電力量!L132-電力量!L131</f>
        <v>32.600000000000023</v>
      </c>
      <c r="M131">
        <f>電力量!M132-電力量!M131</f>
        <v>52.700000000011642</v>
      </c>
      <c r="N131">
        <f>電力量!N132-電力量!N131</f>
        <v>49.80000000000291</v>
      </c>
      <c r="O131">
        <f>電力量!O132-電力量!O131</f>
        <v>51.5</v>
      </c>
      <c r="P131">
        <f>電力量!P132-電力量!P131</f>
        <v>7</v>
      </c>
      <c r="Q131">
        <f>電力量!Q132-電力量!Q131</f>
        <v>11</v>
      </c>
      <c r="R131">
        <f>電力量!R132-電力量!R131</f>
        <v>0</v>
      </c>
    </row>
    <row r="132" spans="1:18">
      <c r="A132" s="4">
        <f t="shared" si="55"/>
        <v>45905.416666666664</v>
      </c>
      <c r="B132">
        <f>電力量!B133-電力量!B132</f>
        <v>1137</v>
      </c>
      <c r="C132">
        <f>電力量!C133-電力量!C132</f>
        <v>291</v>
      </c>
      <c r="D132">
        <f>電力量!D133-電力量!D132</f>
        <v>25.599999999998545</v>
      </c>
      <c r="E132">
        <f>電力量!E133-電力量!E132</f>
        <v>0</v>
      </c>
      <c r="F132">
        <f>電力量!F133-電力量!F132</f>
        <v>39</v>
      </c>
      <c r="G132">
        <f>電力量!G133-電力量!G132</f>
        <v>86.600000000005821</v>
      </c>
      <c r="H132">
        <f>電力量!H133-電力量!H132</f>
        <v>13</v>
      </c>
      <c r="I132">
        <f>電力量!I133-電力量!I132</f>
        <v>376</v>
      </c>
      <c r="J132">
        <f>電力量!J133-電力量!J132</f>
        <v>7.7999999999956344</v>
      </c>
      <c r="K132">
        <f>電力量!K133-電力量!K132</f>
        <v>4.0999999999912689</v>
      </c>
      <c r="L132">
        <f>電力量!L133-電力量!L132</f>
        <v>29.800000000000011</v>
      </c>
      <c r="M132">
        <f>電力量!M133-電力量!M132</f>
        <v>50.899999999994179</v>
      </c>
      <c r="N132">
        <f>電力量!N133-電力量!N132</f>
        <v>52.600000000005821</v>
      </c>
      <c r="O132">
        <f>電力量!O133-電力量!O132</f>
        <v>74.900000000008731</v>
      </c>
      <c r="P132">
        <f>電力量!P133-電力量!P132</f>
        <v>6</v>
      </c>
      <c r="Q132">
        <f>電力量!Q133-電力量!Q132</f>
        <v>10</v>
      </c>
      <c r="R132">
        <f>電力量!R133-電力量!R132</f>
        <v>0</v>
      </c>
    </row>
    <row r="133" spans="1:18">
      <c r="A133" s="4">
        <f t="shared" si="56"/>
        <v>45905.458333333336</v>
      </c>
      <c r="B133">
        <f>電力量!B134-電力量!B133</f>
        <v>1225</v>
      </c>
      <c r="C133">
        <f>電力量!C134-電力量!C133</f>
        <v>330</v>
      </c>
      <c r="D133">
        <f>電力量!D134-電力量!D133</f>
        <v>27</v>
      </c>
      <c r="E133">
        <f>電力量!E134-電力量!E133</f>
        <v>0</v>
      </c>
      <c r="F133">
        <f>電力量!F134-電力量!F133</f>
        <v>42</v>
      </c>
      <c r="G133">
        <f>電力量!G134-電力量!G133</f>
        <v>76</v>
      </c>
      <c r="H133">
        <f>電力量!H134-電力量!H133</f>
        <v>12</v>
      </c>
      <c r="I133">
        <f>電力量!I134-電力量!I133</f>
        <v>430</v>
      </c>
      <c r="J133">
        <f>電力量!J134-電力量!J133</f>
        <v>7.9000000000014552</v>
      </c>
      <c r="K133">
        <f>電力量!K134-電力量!K133</f>
        <v>0.40000000000873115</v>
      </c>
      <c r="L133">
        <f>電力量!L134-電力量!L133</f>
        <v>31.599999999999966</v>
      </c>
      <c r="M133">
        <f>電力量!M134-電力量!M133</f>
        <v>57</v>
      </c>
      <c r="N133">
        <f>電力量!N134-電力量!N133</f>
        <v>47.19999999999709</v>
      </c>
      <c r="O133">
        <f>電力量!O134-電力量!O133</f>
        <v>67.19999999999709</v>
      </c>
      <c r="P133">
        <f>電力量!P134-電力量!P133</f>
        <v>16</v>
      </c>
      <c r="Q133">
        <f>電力量!Q134-電力量!Q133</f>
        <v>23</v>
      </c>
      <c r="R133">
        <f>電力量!R134-電力量!R133</f>
        <v>0</v>
      </c>
    </row>
    <row r="134" spans="1:18">
      <c r="A134" s="4">
        <f t="shared" si="57"/>
        <v>45905.5</v>
      </c>
      <c r="B134">
        <f>電力量!B135-電力量!B134</f>
        <v>1294</v>
      </c>
      <c r="C134">
        <f>電力量!C135-電力量!C134</f>
        <v>333</v>
      </c>
      <c r="D134">
        <f>電力量!D135-電力量!D134</f>
        <v>42.30000000000291</v>
      </c>
      <c r="E134">
        <f>電力量!E135-電力量!E134</f>
        <v>0</v>
      </c>
      <c r="F134">
        <f>電力量!F135-電力量!F134</f>
        <v>47</v>
      </c>
      <c r="G134">
        <f>電力量!G135-電力量!G134</f>
        <v>95.30000000000291</v>
      </c>
      <c r="H134">
        <f>電力量!H135-電力量!H134</f>
        <v>13</v>
      </c>
      <c r="I134">
        <f>電力量!I135-電力量!I134</f>
        <v>443</v>
      </c>
      <c r="J134">
        <f>電力量!J135-電力量!J134</f>
        <v>6.5999999999985448</v>
      </c>
      <c r="K134">
        <f>電力量!K135-電力量!K134</f>
        <v>1</v>
      </c>
      <c r="L134">
        <f>電力量!L135-電力量!L134</f>
        <v>42.300000000000011</v>
      </c>
      <c r="M134">
        <f>電力量!M135-電力量!M134</f>
        <v>63.69999999999709</v>
      </c>
      <c r="N134">
        <f>電力量!N135-電力量!N134</f>
        <v>47.599999999991269</v>
      </c>
      <c r="O134">
        <f>電力量!O135-電力量!O134</f>
        <v>70.80000000000291</v>
      </c>
      <c r="P134">
        <f>電力量!P135-電力量!P134</f>
        <v>13</v>
      </c>
      <c r="Q134">
        <f>電力量!Q135-電力量!Q134</f>
        <v>20</v>
      </c>
      <c r="R134">
        <f>電力量!R135-電力量!R134</f>
        <v>0</v>
      </c>
    </row>
    <row r="135" spans="1:18">
      <c r="A135" s="4">
        <f t="shared" si="58"/>
        <v>45905.541666666664</v>
      </c>
      <c r="B135">
        <f>電力量!B136-電力量!B135</f>
        <v>1395</v>
      </c>
      <c r="C135">
        <f>電力量!C136-電力量!C135</f>
        <v>346</v>
      </c>
      <c r="D135">
        <f>電力量!D136-電力量!D135</f>
        <v>41.099999999998545</v>
      </c>
      <c r="E135">
        <f>電力量!E136-電力量!E135</f>
        <v>0</v>
      </c>
      <c r="F135">
        <f>電力量!F136-電力量!F135</f>
        <v>55</v>
      </c>
      <c r="G135">
        <f>電力量!G136-電力量!G135</f>
        <v>94.5</v>
      </c>
      <c r="H135">
        <f>電力量!H136-電力量!H135</f>
        <v>37</v>
      </c>
      <c r="I135">
        <f>電力量!I136-電力量!I135</f>
        <v>458</v>
      </c>
      <c r="J135">
        <f>電力量!J136-電力量!J135</f>
        <v>5.5</v>
      </c>
      <c r="K135">
        <f>電力量!K136-電力量!K135</f>
        <v>1.5999999999912689</v>
      </c>
      <c r="L135">
        <f>電力量!L136-電力量!L135</f>
        <v>53.699999999999989</v>
      </c>
      <c r="M135">
        <f>電力量!M136-電力量!M135</f>
        <v>69</v>
      </c>
      <c r="N135">
        <f>電力量!N136-電力量!N135</f>
        <v>53.100000000005821</v>
      </c>
      <c r="O135">
        <f>電力量!O136-電力量!O135</f>
        <v>76.69999999999709</v>
      </c>
      <c r="P135">
        <f>電力量!P136-電力量!P135</f>
        <v>13</v>
      </c>
      <c r="Q135">
        <f>電力量!Q136-電力量!Q135</f>
        <v>20</v>
      </c>
      <c r="R135">
        <f>電力量!R136-電力量!R135</f>
        <v>0</v>
      </c>
    </row>
    <row r="136" spans="1:18">
      <c r="A136" s="4">
        <f t="shared" si="59"/>
        <v>45905.583333333336</v>
      </c>
      <c r="B136">
        <f>電力量!B137-電力量!B136</f>
        <v>1358</v>
      </c>
      <c r="C136">
        <f>電力量!C137-電力量!C136</f>
        <v>347</v>
      </c>
      <c r="D136">
        <f>電力量!D137-電力量!D136</f>
        <v>39.099999999998545</v>
      </c>
      <c r="E136">
        <f>電力量!E137-電力量!E136</f>
        <v>0</v>
      </c>
      <c r="F136">
        <f>電力量!F137-電力量!F136</f>
        <v>53</v>
      </c>
      <c r="G136">
        <f>電力量!G137-電力量!G136</f>
        <v>96.599999999991269</v>
      </c>
      <c r="H136">
        <f>電力量!H137-電力量!H136</f>
        <v>34</v>
      </c>
      <c r="I136">
        <f>電力量!I137-電力量!I136</f>
        <v>457</v>
      </c>
      <c r="J136">
        <f>電力量!J137-電力量!J136</f>
        <v>6.2000000000043656</v>
      </c>
      <c r="K136">
        <f>電力量!K137-電力量!K136</f>
        <v>1.9000000000087311</v>
      </c>
      <c r="L136">
        <f>電力量!L137-電力量!L136</f>
        <v>57.599999999999966</v>
      </c>
      <c r="M136">
        <f>電力量!M137-電力量!M136</f>
        <v>59.5</v>
      </c>
      <c r="N136">
        <f>電力量!N137-電力量!N136</f>
        <v>46.600000000005821</v>
      </c>
      <c r="O136">
        <f>電力量!O137-電力量!O136</f>
        <v>59.30000000000291</v>
      </c>
      <c r="P136">
        <f>電力量!P137-電力量!P136</f>
        <v>11</v>
      </c>
      <c r="Q136">
        <f>電力量!Q137-電力量!Q136</f>
        <v>16</v>
      </c>
      <c r="R136">
        <f>電力量!R137-電力量!R136</f>
        <v>0</v>
      </c>
    </row>
    <row r="137" spans="1:18">
      <c r="A137" s="4">
        <f t="shared" si="60"/>
        <v>45905.625</v>
      </c>
      <c r="B137">
        <f>電力量!B138-電力量!B137</f>
        <v>1294</v>
      </c>
      <c r="C137">
        <f>電力量!C138-電力量!C137</f>
        <v>355</v>
      </c>
      <c r="D137">
        <f>電力量!D138-電力量!D137</f>
        <v>36.5</v>
      </c>
      <c r="E137">
        <f>電力量!E138-電力量!E137</f>
        <v>0</v>
      </c>
      <c r="F137">
        <f>電力量!F138-電力量!F137</f>
        <v>51</v>
      </c>
      <c r="G137">
        <f>電力量!G138-電力量!G137</f>
        <v>94.900000000008731</v>
      </c>
      <c r="H137">
        <f>電力量!H138-電力量!H137</f>
        <v>14</v>
      </c>
      <c r="I137">
        <f>電力量!I138-電力量!I137</f>
        <v>448</v>
      </c>
      <c r="J137">
        <f>電力量!J138-電力量!J137</f>
        <v>7</v>
      </c>
      <c r="K137">
        <f>電力量!K138-電力量!K137</f>
        <v>0.59999999999126885</v>
      </c>
      <c r="L137">
        <f>電力量!L138-電力量!L137</f>
        <v>57</v>
      </c>
      <c r="M137">
        <f>電力量!M138-電力量!M137</f>
        <v>59.600000000005821</v>
      </c>
      <c r="N137">
        <f>電力量!N138-電力量!N137</f>
        <v>47.299999999988358</v>
      </c>
      <c r="O137">
        <f>電力量!O138-電力量!O137</f>
        <v>27.899999999994179</v>
      </c>
      <c r="P137">
        <f>電力量!P138-電力量!P137</f>
        <v>12</v>
      </c>
      <c r="Q137">
        <f>電力量!Q138-電力量!Q137</f>
        <v>18</v>
      </c>
      <c r="R137">
        <f>電力量!R138-電力量!R137</f>
        <v>0</v>
      </c>
    </row>
    <row r="138" spans="1:18">
      <c r="A138" s="4">
        <f t="shared" si="61"/>
        <v>45905.666666666664</v>
      </c>
      <c r="B138">
        <f>電力量!B139-電力量!B138</f>
        <v>1241</v>
      </c>
      <c r="C138">
        <f>電力量!C139-電力量!C138</f>
        <v>333</v>
      </c>
      <c r="D138">
        <f>電力量!D139-電力量!D138</f>
        <v>32.599999999998545</v>
      </c>
      <c r="E138">
        <f>電力量!E139-電力量!E138</f>
        <v>0</v>
      </c>
      <c r="F138">
        <f>電力量!F139-電力量!F138</f>
        <v>47</v>
      </c>
      <c r="G138">
        <f>電力量!G139-電力量!G138</f>
        <v>106.59999999999127</v>
      </c>
      <c r="H138">
        <f>電力量!H139-電力量!H138</f>
        <v>18</v>
      </c>
      <c r="I138">
        <f>電力量!I139-電力量!I138</f>
        <v>425</v>
      </c>
      <c r="J138">
        <f>電力量!J139-電力量!J138</f>
        <v>5.5999999999985448</v>
      </c>
      <c r="K138">
        <f>電力量!K139-電力量!K138</f>
        <v>4.1999999999970896</v>
      </c>
      <c r="L138">
        <f>電力量!L139-電力量!L138</f>
        <v>47.200000000000045</v>
      </c>
      <c r="M138">
        <f>電力量!M139-電力量!M138</f>
        <v>53.69999999999709</v>
      </c>
      <c r="N138">
        <f>電力量!N139-電力量!N138</f>
        <v>51.700000000011642</v>
      </c>
      <c r="O138">
        <f>電力量!O139-電力量!O138</f>
        <v>26.5</v>
      </c>
      <c r="P138">
        <f>電力量!P139-電力量!P138</f>
        <v>6</v>
      </c>
      <c r="Q138">
        <f>電力量!Q139-電力量!Q138</f>
        <v>9</v>
      </c>
      <c r="R138">
        <f>電力量!R139-電力量!R138</f>
        <v>0</v>
      </c>
    </row>
    <row r="139" spans="1:18">
      <c r="A139" s="4">
        <f t="shared" si="62"/>
        <v>45905.708333333336</v>
      </c>
      <c r="B139">
        <f>電力量!B140-電力量!B139</f>
        <v>1139</v>
      </c>
      <c r="C139">
        <f>電力量!C140-電力量!C139</f>
        <v>315</v>
      </c>
      <c r="D139">
        <f>電力量!D140-電力量!D139</f>
        <v>25.80000000000291</v>
      </c>
      <c r="E139">
        <f>電力量!E140-電力量!E139</f>
        <v>0</v>
      </c>
      <c r="F139">
        <f>電力量!F140-電力量!F139</f>
        <v>40</v>
      </c>
      <c r="G139">
        <f>電力量!G140-電力量!G139</f>
        <v>87.5</v>
      </c>
      <c r="H139">
        <f>電力量!H140-電力量!H139</f>
        <v>14</v>
      </c>
      <c r="I139">
        <f>電力量!I140-電力量!I139</f>
        <v>402</v>
      </c>
      <c r="J139">
        <f>電力量!J140-電力量!J139</f>
        <v>5.4000000000014552</v>
      </c>
      <c r="K139">
        <f>電力量!K140-電力量!K139</f>
        <v>1.9000000000087311</v>
      </c>
      <c r="L139">
        <f>電力量!L140-電力量!L139</f>
        <v>36.100000000000023</v>
      </c>
      <c r="M139">
        <f>電力量!M140-電力量!M139</f>
        <v>51.80000000000291</v>
      </c>
      <c r="N139">
        <f>電力量!N140-電力量!N139</f>
        <v>52.19999999999709</v>
      </c>
      <c r="O139">
        <f>電力量!O140-電力量!O139</f>
        <v>25.400000000008731</v>
      </c>
      <c r="P139">
        <f>電力量!P140-電力量!P139</f>
        <v>5</v>
      </c>
      <c r="Q139">
        <f>電力量!Q140-電力量!Q139</f>
        <v>8</v>
      </c>
      <c r="R139">
        <f>電力量!R140-電力量!R139</f>
        <v>0</v>
      </c>
    </row>
    <row r="140" spans="1:18">
      <c r="A140" s="4">
        <f t="shared" si="63"/>
        <v>45905.75</v>
      </c>
      <c r="B140">
        <f>電力量!B141-電力量!B140</f>
        <v>1002</v>
      </c>
      <c r="C140">
        <f>電力量!C141-電力量!C140</f>
        <v>270</v>
      </c>
      <c r="D140">
        <f>電力量!D141-電力量!D140</f>
        <v>20.5</v>
      </c>
      <c r="E140">
        <f>電力量!E141-電力量!E140</f>
        <v>0</v>
      </c>
      <c r="F140">
        <f>電力量!F141-電力量!F140</f>
        <v>33</v>
      </c>
      <c r="G140">
        <f>電力量!G141-電力量!G140</f>
        <v>81.600000000005821</v>
      </c>
      <c r="H140">
        <f>電力量!H141-電力量!H140</f>
        <v>12</v>
      </c>
      <c r="I140">
        <f>電力量!I141-電力量!I140</f>
        <v>351</v>
      </c>
      <c r="J140">
        <f>電力量!J141-電力量!J140</f>
        <v>4.5</v>
      </c>
      <c r="K140">
        <f>電力量!K141-電力量!K140</f>
        <v>3.5</v>
      </c>
      <c r="L140">
        <f>電力量!L141-電力量!L140</f>
        <v>28.299999999999955</v>
      </c>
      <c r="M140">
        <f>電力量!M141-電力量!M140</f>
        <v>49.099999999991269</v>
      </c>
      <c r="N140">
        <f>電力量!N141-電力量!N140</f>
        <v>55.69999999999709</v>
      </c>
      <c r="O140">
        <f>電力量!O141-電力量!O140</f>
        <v>21.299999999988358</v>
      </c>
      <c r="P140">
        <f>電力量!P141-電力量!P140</f>
        <v>0</v>
      </c>
      <c r="Q140">
        <f>電力量!Q141-電力量!Q140</f>
        <v>0</v>
      </c>
      <c r="R140">
        <f>電力量!R141-電力量!R140</f>
        <v>0</v>
      </c>
    </row>
    <row r="141" spans="1:18">
      <c r="A141" s="4">
        <f t="shared" si="64"/>
        <v>45905.791666666664</v>
      </c>
      <c r="B141">
        <f>電力量!B142-電力量!B141</f>
        <v>896</v>
      </c>
      <c r="C141">
        <f>電力量!C142-電力量!C141</f>
        <v>224</v>
      </c>
      <c r="D141">
        <f>電力量!D142-電力量!D141</f>
        <v>18.900000000001455</v>
      </c>
      <c r="E141">
        <f>電力量!E142-電力量!E141</f>
        <v>0</v>
      </c>
      <c r="F141">
        <f>電力量!F142-電力量!F141</f>
        <v>30</v>
      </c>
      <c r="G141">
        <f>電力量!G142-電力量!G141</f>
        <v>76</v>
      </c>
      <c r="H141">
        <f>電力量!H142-電力量!H141</f>
        <v>12</v>
      </c>
      <c r="I141">
        <f>電力量!I142-電力量!I141</f>
        <v>313</v>
      </c>
      <c r="J141">
        <f>電力量!J142-電力量!J141</f>
        <v>4.7999999999956344</v>
      </c>
      <c r="K141">
        <f>電力量!K142-電力量!K141</f>
        <v>3.3999999999941792</v>
      </c>
      <c r="L141">
        <f>電力量!L142-電力量!L141</f>
        <v>24.899999999999977</v>
      </c>
      <c r="M141">
        <f>電力量!M142-電力量!M141</f>
        <v>47.400000000008731</v>
      </c>
      <c r="N141">
        <f>電力量!N142-電力量!N141</f>
        <v>55.69999999999709</v>
      </c>
      <c r="O141">
        <f>電力量!O142-電力量!O141</f>
        <v>23.5</v>
      </c>
      <c r="P141">
        <f>電力量!P142-電力量!P141</f>
        <v>0</v>
      </c>
      <c r="Q141">
        <f>電力量!Q142-電力量!Q141</f>
        <v>0</v>
      </c>
      <c r="R141">
        <f>電力量!R142-電力量!R141</f>
        <v>0</v>
      </c>
    </row>
    <row r="142" spans="1:18">
      <c r="A142" s="4">
        <f t="shared" si="65"/>
        <v>45905.833333333336</v>
      </c>
      <c r="B142">
        <f>電力量!B143-電力量!B142</f>
        <v>825</v>
      </c>
      <c r="C142">
        <f>電力量!C143-電力量!C142</f>
        <v>201</v>
      </c>
      <c r="D142">
        <f>電力量!D143-電力量!D142</f>
        <v>18.400000000001455</v>
      </c>
      <c r="E142">
        <f>電力量!E143-電力量!E142</f>
        <v>0</v>
      </c>
      <c r="F142">
        <f>電力量!F143-電力量!F142</f>
        <v>25</v>
      </c>
      <c r="G142">
        <f>電力量!G143-電力量!G142</f>
        <v>66</v>
      </c>
      <c r="H142">
        <f>電力量!H143-電力量!H142</f>
        <v>13</v>
      </c>
      <c r="I142">
        <f>電力量!I143-電力量!I142</f>
        <v>286</v>
      </c>
      <c r="J142">
        <f>電力量!J143-電力量!J142</f>
        <v>4.8000000000029104</v>
      </c>
      <c r="K142">
        <f>電力量!K143-電力量!K142</f>
        <v>3.3000000000029104</v>
      </c>
      <c r="L142">
        <f>電力量!L143-電力量!L142</f>
        <v>24.400000000000091</v>
      </c>
      <c r="M142">
        <f>電力量!M143-電力量!M142</f>
        <v>45.30000000000291</v>
      </c>
      <c r="N142">
        <f>電力量!N143-電力量!N142</f>
        <v>53.80000000000291</v>
      </c>
      <c r="O142">
        <f>電力量!O143-電力量!O142</f>
        <v>25</v>
      </c>
      <c r="P142">
        <f>電力量!P143-電力量!P142</f>
        <v>0</v>
      </c>
      <c r="Q142">
        <f>電力量!Q143-電力量!Q142</f>
        <v>0</v>
      </c>
      <c r="R142">
        <f>電力量!R143-電力量!R142</f>
        <v>0</v>
      </c>
    </row>
    <row r="143" spans="1:18">
      <c r="A143" s="4">
        <f t="shared" si="66"/>
        <v>45905.875</v>
      </c>
      <c r="B143">
        <f>電力量!B144-電力量!B143</f>
        <v>792</v>
      </c>
      <c r="C143">
        <f>電力量!C144-電力量!C143</f>
        <v>191</v>
      </c>
      <c r="D143">
        <f>電力量!D144-電力量!D143</f>
        <v>17.399999999994179</v>
      </c>
      <c r="E143">
        <f>電力量!E144-電力量!E143</f>
        <v>0</v>
      </c>
      <c r="F143">
        <f>電力量!F144-電力量!F143</f>
        <v>23</v>
      </c>
      <c r="G143">
        <f>電力量!G144-電力量!G143</f>
        <v>61.399999999994179</v>
      </c>
      <c r="H143">
        <f>電力量!H144-電力量!H143</f>
        <v>12</v>
      </c>
      <c r="I143">
        <f>電力量!I144-電力量!I143</f>
        <v>277</v>
      </c>
      <c r="J143">
        <f>電力量!J144-電力量!J143</f>
        <v>4.0999999999985448</v>
      </c>
      <c r="K143">
        <f>電力量!K144-電力量!K143</f>
        <v>3.1999999999970896</v>
      </c>
      <c r="L143">
        <f>電力量!L144-電力量!L143</f>
        <v>22.899999999999977</v>
      </c>
      <c r="M143">
        <f>電力量!M144-電力量!M143</f>
        <v>42.099999999991269</v>
      </c>
      <c r="N143">
        <f>電力量!N144-電力量!N143</f>
        <v>54.5</v>
      </c>
      <c r="O143">
        <f>電力量!O144-電力量!O143</f>
        <v>24.700000000011642</v>
      </c>
      <c r="P143">
        <f>電力量!P144-電力量!P143</f>
        <v>0</v>
      </c>
      <c r="Q143">
        <f>電力量!Q144-電力量!Q143</f>
        <v>0</v>
      </c>
      <c r="R143">
        <f>電力量!R144-電力量!R143</f>
        <v>0</v>
      </c>
    </row>
    <row r="144" spans="1:18">
      <c r="A144" s="4">
        <f t="shared" si="67"/>
        <v>45905.916666666664</v>
      </c>
      <c r="B144">
        <f>電力量!B145-電力量!B144</f>
        <v>763</v>
      </c>
      <c r="C144">
        <f>電力量!C145-電力量!C144</f>
        <v>189</v>
      </c>
      <c r="D144">
        <f>電力量!D145-電力量!D144</f>
        <v>16.100000000005821</v>
      </c>
      <c r="E144">
        <f>電力量!E145-電力量!E144</f>
        <v>0</v>
      </c>
      <c r="F144">
        <f>電力量!F145-電力量!F144</f>
        <v>24</v>
      </c>
      <c r="G144">
        <f>電力量!G145-電力量!G144</f>
        <v>58.600000000005821</v>
      </c>
      <c r="H144">
        <f>電力量!H145-電力量!H144</f>
        <v>12</v>
      </c>
      <c r="I144">
        <f>電力量!I145-電力量!I144</f>
        <v>261</v>
      </c>
      <c r="J144">
        <f>電力量!J145-電力量!J144</f>
        <v>4</v>
      </c>
      <c r="K144">
        <f>電力量!K145-電力量!K144</f>
        <v>3.1000000000058208</v>
      </c>
      <c r="L144">
        <f>電力量!L145-電力量!L144</f>
        <v>23.299999999999955</v>
      </c>
      <c r="M144">
        <f>電力量!M145-電力量!M144</f>
        <v>39.5</v>
      </c>
      <c r="N144">
        <f>電力量!N145-電力量!N144</f>
        <v>55.5</v>
      </c>
      <c r="O144">
        <f>電力量!O145-電力量!O144</f>
        <v>19.399999999994179</v>
      </c>
      <c r="P144">
        <f>電力量!P145-電力量!P144</f>
        <v>0</v>
      </c>
      <c r="Q144">
        <f>電力量!Q145-電力量!Q144</f>
        <v>0</v>
      </c>
      <c r="R144">
        <f>電力量!R145-電力量!R144</f>
        <v>0</v>
      </c>
    </row>
    <row r="145" spans="1:18">
      <c r="A145" s="4">
        <f t="shared" si="68"/>
        <v>45905.958333333336</v>
      </c>
      <c r="B145">
        <f>電力量!B146-電力量!B145</f>
        <v>739</v>
      </c>
      <c r="C145">
        <f>電力量!C146-電力量!C145</f>
        <v>181</v>
      </c>
      <c r="D145">
        <f>電力量!D146-電力量!D145</f>
        <v>14.799999999995634</v>
      </c>
      <c r="E145">
        <f>電力量!E146-電力量!E145</f>
        <v>0</v>
      </c>
      <c r="F145">
        <f>電力量!F146-電力量!F145</f>
        <v>21</v>
      </c>
      <c r="G145">
        <f>電力量!G146-電力量!G145</f>
        <v>54.399999999994179</v>
      </c>
      <c r="H145">
        <f>電力量!H146-電力量!H145</f>
        <v>13</v>
      </c>
      <c r="I145">
        <f>電力量!I146-電力量!I145</f>
        <v>256</v>
      </c>
      <c r="J145">
        <f>電力量!J146-電力量!J145</f>
        <v>3.7000000000043656</v>
      </c>
      <c r="K145">
        <f>電力量!K146-電力量!K145</f>
        <v>3.0999999999912689</v>
      </c>
      <c r="L145">
        <f>電力量!L146-電力量!L145</f>
        <v>24.300000000000068</v>
      </c>
      <c r="M145">
        <f>電力量!M146-電力量!M145</f>
        <v>39.5</v>
      </c>
      <c r="N145">
        <f>電力量!N146-電力量!N145</f>
        <v>53.30000000000291</v>
      </c>
      <c r="O145">
        <f>電力量!O146-電力量!O145</f>
        <v>18.19999999999709</v>
      </c>
      <c r="P145">
        <f>電力量!P146-電力量!P145</f>
        <v>0</v>
      </c>
      <c r="Q145">
        <f>電力量!Q146-電力量!Q145</f>
        <v>0</v>
      </c>
      <c r="R145">
        <f>電力量!R146-電力量!R145</f>
        <v>0</v>
      </c>
    </row>
    <row r="146" spans="1:18">
      <c r="A146" s="4">
        <v>45906</v>
      </c>
      <c r="B146">
        <f>電力量!B147-電力量!B146</f>
        <v>722</v>
      </c>
      <c r="C146">
        <f>電力量!C147-電力量!C146</f>
        <v>172</v>
      </c>
      <c r="D146">
        <f>電力量!D147-電力量!D146</f>
        <v>14.200000000004366</v>
      </c>
      <c r="E146">
        <f>電力量!E147-電力量!E146</f>
        <v>0</v>
      </c>
      <c r="F146">
        <f>電力量!F147-電力量!F146</f>
        <v>20</v>
      </c>
      <c r="G146">
        <f>電力量!G147-電力量!G146</f>
        <v>53.30000000000291</v>
      </c>
      <c r="H146">
        <f>電力量!H147-電力量!H146</f>
        <v>12</v>
      </c>
      <c r="I146">
        <f>電力量!I147-電力量!I146</f>
        <v>256</v>
      </c>
      <c r="J146">
        <f>電力量!J147-電力量!J146</f>
        <v>3.8999999999941792</v>
      </c>
      <c r="K146">
        <f>電力量!K147-電力量!K146</f>
        <v>3.1000000000058208</v>
      </c>
      <c r="L146">
        <f>電力量!L147-電力量!L146</f>
        <v>24.5</v>
      </c>
      <c r="M146">
        <f>電力量!M147-電力量!M146</f>
        <v>38.19999999999709</v>
      </c>
      <c r="N146">
        <f>電力量!N147-電力量!N146</f>
        <v>54.80000000000291</v>
      </c>
      <c r="O146">
        <f>電力量!O147-電力量!O146</f>
        <v>16.80000000000291</v>
      </c>
      <c r="P146">
        <f>電力量!P147-電力量!P146</f>
        <v>0</v>
      </c>
      <c r="Q146">
        <f>電力量!Q147-電力量!Q146</f>
        <v>0</v>
      </c>
      <c r="R146">
        <f>電力量!R147-電力量!R146</f>
        <v>0</v>
      </c>
    </row>
    <row r="147" spans="1:18">
      <c r="A147" s="4">
        <f t="shared" si="46"/>
        <v>45906.041666666664</v>
      </c>
      <c r="B147">
        <f>電力量!B148-電力量!B147</f>
        <v>715</v>
      </c>
      <c r="C147">
        <f>電力量!C148-電力量!C147</f>
        <v>166</v>
      </c>
      <c r="D147">
        <f>電力量!D148-電力量!D147</f>
        <v>14</v>
      </c>
      <c r="E147">
        <f>電力量!E148-電力量!E147</f>
        <v>0</v>
      </c>
      <c r="F147">
        <f>電力量!F148-電力量!F147</f>
        <v>22</v>
      </c>
      <c r="G147">
        <f>電力量!G148-電力量!G147</f>
        <v>53.30000000000291</v>
      </c>
      <c r="H147">
        <f>電力量!H148-電力量!H147</f>
        <v>11</v>
      </c>
      <c r="I147">
        <f>電力量!I148-電力量!I147</f>
        <v>254</v>
      </c>
      <c r="J147">
        <f>電力量!J148-電力量!J147</f>
        <v>3.6000000000058208</v>
      </c>
      <c r="K147">
        <f>電力量!K148-電力量!K147</f>
        <v>3.1000000000058208</v>
      </c>
      <c r="L147">
        <f>電力量!L148-電力量!L147</f>
        <v>24</v>
      </c>
      <c r="M147">
        <f>電力量!M148-電力量!M147</f>
        <v>38.5</v>
      </c>
      <c r="N147">
        <f>電力量!N148-電力量!N147</f>
        <v>54.399999999994179</v>
      </c>
      <c r="O147">
        <f>電力量!O148-電力量!O147</f>
        <v>17.19999999999709</v>
      </c>
      <c r="P147">
        <f>電力量!P148-電力量!P147</f>
        <v>0</v>
      </c>
      <c r="Q147">
        <f>電力量!Q148-電力量!Q147</f>
        <v>0</v>
      </c>
      <c r="R147">
        <f>電力量!R148-電力量!R147</f>
        <v>0</v>
      </c>
    </row>
    <row r="148" spans="1:18">
      <c r="A148" s="4">
        <f t="shared" si="47"/>
        <v>45906.083333333336</v>
      </c>
      <c r="B148">
        <f>電力量!B149-電力量!B148</f>
        <v>698</v>
      </c>
      <c r="C148">
        <f>電力量!C149-電力量!C148</f>
        <v>161</v>
      </c>
      <c r="D148">
        <f>電力量!D149-電力量!D148</f>
        <v>14.5</v>
      </c>
      <c r="E148">
        <f>電力量!E149-電力量!E148</f>
        <v>0</v>
      </c>
      <c r="F148">
        <f>電力量!F149-電力量!F148</f>
        <v>21</v>
      </c>
      <c r="G148">
        <f>電力量!G149-電力量!G148</f>
        <v>54</v>
      </c>
      <c r="H148">
        <f>電力量!H149-電力量!H148</f>
        <v>12</v>
      </c>
      <c r="I148">
        <f>電力量!I149-電力量!I148</f>
        <v>246</v>
      </c>
      <c r="J148">
        <f>電力量!J149-電力量!J148</f>
        <v>3.6999999999970896</v>
      </c>
      <c r="K148">
        <f>電力量!K149-電力量!K148</f>
        <v>3.0999999999912689</v>
      </c>
      <c r="L148">
        <f>電力量!L149-電力量!L148</f>
        <v>23.599999999999909</v>
      </c>
      <c r="M148">
        <f>電力量!M149-電力量!M148</f>
        <v>38.100000000005821</v>
      </c>
      <c r="N148">
        <f>電力量!N149-電力量!N148</f>
        <v>54</v>
      </c>
      <c r="O148">
        <f>電力量!O149-電力量!O148</f>
        <v>17.400000000008731</v>
      </c>
      <c r="P148">
        <f>電力量!P149-電力量!P148</f>
        <v>0</v>
      </c>
      <c r="Q148">
        <f>電力量!Q149-電力量!Q148</f>
        <v>0</v>
      </c>
      <c r="R148">
        <f>電力量!R149-電力量!R148</f>
        <v>0</v>
      </c>
    </row>
    <row r="149" spans="1:18">
      <c r="A149" s="4">
        <f t="shared" si="48"/>
        <v>45906.125</v>
      </c>
      <c r="B149">
        <f>電力量!B150-電力量!B149</f>
        <v>693</v>
      </c>
      <c r="C149">
        <f>電力量!C150-電力量!C149</f>
        <v>162</v>
      </c>
      <c r="D149">
        <f>電力量!D150-電力量!D149</f>
        <v>14.299999999995634</v>
      </c>
      <c r="E149">
        <f>電力量!E150-電力量!E149</f>
        <v>0</v>
      </c>
      <c r="F149">
        <f>電力量!F150-電力量!F149</f>
        <v>20</v>
      </c>
      <c r="G149">
        <f>電力量!G150-電力量!G149</f>
        <v>51.69999999999709</v>
      </c>
      <c r="H149">
        <f>電力量!H150-電力量!H149</f>
        <v>11</v>
      </c>
      <c r="I149">
        <f>電力量!I150-電力量!I149</f>
        <v>242</v>
      </c>
      <c r="J149">
        <f>電力量!J150-電力量!J149</f>
        <v>3.8000000000029104</v>
      </c>
      <c r="K149">
        <f>電力量!K150-電力量!K149</f>
        <v>3</v>
      </c>
      <c r="L149">
        <f>電力量!L150-電力量!L149</f>
        <v>22.900000000000091</v>
      </c>
      <c r="M149">
        <f>電力量!M150-電力量!M149</f>
        <v>37.69999999999709</v>
      </c>
      <c r="N149">
        <f>電力量!N150-電力量!N149</f>
        <v>54.100000000005821</v>
      </c>
      <c r="O149">
        <f>電力量!O150-電力量!O149</f>
        <v>16.799999999988358</v>
      </c>
      <c r="P149">
        <f>電力量!P150-電力量!P149</f>
        <v>0</v>
      </c>
      <c r="Q149">
        <f>電力量!Q150-電力量!Q149</f>
        <v>0</v>
      </c>
      <c r="R149">
        <f>電力量!R150-電力量!R149</f>
        <v>0</v>
      </c>
    </row>
    <row r="150" spans="1:18">
      <c r="A150" s="4">
        <f t="shared" si="49"/>
        <v>45906.166666666664</v>
      </c>
      <c r="B150">
        <f>電力量!B151-電力量!B150</f>
        <v>679</v>
      </c>
      <c r="C150">
        <f>電力量!C151-電力量!C150</f>
        <v>155</v>
      </c>
      <c r="D150">
        <f>電力量!D151-電力量!D150</f>
        <v>14.30000000000291</v>
      </c>
      <c r="E150">
        <f>電力量!E151-電力量!E150</f>
        <v>0</v>
      </c>
      <c r="F150">
        <f>電力量!F151-電力量!F150</f>
        <v>21</v>
      </c>
      <c r="G150">
        <f>電力量!G151-電力量!G150</f>
        <v>51.600000000005821</v>
      </c>
      <c r="H150">
        <f>電力量!H151-電力量!H150</f>
        <v>12</v>
      </c>
      <c r="I150">
        <f>電力量!I151-電力量!I150</f>
        <v>237</v>
      </c>
      <c r="J150">
        <f>電力量!J151-電力量!J150</f>
        <v>3.6999999999970896</v>
      </c>
      <c r="K150">
        <f>電力量!K151-電力量!K150</f>
        <v>2.9000000000087311</v>
      </c>
      <c r="L150">
        <f>電力量!L151-電力量!L150</f>
        <v>21.299999999999955</v>
      </c>
      <c r="M150">
        <f>電力量!M151-電力量!M150</f>
        <v>38.100000000005821</v>
      </c>
      <c r="N150">
        <f>電力量!N151-電力量!N150</f>
        <v>54.299999999988358</v>
      </c>
      <c r="O150">
        <f>電力量!O151-電力量!O150</f>
        <v>18.30000000000291</v>
      </c>
      <c r="P150">
        <f>電力量!P151-電力量!P150</f>
        <v>0</v>
      </c>
      <c r="Q150">
        <f>電力量!Q151-電力量!Q150</f>
        <v>0</v>
      </c>
      <c r="R150">
        <f>電力量!R151-電力量!R150</f>
        <v>0</v>
      </c>
    </row>
    <row r="151" spans="1:18">
      <c r="A151" s="4">
        <f t="shared" si="50"/>
        <v>45906.208333333336</v>
      </c>
      <c r="B151">
        <f>電力量!B152-電力量!B151</f>
        <v>684</v>
      </c>
      <c r="C151">
        <f>電力量!C152-電力量!C151</f>
        <v>156</v>
      </c>
      <c r="D151">
        <f>電力量!D152-電力量!D151</f>
        <v>16.299999999995634</v>
      </c>
      <c r="E151">
        <f>電力量!E152-電力量!E151</f>
        <v>0</v>
      </c>
      <c r="F151">
        <f>電力量!F152-電力量!F151</f>
        <v>22</v>
      </c>
      <c r="G151">
        <f>電力量!G152-電力量!G151</f>
        <v>52</v>
      </c>
      <c r="H151">
        <f>電力量!H152-電力量!H151</f>
        <v>11</v>
      </c>
      <c r="I151">
        <f>電力量!I152-電力量!I151</f>
        <v>238</v>
      </c>
      <c r="J151">
        <f>電力量!J152-電力量!J151</f>
        <v>4</v>
      </c>
      <c r="K151">
        <f>電力量!K152-電力量!K151</f>
        <v>3</v>
      </c>
      <c r="L151">
        <f>電力量!L152-電力量!L151</f>
        <v>21.200000000000045</v>
      </c>
      <c r="M151">
        <f>電力量!M152-電力量!M151</f>
        <v>37.399999999994179</v>
      </c>
      <c r="N151">
        <f>電力量!N152-電力量!N151</f>
        <v>54.200000000011642</v>
      </c>
      <c r="O151">
        <f>電力量!O152-電力量!O151</f>
        <v>16.900000000008731</v>
      </c>
      <c r="P151">
        <f>電力量!P152-電力量!P151</f>
        <v>0</v>
      </c>
      <c r="Q151">
        <f>電力量!Q152-電力量!Q151</f>
        <v>0</v>
      </c>
      <c r="R151">
        <f>電力量!R152-電力量!R151</f>
        <v>0</v>
      </c>
    </row>
    <row r="152" spans="1:18">
      <c r="A152" s="4">
        <f t="shared" si="51"/>
        <v>45906.25</v>
      </c>
      <c r="B152">
        <f>電力量!B153-電力量!B152</f>
        <v>686</v>
      </c>
      <c r="C152">
        <f>電力量!C153-電力量!C152</f>
        <v>160</v>
      </c>
      <c r="D152">
        <f>電力量!D153-電力量!D152</f>
        <v>15.30000000000291</v>
      </c>
      <c r="E152">
        <f>電力量!E153-電力量!E152</f>
        <v>0</v>
      </c>
      <c r="F152">
        <f>電力量!F153-電力量!F152</f>
        <v>22</v>
      </c>
      <c r="G152">
        <f>電力量!G153-電力量!G152</f>
        <v>50.099999999991269</v>
      </c>
      <c r="H152">
        <f>電力量!H153-電力量!H152</f>
        <v>11</v>
      </c>
      <c r="I152">
        <f>電力量!I153-電力量!I152</f>
        <v>242</v>
      </c>
      <c r="J152">
        <f>電力量!J153-電力量!J152</f>
        <v>3.5</v>
      </c>
      <c r="K152">
        <f>電力量!K153-電力量!K152</f>
        <v>2.7999999999883585</v>
      </c>
      <c r="L152">
        <f>電力量!L153-電力量!L152</f>
        <v>20.199999999999932</v>
      </c>
      <c r="M152">
        <f>電力量!M153-電力量!M152</f>
        <v>37.100000000005821</v>
      </c>
      <c r="N152">
        <f>電力量!N153-電力量!N152</f>
        <v>53.69999999999709</v>
      </c>
      <c r="O152">
        <f>電力量!O153-電力量!O152</f>
        <v>15.799999999988358</v>
      </c>
      <c r="P152">
        <f>電力量!P153-電力量!P152</f>
        <v>0</v>
      </c>
      <c r="Q152">
        <f>電力量!Q153-電力量!Q152</f>
        <v>0</v>
      </c>
      <c r="R152">
        <f>電力量!R153-電力量!R152</f>
        <v>0</v>
      </c>
    </row>
    <row r="153" spans="1:18">
      <c r="A153" s="4">
        <f t="shared" si="52"/>
        <v>45906.291666666664</v>
      </c>
      <c r="B153">
        <f>電力量!B154-電力量!B153</f>
        <v>702</v>
      </c>
      <c r="C153">
        <f>電力量!C154-電力量!C153</f>
        <v>170</v>
      </c>
      <c r="D153">
        <f>電力量!D154-電力量!D153</f>
        <v>15.19999999999709</v>
      </c>
      <c r="E153">
        <f>電力量!E154-電力量!E153</f>
        <v>0</v>
      </c>
      <c r="F153">
        <f>電力量!F154-電力量!F153</f>
        <v>22</v>
      </c>
      <c r="G153">
        <f>電力量!G154-電力量!G153</f>
        <v>51.100000000005821</v>
      </c>
      <c r="H153">
        <f>電力量!H154-電力量!H153</f>
        <v>13</v>
      </c>
      <c r="I153">
        <f>電力量!I154-電力量!I153</f>
        <v>245</v>
      </c>
      <c r="J153">
        <f>電力量!J154-電力量!J153</f>
        <v>3.8000000000029104</v>
      </c>
      <c r="K153">
        <f>電力量!K154-電力量!K153</f>
        <v>1.1000000000058208</v>
      </c>
      <c r="L153">
        <f>電力量!L154-電力量!L153</f>
        <v>21.5</v>
      </c>
      <c r="M153">
        <f>電力量!M154-電力量!M153</f>
        <v>37.099999999991269</v>
      </c>
      <c r="N153">
        <f>電力量!N154-電力量!N153</f>
        <v>50.69999999999709</v>
      </c>
      <c r="O153">
        <f>電力量!O154-電力量!O153</f>
        <v>16.600000000005821</v>
      </c>
      <c r="P153">
        <f>電力量!P154-電力量!P153</f>
        <v>1</v>
      </c>
      <c r="Q153">
        <f>電力量!Q154-電力量!Q153</f>
        <v>3</v>
      </c>
      <c r="R153">
        <f>電力量!R154-電力量!R153</f>
        <v>0</v>
      </c>
    </row>
    <row r="154" spans="1:18">
      <c r="A154" s="4">
        <f t="shared" si="53"/>
        <v>45906.333333333336</v>
      </c>
      <c r="B154">
        <f>電力量!B155-電力量!B154</f>
        <v>719</v>
      </c>
      <c r="C154">
        <f>電力量!C155-電力量!C154</f>
        <v>174</v>
      </c>
      <c r="D154">
        <f>電力量!D155-電力量!D154</f>
        <v>14.80000000000291</v>
      </c>
      <c r="E154">
        <f>電力量!E155-電力量!E154</f>
        <v>0</v>
      </c>
      <c r="F154">
        <f>電力量!F155-電力量!F154</f>
        <v>23</v>
      </c>
      <c r="G154">
        <f>電力量!G155-電力量!G154</f>
        <v>40.600000000005821</v>
      </c>
      <c r="H154">
        <f>電力量!H155-電力量!H154</f>
        <v>12</v>
      </c>
      <c r="I154">
        <f>電力量!I155-電力量!I154</f>
        <v>260</v>
      </c>
      <c r="J154">
        <f>電力量!J155-電力量!J154</f>
        <v>3.6999999999970896</v>
      </c>
      <c r="K154">
        <f>電力量!K155-電力量!K154</f>
        <v>0</v>
      </c>
      <c r="L154">
        <f>電力量!L155-電力量!L154</f>
        <v>30.100000000000023</v>
      </c>
      <c r="M154">
        <f>電力量!M155-電力量!M154</f>
        <v>39.5</v>
      </c>
      <c r="N154">
        <f>電力量!N155-電力量!N154</f>
        <v>46.899999999994179</v>
      </c>
      <c r="O154">
        <f>電力量!O155-電力量!O154</f>
        <v>18.399999999994179</v>
      </c>
      <c r="P154">
        <f>電力量!P155-電力量!P154</f>
        <v>6</v>
      </c>
      <c r="Q154">
        <f>電力量!Q155-電力量!Q154</f>
        <v>10</v>
      </c>
      <c r="R154">
        <f>電力量!R155-電力量!R154</f>
        <v>0</v>
      </c>
    </row>
    <row r="155" spans="1:18">
      <c r="A155" s="4">
        <f t="shared" si="54"/>
        <v>45906.375</v>
      </c>
      <c r="B155">
        <f>電力量!B156-電力量!B155</f>
        <v>721</v>
      </c>
      <c r="C155">
        <f>電力量!C156-電力量!C155</f>
        <v>181</v>
      </c>
      <c r="D155">
        <f>電力量!D156-電力量!D155</f>
        <v>15.599999999998545</v>
      </c>
      <c r="E155">
        <f>電力量!E156-電力量!E155</f>
        <v>0</v>
      </c>
      <c r="F155">
        <f>電力量!F156-電力量!F155</f>
        <v>25</v>
      </c>
      <c r="G155">
        <f>電力量!G156-電力量!G155</f>
        <v>32.599999999991269</v>
      </c>
      <c r="H155">
        <f>電力量!H156-電力量!H155</f>
        <v>11</v>
      </c>
      <c r="I155">
        <f>電力量!I156-電力量!I155</f>
        <v>268</v>
      </c>
      <c r="J155">
        <f>電力量!J156-電力量!J155</f>
        <v>4</v>
      </c>
      <c r="K155">
        <f>電力量!K156-電力量!K155</f>
        <v>0</v>
      </c>
      <c r="L155">
        <f>電力量!L156-電力量!L155</f>
        <v>29.400000000000091</v>
      </c>
      <c r="M155">
        <f>電力量!M156-電力量!M155</f>
        <v>40.400000000008731</v>
      </c>
      <c r="N155">
        <f>電力量!N156-電力量!N155</f>
        <v>46.100000000005821</v>
      </c>
      <c r="O155">
        <f>電力量!O156-電力量!O155</f>
        <v>18</v>
      </c>
      <c r="P155">
        <f>電力量!P156-電力量!P155</f>
        <v>10</v>
      </c>
      <c r="Q155">
        <f>電力量!Q156-電力量!Q155</f>
        <v>14</v>
      </c>
      <c r="R155">
        <f>電力量!R156-電力量!R155</f>
        <v>0</v>
      </c>
    </row>
    <row r="156" spans="1:18">
      <c r="A156" s="4">
        <f t="shared" si="55"/>
        <v>45906.416666666664</v>
      </c>
      <c r="B156">
        <f>電力量!B157-電力量!B156</f>
        <v>724</v>
      </c>
      <c r="C156">
        <f>電力量!C157-電力量!C156</f>
        <v>180</v>
      </c>
      <c r="D156">
        <f>電力量!D157-電力量!D156</f>
        <v>17.80000000000291</v>
      </c>
      <c r="E156">
        <f>電力量!E157-電力量!E156</f>
        <v>0</v>
      </c>
      <c r="F156">
        <f>電力量!F157-電力量!F156</f>
        <v>27</v>
      </c>
      <c r="G156">
        <f>電力量!G157-電力量!G156</f>
        <v>30.900000000008731</v>
      </c>
      <c r="H156">
        <f>電力量!H157-電力量!H156</f>
        <v>12</v>
      </c>
      <c r="I156">
        <f>電力量!I157-電力量!I156</f>
        <v>269</v>
      </c>
      <c r="J156">
        <f>電力量!J157-電力量!J156</f>
        <v>3.5999999999985448</v>
      </c>
      <c r="K156">
        <f>電力量!K157-電力量!K156</f>
        <v>0</v>
      </c>
      <c r="L156">
        <f>電力量!L157-電力量!L156</f>
        <v>32</v>
      </c>
      <c r="M156">
        <f>電力量!M157-電力量!M156</f>
        <v>39</v>
      </c>
      <c r="N156">
        <f>電力量!N157-電力量!N156</f>
        <v>46.399999999994179</v>
      </c>
      <c r="O156">
        <f>電力量!O157-電力量!O156</f>
        <v>18.700000000011642</v>
      </c>
      <c r="P156">
        <f>電力量!P157-電力量!P156</f>
        <v>12</v>
      </c>
      <c r="Q156">
        <f>電力量!Q157-電力量!Q156</f>
        <v>19</v>
      </c>
      <c r="R156">
        <f>電力量!R157-電力量!R156</f>
        <v>0</v>
      </c>
    </row>
    <row r="157" spans="1:18">
      <c r="A157" s="4">
        <f t="shared" si="56"/>
        <v>45906.458333333336</v>
      </c>
      <c r="B157">
        <f>電力量!B158-電力量!B157</f>
        <v>757</v>
      </c>
      <c r="C157">
        <f>電力量!C158-電力量!C157</f>
        <v>192</v>
      </c>
      <c r="D157">
        <f>電力量!D158-電力量!D157</f>
        <v>26.299999999995634</v>
      </c>
      <c r="E157">
        <f>電力量!E158-電力量!E157</f>
        <v>0</v>
      </c>
      <c r="F157">
        <f>電力量!F158-電力量!F157</f>
        <v>28</v>
      </c>
      <c r="G157">
        <f>電力量!G158-電力量!G157</f>
        <v>34.599999999991269</v>
      </c>
      <c r="H157">
        <f>電力量!H158-電力量!H157</f>
        <v>12</v>
      </c>
      <c r="I157">
        <f>電力量!I158-電力量!I157</f>
        <v>277</v>
      </c>
      <c r="J157">
        <f>電力量!J158-電力量!J157</f>
        <v>3.9000000000014552</v>
      </c>
      <c r="K157">
        <f>電力量!K158-電力量!K157</f>
        <v>0</v>
      </c>
      <c r="L157">
        <f>電力量!L158-電力量!L157</f>
        <v>30.899999999999864</v>
      </c>
      <c r="M157">
        <f>電力量!M158-電力量!M157</f>
        <v>41.30000000000291</v>
      </c>
      <c r="N157">
        <f>電力量!N158-電力量!N157</f>
        <v>45.900000000008731</v>
      </c>
      <c r="O157">
        <f>電力量!O158-電力量!O157</f>
        <v>19.299999999988358</v>
      </c>
      <c r="P157">
        <f>電力量!P158-電力量!P157</f>
        <v>15</v>
      </c>
      <c r="Q157">
        <f>電力量!Q158-電力量!Q157</f>
        <v>23</v>
      </c>
      <c r="R157">
        <f>電力量!R158-電力量!R157</f>
        <v>0</v>
      </c>
    </row>
    <row r="158" spans="1:18">
      <c r="A158" s="4">
        <f t="shared" si="57"/>
        <v>45906.5</v>
      </c>
      <c r="B158">
        <f>電力量!B159-電力量!B158</f>
        <v>790</v>
      </c>
      <c r="C158">
        <f>電力量!C159-電力量!C158</f>
        <v>204</v>
      </c>
      <c r="D158">
        <f>電力量!D159-電力量!D158</f>
        <v>28.700000000004366</v>
      </c>
      <c r="E158">
        <f>電力量!E159-電力量!E158</f>
        <v>0</v>
      </c>
      <c r="F158">
        <f>電力量!F159-電力量!F158</f>
        <v>31</v>
      </c>
      <c r="G158">
        <f>電力量!G159-電力量!G158</f>
        <v>35.19999999999709</v>
      </c>
      <c r="H158">
        <f>電力量!H159-電力量!H158</f>
        <v>12</v>
      </c>
      <c r="I158">
        <f>電力量!I159-電力量!I158</f>
        <v>285</v>
      </c>
      <c r="J158">
        <f>電力量!J159-電力量!J158</f>
        <v>4</v>
      </c>
      <c r="K158">
        <f>電力量!K159-電力量!K158</f>
        <v>0</v>
      </c>
      <c r="L158">
        <f>電力量!L159-電力量!L158</f>
        <v>32.5</v>
      </c>
      <c r="M158">
        <f>電力量!M159-電力量!M158</f>
        <v>44.399999999994179</v>
      </c>
      <c r="N158">
        <f>電力量!N159-電力量!N158</f>
        <v>46.599999999991269</v>
      </c>
      <c r="O158">
        <f>電力量!O159-電力量!O158</f>
        <v>19.200000000011642</v>
      </c>
      <c r="P158">
        <f>電力量!P159-電力量!P158</f>
        <v>15</v>
      </c>
      <c r="Q158">
        <f>電力量!Q159-電力量!Q158</f>
        <v>23</v>
      </c>
      <c r="R158">
        <f>電力量!R159-電力量!R158</f>
        <v>0</v>
      </c>
    </row>
    <row r="159" spans="1:18">
      <c r="A159" s="4">
        <f t="shared" si="58"/>
        <v>45906.541666666664</v>
      </c>
      <c r="B159">
        <f>電力量!B160-電力量!B159</f>
        <v>833</v>
      </c>
      <c r="C159">
        <f>電力量!C160-電力量!C159</f>
        <v>217</v>
      </c>
      <c r="D159">
        <f>電力量!D160-電力量!D159</f>
        <v>26</v>
      </c>
      <c r="E159">
        <f>電力量!E160-電力量!E159</f>
        <v>0</v>
      </c>
      <c r="F159">
        <f>電力量!F160-電力量!F159</f>
        <v>34</v>
      </c>
      <c r="G159">
        <f>電力量!G160-電力量!G159</f>
        <v>37.600000000005821</v>
      </c>
      <c r="H159">
        <f>電力量!H160-電力量!H159</f>
        <v>12</v>
      </c>
      <c r="I159">
        <f>電力量!I160-電力量!I159</f>
        <v>300</v>
      </c>
      <c r="J159">
        <f>電力量!J160-電力量!J159</f>
        <v>3.9000000000014552</v>
      </c>
      <c r="K159">
        <f>電力量!K160-電力量!K159</f>
        <v>0</v>
      </c>
      <c r="L159">
        <f>電力量!L160-電力量!L159</f>
        <v>41.5</v>
      </c>
      <c r="M159">
        <f>電力量!M160-電力量!M159</f>
        <v>43.100000000005821</v>
      </c>
      <c r="N159">
        <f>電力量!N160-電力量!N159</f>
        <v>46.700000000011642</v>
      </c>
      <c r="O159">
        <f>電力量!O160-電力量!O159</f>
        <v>21.5</v>
      </c>
      <c r="P159">
        <f>電力量!P160-電力量!P159</f>
        <v>16</v>
      </c>
      <c r="Q159">
        <f>電力量!Q160-電力量!Q159</f>
        <v>23</v>
      </c>
      <c r="R159">
        <f>電力量!R160-電力量!R159</f>
        <v>0</v>
      </c>
    </row>
    <row r="160" spans="1:18">
      <c r="A160" s="4">
        <f t="shared" si="59"/>
        <v>45906.583333333336</v>
      </c>
      <c r="B160">
        <f>電力量!B161-電力量!B160</f>
        <v>883</v>
      </c>
      <c r="C160">
        <f>電力量!C161-電力量!C160</f>
        <v>239</v>
      </c>
      <c r="D160">
        <f>電力量!D161-電力量!D160</f>
        <v>24.900000000001455</v>
      </c>
      <c r="E160">
        <f>電力量!E161-電力量!E160</f>
        <v>0</v>
      </c>
      <c r="F160">
        <f>電力量!F161-電力量!F160</f>
        <v>33</v>
      </c>
      <c r="G160">
        <f>電力量!G161-電力量!G160</f>
        <v>45.80000000000291</v>
      </c>
      <c r="H160">
        <f>電力量!H161-電力量!H160</f>
        <v>14</v>
      </c>
      <c r="I160">
        <f>電力量!I161-電力量!I160</f>
        <v>306</v>
      </c>
      <c r="J160">
        <f>電力量!J161-電力量!J160</f>
        <v>4.9000000000014552</v>
      </c>
      <c r="K160">
        <f>電力量!K161-電力量!K160</f>
        <v>0</v>
      </c>
      <c r="L160">
        <f>電力量!L161-電力量!L160</f>
        <v>42.200000000000045</v>
      </c>
      <c r="M160">
        <f>電力量!M161-電力量!M160</f>
        <v>46.099999999991269</v>
      </c>
      <c r="N160">
        <f>電力量!N161-電力量!N160</f>
        <v>46.899999999994179</v>
      </c>
      <c r="O160">
        <f>電力量!O161-電力量!O160</f>
        <v>22.399999999994179</v>
      </c>
      <c r="P160">
        <f>電力量!P161-電力量!P160</f>
        <v>14</v>
      </c>
      <c r="Q160">
        <f>電力量!Q161-電力量!Q160</f>
        <v>22</v>
      </c>
      <c r="R160">
        <f>電力量!R161-電力量!R160</f>
        <v>0</v>
      </c>
    </row>
    <row r="161" spans="1:18">
      <c r="A161" s="4">
        <f t="shared" si="60"/>
        <v>45906.625</v>
      </c>
      <c r="B161">
        <f>電力量!B162-電力量!B161</f>
        <v>899</v>
      </c>
      <c r="C161">
        <f>電力量!C162-電力量!C161</f>
        <v>241</v>
      </c>
      <c r="D161">
        <f>電力量!D162-電力量!D161</f>
        <v>26.799999999995634</v>
      </c>
      <c r="E161">
        <f>電力量!E162-電力量!E161</f>
        <v>0</v>
      </c>
      <c r="F161">
        <f>電力量!F162-電力量!F161</f>
        <v>36</v>
      </c>
      <c r="G161">
        <f>電力量!G162-電力量!G161</f>
        <v>53</v>
      </c>
      <c r="H161">
        <f>電力量!H162-電力量!H161</f>
        <v>12</v>
      </c>
      <c r="I161">
        <f>電力量!I162-電力量!I161</f>
        <v>310</v>
      </c>
      <c r="J161">
        <f>電力量!J162-電力量!J161</f>
        <v>4.7999999999956344</v>
      </c>
      <c r="K161">
        <f>電力量!K162-電力量!K161</f>
        <v>0</v>
      </c>
      <c r="L161">
        <f>電力量!L162-電力量!L161</f>
        <v>40.5</v>
      </c>
      <c r="M161">
        <f>電力量!M162-電力量!M161</f>
        <v>45.69999999999709</v>
      </c>
      <c r="N161">
        <f>電力量!N162-電力量!N161</f>
        <v>46.600000000005821</v>
      </c>
      <c r="O161">
        <f>電力量!O162-電力量!O161</f>
        <v>21.19999999999709</v>
      </c>
      <c r="P161">
        <f>電力量!P162-電力量!P161</f>
        <v>12</v>
      </c>
      <c r="Q161">
        <f>電力量!Q162-電力量!Q161</f>
        <v>18</v>
      </c>
      <c r="R161">
        <f>電力量!R162-電力量!R161</f>
        <v>0</v>
      </c>
    </row>
    <row r="162" spans="1:18">
      <c r="A162" s="4">
        <f t="shared" si="61"/>
        <v>45906.666666666664</v>
      </c>
      <c r="B162">
        <f>電力量!B163-電力量!B162</f>
        <v>893</v>
      </c>
      <c r="C162">
        <f>電力量!C163-電力量!C162</f>
        <v>231</v>
      </c>
      <c r="D162">
        <f>電力量!D163-電力量!D162</f>
        <v>26.700000000004366</v>
      </c>
      <c r="E162">
        <f>電力量!E163-電力量!E162</f>
        <v>0</v>
      </c>
      <c r="F162">
        <f>電力量!F163-電力量!F162</f>
        <v>28</v>
      </c>
      <c r="G162">
        <f>電力量!G163-電力量!G162</f>
        <v>59.899999999994179</v>
      </c>
      <c r="H162">
        <f>電力量!H163-電力量!H162</f>
        <v>13</v>
      </c>
      <c r="I162">
        <f>電力量!I163-電力量!I162</f>
        <v>310</v>
      </c>
      <c r="J162">
        <f>電力量!J163-電力量!J162</f>
        <v>4.7000000000043656</v>
      </c>
      <c r="K162">
        <f>電力量!K163-電力量!K162</f>
        <v>0.30000000000291038</v>
      </c>
      <c r="L162">
        <f>電力量!L163-電力量!L162</f>
        <v>29.900000000000091</v>
      </c>
      <c r="M162">
        <f>電力量!M163-電力量!M162</f>
        <v>44.400000000008731</v>
      </c>
      <c r="N162">
        <f>電力量!N163-電力量!N162</f>
        <v>49</v>
      </c>
      <c r="O162">
        <f>電力量!O163-電力量!O162</f>
        <v>21.80000000000291</v>
      </c>
      <c r="P162">
        <f>電力量!P163-電力量!P162</f>
        <v>8</v>
      </c>
      <c r="Q162">
        <f>電力量!Q163-電力量!Q162</f>
        <v>12</v>
      </c>
      <c r="R162">
        <f>電力量!R163-電力量!R162</f>
        <v>0</v>
      </c>
    </row>
    <row r="163" spans="1:18">
      <c r="A163" s="4">
        <f t="shared" si="62"/>
        <v>45906.708333333336</v>
      </c>
      <c r="B163">
        <f>電力量!B164-電力量!B163</f>
        <v>862</v>
      </c>
      <c r="C163">
        <f>電力量!C164-電力量!C163</f>
        <v>214</v>
      </c>
      <c r="D163">
        <f>電力量!D164-電力量!D163</f>
        <v>19</v>
      </c>
      <c r="E163">
        <f>電力量!E164-電力量!E163</f>
        <v>0</v>
      </c>
      <c r="F163">
        <f>電力量!F164-電力量!F163</f>
        <v>25</v>
      </c>
      <c r="G163">
        <f>電力量!G164-電力量!G163</f>
        <v>66.100000000005821</v>
      </c>
      <c r="H163">
        <f>電力量!H164-電力量!H163</f>
        <v>12</v>
      </c>
      <c r="I163">
        <f>電力量!I164-電力量!I163</f>
        <v>308</v>
      </c>
      <c r="J163">
        <f>電力量!J164-電力量!J163</f>
        <v>4</v>
      </c>
      <c r="K163">
        <f>電力量!K164-電力量!K163</f>
        <v>2.8999999999941792</v>
      </c>
      <c r="L163">
        <f>電力量!L164-電力量!L163</f>
        <v>22.5</v>
      </c>
      <c r="M163">
        <f>電力量!M164-電力量!M163</f>
        <v>44.899999999994179</v>
      </c>
      <c r="N163">
        <f>電力量!N164-電力量!N163</f>
        <v>53.899999999994179</v>
      </c>
      <c r="O163">
        <f>電力量!O164-電力量!O163</f>
        <v>21.399999999994179</v>
      </c>
      <c r="P163">
        <f>電力量!P164-電力量!P163</f>
        <v>2</v>
      </c>
      <c r="Q163">
        <f>電力量!Q164-電力量!Q163</f>
        <v>4</v>
      </c>
      <c r="R163">
        <f>電力量!R164-電力量!R163</f>
        <v>0</v>
      </c>
    </row>
    <row r="164" spans="1:18">
      <c r="A164" s="4">
        <f t="shared" si="63"/>
        <v>45906.75</v>
      </c>
      <c r="B164">
        <f>電力量!B165-電力量!B164</f>
        <v>805</v>
      </c>
      <c r="C164">
        <f>電力量!C165-電力量!C164</f>
        <v>194</v>
      </c>
      <c r="D164">
        <f>電力量!D165-電力量!D164</f>
        <v>17.599999999998545</v>
      </c>
      <c r="E164">
        <f>電力量!E165-電力量!E164</f>
        <v>0</v>
      </c>
      <c r="F164">
        <f>電力量!F165-電力量!F164</f>
        <v>23</v>
      </c>
      <c r="G164">
        <f>電力量!G165-電力量!G164</f>
        <v>64.399999999994179</v>
      </c>
      <c r="H164">
        <f>電力量!H165-電力量!H164</f>
        <v>12</v>
      </c>
      <c r="I164">
        <f>電力量!I165-電力量!I164</f>
        <v>292</v>
      </c>
      <c r="J164">
        <f>電力量!J165-電力量!J164</f>
        <v>3.5999999999985448</v>
      </c>
      <c r="K164">
        <f>電力量!K165-電力量!K164</f>
        <v>3.8000000000029104</v>
      </c>
      <c r="L164">
        <f>電力量!L165-電力量!L164</f>
        <v>21.5</v>
      </c>
      <c r="M164">
        <f>電力量!M165-電力量!M164</f>
        <v>40.80000000000291</v>
      </c>
      <c r="N164">
        <f>電力量!N165-電力量!N164</f>
        <v>55</v>
      </c>
      <c r="O164">
        <f>電力量!O165-電力量!O164</f>
        <v>16.30000000000291</v>
      </c>
      <c r="P164">
        <f>電力量!P165-電力量!P164</f>
        <v>0</v>
      </c>
      <c r="Q164">
        <f>電力量!Q165-電力量!Q164</f>
        <v>0</v>
      </c>
      <c r="R164">
        <f>電力量!R165-電力量!R164</f>
        <v>0</v>
      </c>
    </row>
    <row r="165" spans="1:18">
      <c r="A165" s="4">
        <f t="shared" si="64"/>
        <v>45906.791666666664</v>
      </c>
      <c r="B165">
        <f>電力量!B166-電力量!B165</f>
        <v>789</v>
      </c>
      <c r="C165">
        <f>電力量!C166-電力量!C165</f>
        <v>182</v>
      </c>
      <c r="D165">
        <f>電力量!D166-電力量!D165</f>
        <v>21.599999999998545</v>
      </c>
      <c r="E165">
        <f>電力量!E166-電力量!E165</f>
        <v>0</v>
      </c>
      <c r="F165">
        <f>電力量!F166-電力量!F165</f>
        <v>25</v>
      </c>
      <c r="G165">
        <f>電力量!G166-電力量!G165</f>
        <v>62.400000000008731</v>
      </c>
      <c r="H165">
        <f>電力量!H166-電力量!H165</f>
        <v>12</v>
      </c>
      <c r="I165">
        <f>電力量!I166-電力量!I165</f>
        <v>281</v>
      </c>
      <c r="J165">
        <f>電力量!J166-電力量!J165</f>
        <v>4.0999999999985448</v>
      </c>
      <c r="K165">
        <f>電力量!K166-電力量!K165</f>
        <v>3.6999999999970896</v>
      </c>
      <c r="L165">
        <f>電力量!L166-電力量!L165</f>
        <v>20.599999999999909</v>
      </c>
      <c r="M165">
        <f>電力量!M166-電力量!M165</f>
        <v>41</v>
      </c>
      <c r="N165">
        <f>電力量!N166-電力量!N165</f>
        <v>56.399999999994179</v>
      </c>
      <c r="O165">
        <f>電力量!O166-電力量!O165</f>
        <v>18.30000000000291</v>
      </c>
      <c r="P165">
        <f>電力量!P166-電力量!P165</f>
        <v>0</v>
      </c>
      <c r="Q165">
        <f>電力量!Q166-電力量!Q165</f>
        <v>0</v>
      </c>
      <c r="R165">
        <f>電力量!R166-電力量!R165</f>
        <v>0</v>
      </c>
    </row>
    <row r="166" spans="1:18">
      <c r="A166" s="4">
        <f t="shared" si="65"/>
        <v>45906.833333333336</v>
      </c>
      <c r="B166">
        <f>電力量!B167-電力量!B166</f>
        <v>759</v>
      </c>
      <c r="C166">
        <f>電力量!C167-電力量!C166</f>
        <v>175</v>
      </c>
      <c r="D166">
        <f>電力量!D167-電力量!D166</f>
        <v>18.599999999998545</v>
      </c>
      <c r="E166">
        <f>電力量!E167-電力量!E166</f>
        <v>0</v>
      </c>
      <c r="F166">
        <f>電力量!F167-電力量!F166</f>
        <v>22</v>
      </c>
      <c r="G166">
        <f>電力量!G167-電力量!G166</f>
        <v>57.599999999991269</v>
      </c>
      <c r="H166">
        <f>電力量!H167-電力量!H166</f>
        <v>13</v>
      </c>
      <c r="I166">
        <f>電力量!I167-電力量!I166</f>
        <v>271</v>
      </c>
      <c r="J166">
        <f>電力量!J167-電力量!J166</f>
        <v>3.5999999999985448</v>
      </c>
      <c r="K166">
        <f>電力量!K167-電力量!K166</f>
        <v>3.5</v>
      </c>
      <c r="L166">
        <f>電力量!L167-電力量!L166</f>
        <v>20.299999999999955</v>
      </c>
      <c r="M166">
        <f>電力量!M167-電力量!M166</f>
        <v>40.5</v>
      </c>
      <c r="N166">
        <f>電力量!N167-電力量!N166</f>
        <v>56.100000000005821</v>
      </c>
      <c r="O166">
        <f>電力量!O167-電力量!O166</f>
        <v>19.19999999999709</v>
      </c>
      <c r="P166">
        <f>電力量!P167-電力量!P166</f>
        <v>0</v>
      </c>
      <c r="Q166">
        <f>電力量!Q167-電力量!Q166</f>
        <v>0</v>
      </c>
      <c r="R166">
        <f>電力量!R167-電力量!R166</f>
        <v>0</v>
      </c>
    </row>
    <row r="167" spans="1:18">
      <c r="A167" s="4">
        <f t="shared" si="66"/>
        <v>45906.875</v>
      </c>
      <c r="B167">
        <f>電力量!B168-電力量!B167</f>
        <v>746</v>
      </c>
      <c r="C167">
        <f>電力量!C168-電力量!C167</f>
        <v>173</v>
      </c>
      <c r="D167">
        <f>電力量!D168-電力量!D167</f>
        <v>16.099999999998545</v>
      </c>
      <c r="E167">
        <f>電力量!E168-電力量!E167</f>
        <v>0</v>
      </c>
      <c r="F167">
        <f>電力量!F168-電力量!F167</f>
        <v>21</v>
      </c>
      <c r="G167">
        <f>電力量!G168-電力量!G167</f>
        <v>55.5</v>
      </c>
      <c r="H167">
        <f>電力量!H168-電力量!H167</f>
        <v>13</v>
      </c>
      <c r="I167">
        <f>電力量!I168-電力量!I167</f>
        <v>265</v>
      </c>
      <c r="J167">
        <f>電力量!J168-電力量!J167</f>
        <v>4</v>
      </c>
      <c r="K167">
        <f>電力量!K168-電力量!K167</f>
        <v>3.4000000000087311</v>
      </c>
      <c r="L167">
        <f>電力量!L168-電力量!L167</f>
        <v>20.600000000000136</v>
      </c>
      <c r="M167">
        <f>電力量!M168-電力量!M167</f>
        <v>42.399999999994179</v>
      </c>
      <c r="N167">
        <f>電力量!N168-電力量!N167</f>
        <v>54.69999999999709</v>
      </c>
      <c r="O167">
        <f>電力量!O168-電力量!O167</f>
        <v>19.100000000005821</v>
      </c>
      <c r="P167">
        <f>電力量!P168-電力量!P167</f>
        <v>0</v>
      </c>
      <c r="Q167">
        <f>電力量!Q168-電力量!Q167</f>
        <v>0</v>
      </c>
      <c r="R167">
        <f>電力量!R168-電力量!R167</f>
        <v>0</v>
      </c>
    </row>
    <row r="168" spans="1:18">
      <c r="A168" s="4">
        <f t="shared" si="67"/>
        <v>45906.916666666664</v>
      </c>
      <c r="B168">
        <f>電力量!B169-電力量!B168</f>
        <v>743</v>
      </c>
      <c r="C168">
        <f>電力量!C169-電力量!C168</f>
        <v>172</v>
      </c>
      <c r="D168">
        <f>電力量!D169-電力量!D168</f>
        <v>15.600000000005821</v>
      </c>
      <c r="E168">
        <f>電力量!E169-電力量!E168</f>
        <v>0</v>
      </c>
      <c r="F168">
        <f>電力量!F169-電力量!F168</f>
        <v>21</v>
      </c>
      <c r="G168">
        <f>電力量!G169-電力量!G168</f>
        <v>58.19999999999709</v>
      </c>
      <c r="H168">
        <f>電力量!H169-電力量!H168</f>
        <v>12</v>
      </c>
      <c r="I168">
        <f>電力量!I169-電力量!I168</f>
        <v>266</v>
      </c>
      <c r="J168">
        <f>電力量!J169-電力量!J168</f>
        <v>3.8000000000029104</v>
      </c>
      <c r="K168">
        <f>電力量!K169-電力量!K168</f>
        <v>3.5</v>
      </c>
      <c r="L168">
        <f>電力量!L169-電力量!L168</f>
        <v>22</v>
      </c>
      <c r="M168">
        <f>電力量!M169-電力量!M168</f>
        <v>40</v>
      </c>
      <c r="N168">
        <f>電力量!N169-電力量!N168</f>
        <v>54.80000000000291</v>
      </c>
      <c r="O168">
        <f>電力量!O169-電力量!O168</f>
        <v>18.599999999991269</v>
      </c>
      <c r="P168">
        <f>電力量!P169-電力量!P168</f>
        <v>0</v>
      </c>
      <c r="Q168">
        <f>電力量!Q169-電力量!Q168</f>
        <v>0</v>
      </c>
      <c r="R168">
        <f>電力量!R169-電力量!R168</f>
        <v>0</v>
      </c>
    </row>
    <row r="169" spans="1:18">
      <c r="A169" s="4">
        <f t="shared" si="68"/>
        <v>45906.958333333336</v>
      </c>
      <c r="B169">
        <f>電力量!B170-電力量!B169</f>
        <v>738</v>
      </c>
      <c r="C169">
        <f>電力量!C170-電力量!C169</f>
        <v>174</v>
      </c>
      <c r="D169">
        <f>電力量!D170-電力量!D169</f>
        <v>15.5</v>
      </c>
      <c r="E169">
        <f>電力量!E170-電力量!E169</f>
        <v>0</v>
      </c>
      <c r="F169">
        <f>電力量!F170-電力量!F169</f>
        <v>18</v>
      </c>
      <c r="G169">
        <f>電力量!G170-電力量!G169</f>
        <v>60.80000000000291</v>
      </c>
      <c r="H169">
        <f>電力量!H170-電力量!H169</f>
        <v>11</v>
      </c>
      <c r="I169">
        <f>電力量!I170-電力量!I169</f>
        <v>258</v>
      </c>
      <c r="J169">
        <f>電力量!J170-電力量!J169</f>
        <v>3.7999999999956344</v>
      </c>
      <c r="K169">
        <f>電力量!K170-電力量!K169</f>
        <v>3.2999999999883585</v>
      </c>
      <c r="L169">
        <f>電力量!L170-電力量!L169</f>
        <v>22.699999999999818</v>
      </c>
      <c r="M169">
        <f>電力量!M170-電力量!M169</f>
        <v>39.30000000000291</v>
      </c>
      <c r="N169">
        <f>電力量!N170-電力量!N169</f>
        <v>55.399999999994179</v>
      </c>
      <c r="O169">
        <f>電力量!O170-電力量!O169</f>
        <v>18.400000000008731</v>
      </c>
      <c r="P169">
        <f>電力量!P170-電力量!P169</f>
        <v>0</v>
      </c>
      <c r="Q169">
        <f>電力量!Q170-電力量!Q169</f>
        <v>0</v>
      </c>
      <c r="R169">
        <f>電力量!R170-電力量!R169</f>
        <v>0</v>
      </c>
    </row>
    <row r="170" spans="1:18">
      <c r="A170" s="4">
        <v>45907</v>
      </c>
      <c r="B170">
        <f>電力量!B171-電力量!B170</f>
        <v>724</v>
      </c>
      <c r="C170">
        <f>電力量!C171-電力量!C170</f>
        <v>171</v>
      </c>
      <c r="D170">
        <f>電力量!D171-電力量!D170</f>
        <v>15.19999999999709</v>
      </c>
      <c r="E170">
        <f>電力量!E171-電力量!E170</f>
        <v>0</v>
      </c>
      <c r="F170">
        <f>電力量!F171-電力量!F170</f>
        <v>19</v>
      </c>
      <c r="G170">
        <f>電力量!G171-電力量!G170</f>
        <v>58.30000000000291</v>
      </c>
      <c r="H170">
        <f>電力量!H171-電力量!H170</f>
        <v>12</v>
      </c>
      <c r="I170">
        <f>電力量!I171-電力量!I170</f>
        <v>255</v>
      </c>
      <c r="J170">
        <f>電力量!J171-電力量!J170</f>
        <v>3.9000000000014552</v>
      </c>
      <c r="K170">
        <f>電力量!K171-電力量!K170</f>
        <v>3.3000000000029104</v>
      </c>
      <c r="L170">
        <f>電力量!L171-電力量!L170</f>
        <v>22.800000000000182</v>
      </c>
      <c r="M170">
        <f>電力量!M171-電力量!M170</f>
        <v>38.900000000008731</v>
      </c>
      <c r="N170">
        <f>電力量!N171-電力量!N170</f>
        <v>55</v>
      </c>
      <c r="O170">
        <f>電力量!O171-電力量!O170</f>
        <v>16.599999999991269</v>
      </c>
      <c r="P170">
        <f>電力量!P171-電力量!P170</f>
        <v>0</v>
      </c>
      <c r="Q170">
        <f>電力量!Q171-電力量!Q170</f>
        <v>0</v>
      </c>
      <c r="R170">
        <f>電力量!R171-電力量!R170</f>
        <v>0</v>
      </c>
    </row>
    <row r="171" spans="1:18">
      <c r="A171" s="4">
        <f t="shared" ref="A171:A219" si="69">A170+(1/24)</f>
        <v>45907.041666666664</v>
      </c>
      <c r="B171">
        <f>電力量!B172-電力量!B171</f>
        <v>725</v>
      </c>
      <c r="C171">
        <f>電力量!C172-電力量!C171</f>
        <v>172</v>
      </c>
      <c r="D171">
        <f>電力量!D172-電力量!D171</f>
        <v>18.099999999998545</v>
      </c>
      <c r="E171">
        <f>電力量!E172-電力量!E171</f>
        <v>0</v>
      </c>
      <c r="F171">
        <f>電力量!F172-電力量!F171</f>
        <v>20</v>
      </c>
      <c r="G171">
        <f>電力量!G172-電力量!G171</f>
        <v>56.69999999999709</v>
      </c>
      <c r="H171">
        <f>電力量!H172-電力量!H171</f>
        <v>12</v>
      </c>
      <c r="I171">
        <f>電力量!I172-電力量!I171</f>
        <v>248</v>
      </c>
      <c r="J171">
        <f>電力量!J172-電力量!J171</f>
        <v>3.7000000000043656</v>
      </c>
      <c r="K171">
        <f>電力量!K172-電力量!K171</f>
        <v>3.3000000000029104</v>
      </c>
      <c r="L171">
        <f>電力量!L172-電力量!L171</f>
        <v>22.899999999999864</v>
      </c>
      <c r="M171">
        <f>電力量!M172-電力量!M171</f>
        <v>39.299999999988358</v>
      </c>
      <c r="N171">
        <f>電力量!N172-電力量!N171</f>
        <v>54.80000000000291</v>
      </c>
      <c r="O171">
        <f>電力量!O172-電力量!O171</f>
        <v>17.900000000008731</v>
      </c>
      <c r="P171">
        <f>電力量!P172-電力量!P171</f>
        <v>0</v>
      </c>
      <c r="Q171">
        <f>電力量!Q172-電力量!Q171</f>
        <v>0</v>
      </c>
      <c r="R171">
        <f>電力量!R172-電力量!R171</f>
        <v>0</v>
      </c>
    </row>
    <row r="172" spans="1:18">
      <c r="A172" s="4">
        <f t="shared" ref="A172:A220" si="70">A170+(2/24)</f>
        <v>45907.083333333336</v>
      </c>
      <c r="B172">
        <f>電力量!B173-電力量!B172</f>
        <v>724</v>
      </c>
      <c r="C172">
        <f>電力量!C173-電力量!C172</f>
        <v>174</v>
      </c>
      <c r="D172">
        <f>電力量!D173-電力量!D172</f>
        <v>15.700000000004366</v>
      </c>
      <c r="E172">
        <f>電力量!E173-電力量!E172</f>
        <v>0</v>
      </c>
      <c r="F172">
        <f>電力量!F173-電力量!F172</f>
        <v>23</v>
      </c>
      <c r="G172">
        <f>電力量!G173-電力量!G172</f>
        <v>55.400000000008731</v>
      </c>
      <c r="H172">
        <f>電力量!H173-電力量!H172</f>
        <v>12</v>
      </c>
      <c r="I172">
        <f>電力量!I173-電力量!I172</f>
        <v>247</v>
      </c>
      <c r="J172">
        <f>電力量!J173-電力量!J172</f>
        <v>4</v>
      </c>
      <c r="K172">
        <f>電力量!K173-電力量!K172</f>
        <v>3.5</v>
      </c>
      <c r="L172">
        <f>電力量!L173-電力量!L172</f>
        <v>21.299999999999955</v>
      </c>
      <c r="M172">
        <f>電力量!M173-電力量!M172</f>
        <v>40.5</v>
      </c>
      <c r="N172">
        <f>電力量!N173-電力量!N172</f>
        <v>55</v>
      </c>
      <c r="O172">
        <f>電力量!O173-電力量!O172</f>
        <v>18</v>
      </c>
      <c r="P172">
        <f>電力量!P173-電力量!P172</f>
        <v>0</v>
      </c>
      <c r="Q172">
        <f>電力量!Q173-電力量!Q172</f>
        <v>0</v>
      </c>
      <c r="R172">
        <f>電力量!R173-電力量!R172</f>
        <v>0</v>
      </c>
    </row>
    <row r="173" spans="1:18">
      <c r="A173" s="4">
        <f t="shared" ref="A173:A221" si="71">A170+(3/24)</f>
        <v>45907.125</v>
      </c>
      <c r="B173">
        <f>電力量!B174-電力量!B173</f>
        <v>720</v>
      </c>
      <c r="C173">
        <f>電力量!C174-電力量!C173</f>
        <v>175</v>
      </c>
      <c r="D173">
        <f>電力量!D174-電力量!D173</f>
        <v>15.5</v>
      </c>
      <c r="E173">
        <f>電力量!E174-電力量!E173</f>
        <v>0</v>
      </c>
      <c r="F173">
        <f>電力量!F174-電力量!F173</f>
        <v>21</v>
      </c>
      <c r="G173">
        <f>電力量!G174-電力量!G173</f>
        <v>52.599999999991269</v>
      </c>
      <c r="H173">
        <f>電力量!H174-電力量!H173</f>
        <v>13</v>
      </c>
      <c r="I173">
        <f>電力量!I174-電力量!I173</f>
        <v>247</v>
      </c>
      <c r="J173">
        <f>電力量!J174-電力量!J173</f>
        <v>3.8999999999941792</v>
      </c>
      <c r="K173">
        <f>電力量!K174-電力量!K173</f>
        <v>3.6999999999970896</v>
      </c>
      <c r="L173">
        <f>電力量!L174-電力量!L173</f>
        <v>20.300000000000182</v>
      </c>
      <c r="M173">
        <f>電力量!M174-電力量!M173</f>
        <v>41.80000000000291</v>
      </c>
      <c r="N173">
        <f>電力量!N174-電力量!N173</f>
        <v>55.5</v>
      </c>
      <c r="O173">
        <f>電力量!O174-電力量!O173</f>
        <v>18.399999999994179</v>
      </c>
      <c r="P173">
        <f>電力量!P174-電力量!P173</f>
        <v>0</v>
      </c>
      <c r="Q173">
        <f>電力量!Q174-電力量!Q173</f>
        <v>0</v>
      </c>
      <c r="R173">
        <f>電力量!R174-電力量!R173</f>
        <v>0</v>
      </c>
    </row>
    <row r="174" spans="1:18">
      <c r="A174" s="4">
        <f t="shared" ref="A174:A222" si="72">A170+(4/24)</f>
        <v>45907.166666666664</v>
      </c>
      <c r="B174">
        <f>電力量!B175-電力量!B174</f>
        <v>709</v>
      </c>
      <c r="C174">
        <f>電力量!C175-電力量!C174</f>
        <v>169</v>
      </c>
      <c r="D174">
        <f>電力量!D175-電力量!D174</f>
        <v>13.299999999995634</v>
      </c>
      <c r="E174">
        <f>電力量!E175-電力量!E174</f>
        <v>0</v>
      </c>
      <c r="F174">
        <f>電力量!F175-電力量!F174</f>
        <v>20</v>
      </c>
      <c r="G174">
        <f>電力量!G175-電力量!G174</f>
        <v>51.5</v>
      </c>
      <c r="H174">
        <f>電力量!H175-電力量!H174</f>
        <v>11</v>
      </c>
      <c r="I174">
        <f>電力量!I175-電力量!I174</f>
        <v>247</v>
      </c>
      <c r="J174">
        <f>電力量!J175-電力量!J174</f>
        <v>3.8000000000029104</v>
      </c>
      <c r="K174">
        <f>電力量!K175-電力量!K174</f>
        <v>3.3000000000029104</v>
      </c>
      <c r="L174">
        <f>電力量!L175-電力量!L174</f>
        <v>20.5</v>
      </c>
      <c r="M174">
        <f>電力量!M175-電力量!M174</f>
        <v>41.100000000005821</v>
      </c>
      <c r="N174">
        <f>電力量!N175-電力量!N174</f>
        <v>53.900000000008731</v>
      </c>
      <c r="O174">
        <f>電力量!O175-電力量!O174</f>
        <v>18.5</v>
      </c>
      <c r="P174">
        <f>電力量!P175-電力量!P174</f>
        <v>0</v>
      </c>
      <c r="Q174">
        <f>電力量!Q175-電力量!Q174</f>
        <v>0</v>
      </c>
      <c r="R174">
        <f>電力量!R175-電力量!R174</f>
        <v>0</v>
      </c>
    </row>
    <row r="175" spans="1:18">
      <c r="A175" s="4">
        <f t="shared" ref="A175:A223" si="73">A170+(5/24)</f>
        <v>45907.208333333336</v>
      </c>
      <c r="B175">
        <f>電力量!B176-電力量!B175</f>
        <v>691</v>
      </c>
      <c r="C175">
        <f>電力量!C176-電力量!C175</f>
        <v>165</v>
      </c>
      <c r="D175">
        <f>電力量!D176-電力量!D175</f>
        <v>14.200000000004366</v>
      </c>
      <c r="E175">
        <f>電力量!E176-電力量!E175</f>
        <v>0</v>
      </c>
      <c r="F175">
        <f>電力量!F176-電力量!F175</f>
        <v>20</v>
      </c>
      <c r="G175">
        <f>電力量!G176-電力量!G175</f>
        <v>50.69999999999709</v>
      </c>
      <c r="H175">
        <f>電力量!H176-電力量!H175</f>
        <v>12</v>
      </c>
      <c r="I175">
        <f>電力量!I176-電力量!I175</f>
        <v>239</v>
      </c>
      <c r="J175">
        <f>電力量!J176-電力量!J175</f>
        <v>3.9000000000014552</v>
      </c>
      <c r="K175">
        <f>電力量!K176-電力量!K175</f>
        <v>3.3000000000029104</v>
      </c>
      <c r="L175">
        <f>電力量!L176-電力量!L175</f>
        <v>20.299999999999955</v>
      </c>
      <c r="M175">
        <f>電力量!M176-電力量!M175</f>
        <v>39.099999999991269</v>
      </c>
      <c r="N175">
        <f>電力量!N176-電力量!N175</f>
        <v>53.799999999988358</v>
      </c>
      <c r="O175">
        <f>電力量!O176-電力量!O175</f>
        <v>17.600000000005821</v>
      </c>
      <c r="P175">
        <f>電力量!P176-電力量!P175</f>
        <v>0</v>
      </c>
      <c r="Q175">
        <f>電力量!Q176-電力量!Q175</f>
        <v>0</v>
      </c>
      <c r="R175">
        <f>電力量!R176-電力量!R175</f>
        <v>0</v>
      </c>
    </row>
    <row r="176" spans="1:18">
      <c r="A176" s="4">
        <f t="shared" ref="A176:A224" si="74">A170+(6/24)</f>
        <v>45907.25</v>
      </c>
      <c r="B176">
        <f>電力量!B177-電力量!B176</f>
        <v>692</v>
      </c>
      <c r="C176">
        <f>電力量!C177-電力量!C176</f>
        <v>166</v>
      </c>
      <c r="D176">
        <f>電力量!D177-電力量!D176</f>
        <v>13.899999999994179</v>
      </c>
      <c r="E176">
        <f>電力量!E177-電力量!E176</f>
        <v>0</v>
      </c>
      <c r="F176">
        <f>電力量!F177-電力量!F176</f>
        <v>19</v>
      </c>
      <c r="G176">
        <f>電力量!G177-電力量!G176</f>
        <v>49.600000000005821</v>
      </c>
      <c r="H176">
        <f>電力量!H177-電力量!H176</f>
        <v>12</v>
      </c>
      <c r="I176">
        <f>電力量!I177-電力量!I176</f>
        <v>242</v>
      </c>
      <c r="J176">
        <f>電力量!J177-電力量!J176</f>
        <v>3.5999999999985448</v>
      </c>
      <c r="K176">
        <f>電力量!K177-電力量!K176</f>
        <v>2.1999999999970896</v>
      </c>
      <c r="L176">
        <f>電力量!L177-電力量!L176</f>
        <v>20.599999999999909</v>
      </c>
      <c r="M176">
        <f>電力量!M177-電力量!M176</f>
        <v>38.400000000008731</v>
      </c>
      <c r="N176">
        <f>電力量!N177-電力量!N176</f>
        <v>53.900000000008731</v>
      </c>
      <c r="O176">
        <f>電力量!O177-電力量!O176</f>
        <v>16.599999999991269</v>
      </c>
      <c r="P176">
        <f>電力量!P177-電力量!P176</f>
        <v>1</v>
      </c>
      <c r="Q176">
        <f>電力量!Q177-電力量!Q176</f>
        <v>0</v>
      </c>
      <c r="R176">
        <f>電力量!R177-電力量!R176</f>
        <v>0</v>
      </c>
    </row>
    <row r="177" spans="1:18">
      <c r="A177" s="4">
        <f t="shared" ref="A177:A225" si="75">A170+(7/24)</f>
        <v>45907.291666666664</v>
      </c>
      <c r="B177">
        <f>電力量!B178-電力量!B177</f>
        <v>691</v>
      </c>
      <c r="C177">
        <f>電力量!C178-電力量!C177</f>
        <v>171</v>
      </c>
      <c r="D177">
        <f>電力量!D178-電力量!D177</f>
        <v>13.900000000001455</v>
      </c>
      <c r="E177">
        <f>電力量!E178-電力量!E177</f>
        <v>0</v>
      </c>
      <c r="F177">
        <f>電力量!F178-電力量!F177</f>
        <v>19</v>
      </c>
      <c r="G177">
        <f>電力量!G178-電力量!G177</f>
        <v>46.69999999999709</v>
      </c>
      <c r="H177">
        <f>電力量!H178-電力量!H177</f>
        <v>12</v>
      </c>
      <c r="I177">
        <f>電力量!I178-電力量!I177</f>
        <v>243</v>
      </c>
      <c r="J177">
        <f>電力量!J178-電力量!J177</f>
        <v>3.9000000000014552</v>
      </c>
      <c r="K177">
        <f>電力量!K178-電力量!K177</f>
        <v>0.19999999999708962</v>
      </c>
      <c r="L177">
        <f>電力量!L178-電力量!L177</f>
        <v>19.799999999999955</v>
      </c>
      <c r="M177">
        <f>電力量!M178-電力量!M177</f>
        <v>38.599999999991269</v>
      </c>
      <c r="N177">
        <f>電力量!N178-電力量!N177</f>
        <v>50.899999999994179</v>
      </c>
      <c r="O177">
        <f>電力量!O178-電力量!O177</f>
        <v>18</v>
      </c>
      <c r="P177">
        <f>電力量!P178-電力量!P177</f>
        <v>1</v>
      </c>
      <c r="Q177">
        <f>電力量!Q178-電力量!Q177</f>
        <v>4</v>
      </c>
      <c r="R177">
        <f>電力量!R178-電力量!R177</f>
        <v>0</v>
      </c>
    </row>
    <row r="178" spans="1:18">
      <c r="A178" s="4">
        <f t="shared" ref="A178:A226" si="76">A170+(8/24)</f>
        <v>45907.333333333336</v>
      </c>
      <c r="B178">
        <f>電力量!B179-電力量!B178</f>
        <v>695</v>
      </c>
      <c r="C178">
        <f>電力量!C179-電力量!C178</f>
        <v>178</v>
      </c>
      <c r="D178">
        <f>電力量!D179-電力量!D178</f>
        <v>14</v>
      </c>
      <c r="E178">
        <f>電力量!E179-電力量!E178</f>
        <v>0</v>
      </c>
      <c r="F178">
        <f>電力量!F179-電力量!F178</f>
        <v>18</v>
      </c>
      <c r="G178">
        <f>電力量!G179-電力量!G178</f>
        <v>38.80000000000291</v>
      </c>
      <c r="H178">
        <f>電力量!H179-電力量!H178</f>
        <v>11</v>
      </c>
      <c r="I178">
        <f>電力量!I179-電力量!I178</f>
        <v>248</v>
      </c>
      <c r="J178">
        <f>電力量!J179-電力量!J178</f>
        <v>4.0999999999985448</v>
      </c>
      <c r="K178">
        <f>電力量!K179-電力量!K178</f>
        <v>0</v>
      </c>
      <c r="L178">
        <f>電力量!L179-電力量!L178</f>
        <v>19.600000000000136</v>
      </c>
      <c r="M178">
        <f>電力量!M179-電力量!M178</f>
        <v>41.700000000011642</v>
      </c>
      <c r="N178">
        <f>電力量!N179-電力量!N178</f>
        <v>48.69999999999709</v>
      </c>
      <c r="O178">
        <f>電力量!O179-電力量!O178</f>
        <v>19.400000000008731</v>
      </c>
      <c r="P178">
        <f>電力量!P179-電力量!P178</f>
        <v>6</v>
      </c>
      <c r="Q178">
        <f>電力量!Q179-電力量!Q178</f>
        <v>9</v>
      </c>
      <c r="R178">
        <f>電力量!R179-電力量!R178</f>
        <v>0</v>
      </c>
    </row>
    <row r="179" spans="1:18">
      <c r="A179" s="4">
        <f t="shared" ref="A179:A227" si="77">A170+(9/24)</f>
        <v>45907.375</v>
      </c>
      <c r="B179">
        <f>電力量!B180-電力量!B179</f>
        <v>694</v>
      </c>
      <c r="C179">
        <f>電力量!C180-電力量!C179</f>
        <v>182</v>
      </c>
      <c r="D179">
        <f>電力量!D180-電力量!D179</f>
        <v>14.099999999998545</v>
      </c>
      <c r="E179">
        <f>電力量!E180-電力量!E179</f>
        <v>0</v>
      </c>
      <c r="F179">
        <f>電力量!F180-電力量!F179</f>
        <v>18</v>
      </c>
      <c r="G179">
        <f>電力量!G180-電力量!G179</f>
        <v>31.80000000000291</v>
      </c>
      <c r="H179">
        <f>電力量!H180-電力量!H179</f>
        <v>13</v>
      </c>
      <c r="I179">
        <f>電力量!I180-電力量!I179</f>
        <v>260</v>
      </c>
      <c r="J179">
        <f>電力量!J180-電力量!J179</f>
        <v>3.9000000000014552</v>
      </c>
      <c r="K179">
        <f>電力量!K180-電力量!K179</f>
        <v>0</v>
      </c>
      <c r="L179">
        <f>電力量!L180-電力量!L179</f>
        <v>19.899999999999864</v>
      </c>
      <c r="M179">
        <f>電力量!M180-電力量!M179</f>
        <v>39.69999999999709</v>
      </c>
      <c r="N179">
        <f>電力量!N180-電力量!N179</f>
        <v>44.900000000008731</v>
      </c>
      <c r="O179">
        <f>電力量!O180-電力量!O179</f>
        <v>18.19999999999709</v>
      </c>
      <c r="P179">
        <f>電力量!P180-電力量!P179</f>
        <v>9</v>
      </c>
      <c r="Q179">
        <f>電力量!Q180-電力量!Q179</f>
        <v>15</v>
      </c>
      <c r="R179">
        <f>電力量!R180-電力量!R179</f>
        <v>0</v>
      </c>
    </row>
    <row r="180" spans="1:18">
      <c r="A180" s="4">
        <f t="shared" ref="A180:A228" si="78">A170+(10/24)</f>
        <v>45907.416666666664</v>
      </c>
      <c r="B180">
        <f>電力量!B181-電力量!B180</f>
        <v>696</v>
      </c>
      <c r="C180">
        <f>電力量!C181-電力量!C180</f>
        <v>187</v>
      </c>
      <c r="D180">
        <f>電力量!D181-電力量!D180</f>
        <v>14.30000000000291</v>
      </c>
      <c r="E180">
        <f>電力量!E181-電力量!E180</f>
        <v>0</v>
      </c>
      <c r="F180">
        <f>電力量!F181-電力量!F180</f>
        <v>21</v>
      </c>
      <c r="G180">
        <f>電力量!G181-電力量!G180</f>
        <v>29.099999999991269</v>
      </c>
      <c r="H180">
        <f>電力量!H181-電力量!H180</f>
        <v>13</v>
      </c>
      <c r="I180">
        <f>電力量!I181-電力量!I180</f>
        <v>256</v>
      </c>
      <c r="J180">
        <f>電力量!J181-電力量!J180</f>
        <v>4</v>
      </c>
      <c r="K180">
        <f>電力量!K181-電力量!K180</f>
        <v>0</v>
      </c>
      <c r="L180">
        <f>電力量!L181-電力量!L180</f>
        <v>19.900000000000091</v>
      </c>
      <c r="M180">
        <f>電力量!M181-電力量!M180</f>
        <v>40.099999999991269</v>
      </c>
      <c r="N180">
        <f>電力量!N181-電力量!N180</f>
        <v>44.19999999999709</v>
      </c>
      <c r="O180">
        <f>電力量!O181-電力量!O180</f>
        <v>18.600000000005821</v>
      </c>
      <c r="P180">
        <f>電力量!P181-電力量!P180</f>
        <v>12</v>
      </c>
      <c r="Q180">
        <f>電力量!Q181-電力量!Q180</f>
        <v>17</v>
      </c>
      <c r="R180">
        <f>電力量!R181-電力量!R180</f>
        <v>0</v>
      </c>
    </row>
    <row r="181" spans="1:18">
      <c r="A181" s="4">
        <f t="shared" ref="A181:A229" si="79">A170+(11/24)</f>
        <v>45907.458333333336</v>
      </c>
      <c r="B181">
        <f>電力量!B182-電力量!B181</f>
        <v>721</v>
      </c>
      <c r="C181">
        <f>電力量!C182-電力量!C181</f>
        <v>207</v>
      </c>
      <c r="D181">
        <f>電力量!D182-電力量!D181</f>
        <v>19.30000000000291</v>
      </c>
      <c r="E181">
        <f>電力量!E182-電力量!E181</f>
        <v>0</v>
      </c>
      <c r="F181">
        <f>電力量!F182-電力量!F181</f>
        <v>21</v>
      </c>
      <c r="G181">
        <f>電力量!G182-電力量!G181</f>
        <v>27.30000000000291</v>
      </c>
      <c r="H181">
        <f>電力量!H182-電力量!H181</f>
        <v>12</v>
      </c>
      <c r="I181">
        <f>電力量!I182-電力量!I181</f>
        <v>264</v>
      </c>
      <c r="J181">
        <f>電力量!J182-電力量!J181</f>
        <v>4.1999999999970896</v>
      </c>
      <c r="K181">
        <f>電力量!K182-電力量!K181</f>
        <v>0</v>
      </c>
      <c r="L181">
        <f>電力量!L182-電力量!L181</f>
        <v>20.400000000000091</v>
      </c>
      <c r="M181">
        <f>電力量!M182-電力量!M181</f>
        <v>43.700000000011642</v>
      </c>
      <c r="N181">
        <f>電力量!N182-電力量!N181</f>
        <v>39.80000000000291</v>
      </c>
      <c r="O181">
        <f>電力量!O182-電力量!O181</f>
        <v>18.69999999999709</v>
      </c>
      <c r="P181">
        <f>電力量!P182-電力量!P181</f>
        <v>14</v>
      </c>
      <c r="Q181">
        <f>電力量!Q182-電力量!Q181</f>
        <v>22</v>
      </c>
      <c r="R181">
        <f>電力量!R182-電力量!R181</f>
        <v>0</v>
      </c>
    </row>
    <row r="182" spans="1:18">
      <c r="A182" s="4">
        <f t="shared" ref="A182:A230" si="80">A170+(12/24)</f>
        <v>45907.5</v>
      </c>
      <c r="B182">
        <f>電力量!B183-電力量!B182</f>
        <v>740</v>
      </c>
      <c r="C182">
        <f>電力量!C183-電力量!C182</f>
        <v>211</v>
      </c>
      <c r="D182">
        <f>電力量!D183-電力量!D182</f>
        <v>20.299999999995634</v>
      </c>
      <c r="E182">
        <f>電力量!E183-電力量!E182</f>
        <v>0</v>
      </c>
      <c r="F182">
        <f>電力量!F183-電力量!F182</f>
        <v>21</v>
      </c>
      <c r="G182">
        <f>電力量!G183-電力量!G182</f>
        <v>31.19999999999709</v>
      </c>
      <c r="H182">
        <f>電力量!H183-電力量!H182</f>
        <v>12</v>
      </c>
      <c r="I182">
        <f>電力量!I183-電力量!I182</f>
        <v>264</v>
      </c>
      <c r="J182">
        <f>電力量!J183-電力量!J182</f>
        <v>4.0999999999985448</v>
      </c>
      <c r="K182">
        <f>電力量!K183-電力量!K182</f>
        <v>0</v>
      </c>
      <c r="L182">
        <f>電力量!L183-電力量!L182</f>
        <v>21.199999999999818</v>
      </c>
      <c r="M182">
        <f>電力量!M183-電力量!M182</f>
        <v>46</v>
      </c>
      <c r="N182">
        <f>電力量!N183-電力量!N182</f>
        <v>42.599999999991269</v>
      </c>
      <c r="O182">
        <f>電力量!O183-電力量!O182</f>
        <v>17.69999999999709</v>
      </c>
      <c r="P182">
        <f>電力量!P183-電力量!P182</f>
        <v>16</v>
      </c>
      <c r="Q182">
        <f>電力量!Q183-電力量!Q182</f>
        <v>24</v>
      </c>
      <c r="R182">
        <f>電力量!R183-電力量!R182</f>
        <v>0</v>
      </c>
    </row>
    <row r="183" spans="1:18">
      <c r="A183" s="4">
        <f t="shared" ref="A183:A231" si="81">A170+(13/24)</f>
        <v>45907.541666666664</v>
      </c>
      <c r="B183">
        <f>電力量!B184-電力量!B183</f>
        <v>793</v>
      </c>
      <c r="C183">
        <f>電力量!C184-電力量!C183</f>
        <v>225</v>
      </c>
      <c r="D183">
        <f>電力量!D184-電力量!D183</f>
        <v>20.400000000001455</v>
      </c>
      <c r="E183">
        <f>電力量!E184-電力量!E183</f>
        <v>0</v>
      </c>
      <c r="F183">
        <f>電力量!F184-電力量!F183</f>
        <v>21</v>
      </c>
      <c r="G183">
        <f>電力量!G184-電力量!G183</f>
        <v>40</v>
      </c>
      <c r="H183">
        <f>電力量!H184-電力量!H183</f>
        <v>13</v>
      </c>
      <c r="I183">
        <f>電力量!I184-電力量!I183</f>
        <v>284</v>
      </c>
      <c r="J183">
        <f>電力量!J184-電力量!J183</f>
        <v>8.4000000000014552</v>
      </c>
      <c r="K183">
        <f>電力量!K184-電力量!K183</f>
        <v>0</v>
      </c>
      <c r="L183">
        <f>電力量!L184-電力量!L183</f>
        <v>22.700000000000045</v>
      </c>
      <c r="M183">
        <f>電力量!M184-電力量!M183</f>
        <v>46.599999999991269</v>
      </c>
      <c r="N183">
        <f>電力量!N184-電力量!N183</f>
        <v>45.700000000011642</v>
      </c>
      <c r="O183">
        <f>電力量!O184-電力量!O183</f>
        <v>19.5</v>
      </c>
      <c r="P183">
        <f>電力量!P184-電力量!P183</f>
        <v>13</v>
      </c>
      <c r="Q183">
        <f>電力量!Q184-電力量!Q183</f>
        <v>20</v>
      </c>
      <c r="R183">
        <f>電力量!R184-電力量!R183</f>
        <v>0</v>
      </c>
    </row>
    <row r="184" spans="1:18">
      <c r="A184" s="4">
        <f t="shared" ref="A184:A232" si="82">A170+(14/24)</f>
        <v>45907.583333333336</v>
      </c>
      <c r="B184">
        <f>電力量!B185-電力量!B184</f>
        <v>841</v>
      </c>
      <c r="C184">
        <f>電力量!C185-電力量!C184</f>
        <v>234</v>
      </c>
      <c r="D184">
        <f>電力量!D185-電力量!D184</f>
        <v>22.30000000000291</v>
      </c>
      <c r="E184">
        <f>電力量!E185-電力量!E184</f>
        <v>0</v>
      </c>
      <c r="F184">
        <f>電力量!F185-電力量!F184</f>
        <v>20</v>
      </c>
      <c r="G184">
        <f>電力量!G185-電力量!G184</f>
        <v>49.200000000011642</v>
      </c>
      <c r="H184">
        <f>電力量!H185-電力量!H184</f>
        <v>13</v>
      </c>
      <c r="I184">
        <f>電力量!I185-電力量!I184</f>
        <v>294</v>
      </c>
      <c r="J184">
        <f>電力量!J185-電力量!J184</f>
        <v>10.400000000001455</v>
      </c>
      <c r="K184">
        <f>電力量!K185-電力量!K184</f>
        <v>0.10000000000582077</v>
      </c>
      <c r="L184">
        <f>電力量!L185-電力量!L184</f>
        <v>23.200000000000045</v>
      </c>
      <c r="M184">
        <f>電力量!M185-電力量!M184</f>
        <v>46.69999999999709</v>
      </c>
      <c r="N184">
        <f>電力量!N185-電力量!N184</f>
        <v>50.5</v>
      </c>
      <c r="O184">
        <f>電力量!O185-電力量!O184</f>
        <v>19.899999999994179</v>
      </c>
      <c r="P184">
        <f>電力量!P185-電力量!P184</f>
        <v>10</v>
      </c>
      <c r="Q184">
        <f>電力量!Q185-電力量!Q184</f>
        <v>15</v>
      </c>
      <c r="R184">
        <f>電力量!R185-電力量!R184</f>
        <v>0</v>
      </c>
    </row>
    <row r="185" spans="1:18">
      <c r="A185" s="4">
        <f t="shared" ref="A185:A233" si="83">A170+(15/24)</f>
        <v>45907.625</v>
      </c>
      <c r="B185">
        <f>電力量!B186-電力量!B185</f>
        <v>852</v>
      </c>
      <c r="C185">
        <f>電力量!C186-電力量!C185</f>
        <v>225</v>
      </c>
      <c r="D185">
        <f>電力量!D186-電力量!D185</f>
        <v>22.099999999998545</v>
      </c>
      <c r="E185">
        <f>電力量!E186-電力量!E185</f>
        <v>0</v>
      </c>
      <c r="F185">
        <f>電力量!F186-電力量!F185</f>
        <v>21</v>
      </c>
      <c r="G185">
        <f>電力量!G186-電力量!G185</f>
        <v>63.299999999988358</v>
      </c>
      <c r="H185">
        <f>電力量!H186-電力量!H185</f>
        <v>12</v>
      </c>
      <c r="I185">
        <f>電力量!I186-電力量!I185</f>
        <v>294</v>
      </c>
      <c r="J185">
        <f>電力量!J186-電力量!J185</f>
        <v>10.099999999998545</v>
      </c>
      <c r="K185">
        <f>電力量!K186-電力量!K185</f>
        <v>0</v>
      </c>
      <c r="L185">
        <f>電力量!L186-電力量!L185</f>
        <v>21.5</v>
      </c>
      <c r="M185">
        <f>電力量!M186-電力量!M185</f>
        <v>45.700000000011642</v>
      </c>
      <c r="N185">
        <f>電力量!N186-電力量!N185</f>
        <v>51.099999999991269</v>
      </c>
      <c r="O185">
        <f>電力量!O186-電力量!O185</f>
        <v>19.200000000011642</v>
      </c>
      <c r="P185">
        <f>電力量!P186-電力量!P185</f>
        <v>4</v>
      </c>
      <c r="Q185">
        <f>電力量!Q186-電力量!Q185</f>
        <v>6</v>
      </c>
      <c r="R185">
        <f>電力量!R186-電力量!R185</f>
        <v>0</v>
      </c>
    </row>
    <row r="186" spans="1:18">
      <c r="A186" s="4">
        <f t="shared" ref="A186:A234" si="84">A170+(16/24)</f>
        <v>45907.666666666664</v>
      </c>
      <c r="B186">
        <f>電力量!B187-電力量!B186</f>
        <v>852</v>
      </c>
      <c r="C186">
        <f>電力量!C187-電力量!C186</f>
        <v>225</v>
      </c>
      <c r="D186">
        <f>電力量!D187-電力量!D186</f>
        <v>26</v>
      </c>
      <c r="E186">
        <f>電力量!E187-電力量!E186</f>
        <v>0</v>
      </c>
      <c r="F186">
        <f>電力量!F187-電力量!F186</f>
        <v>20</v>
      </c>
      <c r="G186">
        <f>電力量!G187-電力量!G186</f>
        <v>56.400000000008731</v>
      </c>
      <c r="H186">
        <f>電力量!H187-電力量!H186</f>
        <v>14</v>
      </c>
      <c r="I186">
        <f>電力量!I187-電力量!I186</f>
        <v>289</v>
      </c>
      <c r="J186">
        <f>電力量!J187-電力量!J186</f>
        <v>9.5</v>
      </c>
      <c r="K186">
        <f>電力量!K187-電力量!K186</f>
        <v>0.30000000000291038</v>
      </c>
      <c r="L186">
        <f>電力量!L187-電力量!L186</f>
        <v>22.299999999999955</v>
      </c>
      <c r="M186">
        <f>電力量!M187-電力量!M186</f>
        <v>49.099999999991269</v>
      </c>
      <c r="N186">
        <f>電力量!N187-電力量!N186</f>
        <v>52</v>
      </c>
      <c r="O186">
        <f>電力量!O187-電力量!O186</f>
        <v>20</v>
      </c>
      <c r="P186">
        <f>電力量!P187-電力量!P186</f>
        <v>4</v>
      </c>
      <c r="Q186">
        <f>電力量!Q187-電力量!Q186</f>
        <v>7</v>
      </c>
      <c r="R186">
        <f>電力量!R187-電力量!R186</f>
        <v>0</v>
      </c>
    </row>
    <row r="187" spans="1:18">
      <c r="A187" s="4">
        <f t="shared" ref="A187:A235" si="85">A170+(17/24)</f>
        <v>45907.708333333336</v>
      </c>
      <c r="B187">
        <f>電力量!B188-電力量!B187</f>
        <v>831</v>
      </c>
      <c r="C187">
        <f>電力量!C188-電力量!C187</f>
        <v>219</v>
      </c>
      <c r="D187">
        <f>電力量!D188-電力量!D187</f>
        <v>19.69999999999709</v>
      </c>
      <c r="E187">
        <f>電力量!E188-電力量!E187</f>
        <v>0</v>
      </c>
      <c r="F187">
        <f>電力量!F188-電力量!F187</f>
        <v>22</v>
      </c>
      <c r="G187">
        <f>電力量!G188-電力量!G187</f>
        <v>61.30000000000291</v>
      </c>
      <c r="H187">
        <f>電力量!H188-電力量!H187</f>
        <v>12</v>
      </c>
      <c r="I187">
        <f>電力量!I188-電力量!I187</f>
        <v>277</v>
      </c>
      <c r="J187">
        <f>電力量!J188-電力量!J187</f>
        <v>7.5999999999985448</v>
      </c>
      <c r="K187">
        <f>電力量!K188-電力量!K187</f>
        <v>2.5</v>
      </c>
      <c r="L187">
        <f>電力量!L188-電力量!L187</f>
        <v>21.5</v>
      </c>
      <c r="M187">
        <f>電力量!M188-電力量!M187</f>
        <v>45.19999999999709</v>
      </c>
      <c r="N187">
        <f>電力量!N188-電力量!N187</f>
        <v>54.19999999999709</v>
      </c>
      <c r="O187">
        <f>電力量!O188-電力量!O187</f>
        <v>19.69999999999709</v>
      </c>
      <c r="P187">
        <f>電力量!P188-電力量!P187</f>
        <v>1</v>
      </c>
      <c r="Q187">
        <f>電力量!Q188-電力量!Q187</f>
        <v>2</v>
      </c>
      <c r="R187">
        <f>電力量!R188-電力量!R187</f>
        <v>0</v>
      </c>
    </row>
    <row r="188" spans="1:18">
      <c r="A188" s="4">
        <f t="shared" ref="A188:A236" si="86">A170+(18/24)</f>
        <v>45907.75</v>
      </c>
      <c r="B188">
        <f>電力量!B189-電力量!B188</f>
        <v>776</v>
      </c>
      <c r="C188">
        <f>電力量!C189-電力量!C188</f>
        <v>198</v>
      </c>
      <c r="D188">
        <f>電力量!D189-電力量!D188</f>
        <v>17.400000000001455</v>
      </c>
      <c r="E188">
        <f>電力量!E189-電力量!E188</f>
        <v>0</v>
      </c>
      <c r="F188">
        <f>電力量!F189-電力量!F188</f>
        <v>18</v>
      </c>
      <c r="G188">
        <f>電力量!G189-電力量!G188</f>
        <v>59.799999999988358</v>
      </c>
      <c r="H188">
        <f>電力量!H189-電力量!H188</f>
        <v>13</v>
      </c>
      <c r="I188">
        <f>電力量!I189-電力量!I188</f>
        <v>257</v>
      </c>
      <c r="J188">
        <f>電力量!J189-電力量!J188</f>
        <v>11.100000000005821</v>
      </c>
      <c r="K188">
        <f>電力量!K189-電力量!K188</f>
        <v>3.3999999999941792</v>
      </c>
      <c r="L188">
        <f>電力量!L189-電力量!L188</f>
        <v>21.5</v>
      </c>
      <c r="M188">
        <f>電力量!M189-電力量!M188</f>
        <v>42.80000000000291</v>
      </c>
      <c r="N188">
        <f>電力量!N189-電力量!N188</f>
        <v>54.200000000011642</v>
      </c>
      <c r="O188">
        <f>電力量!O189-電力量!O188</f>
        <v>16.80000000000291</v>
      </c>
      <c r="P188">
        <f>電力量!P189-電力量!P188</f>
        <v>0</v>
      </c>
      <c r="Q188">
        <f>電力量!Q189-電力量!Q188</f>
        <v>0</v>
      </c>
      <c r="R188">
        <f>電力量!R189-電力量!R188</f>
        <v>0</v>
      </c>
    </row>
    <row r="189" spans="1:18">
      <c r="A189" s="4">
        <f t="shared" ref="A189:A237" si="87">A170+(19/24)</f>
        <v>45907.791666666664</v>
      </c>
      <c r="B189">
        <f>電力量!B190-電力量!B189</f>
        <v>816</v>
      </c>
      <c r="C189">
        <f>電力量!C190-電力量!C189</f>
        <v>199</v>
      </c>
      <c r="D189">
        <f>電力量!D190-電力量!D189</f>
        <v>17.5</v>
      </c>
      <c r="E189">
        <f>電力量!E190-電力量!E189</f>
        <v>0</v>
      </c>
      <c r="F189">
        <f>電力量!F190-電力量!F189</f>
        <v>17</v>
      </c>
      <c r="G189">
        <f>電力量!G190-電力量!G189</f>
        <v>66.900000000008731</v>
      </c>
      <c r="H189">
        <f>電力量!H190-電力量!H189</f>
        <v>12</v>
      </c>
      <c r="I189">
        <f>電力量!I190-電力量!I189</f>
        <v>264</v>
      </c>
      <c r="J189">
        <f>電力量!J190-電力量!J189</f>
        <v>29.69999999999709</v>
      </c>
      <c r="K189">
        <f>電力量!K190-電力量!K189</f>
        <v>3.8000000000029104</v>
      </c>
      <c r="L189">
        <f>電力量!L190-電力量!L189</f>
        <v>22.700000000000045</v>
      </c>
      <c r="M189">
        <f>電力量!M190-電力量!M189</f>
        <v>45.100000000005821</v>
      </c>
      <c r="N189">
        <f>電力量!N190-電力量!N189</f>
        <v>54.899999999994179</v>
      </c>
      <c r="O189">
        <f>電力量!O190-電力量!O189</f>
        <v>19.799999999988358</v>
      </c>
      <c r="P189">
        <f>電力量!P190-電力量!P189</f>
        <v>0</v>
      </c>
      <c r="Q189">
        <f>電力量!Q190-電力量!Q189</f>
        <v>0</v>
      </c>
      <c r="R189">
        <f>電力量!R190-電力量!R189</f>
        <v>0</v>
      </c>
    </row>
    <row r="190" spans="1:18">
      <c r="A190" s="4">
        <f t="shared" ref="A190:A238" si="88">A170+(20/24)</f>
        <v>45907.833333333336</v>
      </c>
      <c r="B190">
        <f>電力量!B191-電力量!B190</f>
        <v>780</v>
      </c>
      <c r="C190">
        <f>電力量!C191-電力量!C190</f>
        <v>196</v>
      </c>
      <c r="D190">
        <f>電力量!D191-電力量!D190</f>
        <v>17.099999999998545</v>
      </c>
      <c r="E190">
        <f>電力量!E191-電力量!E190</f>
        <v>0</v>
      </c>
      <c r="F190">
        <f>電力量!F191-電力量!F190</f>
        <v>18</v>
      </c>
      <c r="G190">
        <f>電力量!G191-電力量!G190</f>
        <v>60.80000000000291</v>
      </c>
      <c r="H190">
        <f>電力量!H191-電力量!H190</f>
        <v>13</v>
      </c>
      <c r="I190">
        <f>電力量!I191-電力量!I190</f>
        <v>258</v>
      </c>
      <c r="J190">
        <f>電力量!J191-電力量!J190</f>
        <v>6.4000000000014552</v>
      </c>
      <c r="K190">
        <f>電力量!K191-電力量!K190</f>
        <v>3.5999999999912689</v>
      </c>
      <c r="L190">
        <f>電力量!L191-電力量!L190</f>
        <v>23.799999999999955</v>
      </c>
      <c r="M190">
        <f>電力量!M191-電力量!M190</f>
        <v>46.30000000000291</v>
      </c>
      <c r="N190">
        <f>電力量!N191-電力量!N190</f>
        <v>54</v>
      </c>
      <c r="O190">
        <f>電力量!O191-電力量!O190</f>
        <v>20.5</v>
      </c>
      <c r="P190">
        <f>電力量!P191-電力量!P190</f>
        <v>0</v>
      </c>
      <c r="Q190">
        <f>電力量!Q191-電力量!Q190</f>
        <v>0</v>
      </c>
      <c r="R190">
        <f>電力量!R191-電力量!R190</f>
        <v>0</v>
      </c>
    </row>
    <row r="191" spans="1:18">
      <c r="A191" s="4">
        <f t="shared" ref="A191:A239" si="89">A170+(21/24)</f>
        <v>45907.875</v>
      </c>
      <c r="B191">
        <f>電力量!B192-電力量!B191</f>
        <v>765</v>
      </c>
      <c r="C191">
        <f>電力量!C192-電力量!C191</f>
        <v>196</v>
      </c>
      <c r="D191">
        <f>電力量!D192-電力量!D191</f>
        <v>16.900000000001455</v>
      </c>
      <c r="E191">
        <f>電力量!E192-電力量!E191</f>
        <v>0</v>
      </c>
      <c r="F191">
        <f>電力量!F192-電力量!F191</f>
        <v>17</v>
      </c>
      <c r="G191">
        <f>電力量!G192-電力量!G191</f>
        <v>57.399999999994179</v>
      </c>
      <c r="H191">
        <f>電力量!H192-電力量!H191</f>
        <v>13</v>
      </c>
      <c r="I191">
        <f>電力量!I192-電力量!I191</f>
        <v>254</v>
      </c>
      <c r="J191">
        <f>電力量!J192-電力量!J191</f>
        <v>5.5</v>
      </c>
      <c r="K191">
        <f>電力量!K192-電力量!K191</f>
        <v>3.5</v>
      </c>
      <c r="L191">
        <f>電力量!L192-電力量!L191</f>
        <v>23.5</v>
      </c>
      <c r="M191">
        <f>電力量!M192-電力量!M191</f>
        <v>42.799999999988358</v>
      </c>
      <c r="N191">
        <f>電力量!N192-電力量!N191</f>
        <v>54.399999999994179</v>
      </c>
      <c r="O191">
        <f>電力量!O192-電力量!O191</f>
        <v>21</v>
      </c>
      <c r="P191">
        <f>電力量!P192-電力量!P191</f>
        <v>0</v>
      </c>
      <c r="Q191">
        <f>電力量!Q192-電力量!Q191</f>
        <v>0</v>
      </c>
      <c r="R191">
        <f>電力量!R192-電力量!R191</f>
        <v>0</v>
      </c>
    </row>
    <row r="192" spans="1:18">
      <c r="A192" s="4">
        <f t="shared" ref="A192:A240" si="90">A170+(22/24)</f>
        <v>45907.916666666664</v>
      </c>
      <c r="B192">
        <f>電力量!B193-電力量!B192</f>
        <v>759</v>
      </c>
      <c r="C192">
        <f>電力量!C193-電力量!C192</f>
        <v>188</v>
      </c>
      <c r="D192">
        <f>電力量!D193-電力量!D192</f>
        <v>20.19999999999709</v>
      </c>
      <c r="E192">
        <f>電力量!E193-電力量!E192</f>
        <v>0</v>
      </c>
      <c r="F192">
        <f>電力量!F193-電力量!F192</f>
        <v>16</v>
      </c>
      <c r="G192">
        <f>電力量!G193-電力量!G192</f>
        <v>56.399999999994179</v>
      </c>
      <c r="H192">
        <f>電力量!H193-電力量!H192</f>
        <v>13</v>
      </c>
      <c r="I192">
        <f>電力量!I193-電力量!I192</f>
        <v>259</v>
      </c>
      <c r="J192">
        <f>電力量!J193-電力量!J192</f>
        <v>5.4000000000014552</v>
      </c>
      <c r="K192">
        <f>電力量!K193-電力量!K192</f>
        <v>3.3000000000029104</v>
      </c>
      <c r="L192">
        <f>電力量!L193-電力量!L192</f>
        <v>23.600000000000136</v>
      </c>
      <c r="M192">
        <f>電力量!M193-電力量!M192</f>
        <v>40.700000000011642</v>
      </c>
      <c r="N192">
        <f>電力量!N193-電力量!N192</f>
        <v>54</v>
      </c>
      <c r="O192">
        <f>電力量!O193-電力量!O192</f>
        <v>18.5</v>
      </c>
      <c r="P192">
        <f>電力量!P193-電力量!P192</f>
        <v>0</v>
      </c>
      <c r="Q192">
        <f>電力量!Q193-電力量!Q192</f>
        <v>0</v>
      </c>
      <c r="R192">
        <f>電力量!R193-電力量!R192</f>
        <v>0</v>
      </c>
    </row>
    <row r="193" spans="1:18">
      <c r="A193" s="4">
        <f t="shared" ref="A193:A241" si="91">A170+(23/24)</f>
        <v>45907.958333333336</v>
      </c>
      <c r="B193">
        <f>電力量!B194-電力量!B193</f>
        <v>757</v>
      </c>
      <c r="C193">
        <f>電力量!C194-電力量!C193</f>
        <v>187</v>
      </c>
      <c r="D193">
        <f>電力量!D194-電力量!D193</f>
        <v>19.100000000005821</v>
      </c>
      <c r="E193">
        <f>電力量!E194-電力量!E193</f>
        <v>0</v>
      </c>
      <c r="F193">
        <f>電力量!F194-電力量!F193</f>
        <v>16</v>
      </c>
      <c r="G193">
        <f>電力量!G194-電力量!G193</f>
        <v>58.400000000008731</v>
      </c>
      <c r="H193">
        <f>電力量!H194-電力量!H193</f>
        <v>13</v>
      </c>
      <c r="I193">
        <f>電力量!I194-電力量!I193</f>
        <v>257</v>
      </c>
      <c r="J193">
        <f>電力量!J194-電力量!J193</f>
        <v>5.6999999999970896</v>
      </c>
      <c r="K193">
        <f>電力量!K194-電力量!K193</f>
        <v>3.4000000000087311</v>
      </c>
      <c r="L193">
        <f>電力量!L194-電力量!L193</f>
        <v>23.299999999999955</v>
      </c>
      <c r="M193">
        <f>電力量!M194-電力量!M193</f>
        <v>40.299999999988358</v>
      </c>
      <c r="N193">
        <f>電力量!N194-電力量!N193</f>
        <v>54.30000000000291</v>
      </c>
      <c r="O193">
        <f>電力量!O194-電力量!O193</f>
        <v>19.600000000005821</v>
      </c>
      <c r="P193">
        <f>電力量!P194-電力量!P193</f>
        <v>0</v>
      </c>
      <c r="Q193">
        <f>電力量!Q194-電力量!Q193</f>
        <v>0</v>
      </c>
      <c r="R193">
        <f>電力量!R194-電力量!R193</f>
        <v>0</v>
      </c>
    </row>
    <row r="194" spans="1:18">
      <c r="A194" s="4">
        <v>45908</v>
      </c>
      <c r="B194">
        <f>電力量!B195-電力量!B194</f>
        <v>745</v>
      </c>
      <c r="C194">
        <f>電力量!C195-電力量!C194</f>
        <v>186</v>
      </c>
      <c r="D194">
        <f>電力量!D195-電力量!D194</f>
        <v>17.5</v>
      </c>
      <c r="E194">
        <f>電力量!E195-電力量!E194</f>
        <v>0</v>
      </c>
      <c r="F194">
        <f>電力量!F195-電力量!F194</f>
        <v>18</v>
      </c>
      <c r="G194">
        <f>電力量!G195-電力量!G194</f>
        <v>58.599999999991269</v>
      </c>
      <c r="H194">
        <f>電力量!H195-電力量!H194</f>
        <v>13</v>
      </c>
      <c r="I194">
        <f>電力量!I195-電力量!I194</f>
        <v>250</v>
      </c>
      <c r="J194">
        <f>電力量!J195-電力量!J194</f>
        <v>5.0999999999985448</v>
      </c>
      <c r="K194">
        <f>電力量!K195-電力量!K194</f>
        <v>3.3999999999941792</v>
      </c>
      <c r="L194">
        <f>電力量!L195-電力量!L194</f>
        <v>22.799999999999955</v>
      </c>
      <c r="M194">
        <f>電力量!M195-電力量!M194</f>
        <v>40.600000000005821</v>
      </c>
      <c r="N194">
        <f>電力量!N195-電力量!N194</f>
        <v>54.5</v>
      </c>
      <c r="O194">
        <f>電力量!O195-電力量!O194</f>
        <v>17.100000000005821</v>
      </c>
      <c r="P194">
        <f>電力量!P195-電力量!P194</f>
        <v>0</v>
      </c>
      <c r="Q194">
        <f>電力量!Q195-電力量!Q194</f>
        <v>0</v>
      </c>
      <c r="R194">
        <f>電力量!R195-電力量!R194</f>
        <v>0</v>
      </c>
    </row>
    <row r="195" spans="1:18">
      <c r="A195" s="4">
        <f t="shared" si="69"/>
        <v>45908.041666666664</v>
      </c>
      <c r="B195">
        <f>電力量!B196-電力量!B195</f>
        <v>735</v>
      </c>
      <c r="C195">
        <f>電力量!C196-電力量!C195</f>
        <v>183</v>
      </c>
      <c r="D195">
        <f>電力量!D196-電力量!D195</f>
        <v>16.19999999999709</v>
      </c>
      <c r="E195">
        <f>電力量!E196-電力量!E195</f>
        <v>0</v>
      </c>
      <c r="F195">
        <f>電力量!F196-電力量!F195</f>
        <v>18</v>
      </c>
      <c r="G195">
        <f>電力量!G196-電力量!G195</f>
        <v>54.900000000008731</v>
      </c>
      <c r="H195">
        <f>電力量!H196-電力量!H195</f>
        <v>12</v>
      </c>
      <c r="I195">
        <f>電力量!I196-電力量!I195</f>
        <v>246</v>
      </c>
      <c r="J195">
        <f>電力量!J196-電力量!J195</f>
        <v>5.5</v>
      </c>
      <c r="K195">
        <f>電力量!K196-電力量!K195</f>
        <v>3.3999999999941792</v>
      </c>
      <c r="L195">
        <f>電力量!L196-電力量!L195</f>
        <v>20.5</v>
      </c>
      <c r="M195">
        <f>電力量!M196-電力量!M195</f>
        <v>42.600000000005821</v>
      </c>
      <c r="N195">
        <f>電力量!N196-電力量!N195</f>
        <v>54.69999999999709</v>
      </c>
      <c r="O195">
        <f>電力量!O196-電力量!O195</f>
        <v>20</v>
      </c>
      <c r="P195">
        <f>電力量!P196-電力量!P195</f>
        <v>0</v>
      </c>
      <c r="Q195">
        <f>電力量!Q196-電力量!Q195</f>
        <v>0</v>
      </c>
      <c r="R195">
        <f>電力量!R196-電力量!R195</f>
        <v>0</v>
      </c>
    </row>
    <row r="196" spans="1:18">
      <c r="A196" s="4">
        <f t="shared" si="70"/>
        <v>45908.083333333336</v>
      </c>
      <c r="B196">
        <f>電力量!B197-電力量!B196</f>
        <v>721</v>
      </c>
      <c r="C196">
        <f>電力量!C197-電力量!C196</f>
        <v>186</v>
      </c>
      <c r="D196">
        <f>電力量!D197-電力量!D196</f>
        <v>15.19999999999709</v>
      </c>
      <c r="E196">
        <f>電力量!E197-電力量!E196</f>
        <v>0</v>
      </c>
      <c r="F196">
        <f>電力量!F197-電力量!F196</f>
        <v>17</v>
      </c>
      <c r="G196">
        <f>電力量!G197-電力量!G196</f>
        <v>51</v>
      </c>
      <c r="H196">
        <f>電力量!H197-電力量!H196</f>
        <v>13</v>
      </c>
      <c r="I196">
        <f>電力量!I197-電力量!I196</f>
        <v>239</v>
      </c>
      <c r="J196">
        <f>電力量!J197-電力量!J196</f>
        <v>4.9000000000014552</v>
      </c>
      <c r="K196">
        <f>電力量!K197-電力量!K196</f>
        <v>3.5</v>
      </c>
      <c r="L196">
        <f>電力量!L197-電力量!L196</f>
        <v>21.700000000000045</v>
      </c>
      <c r="M196">
        <f>電力量!M197-電力量!M196</f>
        <v>40.599999999991269</v>
      </c>
      <c r="N196">
        <f>電力量!N197-電力量!N196</f>
        <v>54.5</v>
      </c>
      <c r="O196">
        <f>電力量!O197-電力量!O196</f>
        <v>18.69999999999709</v>
      </c>
      <c r="P196">
        <f>電力量!P197-電力量!P196</f>
        <v>0</v>
      </c>
      <c r="Q196">
        <f>電力量!Q197-電力量!Q196</f>
        <v>0</v>
      </c>
      <c r="R196">
        <f>電力量!R197-電力量!R196</f>
        <v>0</v>
      </c>
    </row>
    <row r="197" spans="1:18">
      <c r="A197" s="4">
        <f t="shared" si="71"/>
        <v>45908.125</v>
      </c>
      <c r="B197">
        <f>電力量!B198-電力量!B197</f>
        <v>721</v>
      </c>
      <c r="C197">
        <f>電力量!C198-電力量!C197</f>
        <v>184</v>
      </c>
      <c r="D197">
        <f>電力量!D198-電力量!D197</f>
        <v>15.100000000005821</v>
      </c>
      <c r="E197">
        <f>電力量!E198-電力量!E197</f>
        <v>0</v>
      </c>
      <c r="F197">
        <f>電力量!F198-電力量!F197</f>
        <v>15</v>
      </c>
      <c r="G197">
        <f>電力量!G198-電力量!G197</f>
        <v>51.30000000000291</v>
      </c>
      <c r="H197">
        <f>電力量!H198-電力量!H197</f>
        <v>12</v>
      </c>
      <c r="I197">
        <f>電力量!I198-電力量!I197</f>
        <v>243</v>
      </c>
      <c r="J197">
        <f>電力量!J198-電力量!J197</f>
        <v>5.0999999999985448</v>
      </c>
      <c r="K197">
        <f>電力量!K198-電力量!K197</f>
        <v>3.4000000000087311</v>
      </c>
      <c r="L197">
        <f>電力量!L198-電力量!L197</f>
        <v>22.600000000000136</v>
      </c>
      <c r="M197">
        <f>電力量!M198-電力量!M197</f>
        <v>39.5</v>
      </c>
      <c r="N197">
        <f>電力量!N198-電力量!N197</f>
        <v>54.700000000011642</v>
      </c>
      <c r="O197">
        <f>電力量!O198-電力量!O197</f>
        <v>18.19999999999709</v>
      </c>
      <c r="P197">
        <f>電力量!P198-電力量!P197</f>
        <v>0</v>
      </c>
      <c r="Q197">
        <f>電力量!Q198-電力量!Q197</f>
        <v>0</v>
      </c>
      <c r="R197">
        <f>電力量!R198-電力量!R197</f>
        <v>0</v>
      </c>
    </row>
    <row r="198" spans="1:18">
      <c r="A198" s="4">
        <f t="shared" si="72"/>
        <v>45908.166666666664</v>
      </c>
      <c r="B198">
        <f>電力量!B199-電力量!B198</f>
        <v>723</v>
      </c>
      <c r="C198">
        <f>電力量!C199-電力量!C198</f>
        <v>183</v>
      </c>
      <c r="D198">
        <f>電力量!D199-電力量!D198</f>
        <v>15.19999999999709</v>
      </c>
      <c r="E198">
        <f>電力量!E199-電力量!E198</f>
        <v>0</v>
      </c>
      <c r="F198">
        <f>電力量!F199-電力量!F198</f>
        <v>15</v>
      </c>
      <c r="G198">
        <f>電力量!G199-電力量!G198</f>
        <v>51.19999999999709</v>
      </c>
      <c r="H198">
        <f>電力量!H199-電力量!H198</f>
        <v>13</v>
      </c>
      <c r="I198">
        <f>電力量!I199-電力量!I198</f>
        <v>241</v>
      </c>
      <c r="J198">
        <f>電力量!J199-電力量!J198</f>
        <v>5.2000000000043656</v>
      </c>
      <c r="K198">
        <f>電力量!K199-電力量!K198</f>
        <v>3.3999999999941792</v>
      </c>
      <c r="L198">
        <f>電力量!L199-電力量!L198</f>
        <v>27.099999999999909</v>
      </c>
      <c r="M198">
        <f>電力量!M199-電力量!M198</f>
        <v>39.19999999999709</v>
      </c>
      <c r="N198">
        <f>電力量!N199-電力量!N198</f>
        <v>56</v>
      </c>
      <c r="O198">
        <f>電力量!O199-電力量!O198</f>
        <v>19.69999999999709</v>
      </c>
      <c r="P198">
        <f>電力量!P199-電力量!P198</f>
        <v>0</v>
      </c>
      <c r="Q198">
        <f>電力量!Q199-電力量!Q198</f>
        <v>0</v>
      </c>
      <c r="R198">
        <f>電力量!R199-電力量!R198</f>
        <v>0</v>
      </c>
    </row>
    <row r="199" spans="1:18">
      <c r="A199" s="4">
        <f t="shared" si="73"/>
        <v>45908.208333333336</v>
      </c>
      <c r="B199">
        <f>電力量!B200-電力量!B199</f>
        <v>728</v>
      </c>
      <c r="C199">
        <f>電力量!C200-電力量!C199</f>
        <v>181</v>
      </c>
      <c r="D199">
        <f>電力量!D200-電力量!D199</f>
        <v>15</v>
      </c>
      <c r="E199">
        <f>電力量!E200-電力量!E199</f>
        <v>0</v>
      </c>
      <c r="F199">
        <f>電力量!F200-電力量!F199</f>
        <v>15</v>
      </c>
      <c r="G199">
        <f>電力量!G200-電力量!G199</f>
        <v>51</v>
      </c>
      <c r="H199">
        <f>電力量!H200-電力量!H199</f>
        <v>13</v>
      </c>
      <c r="I199">
        <f>電力量!I200-電力量!I199</f>
        <v>243</v>
      </c>
      <c r="J199">
        <f>電力量!J200-電力量!J199</f>
        <v>5.0999999999985448</v>
      </c>
      <c r="K199">
        <f>電力量!K200-電力量!K199</f>
        <v>3.3000000000029104</v>
      </c>
      <c r="L199">
        <f>電力量!L200-電力量!L199</f>
        <v>28.699999999999818</v>
      </c>
      <c r="M199">
        <f>電力量!M200-電力量!M199</f>
        <v>39.5</v>
      </c>
      <c r="N199">
        <f>電力量!N200-電力量!N199</f>
        <v>54.69999999999709</v>
      </c>
      <c r="O199">
        <f>電力量!O200-電力量!O199</f>
        <v>21.19999999999709</v>
      </c>
      <c r="P199">
        <f>電力量!P200-電力量!P199</f>
        <v>0</v>
      </c>
      <c r="Q199">
        <f>電力量!Q200-電力量!Q199</f>
        <v>0</v>
      </c>
      <c r="R199">
        <f>電力量!R200-電力量!R199</f>
        <v>0</v>
      </c>
    </row>
    <row r="200" spans="1:18">
      <c r="A200" s="4">
        <f t="shared" si="74"/>
        <v>45908.25</v>
      </c>
      <c r="B200">
        <f>電力量!B201-電力量!B200</f>
        <v>727</v>
      </c>
      <c r="C200">
        <f>電力量!C201-電力量!C200</f>
        <v>182</v>
      </c>
      <c r="D200">
        <f>電力量!D201-電力量!D200</f>
        <v>14.80000000000291</v>
      </c>
      <c r="E200">
        <f>電力量!E201-電力量!E200</f>
        <v>0</v>
      </c>
      <c r="F200">
        <f>電力量!F201-電力量!F200</f>
        <v>14</v>
      </c>
      <c r="G200">
        <f>電力量!G201-電力量!G200</f>
        <v>49.599999999991269</v>
      </c>
      <c r="H200">
        <f>電力量!H201-電力量!H200</f>
        <v>13</v>
      </c>
      <c r="I200">
        <f>電力量!I201-電力量!I200</f>
        <v>247</v>
      </c>
      <c r="J200">
        <f>電力量!J201-電力量!J200</f>
        <v>4.9000000000014552</v>
      </c>
      <c r="K200">
        <f>電力量!K201-電力量!K200</f>
        <v>3.1000000000058208</v>
      </c>
      <c r="L200">
        <f>電力量!L201-電力量!L200</f>
        <v>24.5</v>
      </c>
      <c r="M200">
        <f>電力量!M201-電力量!M200</f>
        <v>41.5</v>
      </c>
      <c r="N200">
        <f>電力量!N201-電力量!N200</f>
        <v>53.5</v>
      </c>
      <c r="O200">
        <f>電力量!O201-電力量!O200</f>
        <v>21.600000000005821</v>
      </c>
      <c r="P200">
        <f>電力量!P201-電力量!P200</f>
        <v>0</v>
      </c>
      <c r="Q200">
        <f>電力量!Q201-電力量!Q200</f>
        <v>0</v>
      </c>
      <c r="R200">
        <f>電力量!R201-電力量!R200</f>
        <v>0</v>
      </c>
    </row>
    <row r="201" spans="1:18">
      <c r="A201" s="4">
        <f t="shared" si="75"/>
        <v>45908.291666666664</v>
      </c>
      <c r="B201">
        <f>電力量!B202-電力量!B201</f>
        <v>734</v>
      </c>
      <c r="C201">
        <f>電力量!C202-電力量!C201</f>
        <v>183</v>
      </c>
      <c r="D201">
        <f>電力量!D202-電力量!D201</f>
        <v>14.099999999998545</v>
      </c>
      <c r="E201">
        <f>電力量!E202-電力量!E201</f>
        <v>0</v>
      </c>
      <c r="F201">
        <f>電力量!F202-電力量!F201</f>
        <v>16</v>
      </c>
      <c r="G201">
        <f>電力量!G202-電力量!G201</f>
        <v>48.200000000011642</v>
      </c>
      <c r="H201">
        <f>電力量!H202-電力量!H201</f>
        <v>12</v>
      </c>
      <c r="I201">
        <f>電力量!I202-電力量!I201</f>
        <v>246</v>
      </c>
      <c r="J201">
        <f>電力量!J202-電力量!J201</f>
        <v>4.7999999999956344</v>
      </c>
      <c r="K201">
        <f>電力量!K202-電力量!K201</f>
        <v>2.7999999999883585</v>
      </c>
      <c r="L201">
        <f>電力量!L202-電力量!L201</f>
        <v>24.099999999999909</v>
      </c>
      <c r="M201">
        <f>電力量!M202-電力量!M201</f>
        <v>39.600000000005821</v>
      </c>
      <c r="N201">
        <f>電力量!N202-電力量!N201</f>
        <v>53.899999999994179</v>
      </c>
      <c r="O201">
        <f>電力量!O202-電力量!O201</f>
        <v>27.30000000000291</v>
      </c>
      <c r="P201">
        <f>電力量!P202-電力量!P201</f>
        <v>1</v>
      </c>
      <c r="Q201">
        <f>電力量!Q202-電力量!Q201</f>
        <v>0</v>
      </c>
      <c r="R201">
        <f>電力量!R202-電力量!R201</f>
        <v>0</v>
      </c>
    </row>
    <row r="202" spans="1:18">
      <c r="A202" s="4">
        <f t="shared" si="76"/>
        <v>45908.333333333336</v>
      </c>
      <c r="B202">
        <f>電力量!B203-電力量!B202</f>
        <v>848</v>
      </c>
      <c r="C202">
        <f>電力量!C203-電力量!C202</f>
        <v>213</v>
      </c>
      <c r="D202">
        <f>電力量!D203-電力量!D202</f>
        <v>20.19999999999709</v>
      </c>
      <c r="E202">
        <f>電力量!E203-電力量!E202</f>
        <v>0</v>
      </c>
      <c r="F202">
        <f>電力量!F203-電力量!F202</f>
        <v>21</v>
      </c>
      <c r="G202">
        <f>電力量!G203-電力量!G202</f>
        <v>53.19999999999709</v>
      </c>
      <c r="H202">
        <f>電力量!H203-電力量!H202</f>
        <v>15</v>
      </c>
      <c r="I202">
        <f>電力量!I203-電力量!I202</f>
        <v>285</v>
      </c>
      <c r="J202">
        <f>電力量!J203-電力量!J202</f>
        <v>4.7000000000043656</v>
      </c>
      <c r="K202">
        <f>電力量!K203-電力量!K202</f>
        <v>4.2000000000116415</v>
      </c>
      <c r="L202">
        <f>電力量!L203-電力量!L202</f>
        <v>30.800000000000182</v>
      </c>
      <c r="M202">
        <f>電力量!M203-電力量!M202</f>
        <v>43.899999999994179</v>
      </c>
      <c r="N202">
        <f>電力量!N203-電力量!N202</f>
        <v>53.900000000008731</v>
      </c>
      <c r="O202">
        <f>電力量!O203-電力量!O202</f>
        <v>36.80000000000291</v>
      </c>
      <c r="P202">
        <f>電力量!P203-電力量!P202</f>
        <v>1</v>
      </c>
      <c r="Q202">
        <f>電力量!Q203-電力量!Q202</f>
        <v>3</v>
      </c>
      <c r="R202">
        <f>電力量!R203-電力量!R202</f>
        <v>0</v>
      </c>
    </row>
    <row r="203" spans="1:18">
      <c r="A203" s="4">
        <f t="shared" si="77"/>
        <v>45908.375</v>
      </c>
      <c r="B203">
        <f>電力量!B204-電力量!B203</f>
        <v>1113</v>
      </c>
      <c r="C203">
        <f>電力量!C204-電力量!C203</f>
        <v>295</v>
      </c>
      <c r="D203">
        <f>電力量!D204-電力量!D203</f>
        <v>31.900000000001455</v>
      </c>
      <c r="E203">
        <f>電力量!E204-電力量!E203</f>
        <v>0</v>
      </c>
      <c r="F203">
        <f>電力量!F204-電力量!F203</f>
        <v>29</v>
      </c>
      <c r="G203">
        <f>電力量!G204-電力量!G203</f>
        <v>60</v>
      </c>
      <c r="H203">
        <f>電力量!H204-電力量!H203</f>
        <v>47</v>
      </c>
      <c r="I203">
        <f>電力量!I204-電力量!I203</f>
        <v>364</v>
      </c>
      <c r="J203">
        <f>電力量!J204-電力量!J203</f>
        <v>5.5</v>
      </c>
      <c r="K203">
        <f>電力量!K204-電力量!K203</f>
        <v>5</v>
      </c>
      <c r="L203">
        <f>電力量!L204-電力量!L203</f>
        <v>34.099999999999909</v>
      </c>
      <c r="M203">
        <f>電力量!M204-電力量!M203</f>
        <v>47.5</v>
      </c>
      <c r="N203">
        <f>電力量!N204-電力量!N203</f>
        <v>53.899999999994179</v>
      </c>
      <c r="O203">
        <f>電力量!O204-電力量!O203</f>
        <v>57.599999999991269</v>
      </c>
      <c r="P203">
        <f>電力量!P204-電力量!P203</f>
        <v>3</v>
      </c>
      <c r="Q203">
        <f>電力量!Q204-電力量!Q203</f>
        <v>4</v>
      </c>
      <c r="R203">
        <f>電力量!R204-電力量!R203</f>
        <v>0</v>
      </c>
    </row>
    <row r="204" spans="1:18">
      <c r="A204" s="4">
        <f t="shared" si="78"/>
        <v>45908.416666666664</v>
      </c>
      <c r="B204">
        <f>電力量!B205-電力量!B204</f>
        <v>1273</v>
      </c>
      <c r="C204">
        <f>電力量!C205-電力量!C204</f>
        <v>344</v>
      </c>
      <c r="D204">
        <f>電力量!D205-電力量!D204</f>
        <v>35.19999999999709</v>
      </c>
      <c r="E204">
        <f>電力量!E205-電力量!E204</f>
        <v>0</v>
      </c>
      <c r="F204">
        <f>電力量!F205-電力量!F204</f>
        <v>50</v>
      </c>
      <c r="G204">
        <f>電力量!G205-電力量!G204</f>
        <v>77.899999999994179</v>
      </c>
      <c r="H204">
        <f>電力量!H205-電力量!H204</f>
        <v>29</v>
      </c>
      <c r="I204">
        <f>電力量!I205-電力量!I204</f>
        <v>433</v>
      </c>
      <c r="J204">
        <f>電力量!J205-電力量!J204</f>
        <v>4.8999999999941792</v>
      </c>
      <c r="K204">
        <f>電力量!K205-電力量!K204</f>
        <v>5.8999999999941792</v>
      </c>
      <c r="L204">
        <f>電力量!L205-電力量!L204</f>
        <v>36.599999999999909</v>
      </c>
      <c r="M204">
        <f>電力量!M205-電力量!M204</f>
        <v>48</v>
      </c>
      <c r="N204">
        <f>電力量!N205-電力量!N204</f>
        <v>55.899999999994179</v>
      </c>
      <c r="O204">
        <f>電力量!O205-電力量!O204</f>
        <v>70.100000000005821</v>
      </c>
      <c r="P204">
        <f>電力量!P205-電力量!P204</f>
        <v>3</v>
      </c>
      <c r="Q204">
        <f>電力量!Q205-電力量!Q204</f>
        <v>5</v>
      </c>
      <c r="R204">
        <f>電力量!R205-電力量!R204</f>
        <v>0</v>
      </c>
    </row>
    <row r="205" spans="1:18">
      <c r="A205" s="4">
        <f t="shared" si="79"/>
        <v>45908.458333333336</v>
      </c>
      <c r="B205">
        <f>電力量!B206-電力量!B205</f>
        <v>1322</v>
      </c>
      <c r="C205">
        <f>電力量!C206-電力量!C205</f>
        <v>355</v>
      </c>
      <c r="D205">
        <f>電力量!D206-電力量!D205</f>
        <v>33.700000000004366</v>
      </c>
      <c r="E205">
        <f>電力量!E206-電力量!E205</f>
        <v>0</v>
      </c>
      <c r="F205">
        <f>電力量!F206-電力量!F205</f>
        <v>60</v>
      </c>
      <c r="G205">
        <f>電力量!G206-電力量!G205</f>
        <v>70.100000000005821</v>
      </c>
      <c r="H205">
        <f>電力量!H206-電力量!H205</f>
        <v>36</v>
      </c>
      <c r="I205">
        <f>電力量!I206-電力量!I205</f>
        <v>465</v>
      </c>
      <c r="J205">
        <f>電力量!J206-電力量!J205</f>
        <v>5.4000000000014552</v>
      </c>
      <c r="K205">
        <f>電力量!K206-電力量!K205</f>
        <v>0.5</v>
      </c>
      <c r="L205">
        <f>電力量!L206-電力量!L205</f>
        <v>44.900000000000091</v>
      </c>
      <c r="M205">
        <f>電力量!M206-電力量!M205</f>
        <v>50.900000000008731</v>
      </c>
      <c r="N205">
        <f>電力量!N206-電力量!N205</f>
        <v>48.200000000011642</v>
      </c>
      <c r="O205">
        <f>電力量!O206-電力量!O205</f>
        <v>66.19999999999709</v>
      </c>
      <c r="P205">
        <f>電力量!P206-電力量!P205</f>
        <v>11</v>
      </c>
      <c r="Q205">
        <f>電力量!Q206-電力量!Q205</f>
        <v>17</v>
      </c>
      <c r="R205">
        <f>電力量!R206-電力量!R205</f>
        <v>0</v>
      </c>
    </row>
    <row r="206" spans="1:18">
      <c r="A206" s="4">
        <f t="shared" si="80"/>
        <v>45908.5</v>
      </c>
      <c r="B206">
        <f>電力量!B207-電力量!B206</f>
        <v>1415</v>
      </c>
      <c r="C206">
        <f>電力量!C207-電力量!C206</f>
        <v>364</v>
      </c>
      <c r="D206">
        <f>電力量!D207-電力量!D206</f>
        <v>44.19999999999709</v>
      </c>
      <c r="E206">
        <f>電力量!E207-電力量!E206</f>
        <v>0</v>
      </c>
      <c r="F206">
        <f>電力量!F207-電力量!F206</f>
        <v>54</v>
      </c>
      <c r="G206">
        <f>電力量!G207-電力量!G206</f>
        <v>79.899999999994179</v>
      </c>
      <c r="H206">
        <f>電力量!H207-電力量!H206</f>
        <v>69</v>
      </c>
      <c r="I206">
        <f>電力量!I207-電力量!I206</f>
        <v>491</v>
      </c>
      <c r="J206">
        <f>電力量!J207-電力量!J206</f>
        <v>6</v>
      </c>
      <c r="K206">
        <f>電力量!K207-電力量!K206</f>
        <v>0.19999999999708962</v>
      </c>
      <c r="L206">
        <f>電力量!L207-電力量!L206</f>
        <v>46.5</v>
      </c>
      <c r="M206">
        <f>電力量!M207-電力量!M206</f>
        <v>55.19999999999709</v>
      </c>
      <c r="N206">
        <f>電力量!N207-電力量!N206</f>
        <v>47.299999999988358</v>
      </c>
      <c r="O206">
        <f>電力量!O207-電力量!O206</f>
        <v>69.399999999994179</v>
      </c>
      <c r="P206">
        <f>電力量!P207-電力量!P206</f>
        <v>12</v>
      </c>
      <c r="Q206">
        <f>電力量!Q207-電力量!Q206</f>
        <v>18</v>
      </c>
      <c r="R206">
        <f>電力量!R207-電力量!R206</f>
        <v>0</v>
      </c>
    </row>
    <row r="207" spans="1:18">
      <c r="A207" s="4">
        <f t="shared" si="81"/>
        <v>45908.541666666664</v>
      </c>
      <c r="B207">
        <f>電力量!B208-電力量!B207</f>
        <v>1469</v>
      </c>
      <c r="C207">
        <f>電力量!C208-電力量!C207</f>
        <v>394</v>
      </c>
      <c r="D207">
        <f>電力量!D208-電力量!D207</f>
        <v>47.099999999998545</v>
      </c>
      <c r="E207">
        <f>電力量!E208-電力量!E207</f>
        <v>0</v>
      </c>
      <c r="F207">
        <f>電力量!F208-電力量!F207</f>
        <v>56</v>
      </c>
      <c r="G207">
        <f>電力量!G208-電力量!G207</f>
        <v>81.30000000000291</v>
      </c>
      <c r="H207">
        <f>電力量!H208-電力量!H207</f>
        <v>47</v>
      </c>
      <c r="I207">
        <f>電力量!I208-電力量!I207</f>
        <v>502</v>
      </c>
      <c r="J207">
        <f>電力量!J208-電力量!J207</f>
        <v>9.9000000000014552</v>
      </c>
      <c r="K207">
        <f>電力量!K208-電力量!K207</f>
        <v>0.10000000000582077</v>
      </c>
      <c r="L207">
        <f>電力量!L208-電力量!L207</f>
        <v>50.300000000000182</v>
      </c>
      <c r="M207">
        <f>電力量!M208-電力量!M207</f>
        <v>61</v>
      </c>
      <c r="N207">
        <f>電力量!N208-電力量!N207</f>
        <v>44.200000000011642</v>
      </c>
      <c r="O207">
        <f>電力量!O208-電力量!O207</f>
        <v>75.900000000008731</v>
      </c>
      <c r="P207">
        <f>電力量!P208-電力量!P207</f>
        <v>15</v>
      </c>
      <c r="Q207">
        <f>電力量!Q208-電力量!Q207</f>
        <v>23</v>
      </c>
      <c r="R207">
        <f>電力量!R208-電力量!R207</f>
        <v>0</v>
      </c>
    </row>
    <row r="208" spans="1:18">
      <c r="A208" s="4">
        <f t="shared" si="82"/>
        <v>45908.583333333336</v>
      </c>
      <c r="B208">
        <f>電力量!B209-電力量!B208</f>
        <v>1492</v>
      </c>
      <c r="C208">
        <f>電力量!C209-電力量!C208</f>
        <v>401</v>
      </c>
      <c r="D208">
        <f>電力量!D209-電力量!D208</f>
        <v>44.30000000000291</v>
      </c>
      <c r="E208">
        <f>電力量!E209-電力量!E208</f>
        <v>0</v>
      </c>
      <c r="F208">
        <f>電力量!F209-電力量!F208</f>
        <v>50</v>
      </c>
      <c r="G208">
        <f>電力量!G209-電力量!G208</f>
        <v>104.19999999999709</v>
      </c>
      <c r="H208">
        <f>電力量!H209-電力量!H208</f>
        <v>49</v>
      </c>
      <c r="I208">
        <f>電力量!I209-電力量!I208</f>
        <v>491</v>
      </c>
      <c r="J208">
        <f>電力量!J209-電力量!J208</f>
        <v>10.099999999998545</v>
      </c>
      <c r="K208">
        <f>電力量!K209-電力量!K208</f>
        <v>4</v>
      </c>
      <c r="L208">
        <f>電力量!L209-電力量!L208</f>
        <v>51.199999999999818</v>
      </c>
      <c r="M208">
        <f>電力量!M209-電力量!M208</f>
        <v>59.399999999994179</v>
      </c>
      <c r="N208">
        <f>電力量!N209-電力量!N208</f>
        <v>53.599999999991269</v>
      </c>
      <c r="O208">
        <f>電力量!O209-電力量!O208</f>
        <v>56.599999999991269</v>
      </c>
      <c r="P208">
        <f>電力量!P209-電力量!P208</f>
        <v>8</v>
      </c>
      <c r="Q208">
        <f>電力量!Q209-電力量!Q208</f>
        <v>12</v>
      </c>
      <c r="R208">
        <f>電力量!R209-電力量!R208</f>
        <v>0</v>
      </c>
    </row>
    <row r="209" spans="1:18">
      <c r="A209" s="4">
        <f t="shared" si="83"/>
        <v>45908.625</v>
      </c>
      <c r="B209">
        <f>電力量!B210-電力量!B209</f>
        <v>1455</v>
      </c>
      <c r="C209">
        <f>電力量!C210-電力量!C209</f>
        <v>408</v>
      </c>
      <c r="D209">
        <f>電力量!D210-電力量!D209</f>
        <v>42.599999999998545</v>
      </c>
      <c r="E209">
        <f>電力量!E210-電力量!E209</f>
        <v>0</v>
      </c>
      <c r="F209">
        <f>電力量!F210-電力量!F209</f>
        <v>49</v>
      </c>
      <c r="G209">
        <f>電力量!G210-電力量!G209</f>
        <v>96.600000000005821</v>
      </c>
      <c r="H209">
        <f>電力量!H210-電力量!H209</f>
        <v>67</v>
      </c>
      <c r="I209">
        <f>電力量!I210-電力量!I209</f>
        <v>472</v>
      </c>
      <c r="J209">
        <f>電力量!J210-電力量!J209</f>
        <v>10.099999999998545</v>
      </c>
      <c r="K209">
        <f>電力量!K210-電力量!K209</f>
        <v>0.59999999999126885</v>
      </c>
      <c r="L209">
        <f>電力量!L210-電力量!L209</f>
        <v>51.900000000000091</v>
      </c>
      <c r="M209">
        <f>電力量!M210-電力量!M209</f>
        <v>57.80000000000291</v>
      </c>
      <c r="N209">
        <f>電力量!N210-電力量!N209</f>
        <v>50.5</v>
      </c>
      <c r="O209">
        <f>電力量!O210-電力量!O209</f>
        <v>33.30000000000291</v>
      </c>
      <c r="P209">
        <f>電力量!P210-電力量!P209</f>
        <v>11</v>
      </c>
      <c r="Q209">
        <f>電力量!Q210-電力量!Q209</f>
        <v>16</v>
      </c>
      <c r="R209">
        <f>電力量!R210-電力量!R209</f>
        <v>0</v>
      </c>
    </row>
    <row r="210" spans="1:18">
      <c r="A210" s="4">
        <f t="shared" si="84"/>
        <v>45908.666666666664</v>
      </c>
      <c r="B210">
        <f>電力量!B211-電力量!B210</f>
        <v>1431</v>
      </c>
      <c r="C210">
        <f>電力量!C211-電力量!C210</f>
        <v>407</v>
      </c>
      <c r="D210">
        <f>電力量!D211-電力量!D210</f>
        <v>40.80000000000291</v>
      </c>
      <c r="E210">
        <f>電力量!E211-電力量!E210</f>
        <v>0</v>
      </c>
      <c r="F210">
        <f>電力量!F211-電力量!F210</f>
        <v>54</v>
      </c>
      <c r="G210">
        <f>電力量!G211-電力量!G210</f>
        <v>103.5</v>
      </c>
      <c r="H210">
        <f>電力量!H211-電力量!H210</f>
        <v>47</v>
      </c>
      <c r="I210">
        <f>電力量!I211-電力量!I210</f>
        <v>459</v>
      </c>
      <c r="J210">
        <f>電力量!J211-電力量!J210</f>
        <v>10.400000000001455</v>
      </c>
      <c r="K210">
        <f>電力量!K211-電力量!K210</f>
        <v>3.6000000000058208</v>
      </c>
      <c r="L210">
        <f>電力量!L211-電力量!L210</f>
        <v>49.300000000000182</v>
      </c>
      <c r="M210">
        <f>電力量!M211-電力量!M210</f>
        <v>55.30000000000291</v>
      </c>
      <c r="N210">
        <f>電力量!N211-電力量!N210</f>
        <v>54.900000000008731</v>
      </c>
      <c r="O210">
        <f>電力量!O211-電力量!O210</f>
        <v>30.400000000008731</v>
      </c>
      <c r="P210">
        <f>電力量!P211-電力量!P210</f>
        <v>6</v>
      </c>
      <c r="Q210">
        <f>電力量!Q211-電力量!Q210</f>
        <v>11</v>
      </c>
      <c r="R210">
        <f>電力量!R211-電力量!R210</f>
        <v>0</v>
      </c>
    </row>
    <row r="211" spans="1:18">
      <c r="A211" s="4">
        <f t="shared" si="85"/>
        <v>45908.708333333336</v>
      </c>
      <c r="B211">
        <f>電力量!B212-電力量!B211</f>
        <v>1261</v>
      </c>
      <c r="C211">
        <f>電力量!C212-電力量!C211</f>
        <v>350</v>
      </c>
      <c r="D211">
        <f>電力量!D212-電力量!D211</f>
        <v>36.900000000001455</v>
      </c>
      <c r="E211">
        <f>電力量!E212-電力量!E211</f>
        <v>0</v>
      </c>
      <c r="F211">
        <f>電力量!F212-電力量!F211</f>
        <v>40</v>
      </c>
      <c r="G211">
        <f>電力量!G212-電力量!G211</f>
        <v>90.5</v>
      </c>
      <c r="H211">
        <f>電力量!H212-電力量!H211</f>
        <v>44</v>
      </c>
      <c r="I211">
        <f>電力量!I212-電力量!I211</f>
        <v>409</v>
      </c>
      <c r="J211">
        <f>電力量!J212-電力量!J211</f>
        <v>9.2000000000043656</v>
      </c>
      <c r="K211">
        <f>電力量!K212-電力量!K211</f>
        <v>2</v>
      </c>
      <c r="L211">
        <f>電力量!L212-電力量!L211</f>
        <v>42.299999999999727</v>
      </c>
      <c r="M211">
        <f>電力量!M212-電力量!M211</f>
        <v>51.19999999999709</v>
      </c>
      <c r="N211">
        <f>電力量!N212-電力量!N211</f>
        <v>56</v>
      </c>
      <c r="O211">
        <f>電力量!O212-電力量!O211</f>
        <v>25.099999999991269</v>
      </c>
      <c r="P211">
        <f>電力量!P212-電力量!P211</f>
        <v>3</v>
      </c>
      <c r="Q211">
        <f>電力量!Q212-電力量!Q211</f>
        <v>4</v>
      </c>
      <c r="R211">
        <f>電力量!R212-電力量!R211</f>
        <v>0</v>
      </c>
    </row>
    <row r="212" spans="1:18">
      <c r="A212" s="4">
        <f t="shared" si="86"/>
        <v>45908.75</v>
      </c>
      <c r="B212">
        <f>電力量!B213-電力量!B212</f>
        <v>1078</v>
      </c>
      <c r="C212">
        <f>電力量!C213-電力量!C212</f>
        <v>280</v>
      </c>
      <c r="D212">
        <f>電力量!D213-電力量!D212</f>
        <v>28.19999999999709</v>
      </c>
      <c r="E212">
        <f>電力量!E213-電力量!E212</f>
        <v>0</v>
      </c>
      <c r="F212">
        <f>電力量!F213-電力量!F212</f>
        <v>34</v>
      </c>
      <c r="G212">
        <f>電力量!G213-電力量!G212</f>
        <v>79.399999999994179</v>
      </c>
      <c r="H212">
        <f>電力量!H213-電力量!H212</f>
        <v>41</v>
      </c>
      <c r="I212">
        <f>電力量!I213-電力量!I212</f>
        <v>363</v>
      </c>
      <c r="J212">
        <f>電力量!J213-電力量!J212</f>
        <v>8.2999999999956344</v>
      </c>
      <c r="K212">
        <f>電力量!K213-電力量!K212</f>
        <v>3.6999999999970896</v>
      </c>
      <c r="L212">
        <f>電力量!L213-電力量!L212</f>
        <v>33.900000000000091</v>
      </c>
      <c r="M212">
        <f>電力量!M213-電力量!M212</f>
        <v>49.69999999999709</v>
      </c>
      <c r="N212">
        <f>電力量!N213-電力量!N212</f>
        <v>58</v>
      </c>
      <c r="O212">
        <f>電力量!O213-電力量!O212</f>
        <v>22.400000000008731</v>
      </c>
      <c r="P212">
        <f>電力量!P213-電力量!P212</f>
        <v>0</v>
      </c>
      <c r="Q212">
        <f>電力量!Q213-電力量!Q212</f>
        <v>0</v>
      </c>
      <c r="R212">
        <f>電力量!R213-電力量!R212</f>
        <v>0</v>
      </c>
    </row>
    <row r="213" spans="1:18">
      <c r="A213" s="4">
        <f t="shared" si="87"/>
        <v>45908.791666666664</v>
      </c>
      <c r="B213">
        <f>電力量!B214-電力量!B213</f>
        <v>940</v>
      </c>
      <c r="C213">
        <f>電力量!C214-電力量!C213</f>
        <v>231</v>
      </c>
      <c r="D213">
        <f>電力量!D214-電力量!D213</f>
        <v>23</v>
      </c>
      <c r="E213">
        <f>電力量!E214-電力量!E213</f>
        <v>0</v>
      </c>
      <c r="F213">
        <f>電力量!F214-電力量!F213</f>
        <v>29</v>
      </c>
      <c r="G213">
        <f>電力量!G214-電力量!G213</f>
        <v>73</v>
      </c>
      <c r="H213">
        <f>電力量!H214-電力量!H213</f>
        <v>31</v>
      </c>
      <c r="I213">
        <f>電力量!I214-電力量!I213</f>
        <v>326</v>
      </c>
      <c r="J213">
        <f>電力量!J214-電力量!J213</f>
        <v>7.8000000000029104</v>
      </c>
      <c r="K213">
        <f>電力量!K214-電力量!K213</f>
        <v>3.8000000000029104</v>
      </c>
      <c r="L213">
        <f>電力量!L214-電力量!L213</f>
        <v>26</v>
      </c>
      <c r="M213">
        <f>電力量!M214-電力量!M213</f>
        <v>47.400000000008731</v>
      </c>
      <c r="N213">
        <f>電力量!N214-電力量!N213</f>
        <v>58.299999999988358</v>
      </c>
      <c r="O213">
        <f>電力量!O214-電力量!O213</f>
        <v>21.799999999988358</v>
      </c>
      <c r="P213">
        <f>電力量!P214-電力量!P213</f>
        <v>0</v>
      </c>
      <c r="Q213">
        <f>電力量!Q214-電力量!Q213</f>
        <v>0</v>
      </c>
      <c r="R213">
        <f>電力量!R214-電力量!R213</f>
        <v>0</v>
      </c>
    </row>
    <row r="214" spans="1:18">
      <c r="A214" s="4">
        <f t="shared" si="88"/>
        <v>45908.833333333336</v>
      </c>
      <c r="B214">
        <f>電力量!B215-電力量!B214</f>
        <v>885</v>
      </c>
      <c r="C214">
        <f>電力量!C215-電力量!C214</f>
        <v>218</v>
      </c>
      <c r="D214">
        <f>電力量!D215-電力量!D214</f>
        <v>20</v>
      </c>
      <c r="E214">
        <f>電力量!E215-電力量!E214</f>
        <v>0</v>
      </c>
      <c r="F214">
        <f>電力量!F215-電力量!F214</f>
        <v>24</v>
      </c>
      <c r="G214">
        <f>電力量!G215-電力量!G214</f>
        <v>72.400000000008731</v>
      </c>
      <c r="H214">
        <f>電力量!H215-電力量!H214</f>
        <v>21</v>
      </c>
      <c r="I214">
        <f>電力量!I215-電力量!I214</f>
        <v>302</v>
      </c>
      <c r="J214">
        <f>電力量!J215-電力量!J214</f>
        <v>7.9000000000014552</v>
      </c>
      <c r="K214">
        <f>電力量!K215-電力量!K214</f>
        <v>3.6999999999970896</v>
      </c>
      <c r="L214">
        <f>電力量!L215-電力量!L214</f>
        <v>26.400000000000091</v>
      </c>
      <c r="M214">
        <f>電力量!M215-電力量!M214</f>
        <v>48.5</v>
      </c>
      <c r="N214">
        <f>電力量!N215-電力量!N214</f>
        <v>56</v>
      </c>
      <c r="O214">
        <f>電力量!O215-電力量!O214</f>
        <v>23.200000000011642</v>
      </c>
      <c r="P214">
        <f>電力量!P215-電力量!P214</f>
        <v>0</v>
      </c>
      <c r="Q214">
        <f>電力量!Q215-電力量!Q214</f>
        <v>0</v>
      </c>
      <c r="R214">
        <f>電力量!R215-電力量!R214</f>
        <v>0</v>
      </c>
    </row>
    <row r="215" spans="1:18">
      <c r="A215" s="4">
        <f t="shared" si="89"/>
        <v>45908.875</v>
      </c>
      <c r="B215">
        <f>電力量!B216-電力量!B215</f>
        <v>853</v>
      </c>
      <c r="C215">
        <f>電力量!C216-電力量!C215</f>
        <v>212</v>
      </c>
      <c r="D215">
        <f>電力量!D216-電力量!D215</f>
        <v>16.19999999999709</v>
      </c>
      <c r="E215">
        <f>電力量!E216-電力量!E215</f>
        <v>0</v>
      </c>
      <c r="F215">
        <f>電力量!F216-電力量!F215</f>
        <v>25</v>
      </c>
      <c r="G215">
        <f>電力量!G216-電力量!G215</f>
        <v>71.599999999991269</v>
      </c>
      <c r="H215">
        <f>電力量!H216-電力量!H215</f>
        <v>17</v>
      </c>
      <c r="I215">
        <f>電力量!I216-電力量!I215</f>
        <v>293</v>
      </c>
      <c r="J215">
        <f>電力量!J216-電力量!J215</f>
        <v>7.5</v>
      </c>
      <c r="K215">
        <f>電力量!K216-電力量!K215</f>
        <v>3.6000000000058208</v>
      </c>
      <c r="L215">
        <f>電力量!L216-電力量!L215</f>
        <v>28.799999999999727</v>
      </c>
      <c r="M215">
        <f>電力量!M216-電力量!M215</f>
        <v>43.30000000000291</v>
      </c>
      <c r="N215">
        <f>電力量!N216-電力量!N215</f>
        <v>55.100000000005821</v>
      </c>
      <c r="O215">
        <f>電力量!O216-電力量!O215</f>
        <v>21.69999999999709</v>
      </c>
      <c r="P215">
        <f>電力量!P216-電力量!P215</f>
        <v>0</v>
      </c>
      <c r="Q215">
        <f>電力量!Q216-電力量!Q215</f>
        <v>0</v>
      </c>
      <c r="R215">
        <f>電力量!R216-電力量!R215</f>
        <v>0</v>
      </c>
    </row>
    <row r="216" spans="1:18">
      <c r="A216" s="4">
        <f t="shared" si="90"/>
        <v>45908.916666666664</v>
      </c>
      <c r="B216">
        <f>電力量!B217-電力量!B216</f>
        <v>823</v>
      </c>
      <c r="C216">
        <f>電力量!C217-電力量!C216</f>
        <v>204</v>
      </c>
      <c r="D216">
        <f>電力量!D217-電力量!D216</f>
        <v>15.900000000001455</v>
      </c>
      <c r="E216">
        <f>電力量!E217-電力量!E216</f>
        <v>0</v>
      </c>
      <c r="F216">
        <f>電力量!F217-電力量!F216</f>
        <v>24</v>
      </c>
      <c r="G216">
        <f>電力量!G217-電力量!G216</f>
        <v>68.900000000008731</v>
      </c>
      <c r="H216">
        <f>電力量!H217-電力量!H216</f>
        <v>17</v>
      </c>
      <c r="I216">
        <f>電力量!I217-電力量!I216</f>
        <v>284</v>
      </c>
      <c r="J216">
        <f>電力量!J217-電力量!J216</f>
        <v>7.1999999999970896</v>
      </c>
      <c r="K216">
        <f>電力量!K217-電力量!K216</f>
        <v>3.6999999999970896</v>
      </c>
      <c r="L216">
        <f>電力量!L217-電力量!L216</f>
        <v>24.5</v>
      </c>
      <c r="M216">
        <f>電力量!M217-電力量!M216</f>
        <v>43.5</v>
      </c>
      <c r="N216">
        <f>電力量!N217-電力量!N216</f>
        <v>55.399999999994179</v>
      </c>
      <c r="O216">
        <f>電力量!O217-電力量!O216</f>
        <v>18</v>
      </c>
      <c r="P216">
        <f>電力量!P217-電力量!P216</f>
        <v>0</v>
      </c>
      <c r="Q216">
        <f>電力量!Q217-電力量!Q216</f>
        <v>0</v>
      </c>
      <c r="R216">
        <f>電力量!R217-電力量!R216</f>
        <v>0</v>
      </c>
    </row>
    <row r="217" spans="1:18">
      <c r="A217" s="4">
        <f t="shared" si="91"/>
        <v>45908.958333333336</v>
      </c>
      <c r="B217">
        <f>電力量!B218-電力量!B217</f>
        <v>811</v>
      </c>
      <c r="C217">
        <f>電力量!C218-電力量!C217</f>
        <v>197</v>
      </c>
      <c r="D217">
        <f>電力量!D218-電力量!D217</f>
        <v>15.5</v>
      </c>
      <c r="E217">
        <f>電力量!E218-電力量!E217</f>
        <v>0</v>
      </c>
      <c r="F217">
        <f>電力量!F218-電力量!F217</f>
        <v>22</v>
      </c>
      <c r="G217">
        <f>電力量!G218-電力量!G217</f>
        <v>69.099999999991269</v>
      </c>
      <c r="H217">
        <f>電力量!H218-電力量!H217</f>
        <v>16</v>
      </c>
      <c r="I217">
        <f>電力量!I218-電力量!I217</f>
        <v>284</v>
      </c>
      <c r="J217">
        <f>電力量!J218-電力量!J217</f>
        <v>7.1999999999970896</v>
      </c>
      <c r="K217">
        <f>電力量!K218-電力量!K217</f>
        <v>3.6000000000058208</v>
      </c>
      <c r="L217">
        <f>電力量!L218-電力量!L217</f>
        <v>24.300000000000182</v>
      </c>
      <c r="M217">
        <f>電力量!M218-電力量!M217</f>
        <v>43.19999999999709</v>
      </c>
      <c r="N217">
        <f>電力量!N218-電力量!N217</f>
        <v>55.100000000005821</v>
      </c>
      <c r="O217">
        <f>電力量!O218-電力量!O217</f>
        <v>17.899999999994179</v>
      </c>
      <c r="P217">
        <f>電力量!P218-電力量!P217</f>
        <v>0</v>
      </c>
      <c r="Q217">
        <f>電力量!Q218-電力量!Q217</f>
        <v>0</v>
      </c>
      <c r="R217">
        <f>電力量!R218-電力量!R217</f>
        <v>0</v>
      </c>
    </row>
    <row r="218" spans="1:18">
      <c r="A218" s="4">
        <v>45909</v>
      </c>
      <c r="B218">
        <f>電力量!B219-電力量!B218</f>
        <v>779</v>
      </c>
      <c r="C218">
        <f>電力量!C219-電力量!C218</f>
        <v>181</v>
      </c>
      <c r="D218">
        <f>電力量!D219-電力量!D218</f>
        <v>14.900000000001455</v>
      </c>
      <c r="E218">
        <f>電力量!E219-電力量!E218</f>
        <v>0</v>
      </c>
      <c r="F218">
        <f>電力量!F219-電力量!F218</f>
        <v>21</v>
      </c>
      <c r="G218">
        <f>電力量!G219-電力量!G218</f>
        <v>69.19999999999709</v>
      </c>
      <c r="H218">
        <f>電力量!H219-電力量!H218</f>
        <v>18</v>
      </c>
      <c r="I218">
        <f>電力量!I219-電力量!I218</f>
        <v>274</v>
      </c>
      <c r="J218">
        <f>電力量!J219-電力量!J218</f>
        <v>6.6000000000058208</v>
      </c>
      <c r="K218">
        <f>電力量!K219-電力量!K218</f>
        <v>3.5</v>
      </c>
      <c r="L218">
        <f>電力量!L219-電力量!L218</f>
        <v>21.900000000000091</v>
      </c>
      <c r="M218">
        <f>電力量!M219-電力量!M218</f>
        <v>42.5</v>
      </c>
      <c r="N218">
        <f>電力量!N219-電力量!N218</f>
        <v>55</v>
      </c>
      <c r="O218">
        <f>電力量!O219-電力量!O218</f>
        <v>17.19999999999709</v>
      </c>
      <c r="P218">
        <f>電力量!P219-電力量!P218</f>
        <v>0</v>
      </c>
      <c r="Q218">
        <f>電力量!Q219-電力量!Q218</f>
        <v>0</v>
      </c>
      <c r="R218">
        <f>電力量!R219-電力量!R218</f>
        <v>0</v>
      </c>
    </row>
    <row r="219" spans="1:18">
      <c r="A219" s="4">
        <f t="shared" si="69"/>
        <v>45909.041666666664</v>
      </c>
      <c r="B219">
        <f>電力量!B220-電力量!B219</f>
        <v>750</v>
      </c>
      <c r="C219">
        <f>電力量!C220-電力量!C219</f>
        <v>170</v>
      </c>
      <c r="D219">
        <f>電力量!D220-電力量!D219</f>
        <v>14.900000000001455</v>
      </c>
      <c r="E219">
        <f>電力量!E220-電力量!E219</f>
        <v>0</v>
      </c>
      <c r="F219">
        <f>電力量!F220-電力量!F219</f>
        <v>21</v>
      </c>
      <c r="G219">
        <f>電力量!G220-電力量!G219</f>
        <v>65.80000000000291</v>
      </c>
      <c r="H219">
        <f>電力量!H220-電力量!H219</f>
        <v>16</v>
      </c>
      <c r="I219">
        <f>電力量!I220-電力量!I219</f>
        <v>259</v>
      </c>
      <c r="J219">
        <f>電力量!J220-電力量!J219</f>
        <v>7</v>
      </c>
      <c r="K219">
        <f>電力量!K220-電力量!K219</f>
        <v>3.5</v>
      </c>
      <c r="L219">
        <f>電力量!L220-電力量!L219</f>
        <v>21.599999999999909</v>
      </c>
      <c r="M219">
        <f>電力量!M220-電力量!M219</f>
        <v>45.399999999994179</v>
      </c>
      <c r="N219">
        <f>電力量!N220-電力量!N219</f>
        <v>55</v>
      </c>
      <c r="O219">
        <f>電力量!O220-電力量!O219</f>
        <v>17.600000000005821</v>
      </c>
      <c r="P219">
        <f>電力量!P220-電力量!P219</f>
        <v>0</v>
      </c>
      <c r="Q219">
        <f>電力量!Q220-電力量!Q219</f>
        <v>0</v>
      </c>
      <c r="R219">
        <f>電力量!R220-電力量!R219</f>
        <v>0</v>
      </c>
    </row>
    <row r="220" spans="1:18">
      <c r="A220" s="4">
        <f t="shared" si="70"/>
        <v>45909.083333333336</v>
      </c>
      <c r="B220">
        <f>電力量!B221-電力量!B220</f>
        <v>741</v>
      </c>
      <c r="C220">
        <f>電力量!C221-電力量!C220</f>
        <v>172</v>
      </c>
      <c r="D220">
        <f>電力量!D221-電力量!D220</f>
        <v>15</v>
      </c>
      <c r="E220">
        <f>電力量!E221-電力量!E220</f>
        <v>0</v>
      </c>
      <c r="F220">
        <f>電力量!F221-電力量!F220</f>
        <v>19</v>
      </c>
      <c r="G220">
        <f>電力量!G221-電力量!G220</f>
        <v>63.30000000000291</v>
      </c>
      <c r="H220">
        <f>電力量!H221-電力量!H220</f>
        <v>16</v>
      </c>
      <c r="I220">
        <f>電力量!I221-電力量!I220</f>
        <v>254</v>
      </c>
      <c r="J220">
        <f>電力量!J221-電力量!J220</f>
        <v>6.8999999999941792</v>
      </c>
      <c r="K220">
        <f>電力量!K221-電力量!K220</f>
        <v>3.3999999999941792</v>
      </c>
      <c r="L220">
        <f>電力量!L221-電力量!L220</f>
        <v>22.400000000000091</v>
      </c>
      <c r="M220">
        <f>電力量!M221-電力量!M220</f>
        <v>44.100000000005821</v>
      </c>
      <c r="N220">
        <f>電力量!N221-電力量!N220</f>
        <v>54.69999999999709</v>
      </c>
      <c r="O220">
        <f>電力量!O221-電力量!O220</f>
        <v>17.600000000005821</v>
      </c>
      <c r="P220">
        <f>電力量!P221-電力量!P220</f>
        <v>0</v>
      </c>
      <c r="Q220">
        <f>電力量!Q221-電力量!Q220</f>
        <v>0</v>
      </c>
      <c r="R220">
        <f>電力量!R221-電力量!R220</f>
        <v>0</v>
      </c>
    </row>
    <row r="221" spans="1:18">
      <c r="A221" s="4">
        <f t="shared" si="71"/>
        <v>45909.125</v>
      </c>
      <c r="B221">
        <f>電力量!B222-電力量!B221</f>
        <v>734</v>
      </c>
      <c r="C221">
        <f>電力量!C222-電力量!C221</f>
        <v>169</v>
      </c>
      <c r="D221">
        <f>電力量!D222-電力量!D221</f>
        <v>14.599999999998545</v>
      </c>
      <c r="E221">
        <f>電力量!E222-電力量!E221</f>
        <v>0</v>
      </c>
      <c r="F221">
        <f>電力量!F222-電力量!F221</f>
        <v>19</v>
      </c>
      <c r="G221">
        <f>電力量!G222-電力量!G221</f>
        <v>66.19999999999709</v>
      </c>
      <c r="H221">
        <f>電力量!H222-電力量!H221</f>
        <v>16</v>
      </c>
      <c r="I221">
        <f>電力量!I222-電力量!I221</f>
        <v>251</v>
      </c>
      <c r="J221">
        <f>電力量!J222-電力量!J221</f>
        <v>6.7000000000043656</v>
      </c>
      <c r="K221">
        <f>電力量!K222-電力量!K221</f>
        <v>3.3000000000029104</v>
      </c>
      <c r="L221">
        <f>電力量!L222-電力量!L221</f>
        <v>22.199999999999818</v>
      </c>
      <c r="M221">
        <f>電力量!M222-電力量!M221</f>
        <v>41.399999999994179</v>
      </c>
      <c r="N221">
        <f>電力量!N222-電力量!N221</f>
        <v>55.30000000000291</v>
      </c>
      <c r="O221">
        <f>電力量!O222-電力量!O221</f>
        <v>17</v>
      </c>
      <c r="P221">
        <f>電力量!P222-電力量!P221</f>
        <v>0</v>
      </c>
      <c r="Q221">
        <f>電力量!Q222-電力量!Q221</f>
        <v>0</v>
      </c>
      <c r="R221">
        <f>電力量!R222-電力量!R221</f>
        <v>0</v>
      </c>
    </row>
    <row r="222" spans="1:18">
      <c r="A222" s="4">
        <f t="shared" si="72"/>
        <v>45909.166666666664</v>
      </c>
      <c r="B222">
        <f>電力量!B223-電力量!B222</f>
        <v>727</v>
      </c>
      <c r="C222">
        <f>電力量!C223-電力量!C222</f>
        <v>169</v>
      </c>
      <c r="D222">
        <f>電力量!D223-電力量!D222</f>
        <v>15.19999999999709</v>
      </c>
      <c r="E222">
        <f>電力量!E223-電力量!E222</f>
        <v>0</v>
      </c>
      <c r="F222">
        <f>電力量!F223-電力量!F222</f>
        <v>19</v>
      </c>
      <c r="G222">
        <f>電力量!G223-電力量!G222</f>
        <v>60.900000000008731</v>
      </c>
      <c r="H222">
        <f>電力量!H223-電力量!H222</f>
        <v>16</v>
      </c>
      <c r="I222">
        <f>電力量!I223-電力量!I222</f>
        <v>246</v>
      </c>
      <c r="J222">
        <f>電力量!J223-電力量!J222</f>
        <v>6.4000000000014552</v>
      </c>
      <c r="K222">
        <f>電力量!K223-電力量!K222</f>
        <v>3.5</v>
      </c>
      <c r="L222">
        <f>電力量!L223-電力量!L222</f>
        <v>22.300000000000182</v>
      </c>
      <c r="M222">
        <f>電力量!M223-電力量!M222</f>
        <v>42.400000000008731</v>
      </c>
      <c r="N222">
        <f>電力量!N223-電力量!N222</f>
        <v>55.399999999994179</v>
      </c>
      <c r="O222">
        <f>電力量!O223-電力量!O222</f>
        <v>17.799999999988358</v>
      </c>
      <c r="P222">
        <f>電力量!P223-電力量!P222</f>
        <v>0</v>
      </c>
      <c r="Q222">
        <f>電力量!Q223-電力量!Q222</f>
        <v>0</v>
      </c>
      <c r="R222">
        <f>電力量!R223-電力量!R222</f>
        <v>0</v>
      </c>
    </row>
    <row r="223" spans="1:18">
      <c r="A223" s="4">
        <f t="shared" si="73"/>
        <v>45909.208333333336</v>
      </c>
      <c r="B223">
        <f>電力量!B224-電力量!B223</f>
        <v>730</v>
      </c>
      <c r="C223">
        <f>電力量!C224-電力量!C223</f>
        <v>171</v>
      </c>
      <c r="D223">
        <f>電力量!D224-電力量!D223</f>
        <v>15.200000000004366</v>
      </c>
      <c r="E223">
        <f>電力量!E224-電力量!E223</f>
        <v>0</v>
      </c>
      <c r="F223">
        <f>電力量!F224-電力量!F223</f>
        <v>20</v>
      </c>
      <c r="G223">
        <f>電力量!G224-電力量!G223</f>
        <v>62.299999999988358</v>
      </c>
      <c r="H223">
        <f>電力量!H224-電力量!H223</f>
        <v>15</v>
      </c>
      <c r="I223">
        <f>電力量!I224-電力量!I223</f>
        <v>243</v>
      </c>
      <c r="J223">
        <f>電力量!J224-電力量!J223</f>
        <v>7.0999999999985448</v>
      </c>
      <c r="K223">
        <f>電力量!K224-電力量!K223</f>
        <v>3.8999999999941792</v>
      </c>
      <c r="L223">
        <f>電力量!L224-電力量!L223</f>
        <v>22.5</v>
      </c>
      <c r="M223">
        <f>電力量!M224-電力量!M223</f>
        <v>42.399999999994179</v>
      </c>
      <c r="N223">
        <f>電力量!N224-電力量!N223</f>
        <v>55.30000000000291</v>
      </c>
      <c r="O223">
        <f>電力量!O224-電力量!O223</f>
        <v>19.900000000008731</v>
      </c>
      <c r="P223">
        <f>電力量!P224-電力量!P223</f>
        <v>0</v>
      </c>
      <c r="Q223">
        <f>電力量!Q224-電力量!Q223</f>
        <v>0</v>
      </c>
      <c r="R223">
        <f>電力量!R224-電力量!R223</f>
        <v>0</v>
      </c>
    </row>
    <row r="224" spans="1:18">
      <c r="A224" s="4">
        <f t="shared" si="74"/>
        <v>45909.25</v>
      </c>
      <c r="B224">
        <f>電力量!B225-電力量!B224</f>
        <v>734</v>
      </c>
      <c r="C224">
        <f>電力量!C225-電力量!C224</f>
        <v>174</v>
      </c>
      <c r="D224">
        <f>電力量!D225-電力量!D224</f>
        <v>14.69999999999709</v>
      </c>
      <c r="E224">
        <f>電力量!E225-電力量!E224</f>
        <v>0</v>
      </c>
      <c r="F224">
        <f>電力量!F225-電力量!F224</f>
        <v>19</v>
      </c>
      <c r="G224">
        <f>電力量!G225-電力量!G224</f>
        <v>59.900000000008731</v>
      </c>
      <c r="H224">
        <f>電力量!H225-電力量!H224</f>
        <v>16</v>
      </c>
      <c r="I224">
        <f>電力量!I225-電力量!I224</f>
        <v>253</v>
      </c>
      <c r="J224">
        <f>電力量!J225-電力量!J224</f>
        <v>6.5</v>
      </c>
      <c r="K224">
        <f>電力量!K225-電力量!K224</f>
        <v>3.1000000000058208</v>
      </c>
      <c r="L224">
        <f>電力量!L225-電力量!L224</f>
        <v>20.900000000000091</v>
      </c>
      <c r="M224">
        <f>電力量!M225-電力量!M224</f>
        <v>40.19999999999709</v>
      </c>
      <c r="N224">
        <f>電力量!N225-電力量!N224</f>
        <v>54.69999999999709</v>
      </c>
      <c r="O224">
        <f>電力量!O225-電力量!O224</f>
        <v>19.80000000000291</v>
      </c>
      <c r="P224">
        <f>電力量!P225-電力量!P224</f>
        <v>1</v>
      </c>
      <c r="Q224">
        <f>電力量!Q225-電力量!Q224</f>
        <v>1</v>
      </c>
      <c r="R224">
        <f>電力量!R225-電力量!R224</f>
        <v>0</v>
      </c>
    </row>
    <row r="225" spans="1:18">
      <c r="A225" s="4">
        <f t="shared" si="75"/>
        <v>45909.291666666664</v>
      </c>
      <c r="B225">
        <f>電力量!B226-電力量!B225</f>
        <v>751</v>
      </c>
      <c r="C225">
        <f>電力量!C226-電力量!C225</f>
        <v>187</v>
      </c>
      <c r="D225">
        <f>電力量!D226-電力量!D225</f>
        <v>15.700000000004366</v>
      </c>
      <c r="E225">
        <f>電力量!E226-電力量!E225</f>
        <v>0</v>
      </c>
      <c r="F225">
        <f>電力量!F226-電力量!F225</f>
        <v>21</v>
      </c>
      <c r="G225">
        <f>電力量!G226-電力量!G225</f>
        <v>58.599999999991269</v>
      </c>
      <c r="H225">
        <f>電力量!H226-電力量!H225</f>
        <v>16</v>
      </c>
      <c r="I225">
        <f>電力量!I226-電力量!I225</f>
        <v>251</v>
      </c>
      <c r="J225">
        <f>電力量!J226-電力量!J225</f>
        <v>6.9000000000014552</v>
      </c>
      <c r="K225">
        <f>電力量!K226-電力量!K225</f>
        <v>0.80000000000291038</v>
      </c>
      <c r="L225">
        <f>電力量!L226-電力量!L225</f>
        <v>23.199999999999818</v>
      </c>
      <c r="M225">
        <f>電力量!M226-電力量!M225</f>
        <v>43.19999999999709</v>
      </c>
      <c r="N225">
        <f>電力量!N226-電力量!N225</f>
        <v>51.80000000000291</v>
      </c>
      <c r="O225">
        <f>電力量!O226-電力量!O225</f>
        <v>21.899999999994179</v>
      </c>
      <c r="P225">
        <f>電力量!P226-電力量!P225</f>
        <v>1</v>
      </c>
      <c r="Q225">
        <f>電力量!Q226-電力量!Q225</f>
        <v>3</v>
      </c>
      <c r="R225">
        <f>電力量!R226-電力量!R225</f>
        <v>0</v>
      </c>
    </row>
    <row r="226" spans="1:18">
      <c r="A226" s="4">
        <f t="shared" si="76"/>
        <v>45909.333333333336</v>
      </c>
      <c r="B226">
        <f>電力量!B227-電力量!B226</f>
        <v>874</v>
      </c>
      <c r="C226">
        <f>電力量!C227-電力量!C226</f>
        <v>224</v>
      </c>
      <c r="D226">
        <f>電力量!D227-電力量!D226</f>
        <v>17.599999999998545</v>
      </c>
      <c r="E226">
        <f>電力量!E227-電力量!E226</f>
        <v>0</v>
      </c>
      <c r="F226">
        <f>電力量!F227-電力量!F226</f>
        <v>27</v>
      </c>
      <c r="G226">
        <f>電力量!G227-電力量!G226</f>
        <v>61.900000000008731</v>
      </c>
      <c r="H226">
        <f>電力量!H227-電力量!H226</f>
        <v>16</v>
      </c>
      <c r="I226">
        <f>電力量!I227-電力量!I226</f>
        <v>283</v>
      </c>
      <c r="J226">
        <f>電力量!J227-電力量!J226</f>
        <v>6.8999999999941792</v>
      </c>
      <c r="K226">
        <f>電力量!K227-電力量!K226</f>
        <v>1.6999999999970896</v>
      </c>
      <c r="L226">
        <f>電力量!L227-電力量!L226</f>
        <v>28.300000000000182</v>
      </c>
      <c r="M226">
        <f>電力量!M227-電力量!M226</f>
        <v>52.700000000011642</v>
      </c>
      <c r="N226" s="6">
        <f>100000+電力量!N227-電力量!N226</f>
        <v>51.69999999999709</v>
      </c>
      <c r="O226">
        <f>電力量!O227-電力量!O226</f>
        <v>33.30000000000291</v>
      </c>
      <c r="P226">
        <f>電力量!P227-電力量!P226</f>
        <v>5</v>
      </c>
      <c r="Q226">
        <f>電力量!Q227-電力量!Q226</f>
        <v>7</v>
      </c>
      <c r="R226">
        <f>電力量!R227-電力量!R226</f>
        <v>0</v>
      </c>
    </row>
    <row r="227" spans="1:18">
      <c r="A227" s="4">
        <f t="shared" si="77"/>
        <v>45909.375</v>
      </c>
      <c r="B227">
        <f>電力量!B228-電力量!B227</f>
        <v>1138</v>
      </c>
      <c r="C227">
        <f>電力量!C228-電力量!C227</f>
        <v>301</v>
      </c>
      <c r="D227">
        <f>電力量!D228-電力量!D227</f>
        <v>26</v>
      </c>
      <c r="E227">
        <f>電力量!E228-電力量!E227</f>
        <v>0</v>
      </c>
      <c r="F227">
        <f>電力量!F228-電力量!F227</f>
        <v>39</v>
      </c>
      <c r="G227">
        <f>電力量!G228-電力量!G227</f>
        <v>65.899999999994179</v>
      </c>
      <c r="H227">
        <f>電力量!H228-電力量!H227</f>
        <v>51</v>
      </c>
      <c r="I227">
        <f>電力量!I228-電力量!I227</f>
        <v>349</v>
      </c>
      <c r="J227">
        <f>電力量!J228-電力量!J227</f>
        <v>7.7000000000043656</v>
      </c>
      <c r="K227">
        <f>電力量!K228-電力量!K227</f>
        <v>0.19999999999708962</v>
      </c>
      <c r="L227">
        <f>電力量!L228-電力量!L227</f>
        <v>34.599999999999909</v>
      </c>
      <c r="M227">
        <f>電力量!M228-電力量!M227</f>
        <v>58.19999999999709</v>
      </c>
      <c r="N227">
        <f>電力量!N228-電力量!N227</f>
        <v>49.800000000000004</v>
      </c>
      <c r="O227">
        <f>電力量!O228-電力量!O227</f>
        <v>56</v>
      </c>
      <c r="P227">
        <f>電力量!P228-電力量!P227</f>
        <v>10</v>
      </c>
      <c r="Q227">
        <f>電力量!Q228-電力量!Q227</f>
        <v>16</v>
      </c>
      <c r="R227">
        <f>電力量!R228-電力量!R227</f>
        <v>0</v>
      </c>
    </row>
    <row r="228" spans="1:18">
      <c r="A228" s="4">
        <f t="shared" si="78"/>
        <v>45909.416666666664</v>
      </c>
      <c r="B228">
        <f>電力量!B229-電力量!B228</f>
        <v>1316</v>
      </c>
      <c r="C228">
        <f>電力量!C229-電力量!C228</f>
        <v>352</v>
      </c>
      <c r="D228">
        <f>電力量!D229-電力量!D228</f>
        <v>30.900000000001455</v>
      </c>
      <c r="E228">
        <f>電力量!E229-電力量!E228</f>
        <v>0</v>
      </c>
      <c r="F228">
        <f>電力量!F229-電力量!F228</f>
        <v>55</v>
      </c>
      <c r="G228">
        <f>電力量!G229-電力量!G228</f>
        <v>92.400000000008731</v>
      </c>
      <c r="H228">
        <f>電力量!H229-電力量!H228</f>
        <v>45</v>
      </c>
      <c r="I228">
        <f>電力量!I229-電力量!I228</f>
        <v>415</v>
      </c>
      <c r="J228">
        <f>電力量!J229-電力量!J228</f>
        <v>8.5999999999985448</v>
      </c>
      <c r="K228">
        <f>電力量!K229-電力量!K228</f>
        <v>0.10000000000582077</v>
      </c>
      <c r="L228">
        <f>電力量!L229-電力量!L228</f>
        <v>35.400000000000091</v>
      </c>
      <c r="M228">
        <f>電力量!M229-電力量!M228</f>
        <v>68.099999999991269</v>
      </c>
      <c r="N228">
        <f>電力量!N229-電力量!N228</f>
        <v>49.899999999999991</v>
      </c>
      <c r="O228">
        <f>電力量!O229-電力量!O228</f>
        <v>70.899999999994179</v>
      </c>
      <c r="P228">
        <f>電力量!P229-電力量!P228</f>
        <v>13</v>
      </c>
      <c r="Q228">
        <f>電力量!Q229-電力量!Q228</f>
        <v>19</v>
      </c>
      <c r="R228">
        <f>電力量!R229-電力量!R228</f>
        <v>0</v>
      </c>
    </row>
    <row r="229" spans="1:18">
      <c r="A229" s="4">
        <f t="shared" si="79"/>
        <v>45909.458333333336</v>
      </c>
      <c r="B229">
        <f>電力量!B230-電力量!B229</f>
        <v>1377</v>
      </c>
      <c r="C229">
        <f>電力量!C230-電力量!C229</f>
        <v>356</v>
      </c>
      <c r="D229">
        <f>電力量!D230-電力量!D229</f>
        <v>29.599999999998545</v>
      </c>
      <c r="E229">
        <f>電力量!E230-電力量!E229</f>
        <v>0</v>
      </c>
      <c r="F229">
        <f>電力量!F230-電力量!F229</f>
        <v>50</v>
      </c>
      <c r="G229">
        <f>電力量!G230-電力量!G229</f>
        <v>113.5</v>
      </c>
      <c r="H229">
        <f>電力量!H230-電力量!H229</f>
        <v>47</v>
      </c>
      <c r="I229">
        <f>電力量!I230-電力量!I229</f>
        <v>445</v>
      </c>
      <c r="J229">
        <f>電力量!J230-電力量!J229</f>
        <v>10.69999999999709</v>
      </c>
      <c r="K229">
        <f>電力量!K230-電力量!K229</f>
        <v>1.8999999999941792</v>
      </c>
      <c r="L229">
        <f>電力量!L230-電力量!L229</f>
        <v>36</v>
      </c>
      <c r="M229">
        <f>電力量!M230-電力量!M229</f>
        <v>66.30000000000291</v>
      </c>
      <c r="N229">
        <f>電力量!N230-電力量!N229</f>
        <v>51.200000000000017</v>
      </c>
      <c r="O229">
        <f>電力量!O230-電力量!O229</f>
        <v>69</v>
      </c>
      <c r="P229">
        <f>電力量!P230-電力量!P229</f>
        <v>11</v>
      </c>
      <c r="Q229">
        <f>電力量!Q230-電力量!Q229</f>
        <v>18</v>
      </c>
      <c r="R229">
        <f>電力量!R230-電力量!R229</f>
        <v>0</v>
      </c>
    </row>
    <row r="230" spans="1:18">
      <c r="A230" s="4">
        <f t="shared" si="80"/>
        <v>45909.5</v>
      </c>
      <c r="B230">
        <f>電力量!B231-電力量!B230</f>
        <v>1348</v>
      </c>
      <c r="C230">
        <f>電力量!C231-電力量!C230</f>
        <v>352</v>
      </c>
      <c r="D230">
        <f>電力量!D231-電力量!D230</f>
        <v>32.099999999998545</v>
      </c>
      <c r="E230">
        <f>電力量!E231-電力量!E230</f>
        <v>0</v>
      </c>
      <c r="F230">
        <f>電力量!F231-電力量!F230</f>
        <v>47</v>
      </c>
      <c r="G230">
        <f>電力量!G231-電力量!G230</f>
        <v>95.799999999988358</v>
      </c>
      <c r="H230">
        <f>電力量!H231-電力量!H230</f>
        <v>33</v>
      </c>
      <c r="I230">
        <f>電力量!I231-電力量!I230</f>
        <v>461</v>
      </c>
      <c r="J230">
        <f>電力量!J231-電力量!J230</f>
        <v>10.900000000001455</v>
      </c>
      <c r="K230">
        <f>電力量!K231-電力量!K230</f>
        <v>0.10000000000582077</v>
      </c>
      <c r="L230">
        <f>電力量!L231-電力量!L230</f>
        <v>42.5</v>
      </c>
      <c r="M230">
        <f>電力量!M231-電力量!M230</f>
        <v>61.69999999999709</v>
      </c>
      <c r="N230">
        <f>電力量!N231-電力量!N230</f>
        <v>50</v>
      </c>
      <c r="O230">
        <f>電力量!O231-電力量!O230</f>
        <v>67.19999999999709</v>
      </c>
      <c r="P230">
        <f>電力量!P231-電力量!P230</f>
        <v>15</v>
      </c>
      <c r="Q230">
        <f>電力量!Q231-電力量!Q230</f>
        <v>22</v>
      </c>
      <c r="R230">
        <f>電力量!R231-電力量!R230</f>
        <v>0</v>
      </c>
    </row>
    <row r="231" spans="1:18">
      <c r="A231" s="4">
        <f t="shared" si="81"/>
        <v>45909.541666666664</v>
      </c>
      <c r="B231">
        <f>電力量!B232-電力量!B231</f>
        <v>1489</v>
      </c>
      <c r="C231">
        <f>電力量!C232-電力量!C231</f>
        <v>386</v>
      </c>
      <c r="D231">
        <f>電力量!D232-電力量!D231</f>
        <v>48.900000000001455</v>
      </c>
      <c r="E231">
        <f>電力量!E232-電力量!E231</f>
        <v>0</v>
      </c>
      <c r="F231">
        <f>電力量!F232-電力量!F231</f>
        <v>60</v>
      </c>
      <c r="G231">
        <f>電力量!G232-電力量!G231</f>
        <v>97.400000000008731</v>
      </c>
      <c r="H231">
        <f>電力量!H232-電力量!H231</f>
        <v>43</v>
      </c>
      <c r="I231">
        <f>電力量!I232-電力量!I231</f>
        <v>499</v>
      </c>
      <c r="J231">
        <f>電力量!J232-電力量!J231</f>
        <v>11.900000000001455</v>
      </c>
      <c r="K231">
        <f>電力量!K232-電力量!K231</f>
        <v>0</v>
      </c>
      <c r="L231">
        <f>電力量!L232-電力量!L231</f>
        <v>54.699999999999818</v>
      </c>
      <c r="M231">
        <f>電力量!M232-電力量!M231</f>
        <v>69.5</v>
      </c>
      <c r="N231">
        <f>電力量!N232-電力量!N231</f>
        <v>48.899999999999977</v>
      </c>
      <c r="O231">
        <f>電力量!O232-電力量!O231</f>
        <v>74.30000000000291</v>
      </c>
      <c r="P231">
        <f>電力量!P232-電力量!P231</f>
        <v>16</v>
      </c>
      <c r="Q231">
        <f>電力量!Q232-電力量!Q231</f>
        <v>24</v>
      </c>
      <c r="R231">
        <f>電力量!R232-電力量!R231</f>
        <v>0</v>
      </c>
    </row>
    <row r="232" spans="1:18">
      <c r="A232" s="4">
        <f t="shared" si="82"/>
        <v>45909.583333333336</v>
      </c>
      <c r="B232">
        <f>電力量!B233-電力量!B232</f>
        <v>1466</v>
      </c>
      <c r="C232">
        <f>電力量!C233-電力量!C232</f>
        <v>390</v>
      </c>
      <c r="D232">
        <f>電力量!D233-電力量!D232</f>
        <v>43.799999999995634</v>
      </c>
      <c r="E232">
        <f>電力量!E233-電力量!E232</f>
        <v>0</v>
      </c>
      <c r="F232">
        <f>電力量!F233-電力量!F232</f>
        <v>61</v>
      </c>
      <c r="G232">
        <f>電力量!G233-電力量!G232</f>
        <v>109.19999999999709</v>
      </c>
      <c r="H232">
        <f>電力量!H233-電力量!H232</f>
        <v>42</v>
      </c>
      <c r="I232">
        <f>電力量!I233-電力量!I232</f>
        <v>482</v>
      </c>
      <c r="J232">
        <f>電力量!J233-電力量!J232</f>
        <v>11.5</v>
      </c>
      <c r="K232">
        <f>電力量!K233-電力量!K232</f>
        <v>9.9999999991268851E-2</v>
      </c>
      <c r="L232">
        <f>電力量!L233-電力量!L232</f>
        <v>55</v>
      </c>
      <c r="M232">
        <f>電力量!M233-電力量!M232</f>
        <v>71.100000000005821</v>
      </c>
      <c r="N232">
        <f>電力量!N233-電力量!N232</f>
        <v>49.900000000000034</v>
      </c>
      <c r="O232">
        <f>電力量!O233-電力量!O232</f>
        <v>50.69999999999709</v>
      </c>
      <c r="P232">
        <f>電力量!P233-電力量!P232</f>
        <v>15</v>
      </c>
      <c r="Q232">
        <f>電力量!Q233-電力量!Q232</f>
        <v>22</v>
      </c>
      <c r="R232">
        <f>電力量!R233-電力量!R232</f>
        <v>0</v>
      </c>
    </row>
    <row r="233" spans="1:18">
      <c r="A233" s="4">
        <f t="shared" si="83"/>
        <v>45909.625</v>
      </c>
      <c r="B233">
        <f>電力量!B234-電力量!B233</f>
        <v>1424</v>
      </c>
      <c r="C233">
        <f>電力量!C234-電力量!C233</f>
        <v>381</v>
      </c>
      <c r="D233">
        <f>電力量!D234-電力量!D233</f>
        <v>38.80000000000291</v>
      </c>
      <c r="E233">
        <f>電力量!E234-電力量!E233</f>
        <v>0</v>
      </c>
      <c r="F233">
        <f>電力量!F234-電力量!F233</f>
        <v>50</v>
      </c>
      <c r="G233">
        <f>電力量!G234-電力量!G233</f>
        <v>135.39999999999418</v>
      </c>
      <c r="H233">
        <f>電力量!H234-電力量!H233</f>
        <v>45</v>
      </c>
      <c r="I233">
        <f>電力量!I234-電力量!I233</f>
        <v>456</v>
      </c>
      <c r="J233">
        <f>電力量!J234-電力量!J233</f>
        <v>9.5</v>
      </c>
      <c r="K233">
        <f>電力量!K234-電力量!K233</f>
        <v>7.6999999999970896</v>
      </c>
      <c r="L233">
        <f>電力量!L234-電力量!L233</f>
        <v>45.599999999999909</v>
      </c>
      <c r="M233">
        <f>電力量!M234-電力量!M233</f>
        <v>69.80000000000291</v>
      </c>
      <c r="N233">
        <f>電力量!N234-電力量!N233</f>
        <v>55.899999999999977</v>
      </c>
      <c r="O233">
        <f>電力量!O234-電力量!O233</f>
        <v>27.30000000000291</v>
      </c>
      <c r="P233">
        <f>電力量!P234-電力量!P233</f>
        <v>3</v>
      </c>
      <c r="Q233">
        <f>電力量!Q234-電力量!Q233</f>
        <v>5</v>
      </c>
      <c r="R233">
        <f>電力量!R234-電力量!R233</f>
        <v>0</v>
      </c>
    </row>
    <row r="234" spans="1:18">
      <c r="A234" s="4">
        <f t="shared" si="84"/>
        <v>45909.666666666664</v>
      </c>
      <c r="B234">
        <f>電力量!B235-電力量!B234</f>
        <v>1329</v>
      </c>
      <c r="C234">
        <f>電力量!C235-電力量!C234</f>
        <v>357</v>
      </c>
      <c r="D234">
        <f>電力量!D235-電力量!D234</f>
        <v>39.900000000001455</v>
      </c>
      <c r="E234">
        <f>電力量!E235-電力量!E234</f>
        <v>0</v>
      </c>
      <c r="F234">
        <f>電力量!F235-電力量!F234</f>
        <v>35</v>
      </c>
      <c r="G234">
        <f>電力量!G235-電力量!G234</f>
        <v>118.90000000000873</v>
      </c>
      <c r="H234">
        <f>電力量!H235-電力量!H234</f>
        <v>35</v>
      </c>
      <c r="I234">
        <f>電力量!I235-電力量!I234</f>
        <v>438</v>
      </c>
      <c r="J234">
        <f>電力量!J235-電力量!J234</f>
        <v>8.6999999999970896</v>
      </c>
      <c r="K234">
        <f>電力量!K235-電力量!K234</f>
        <v>8.3000000000029104</v>
      </c>
      <c r="L234">
        <f>電力量!L235-電力量!L234</f>
        <v>40.900000000000091</v>
      </c>
      <c r="M234">
        <f>電力量!M235-電力量!M234</f>
        <v>67</v>
      </c>
      <c r="N234">
        <f>電力量!N235-電力量!N234</f>
        <v>55.899999999999977</v>
      </c>
      <c r="O234">
        <f>電力量!O235-電力量!O234</f>
        <v>26</v>
      </c>
      <c r="P234">
        <f>電力量!P235-電力量!P234</f>
        <v>2</v>
      </c>
      <c r="Q234">
        <f>電力量!Q235-電力量!Q234</f>
        <v>4</v>
      </c>
      <c r="R234">
        <f>電力量!R235-電力量!R234</f>
        <v>0</v>
      </c>
    </row>
    <row r="235" spans="1:18">
      <c r="A235" s="4">
        <f t="shared" si="85"/>
        <v>45909.708333333336</v>
      </c>
      <c r="B235">
        <f>電力量!B236-電力量!B235</f>
        <v>1203</v>
      </c>
      <c r="C235">
        <f>電力量!C236-電力量!C235</f>
        <v>317</v>
      </c>
      <c r="D235">
        <f>電力量!D236-電力量!D235</f>
        <v>32.19999999999709</v>
      </c>
      <c r="E235">
        <f>電力量!E236-電力量!E235</f>
        <v>0</v>
      </c>
      <c r="F235">
        <f>電力量!F236-電力量!F235</f>
        <v>35</v>
      </c>
      <c r="G235">
        <f>電力量!G236-電力量!G235</f>
        <v>95.899999999994179</v>
      </c>
      <c r="H235">
        <f>電力量!H236-電力量!H235</f>
        <v>49</v>
      </c>
      <c r="I235">
        <f>電力量!I236-電力量!I235</f>
        <v>399</v>
      </c>
      <c r="J235">
        <f>電力量!J236-電力量!J235</f>
        <v>8.4000000000014552</v>
      </c>
      <c r="K235">
        <f>電力量!K236-電力量!K235</f>
        <v>3.3000000000029104</v>
      </c>
      <c r="L235">
        <f>電力量!L236-電力量!L235</f>
        <v>38.300000000000182</v>
      </c>
      <c r="M235">
        <f>電力量!M236-電力量!M235</f>
        <v>55.19999999999709</v>
      </c>
      <c r="N235">
        <f>電力量!N236-電力量!N235</f>
        <v>56.5</v>
      </c>
      <c r="O235">
        <f>電力量!O236-電力量!O235</f>
        <v>23.5</v>
      </c>
      <c r="P235">
        <f>電力量!P236-電力量!P235</f>
        <v>2</v>
      </c>
      <c r="Q235">
        <f>電力量!Q236-電力量!Q235</f>
        <v>2</v>
      </c>
      <c r="R235">
        <f>電力量!R236-電力量!R235</f>
        <v>0</v>
      </c>
    </row>
    <row r="236" spans="1:18">
      <c r="A236" s="4">
        <f t="shared" si="86"/>
        <v>45909.75</v>
      </c>
      <c r="B236">
        <f>電力量!B237-電力量!B236</f>
        <v>1032</v>
      </c>
      <c r="C236">
        <f>電力量!C237-電力量!C236</f>
        <v>262</v>
      </c>
      <c r="D236">
        <f>電力量!D237-電力量!D236</f>
        <v>22.400000000001455</v>
      </c>
      <c r="E236">
        <f>電力量!E237-電力量!E236</f>
        <v>0</v>
      </c>
      <c r="F236">
        <f>電力量!F237-電力量!F236</f>
        <v>31</v>
      </c>
      <c r="G236">
        <f>電力量!G237-電力量!G236</f>
        <v>84.19999999999709</v>
      </c>
      <c r="H236">
        <f>電力量!H237-電力量!H236</f>
        <v>18</v>
      </c>
      <c r="I236">
        <f>電力量!I237-電力量!I236</f>
        <v>358</v>
      </c>
      <c r="J236">
        <f>電力量!J237-電力量!J236</f>
        <v>8.0999999999985448</v>
      </c>
      <c r="K236">
        <f>電力量!K237-電力量!K236</f>
        <v>3.6000000000058208</v>
      </c>
      <c r="L236">
        <f>電力量!L237-電力量!L236</f>
        <v>36.599999999999909</v>
      </c>
      <c r="M236">
        <f>電力量!M237-電力量!M236</f>
        <v>49.100000000005821</v>
      </c>
      <c r="N236">
        <f>電力量!N237-電力量!N236</f>
        <v>56.700000000000045</v>
      </c>
      <c r="O236">
        <f>電力量!O237-電力量!O236</f>
        <v>20.80000000000291</v>
      </c>
      <c r="P236">
        <f>電力量!P237-電力量!P236</f>
        <v>0</v>
      </c>
      <c r="Q236">
        <f>電力量!Q237-電力量!Q236</f>
        <v>0</v>
      </c>
      <c r="R236">
        <f>電力量!R237-電力量!R236</f>
        <v>0</v>
      </c>
    </row>
    <row r="237" spans="1:18">
      <c r="A237" s="4">
        <f t="shared" si="87"/>
        <v>45909.791666666664</v>
      </c>
      <c r="B237">
        <f>電力量!B238-電力量!B237</f>
        <v>925</v>
      </c>
      <c r="C237">
        <f>電力量!C238-電力量!C237</f>
        <v>217</v>
      </c>
      <c r="D237">
        <f>電力量!D238-電力量!D237</f>
        <v>21.5</v>
      </c>
      <c r="E237">
        <f>電力量!E238-電力量!E237</f>
        <v>0</v>
      </c>
      <c r="F237">
        <f>電力量!F238-電力量!F237</f>
        <v>28</v>
      </c>
      <c r="G237">
        <f>電力量!G238-電力量!G237</f>
        <v>79.100000000005821</v>
      </c>
      <c r="H237">
        <f>電力量!H238-電力量!H237</f>
        <v>17</v>
      </c>
      <c r="I237">
        <f>電力量!I238-電力量!I237</f>
        <v>321</v>
      </c>
      <c r="J237">
        <f>電力量!J238-電力量!J237</f>
        <v>7.7000000000043656</v>
      </c>
      <c r="K237">
        <f>電力量!K238-電力量!K237</f>
        <v>3.5999999999912689</v>
      </c>
      <c r="L237">
        <f>電力量!L238-電力量!L237</f>
        <v>34.900000000000091</v>
      </c>
      <c r="M237">
        <f>電力量!M238-電力量!M237</f>
        <v>47</v>
      </c>
      <c r="N237">
        <f>電力量!N238-電力量!N237</f>
        <v>55.399999999999977</v>
      </c>
      <c r="O237">
        <f>電力量!O238-電力量!O237</f>
        <v>21.600000000005821</v>
      </c>
      <c r="P237">
        <f>電力量!P238-電力量!P237</f>
        <v>0</v>
      </c>
      <c r="Q237">
        <f>電力量!Q238-電力量!Q237</f>
        <v>0</v>
      </c>
      <c r="R237">
        <f>電力量!R238-電力量!R237</f>
        <v>0</v>
      </c>
    </row>
    <row r="238" spans="1:18">
      <c r="A238" s="4">
        <f t="shared" si="88"/>
        <v>45909.833333333336</v>
      </c>
      <c r="B238">
        <f>電力量!B239-電力量!B238</f>
        <v>844</v>
      </c>
      <c r="C238">
        <f>電力量!C239-電力量!C238</f>
        <v>198</v>
      </c>
      <c r="D238">
        <f>電力量!D239-電力量!D238</f>
        <v>21.099999999998545</v>
      </c>
      <c r="E238">
        <f>電力量!E239-電力量!E238</f>
        <v>0</v>
      </c>
      <c r="F238">
        <f>電力量!F239-電力量!F238</f>
        <v>21</v>
      </c>
      <c r="G238">
        <f>電力量!G239-電力量!G238</f>
        <v>73</v>
      </c>
      <c r="H238">
        <f>電力量!H239-電力量!H238</f>
        <v>15</v>
      </c>
      <c r="I238">
        <f>電力量!I239-電力量!I238</f>
        <v>292</v>
      </c>
      <c r="J238">
        <f>電力量!J239-電力量!J238</f>
        <v>7.5999999999985448</v>
      </c>
      <c r="K238">
        <f>電力量!K239-電力量!K238</f>
        <v>3.6999999999970896</v>
      </c>
      <c r="L238">
        <f>電力量!L239-電力量!L238</f>
        <v>26.5</v>
      </c>
      <c r="M238">
        <f>電力量!M239-電力量!M238</f>
        <v>45.899999999994179</v>
      </c>
      <c r="N238">
        <f>電力量!N239-電力量!N238</f>
        <v>55.5</v>
      </c>
      <c r="O238">
        <f>電力量!O239-電力量!O238</f>
        <v>22.099999999991269</v>
      </c>
      <c r="P238">
        <f>電力量!P239-電力量!P238</f>
        <v>0</v>
      </c>
      <c r="Q238">
        <f>電力量!Q239-電力量!Q238</f>
        <v>0</v>
      </c>
      <c r="R238">
        <f>電力量!R239-電力量!R238</f>
        <v>0</v>
      </c>
    </row>
    <row r="239" spans="1:18">
      <c r="A239" s="4">
        <f t="shared" si="89"/>
        <v>45909.875</v>
      </c>
      <c r="B239">
        <f>電力量!B240-電力量!B239</f>
        <v>822</v>
      </c>
      <c r="C239">
        <f>電力量!C240-電力量!C239</f>
        <v>190</v>
      </c>
      <c r="D239">
        <f>電力量!D240-電力量!D239</f>
        <v>21.900000000001455</v>
      </c>
      <c r="E239">
        <f>電力量!E240-電力量!E239</f>
        <v>0</v>
      </c>
      <c r="F239">
        <f>電力量!F240-電力量!F239</f>
        <v>21</v>
      </c>
      <c r="G239">
        <f>電力量!G240-電力量!G239</f>
        <v>71.899999999994179</v>
      </c>
      <c r="H239">
        <f>電力量!H240-電力量!H239</f>
        <v>12</v>
      </c>
      <c r="I239">
        <f>電力量!I240-電力量!I239</f>
        <v>285</v>
      </c>
      <c r="J239">
        <f>電力量!J240-電力量!J239</f>
        <v>7.1999999999970896</v>
      </c>
      <c r="K239">
        <f>電力量!K240-電力量!K239</f>
        <v>3.4000000000087311</v>
      </c>
      <c r="L239">
        <f>電力量!L240-電力量!L239</f>
        <v>25.799999999999727</v>
      </c>
      <c r="M239">
        <f>電力量!M240-電力量!M239</f>
        <v>45.19999999999709</v>
      </c>
      <c r="N239">
        <f>電力量!N240-電力量!N239</f>
        <v>55.700000000000045</v>
      </c>
      <c r="O239">
        <f>電力量!O240-電力量!O239</f>
        <v>22.5</v>
      </c>
      <c r="P239">
        <f>電力量!P240-電力量!P239</f>
        <v>0</v>
      </c>
      <c r="Q239">
        <f>電力量!Q240-電力量!Q239</f>
        <v>0</v>
      </c>
      <c r="R239">
        <f>電力量!R240-電力量!R239</f>
        <v>0</v>
      </c>
    </row>
    <row r="240" spans="1:18">
      <c r="A240" s="4">
        <f t="shared" si="90"/>
        <v>45909.916666666664</v>
      </c>
      <c r="B240">
        <f>電力量!B241-電力量!B240</f>
        <v>787</v>
      </c>
      <c r="C240">
        <f>電力量!C241-電力量!C240</f>
        <v>191</v>
      </c>
      <c r="D240">
        <f>電力量!D241-電力量!D240</f>
        <v>19.400000000001455</v>
      </c>
      <c r="E240">
        <f>電力量!E241-電力量!E240</f>
        <v>0</v>
      </c>
      <c r="F240">
        <f>電力量!F241-電力量!F240</f>
        <v>22</v>
      </c>
      <c r="G240">
        <f>電力量!G241-電力量!G240</f>
        <v>67.700000000011642</v>
      </c>
      <c r="H240">
        <f>電力量!H241-電力量!H240</f>
        <v>12</v>
      </c>
      <c r="I240">
        <f>電力量!I241-電力量!I240</f>
        <v>267</v>
      </c>
      <c r="J240">
        <f>電力量!J241-電力量!J240</f>
        <v>7.3000000000029104</v>
      </c>
      <c r="K240">
        <f>電力量!K241-電力量!K240</f>
        <v>3.3000000000029104</v>
      </c>
      <c r="L240">
        <f>電力量!L241-電力量!L240</f>
        <v>24.599999999999909</v>
      </c>
      <c r="M240">
        <f>電力量!M241-電力量!M240</f>
        <v>42.69999999999709</v>
      </c>
      <c r="N240">
        <f>電力量!N241-電力量!N240</f>
        <v>54.399999999999977</v>
      </c>
      <c r="O240">
        <f>電力量!O241-電力量!O240</f>
        <v>18.30000000000291</v>
      </c>
      <c r="P240">
        <f>電力量!P241-電力量!P240</f>
        <v>0</v>
      </c>
      <c r="Q240">
        <f>電力量!Q241-電力量!Q240</f>
        <v>0</v>
      </c>
      <c r="R240">
        <f>電力量!R241-電力量!R240</f>
        <v>0</v>
      </c>
    </row>
    <row r="241" spans="1:18">
      <c r="A241" s="4">
        <f t="shared" si="91"/>
        <v>45909.958333333336</v>
      </c>
      <c r="B241">
        <f>電力量!B242-電力量!B241</f>
        <v>775</v>
      </c>
      <c r="C241">
        <f>電力量!C242-電力量!C241</f>
        <v>187</v>
      </c>
      <c r="D241">
        <f>電力量!D242-電力量!D241</f>
        <v>18.69999999999709</v>
      </c>
      <c r="E241">
        <f>電力量!E242-電力量!E241</f>
        <v>0</v>
      </c>
      <c r="F241">
        <f>電力量!F242-電力量!F241</f>
        <v>22</v>
      </c>
      <c r="G241">
        <f>電力量!G242-電力量!G241</f>
        <v>65.599999999991269</v>
      </c>
      <c r="H241">
        <f>電力量!H242-電力量!H241</f>
        <v>12</v>
      </c>
      <c r="I241">
        <f>電力量!I242-電力量!I241</f>
        <v>265</v>
      </c>
      <c r="J241">
        <f>電力量!J242-電力量!J241</f>
        <v>7.0999999999985448</v>
      </c>
      <c r="K241">
        <f>電力量!K242-電力量!K241</f>
        <v>3.2999999999883585</v>
      </c>
      <c r="L241">
        <f>電力量!L242-電力量!L241</f>
        <v>23</v>
      </c>
      <c r="M241">
        <f>電力量!M242-電力量!M241</f>
        <v>41.80000000000291</v>
      </c>
      <c r="N241">
        <f>電力量!N242-電力量!N241</f>
        <v>53</v>
      </c>
      <c r="O241">
        <f>電力量!O242-電力量!O241</f>
        <v>18.899999999994179</v>
      </c>
      <c r="P241">
        <f>電力量!P242-電力量!P241</f>
        <v>0</v>
      </c>
      <c r="Q241">
        <f>電力量!Q242-電力量!Q241</f>
        <v>0</v>
      </c>
      <c r="R241">
        <f>電力量!R242-電力量!R241</f>
        <v>0</v>
      </c>
    </row>
    <row r="242" spans="1:18">
      <c r="A242" s="4">
        <v>45910</v>
      </c>
      <c r="B242">
        <f>電力量!B243-電力量!B242</f>
        <v>746</v>
      </c>
      <c r="C242">
        <f>電力量!C243-電力量!C242</f>
        <v>183</v>
      </c>
      <c r="D242">
        <f>電力量!D243-電力量!D242</f>
        <v>17.200000000004366</v>
      </c>
      <c r="E242">
        <f>電力量!E243-電力量!E242</f>
        <v>0</v>
      </c>
      <c r="F242">
        <f>電力量!F243-電力量!F242</f>
        <v>19</v>
      </c>
      <c r="G242">
        <f>電力量!G243-電力量!G242</f>
        <v>64.100000000005821</v>
      </c>
      <c r="H242">
        <f>電力量!H243-電力量!H242</f>
        <v>11</v>
      </c>
      <c r="I242">
        <f>電力量!I243-電力量!I242</f>
        <v>251</v>
      </c>
      <c r="J242">
        <f>電力量!J243-電力量!J242</f>
        <v>7</v>
      </c>
      <c r="K242">
        <f>電力量!K243-電力量!K242</f>
        <v>3.3000000000029104</v>
      </c>
      <c r="L242">
        <f>電力量!L243-電力量!L242</f>
        <v>21.5</v>
      </c>
      <c r="M242">
        <f>電力量!M243-電力量!M242</f>
        <v>40.69999999999709</v>
      </c>
      <c r="N242">
        <f>電力量!N243-電力量!N242</f>
        <v>54</v>
      </c>
      <c r="O242">
        <f>電力量!O243-電力量!O242</f>
        <v>17.30000000000291</v>
      </c>
      <c r="P242">
        <f>電力量!P243-電力量!P242</f>
        <v>0</v>
      </c>
      <c r="Q242">
        <f>電力量!Q243-電力量!Q242</f>
        <v>0</v>
      </c>
      <c r="R242">
        <f>電力量!R243-電力量!R242</f>
        <v>0</v>
      </c>
    </row>
    <row r="243" spans="1:18">
      <c r="A243" s="4">
        <f t="shared" ref="A243:A291" si="92">A242+(1/24)</f>
        <v>45910.041666666664</v>
      </c>
      <c r="B243">
        <f>電力量!B244-電力量!B243</f>
        <v>726</v>
      </c>
      <c r="C243">
        <f>電力量!C244-電力量!C243</f>
        <v>180</v>
      </c>
      <c r="D243">
        <f>電力量!D244-電力量!D243</f>
        <v>14.69999999999709</v>
      </c>
      <c r="E243">
        <f>電力量!E244-電力量!E243</f>
        <v>0</v>
      </c>
      <c r="F243">
        <f>電力量!F244-電力量!F243</f>
        <v>19</v>
      </c>
      <c r="G243">
        <f>電力量!G244-電力量!G243</f>
        <v>61.5</v>
      </c>
      <c r="H243">
        <f>電力量!H244-電力量!H243</f>
        <v>13</v>
      </c>
      <c r="I243">
        <f>電力量!I244-電力量!I243</f>
        <v>241</v>
      </c>
      <c r="J243">
        <f>電力量!J244-電力量!J243</f>
        <v>7</v>
      </c>
      <c r="K243">
        <f>電力量!K244-電力量!K243</f>
        <v>3.4000000000087311</v>
      </c>
      <c r="L243">
        <f>電力量!L244-電力量!L243</f>
        <v>23.600000000000364</v>
      </c>
      <c r="M243">
        <f>電力量!M244-電力量!M243</f>
        <v>38.100000000005821</v>
      </c>
      <c r="N243">
        <f>電力量!N244-電力量!N243</f>
        <v>54.100000000000023</v>
      </c>
      <c r="O243">
        <f>電力量!O244-電力量!O243</f>
        <v>17.400000000008731</v>
      </c>
      <c r="P243">
        <f>電力量!P244-電力量!P243</f>
        <v>0</v>
      </c>
      <c r="Q243">
        <f>電力量!Q244-電力量!Q243</f>
        <v>0</v>
      </c>
      <c r="R243">
        <f>電力量!R244-電力量!R243</f>
        <v>0</v>
      </c>
    </row>
    <row r="244" spans="1:18">
      <c r="A244" s="4">
        <f t="shared" ref="A244:A292" si="93">A242+(2/24)</f>
        <v>45910.083333333336</v>
      </c>
      <c r="B244">
        <f>電力量!B245-電力量!B244</f>
        <v>709</v>
      </c>
      <c r="C244">
        <f>電力量!C245-電力量!C244</f>
        <v>176</v>
      </c>
      <c r="D244">
        <f>電力量!D245-電力量!D244</f>
        <v>14.400000000001455</v>
      </c>
      <c r="E244">
        <f>電力量!E245-電力量!E244</f>
        <v>0</v>
      </c>
      <c r="F244">
        <f>電力量!F245-電力量!F244</f>
        <v>19</v>
      </c>
      <c r="G244">
        <f>電力量!G245-電力量!G244</f>
        <v>58.30000000000291</v>
      </c>
      <c r="H244">
        <f>電力量!H245-電力量!H244</f>
        <v>11</v>
      </c>
      <c r="I244">
        <f>電力量!I245-電力量!I244</f>
        <v>233</v>
      </c>
      <c r="J244">
        <f>電力量!J245-電力量!J244</f>
        <v>6.7000000000043656</v>
      </c>
      <c r="K244">
        <f>電力量!K245-電力量!K244</f>
        <v>3.2999999999883585</v>
      </c>
      <c r="L244">
        <f>電力量!L245-電力量!L244</f>
        <v>22.799999999999727</v>
      </c>
      <c r="M244">
        <f>電力量!M245-電力量!M244</f>
        <v>38.100000000005821</v>
      </c>
      <c r="N244">
        <f>電力量!N245-電力量!N244</f>
        <v>54</v>
      </c>
      <c r="O244">
        <f>電力量!O245-電力量!O244</f>
        <v>18</v>
      </c>
      <c r="P244">
        <f>電力量!P245-電力量!P244</f>
        <v>0</v>
      </c>
      <c r="Q244">
        <f>電力量!Q245-電力量!Q244</f>
        <v>0</v>
      </c>
      <c r="R244">
        <f>電力量!R245-電力量!R244</f>
        <v>0</v>
      </c>
    </row>
    <row r="245" spans="1:18">
      <c r="A245" s="4">
        <f t="shared" ref="A245:A293" si="94">A242+(3/24)</f>
        <v>45910.125</v>
      </c>
      <c r="B245">
        <f>電力量!B246-電力量!B245</f>
        <v>710</v>
      </c>
      <c r="C245">
        <f>電力量!C246-電力量!C245</f>
        <v>175</v>
      </c>
      <c r="D245">
        <f>電力量!D246-電力量!D245</f>
        <v>14.400000000001455</v>
      </c>
      <c r="E245">
        <f>電力量!E246-電力量!E245</f>
        <v>0</v>
      </c>
      <c r="F245">
        <f>電力量!F246-電力量!F245</f>
        <v>18</v>
      </c>
      <c r="G245">
        <f>電力量!G246-電力量!G245</f>
        <v>57.69999999999709</v>
      </c>
      <c r="H245">
        <f>電力量!H246-電力量!H245</f>
        <v>12</v>
      </c>
      <c r="I245">
        <f>電力量!I246-電力量!I245</f>
        <v>236</v>
      </c>
      <c r="J245">
        <f>電力量!J246-電力量!J245</f>
        <v>6.6999999999970896</v>
      </c>
      <c r="K245">
        <f>電力量!K246-電力量!K245</f>
        <v>3.1000000000058208</v>
      </c>
      <c r="L245">
        <f>電力量!L246-電力量!L245</f>
        <v>23.099999999999909</v>
      </c>
      <c r="M245">
        <f>電力量!M246-電力量!M245</f>
        <v>38.099999999991269</v>
      </c>
      <c r="N245">
        <f>電力量!N246-電力量!N245</f>
        <v>54.299999999999955</v>
      </c>
      <c r="O245">
        <f>電力量!O246-電力量!O245</f>
        <v>17.19999999999709</v>
      </c>
      <c r="P245">
        <f>電力量!P246-電力量!P245</f>
        <v>0</v>
      </c>
      <c r="Q245">
        <f>電力量!Q246-電力量!Q245</f>
        <v>0</v>
      </c>
      <c r="R245">
        <f>電力量!R246-電力量!R245</f>
        <v>0</v>
      </c>
    </row>
    <row r="246" spans="1:18">
      <c r="A246" s="4">
        <f t="shared" ref="A246:A294" si="95">A242+(4/24)</f>
        <v>45910.166666666664</v>
      </c>
      <c r="B246">
        <f>電力量!B247-電力量!B246</f>
        <v>702</v>
      </c>
      <c r="C246">
        <f>電力量!C247-電力量!C246</f>
        <v>172</v>
      </c>
      <c r="D246">
        <f>電力量!D247-電力量!D246</f>
        <v>14.299999999995634</v>
      </c>
      <c r="E246">
        <f>電力量!E247-電力量!E246</f>
        <v>0</v>
      </c>
      <c r="F246">
        <f>電力量!F247-電力量!F246</f>
        <v>17</v>
      </c>
      <c r="G246">
        <f>電力量!G247-電力量!G246</f>
        <v>57.5</v>
      </c>
      <c r="H246">
        <f>電力量!H247-電力量!H246</f>
        <v>12</v>
      </c>
      <c r="I246">
        <f>電力量!I247-電力量!I246</f>
        <v>232</v>
      </c>
      <c r="J246">
        <f>電力量!J247-電力量!J246</f>
        <v>6.8000000000029104</v>
      </c>
      <c r="K246">
        <f>電力量!K247-電力量!K246</f>
        <v>3.3000000000029104</v>
      </c>
      <c r="L246">
        <f>電力量!L247-電力量!L246</f>
        <v>22.400000000000091</v>
      </c>
      <c r="M246">
        <f>電力量!M247-電力量!M246</f>
        <v>39.69999999999709</v>
      </c>
      <c r="N246">
        <f>電力量!N247-電力量!N246</f>
        <v>53.400000000000091</v>
      </c>
      <c r="O246">
        <f>電力量!O247-電力量!O246</f>
        <v>18.099999999991269</v>
      </c>
      <c r="P246">
        <f>電力量!P247-電力量!P246</f>
        <v>0</v>
      </c>
      <c r="Q246">
        <f>電力量!Q247-電力量!Q246</f>
        <v>0</v>
      </c>
      <c r="R246">
        <f>電力量!R247-電力量!R246</f>
        <v>0</v>
      </c>
    </row>
    <row r="247" spans="1:18">
      <c r="A247" s="4">
        <f t="shared" ref="A247:A295" si="96">A242+(5/24)</f>
        <v>45910.208333333336</v>
      </c>
      <c r="B247">
        <f>電力量!B248-電力量!B247</f>
        <v>708</v>
      </c>
      <c r="C247">
        <f>電力量!C248-電力量!C247</f>
        <v>174</v>
      </c>
      <c r="D247">
        <f>電力量!D248-電力量!D247</f>
        <v>14.5</v>
      </c>
      <c r="E247">
        <f>電力量!E248-電力量!E247</f>
        <v>0</v>
      </c>
      <c r="F247">
        <f>電力量!F248-電力量!F247</f>
        <v>18</v>
      </c>
      <c r="G247">
        <f>電力量!G248-電力量!G247</f>
        <v>57.80000000000291</v>
      </c>
      <c r="H247">
        <f>電力量!H248-電力量!H247</f>
        <v>11</v>
      </c>
      <c r="I247">
        <f>電力量!I248-電力量!I247</f>
        <v>234</v>
      </c>
      <c r="J247">
        <f>電力量!J248-電力量!J247</f>
        <v>6.5999999999985448</v>
      </c>
      <c r="K247">
        <f>電力量!K248-電力量!K247</f>
        <v>3.3000000000029104</v>
      </c>
      <c r="L247">
        <f>電力量!L248-電力量!L247</f>
        <v>22.300000000000182</v>
      </c>
      <c r="M247">
        <f>電力量!M248-電力量!M247</f>
        <v>37.400000000008731</v>
      </c>
      <c r="N247">
        <f>電力量!N248-電力量!N247</f>
        <v>54.399999999999864</v>
      </c>
      <c r="O247">
        <f>電力量!O248-電力量!O247</f>
        <v>19.80000000000291</v>
      </c>
      <c r="P247">
        <f>電力量!P248-電力量!P247</f>
        <v>0</v>
      </c>
      <c r="Q247">
        <f>電力量!Q248-電力量!Q247</f>
        <v>0</v>
      </c>
      <c r="R247">
        <f>電力量!R248-電力量!R247</f>
        <v>0</v>
      </c>
    </row>
    <row r="248" spans="1:18">
      <c r="A248" s="4">
        <f t="shared" ref="A248:A296" si="97">A242+(6/24)</f>
        <v>45910.25</v>
      </c>
      <c r="B248">
        <f>電力量!B249-電力量!B248</f>
        <v>713</v>
      </c>
      <c r="C248">
        <f>電力量!C249-電力量!C248</f>
        <v>182</v>
      </c>
      <c r="D248">
        <f>電力量!D249-電力量!D248</f>
        <v>14.30000000000291</v>
      </c>
      <c r="E248">
        <f>電力量!E249-電力量!E248</f>
        <v>0</v>
      </c>
      <c r="F248">
        <f>電力量!F249-電力量!F248</f>
        <v>17</v>
      </c>
      <c r="G248">
        <f>電力量!G249-電力量!G248</f>
        <v>59.19999999999709</v>
      </c>
      <c r="H248">
        <f>電力量!H249-電力量!H248</f>
        <v>12</v>
      </c>
      <c r="I248">
        <f>電力量!I249-電力量!I248</f>
        <v>234</v>
      </c>
      <c r="J248">
        <f>電力量!J249-電力量!J248</f>
        <v>6.6999999999970896</v>
      </c>
      <c r="K248">
        <f>電力量!K249-電力量!K248</f>
        <v>3.1999999999970896</v>
      </c>
      <c r="L248">
        <f>電力量!L249-電力量!L248</f>
        <v>20.900000000000091</v>
      </c>
      <c r="M248">
        <f>電力量!M249-電力量!M248</f>
        <v>35.69999999999709</v>
      </c>
      <c r="N248">
        <f>電力量!N249-電力量!N248</f>
        <v>54.200000000000045</v>
      </c>
      <c r="O248">
        <f>電力量!O249-電力量!O248</f>
        <v>19.100000000005821</v>
      </c>
      <c r="P248">
        <f>電力量!P249-電力量!P248</f>
        <v>0</v>
      </c>
      <c r="Q248">
        <f>電力量!Q249-電力量!Q248</f>
        <v>0</v>
      </c>
      <c r="R248">
        <f>電力量!R249-電力量!R248</f>
        <v>0</v>
      </c>
    </row>
    <row r="249" spans="1:18">
      <c r="A249" s="4">
        <f t="shared" ref="A249:A297" si="98">A242+(7/24)</f>
        <v>45910.291666666664</v>
      </c>
      <c r="B249">
        <f>電力量!B250-電力量!B249</f>
        <v>730</v>
      </c>
      <c r="C249">
        <f>電力量!C250-電力量!C249</f>
        <v>187</v>
      </c>
      <c r="D249">
        <f>電力量!D250-電力量!D249</f>
        <v>14</v>
      </c>
      <c r="E249">
        <f>電力量!E250-電力量!E249</f>
        <v>0</v>
      </c>
      <c r="F249">
        <f>電力量!F250-電力量!F249</f>
        <v>17</v>
      </c>
      <c r="G249">
        <f>電力量!G250-電力量!G249</f>
        <v>58.399999999994179</v>
      </c>
      <c r="H249">
        <f>電力量!H250-電力量!H249</f>
        <v>12</v>
      </c>
      <c r="I249">
        <f>電力量!I250-電力量!I249</f>
        <v>241</v>
      </c>
      <c r="J249">
        <f>電力量!J250-電力量!J249</f>
        <v>6.8000000000029104</v>
      </c>
      <c r="K249">
        <f>電力量!K250-電力量!K249</f>
        <v>2.3000000000029104</v>
      </c>
      <c r="L249">
        <f>電力量!L250-電力量!L249</f>
        <v>22.099999999999909</v>
      </c>
      <c r="M249">
        <f>電力量!M250-電力量!M249</f>
        <v>35.600000000005821</v>
      </c>
      <c r="N249">
        <f>電力量!N250-電力量!N249</f>
        <v>53</v>
      </c>
      <c r="O249">
        <f>電力量!O250-電力量!O249</f>
        <v>22.80000000000291</v>
      </c>
      <c r="P249">
        <f>電力量!P250-電力量!P249</f>
        <v>1</v>
      </c>
      <c r="Q249">
        <f>電力量!Q250-電力量!Q249</f>
        <v>2</v>
      </c>
      <c r="R249">
        <f>電力量!R250-電力量!R249</f>
        <v>0</v>
      </c>
    </row>
    <row r="250" spans="1:18">
      <c r="A250" s="4">
        <f t="shared" ref="A250:A298" si="99">A242+(8/24)</f>
        <v>45910.333333333336</v>
      </c>
      <c r="B250">
        <f>電力量!B251-電力量!B250</f>
        <v>843</v>
      </c>
      <c r="C250">
        <f>電力量!C251-電力量!C250</f>
        <v>217</v>
      </c>
      <c r="D250">
        <f>電力量!D251-電力量!D250</f>
        <v>18</v>
      </c>
      <c r="E250">
        <f>電力量!E251-電力量!E250</f>
        <v>0</v>
      </c>
      <c r="F250">
        <f>電力量!F251-電力量!F250</f>
        <v>23</v>
      </c>
      <c r="G250">
        <f>電力量!G251-電力量!G250</f>
        <v>62.80000000000291</v>
      </c>
      <c r="H250">
        <f>電力量!H251-電力量!H250</f>
        <v>14</v>
      </c>
      <c r="I250">
        <f>電力量!I251-電力量!I250</f>
        <v>270</v>
      </c>
      <c r="J250">
        <f>電力量!J251-電力量!J250</f>
        <v>6.5999999999985448</v>
      </c>
      <c r="K250">
        <f>電力量!K251-電力量!K250</f>
        <v>6.0999999999912689</v>
      </c>
      <c r="L250">
        <f>電力量!L251-電力量!L250</f>
        <v>25.900000000000091</v>
      </c>
      <c r="M250">
        <f>電力量!M251-電力量!M250</f>
        <v>40.5</v>
      </c>
      <c r="N250">
        <f>電力量!N251-電力量!N250</f>
        <v>54.5</v>
      </c>
      <c r="O250">
        <f>電力量!O251-電力量!O250</f>
        <v>35.19999999999709</v>
      </c>
      <c r="P250">
        <f>電力量!P251-電力量!P250</f>
        <v>0</v>
      </c>
      <c r="Q250">
        <f>電力量!Q251-電力量!Q250</f>
        <v>0</v>
      </c>
      <c r="R250">
        <f>電力量!R251-電力量!R250</f>
        <v>0</v>
      </c>
    </row>
    <row r="251" spans="1:18">
      <c r="A251" s="4">
        <f t="shared" ref="A251:A299" si="100">A242+(9/24)</f>
        <v>45910.375</v>
      </c>
      <c r="B251">
        <f>電力量!B252-電力量!B251</f>
        <v>1000</v>
      </c>
      <c r="C251">
        <f>電力量!C252-電力量!C251</f>
        <v>257</v>
      </c>
      <c r="D251">
        <f>電力量!D252-電力量!D251</f>
        <v>20.799999999995634</v>
      </c>
      <c r="E251">
        <f>電力量!E252-電力量!E251</f>
        <v>0</v>
      </c>
      <c r="F251">
        <f>電力量!F252-電力量!F251</f>
        <v>26</v>
      </c>
      <c r="G251">
        <f>電力量!G252-電力量!G251</f>
        <v>72.899999999994179</v>
      </c>
      <c r="H251">
        <f>電力量!H252-電力量!H251</f>
        <v>13</v>
      </c>
      <c r="I251">
        <f>電力量!I252-電力量!I251</f>
        <v>333</v>
      </c>
      <c r="J251">
        <f>電力量!J252-電力量!J251</f>
        <v>6.5999999999985448</v>
      </c>
      <c r="K251">
        <f>電力量!K252-電力量!K251</f>
        <v>7.6999999999970896</v>
      </c>
      <c r="L251">
        <f>電力量!L252-電力量!L251</f>
        <v>28.899999999999636</v>
      </c>
      <c r="M251">
        <f>電力量!M252-電力量!M251</f>
        <v>44.69999999999709</v>
      </c>
      <c r="N251">
        <f>電力量!N252-電力量!N251</f>
        <v>54.200000000000045</v>
      </c>
      <c r="O251">
        <f>電力量!O252-電力量!O251</f>
        <v>50.399999999994179</v>
      </c>
      <c r="P251">
        <f>電力量!P252-電力量!P251</f>
        <v>1</v>
      </c>
      <c r="Q251">
        <f>電力量!Q252-電力量!Q251</f>
        <v>1</v>
      </c>
      <c r="R251">
        <f>電力量!R252-電力量!R251</f>
        <v>0</v>
      </c>
    </row>
    <row r="252" spans="1:18">
      <c r="A252" s="4">
        <f t="shared" ref="A252:A300" si="101">A242+(10/24)</f>
        <v>45910.416666666664</v>
      </c>
      <c r="B252">
        <f>電力量!B253-電力量!B252</f>
        <v>1093</v>
      </c>
      <c r="C252">
        <f>電力量!C253-電力量!C252</f>
        <v>280</v>
      </c>
      <c r="D252">
        <f>電力量!D253-電力量!D252</f>
        <v>23.30000000000291</v>
      </c>
      <c r="E252">
        <f>電力量!E253-電力量!E252</f>
        <v>0</v>
      </c>
      <c r="F252">
        <f>電力量!F253-電力量!F252</f>
        <v>41</v>
      </c>
      <c r="G252">
        <f>電力量!G253-電力量!G252</f>
        <v>84.80000000000291</v>
      </c>
      <c r="H252">
        <f>電力量!H253-電力量!H252</f>
        <v>12</v>
      </c>
      <c r="I252">
        <f>電力量!I253-電力量!I252</f>
        <v>354</v>
      </c>
      <c r="J252">
        <f>電力量!J253-電力量!J252</f>
        <v>6.2000000000043656</v>
      </c>
      <c r="K252">
        <f>電力量!K253-電力量!K252</f>
        <v>8.3000000000029104</v>
      </c>
      <c r="L252">
        <f>電力量!L253-電力量!L252</f>
        <v>30.5</v>
      </c>
      <c r="M252">
        <f>電力量!M253-電力量!M252</f>
        <v>46.399999999994179</v>
      </c>
      <c r="N252">
        <f>電力量!N253-電力量!N252</f>
        <v>57.899999999999864</v>
      </c>
      <c r="O252">
        <f>電力量!O253-電力量!O252</f>
        <v>68.900000000008731</v>
      </c>
      <c r="P252">
        <f>電力量!P253-電力量!P252</f>
        <v>0</v>
      </c>
      <c r="Q252">
        <f>電力量!Q253-電力量!Q252</f>
        <v>1</v>
      </c>
      <c r="R252">
        <f>電力量!R253-電力量!R252</f>
        <v>0</v>
      </c>
    </row>
    <row r="253" spans="1:18">
      <c r="A253" s="4">
        <f t="shared" ref="A253:A301" si="102">A242+(11/24)</f>
        <v>45910.458333333336</v>
      </c>
      <c r="B253">
        <f>電力量!B254-電力量!B253</f>
        <v>1143</v>
      </c>
      <c r="C253">
        <f>電力量!C254-電力量!C253</f>
        <v>295</v>
      </c>
      <c r="D253">
        <f>電力量!D254-電力量!D253</f>
        <v>23</v>
      </c>
      <c r="E253">
        <f>電力量!E254-電力量!E253</f>
        <v>0</v>
      </c>
      <c r="F253">
        <f>電力量!F254-電力量!F253</f>
        <v>42</v>
      </c>
      <c r="G253">
        <f>電力量!G254-電力量!G253</f>
        <v>88.80000000000291</v>
      </c>
      <c r="H253">
        <f>電力量!H254-電力量!H253</f>
        <v>12</v>
      </c>
      <c r="I253">
        <f>電力量!I254-電力量!I253</f>
        <v>389</v>
      </c>
      <c r="J253">
        <f>電力量!J254-電力量!J253</f>
        <v>6.5</v>
      </c>
      <c r="K253">
        <f>電力量!K254-電力量!K253</f>
        <v>7.1000000000058208</v>
      </c>
      <c r="L253">
        <f>電力量!L254-電力量!L253</f>
        <v>31.300000000000182</v>
      </c>
      <c r="M253">
        <f>電力量!M254-電力量!M253</f>
        <v>48.400000000008731</v>
      </c>
      <c r="N253">
        <f>電力量!N254-電力量!N253</f>
        <v>51.900000000000091</v>
      </c>
      <c r="O253">
        <f>電力量!O254-電力量!O253</f>
        <v>64.19999999999709</v>
      </c>
      <c r="P253">
        <f>電力量!P254-電力量!P253</f>
        <v>2</v>
      </c>
      <c r="Q253">
        <f>電力量!Q254-電力量!Q253</f>
        <v>4</v>
      </c>
      <c r="R253">
        <f>電力量!R254-電力量!R253</f>
        <v>0</v>
      </c>
    </row>
    <row r="254" spans="1:18">
      <c r="A254" s="4">
        <f t="shared" ref="A254:A302" si="103">A242+(12/24)</f>
        <v>45910.5</v>
      </c>
      <c r="B254">
        <f>電力量!B255-電力量!B254</f>
        <v>1141</v>
      </c>
      <c r="C254">
        <f>電力量!C255-電力量!C254</f>
        <v>298</v>
      </c>
      <c r="D254">
        <f>電力量!D255-電力量!D254</f>
        <v>23.19999999999709</v>
      </c>
      <c r="E254">
        <f>電力量!E255-電力量!E254</f>
        <v>0</v>
      </c>
      <c r="F254">
        <f>電力量!F255-電力量!F254</f>
        <v>41</v>
      </c>
      <c r="G254">
        <f>電力量!G255-電力量!G254</f>
        <v>84.80000000000291</v>
      </c>
      <c r="H254">
        <f>電力量!H255-電力量!H254</f>
        <v>12</v>
      </c>
      <c r="I254">
        <f>電力量!I255-電力量!I254</f>
        <v>401</v>
      </c>
      <c r="J254">
        <f>電力量!J255-電力量!J254</f>
        <v>6.3999999999941792</v>
      </c>
      <c r="K254">
        <f>電力量!K255-電力量!K254</f>
        <v>2.5999999999912689</v>
      </c>
      <c r="L254">
        <f>電力量!L255-電力量!L254</f>
        <v>31</v>
      </c>
      <c r="M254">
        <f>電力量!M255-電力量!M254</f>
        <v>45.399999999994179</v>
      </c>
      <c r="N254">
        <f>電力量!N255-電力量!N254</f>
        <v>49.900000000000091</v>
      </c>
      <c r="O254">
        <f>電力量!O255-電力量!O254</f>
        <v>64</v>
      </c>
      <c r="P254">
        <f>電力量!P255-電力量!P254</f>
        <v>6</v>
      </c>
      <c r="Q254">
        <f>電力量!Q255-電力量!Q254</f>
        <v>8</v>
      </c>
      <c r="R254">
        <f>電力量!R255-電力量!R254</f>
        <v>0</v>
      </c>
    </row>
    <row r="255" spans="1:18">
      <c r="A255" s="4">
        <f t="shared" ref="A255:A303" si="104">A242+(13/24)</f>
        <v>45910.541666666664</v>
      </c>
      <c r="B255">
        <f>電力量!B256-電力量!B255</f>
        <v>1207</v>
      </c>
      <c r="C255">
        <f>電力量!C256-電力量!C255</f>
        <v>316</v>
      </c>
      <c r="D255">
        <f>電力量!D256-電力量!D255</f>
        <v>25.600000000005821</v>
      </c>
      <c r="E255">
        <f>電力量!E256-電力量!E255</f>
        <v>0</v>
      </c>
      <c r="F255">
        <f>電力量!F256-電力量!F255</f>
        <v>41</v>
      </c>
      <c r="G255">
        <f>電力量!G256-電力量!G255</f>
        <v>84.899999999994179</v>
      </c>
      <c r="H255">
        <f>電力量!H256-電力量!H255</f>
        <v>13</v>
      </c>
      <c r="I255">
        <f>電力量!I256-電力量!I255</f>
        <v>428</v>
      </c>
      <c r="J255">
        <f>電力量!J256-電力量!J255</f>
        <v>7.9000000000014552</v>
      </c>
      <c r="K255">
        <f>電力量!K256-電力量!K255</f>
        <v>0.20000000001164153</v>
      </c>
      <c r="L255">
        <f>電力量!L256-電力量!L255</f>
        <v>34.400000000000091</v>
      </c>
      <c r="M255">
        <f>電力量!M256-電力量!M255</f>
        <v>45.899999999994179</v>
      </c>
      <c r="N255">
        <f>電力量!N256-電力量!N255</f>
        <v>46.5</v>
      </c>
      <c r="O255">
        <f>電力量!O256-電力量!O255</f>
        <v>75.399999999994179</v>
      </c>
      <c r="P255">
        <f>電力量!P256-電力量!P255</f>
        <v>8</v>
      </c>
      <c r="Q255">
        <f>電力量!Q256-電力量!Q255</f>
        <v>12</v>
      </c>
      <c r="R255">
        <f>電力量!R256-電力量!R255</f>
        <v>0</v>
      </c>
    </row>
    <row r="256" spans="1:18">
      <c r="A256" s="4">
        <f t="shared" ref="A256:A304" si="105">A242+(14/24)</f>
        <v>45910.583333333336</v>
      </c>
      <c r="B256">
        <f>電力量!B257-電力量!B256</f>
        <v>1243</v>
      </c>
      <c r="C256">
        <f>電力量!C257-電力量!C256</f>
        <v>334</v>
      </c>
      <c r="D256">
        <f>電力量!D257-電力量!D256</f>
        <v>34.69999999999709</v>
      </c>
      <c r="E256">
        <f>電力量!E257-電力量!E256</f>
        <v>0</v>
      </c>
      <c r="F256">
        <f>電力量!F257-電力量!F256</f>
        <v>48</v>
      </c>
      <c r="G256">
        <f>電力量!G257-電力量!G256</f>
        <v>85.5</v>
      </c>
      <c r="H256">
        <f>電力量!H257-電力量!H256</f>
        <v>12</v>
      </c>
      <c r="I256">
        <f>電力量!I257-電力量!I256</f>
        <v>444</v>
      </c>
      <c r="J256">
        <f>電力量!J257-電力量!J256</f>
        <v>8.4000000000014552</v>
      </c>
      <c r="K256">
        <f>電力量!K257-電力量!K256</f>
        <v>9.9999999991268851E-2</v>
      </c>
      <c r="L256">
        <f>電力量!L257-電力量!L256</f>
        <v>39.599999999999909</v>
      </c>
      <c r="M256">
        <f>電力量!M257-電力量!M256</f>
        <v>47.80000000000291</v>
      </c>
      <c r="N256">
        <f>電力量!N257-電力量!N256</f>
        <v>46.399999999999864</v>
      </c>
      <c r="O256">
        <f>電力量!O257-電力量!O256</f>
        <v>50.400000000008731</v>
      </c>
      <c r="P256">
        <f>電力量!P257-電力量!P256</f>
        <v>10</v>
      </c>
      <c r="Q256">
        <f>電力量!Q257-電力量!Q256</f>
        <v>16</v>
      </c>
      <c r="R256">
        <f>電力量!R257-電力量!R256</f>
        <v>0</v>
      </c>
    </row>
    <row r="257" spans="1:18">
      <c r="A257" s="4">
        <f t="shared" ref="A257:A305" si="106">A242+(15/24)</f>
        <v>45910.625</v>
      </c>
      <c r="B257">
        <f>電力量!B258-電力量!B257</f>
        <v>1216</v>
      </c>
      <c r="C257">
        <f>電力量!C258-電力量!C257</f>
        <v>338</v>
      </c>
      <c r="D257">
        <f>電力量!D258-電力量!D257</f>
        <v>31.099999999998545</v>
      </c>
      <c r="E257">
        <f>電力量!E258-電力量!E257</f>
        <v>0</v>
      </c>
      <c r="F257">
        <f>電力量!F258-電力量!F257</f>
        <v>48</v>
      </c>
      <c r="G257">
        <f>電力量!G258-電力量!G257</f>
        <v>86</v>
      </c>
      <c r="H257">
        <f>電力量!H258-電力量!H257</f>
        <v>13</v>
      </c>
      <c r="I257">
        <f>電力量!I258-電力量!I257</f>
        <v>432</v>
      </c>
      <c r="J257">
        <f>電力量!J258-電力量!J257</f>
        <v>9.8000000000029104</v>
      </c>
      <c r="K257">
        <f>電力量!K258-電力量!K257</f>
        <v>0.5</v>
      </c>
      <c r="L257">
        <f>電力量!L258-電力量!L257</f>
        <v>39.5</v>
      </c>
      <c r="M257">
        <f>電力量!M258-電力量!M257</f>
        <v>46.19999999999709</v>
      </c>
      <c r="N257">
        <f>電力量!N258-電力量!N257</f>
        <v>49.700000000000045</v>
      </c>
      <c r="O257">
        <f>電力量!O258-電力量!O257</f>
        <v>25.399999999994179</v>
      </c>
      <c r="P257">
        <f>電力量!P258-電力量!P257</f>
        <v>7</v>
      </c>
      <c r="Q257">
        <f>電力量!Q258-電力量!Q257</f>
        <v>12</v>
      </c>
      <c r="R257">
        <f>電力量!R258-電力量!R257</f>
        <v>0</v>
      </c>
    </row>
    <row r="258" spans="1:18">
      <c r="A258" s="4">
        <f t="shared" ref="A258:A306" si="107">A242+(16/24)</f>
        <v>45910.666666666664</v>
      </c>
      <c r="B258">
        <f>電力量!B259-電力量!B258</f>
        <v>1161</v>
      </c>
      <c r="C258">
        <f>電力量!C259-電力量!C258</f>
        <v>325</v>
      </c>
      <c r="D258">
        <f>電力量!D259-電力量!D258</f>
        <v>29.400000000001455</v>
      </c>
      <c r="E258">
        <f>電力量!E259-電力量!E258</f>
        <v>0</v>
      </c>
      <c r="F258">
        <f>電力量!F259-電力量!F258</f>
        <v>40</v>
      </c>
      <c r="G258">
        <f>電力量!G259-電力量!G258</f>
        <v>84.19999999999709</v>
      </c>
      <c r="H258">
        <f>電力量!H259-電力量!H258</f>
        <v>12</v>
      </c>
      <c r="I258">
        <f>電力量!I259-電力量!I258</f>
        <v>401</v>
      </c>
      <c r="J258">
        <f>電力量!J259-電力量!J258</f>
        <v>11.099999999998545</v>
      </c>
      <c r="K258">
        <f>電力量!K259-電力量!K258</f>
        <v>2.1999999999970896</v>
      </c>
      <c r="L258">
        <f>電力量!L259-電力量!L258</f>
        <v>38.800000000000182</v>
      </c>
      <c r="M258">
        <f>電力量!M259-電力量!M258</f>
        <v>45.600000000005821</v>
      </c>
      <c r="N258">
        <f>電力量!N259-電力量!N258</f>
        <v>53</v>
      </c>
      <c r="O258">
        <f>電力量!O259-電力量!O258</f>
        <v>24.19999999999709</v>
      </c>
      <c r="P258">
        <f>電力量!P259-電力量!P258</f>
        <v>6</v>
      </c>
      <c r="Q258">
        <f>電力量!Q259-電力量!Q258</f>
        <v>9</v>
      </c>
      <c r="R258">
        <f>電力量!R259-電力量!R258</f>
        <v>0</v>
      </c>
    </row>
    <row r="259" spans="1:18">
      <c r="A259" s="4">
        <f t="shared" ref="A259:A307" si="108">A242+(17/24)</f>
        <v>45910.708333333336</v>
      </c>
      <c r="B259">
        <f>電力量!B260-電力量!B259</f>
        <v>1034</v>
      </c>
      <c r="C259">
        <f>電力量!C260-電力量!C259</f>
        <v>292</v>
      </c>
      <c r="D259">
        <f>電力量!D260-電力量!D259</f>
        <v>25</v>
      </c>
      <c r="E259">
        <f>電力量!E260-電力量!E259</f>
        <v>0</v>
      </c>
      <c r="F259">
        <f>電力量!F260-電力量!F259</f>
        <v>30</v>
      </c>
      <c r="G259">
        <f>電力量!G260-電力量!G259</f>
        <v>74.5</v>
      </c>
      <c r="H259">
        <f>電力量!H260-電力量!H259</f>
        <v>11</v>
      </c>
      <c r="I259">
        <f>電力量!I260-電力量!I259</f>
        <v>353</v>
      </c>
      <c r="J259">
        <f>電力量!J260-電力量!J259</f>
        <v>8.7999999999956344</v>
      </c>
      <c r="K259">
        <f>電力量!K260-電力量!K259</f>
        <v>2.3000000000029104</v>
      </c>
      <c r="L259">
        <f>電力量!L260-電力量!L259</f>
        <v>34.599999999999909</v>
      </c>
      <c r="M259">
        <f>電力量!M260-電力量!M259</f>
        <v>42.399999999994179</v>
      </c>
      <c r="N259">
        <f>電力量!N260-電力量!N259</f>
        <v>55.599999999999909</v>
      </c>
      <c r="O259">
        <f>電力量!O260-電力量!O259</f>
        <v>22.900000000008731</v>
      </c>
      <c r="P259">
        <f>電力量!P260-電力量!P259</f>
        <v>1</v>
      </c>
      <c r="Q259">
        <f>電力量!Q260-電力量!Q259</f>
        <v>2</v>
      </c>
      <c r="R259">
        <f>電力量!R260-電力量!R259</f>
        <v>0</v>
      </c>
    </row>
    <row r="260" spans="1:18">
      <c r="A260" s="4">
        <f t="shared" ref="A260:A308" si="109">A242+(18/24)</f>
        <v>45910.75</v>
      </c>
      <c r="B260">
        <f>電力量!B261-電力量!B260</f>
        <v>925</v>
      </c>
      <c r="C260">
        <f>電力量!C261-電力量!C260</f>
        <v>239</v>
      </c>
      <c r="D260">
        <f>電力量!D261-電力量!D260</f>
        <v>24.30000000000291</v>
      </c>
      <c r="E260">
        <f>電力量!E261-電力量!E260</f>
        <v>0</v>
      </c>
      <c r="F260">
        <f>電力量!F261-電力量!F260</f>
        <v>28</v>
      </c>
      <c r="G260">
        <f>電力量!G261-電力量!G260</f>
        <v>63.700000000011642</v>
      </c>
      <c r="H260">
        <f>電力量!H261-電力量!H260</f>
        <v>12</v>
      </c>
      <c r="I260">
        <f>電力量!I261-電力量!I260</f>
        <v>333</v>
      </c>
      <c r="J260">
        <f>電力量!J261-電力量!J260</f>
        <v>8.7000000000043656</v>
      </c>
      <c r="K260">
        <f>電力量!K261-電力量!K260</f>
        <v>3.6000000000058208</v>
      </c>
      <c r="L260">
        <f>電力量!L261-電力量!L260</f>
        <v>28.099999999999909</v>
      </c>
      <c r="M260">
        <f>電力量!M261-電力量!M260</f>
        <v>35.600000000005821</v>
      </c>
      <c r="N260">
        <f>電力量!N261-電力量!N260</f>
        <v>54.900000000000091</v>
      </c>
      <c r="O260">
        <f>電力量!O261-電力量!O260</f>
        <v>20.299999999988358</v>
      </c>
      <c r="P260">
        <f>電力量!P261-電力量!P260</f>
        <v>0</v>
      </c>
      <c r="Q260">
        <f>電力量!Q261-電力量!Q260</f>
        <v>0</v>
      </c>
      <c r="R260">
        <f>電力量!R261-電力量!R260</f>
        <v>0</v>
      </c>
    </row>
    <row r="261" spans="1:18">
      <c r="A261" s="4">
        <f t="shared" ref="A261:A309" si="110">A242+(19/24)</f>
        <v>45910.791666666664</v>
      </c>
      <c r="B261">
        <f>電力量!B262-電力量!B261</f>
        <v>836</v>
      </c>
      <c r="C261">
        <f>電力量!C262-電力量!C261</f>
        <v>222</v>
      </c>
      <c r="D261">
        <f>電力量!D262-電力量!D261</f>
        <v>19.5</v>
      </c>
      <c r="E261">
        <f>電力量!E262-電力量!E261</f>
        <v>0</v>
      </c>
      <c r="F261">
        <f>電力量!F262-電力量!F261</f>
        <v>24</v>
      </c>
      <c r="G261">
        <f>電力量!G262-電力量!G261</f>
        <v>60.599999999991269</v>
      </c>
      <c r="H261">
        <f>電力量!H262-電力量!H261</f>
        <v>12</v>
      </c>
      <c r="I261">
        <f>電力量!I262-電力量!I261</f>
        <v>289</v>
      </c>
      <c r="J261">
        <f>電力量!J262-電力量!J261</f>
        <v>6.7999999999956344</v>
      </c>
      <c r="K261">
        <f>電力量!K262-電力量!K261</f>
        <v>3.5</v>
      </c>
      <c r="L261">
        <f>電力量!L262-電力量!L261</f>
        <v>26.300000000000182</v>
      </c>
      <c r="M261">
        <f>電力量!M262-電力量!M261</f>
        <v>35.100000000005821</v>
      </c>
      <c r="N261">
        <f>電力量!N262-電力量!N261</f>
        <v>52.900000000000091</v>
      </c>
      <c r="O261">
        <f>電力量!O262-電力量!O261</f>
        <v>21.900000000008731</v>
      </c>
      <c r="P261">
        <f>電力量!P262-電力量!P261</f>
        <v>0</v>
      </c>
      <c r="Q261">
        <f>電力量!Q262-電力量!Q261</f>
        <v>0</v>
      </c>
      <c r="R261">
        <f>電力量!R262-電力量!R261</f>
        <v>0</v>
      </c>
    </row>
    <row r="262" spans="1:18">
      <c r="A262" s="4">
        <f t="shared" ref="A262:A310" si="111">A242+(20/24)</f>
        <v>45910.833333333336</v>
      </c>
      <c r="B262">
        <f>電力量!B263-電力量!B262</f>
        <v>781</v>
      </c>
      <c r="C262">
        <f>電力量!C263-電力量!C262</f>
        <v>200</v>
      </c>
      <c r="D262">
        <f>電力量!D263-電力量!D262</f>
        <v>18</v>
      </c>
      <c r="E262">
        <f>電力量!E263-電力量!E262</f>
        <v>0</v>
      </c>
      <c r="F262">
        <f>電力量!F263-電力量!F262</f>
        <v>24</v>
      </c>
      <c r="G262">
        <f>電力量!G263-電力量!G262</f>
        <v>58.100000000005821</v>
      </c>
      <c r="H262">
        <f>電力量!H263-電力量!H262</f>
        <v>12</v>
      </c>
      <c r="I262">
        <f>電力量!I263-電力量!I262</f>
        <v>263</v>
      </c>
      <c r="J262">
        <f>電力量!J263-電力量!J262</f>
        <v>6.7000000000043656</v>
      </c>
      <c r="K262">
        <f>電力量!K263-電力量!K262</f>
        <v>3.3000000000029104</v>
      </c>
      <c r="L262">
        <f>電力量!L263-電力量!L262</f>
        <v>22.300000000000182</v>
      </c>
      <c r="M262">
        <f>電力量!M263-電力量!M262</f>
        <v>35.099999999991269</v>
      </c>
      <c r="N262">
        <f>電力量!N263-電力量!N262</f>
        <v>54.099999999999909</v>
      </c>
      <c r="O262">
        <f>電力量!O263-電力量!O262</f>
        <v>22.69999999999709</v>
      </c>
      <c r="P262">
        <f>電力量!P263-電力量!P262</f>
        <v>0</v>
      </c>
      <c r="Q262">
        <f>電力量!Q263-電力量!Q262</f>
        <v>0</v>
      </c>
      <c r="R262">
        <f>電力量!R263-電力量!R262</f>
        <v>0</v>
      </c>
    </row>
    <row r="263" spans="1:18">
      <c r="A263" s="4">
        <f t="shared" ref="A263:A311" si="112">A242+(21/24)</f>
        <v>45910.875</v>
      </c>
      <c r="B263">
        <f>電力量!B264-電力量!B263</f>
        <v>741</v>
      </c>
      <c r="C263">
        <f>電力量!C264-電力量!C263</f>
        <v>192</v>
      </c>
      <c r="D263">
        <f>電力量!D264-電力量!D263</f>
        <v>16.899999999994179</v>
      </c>
      <c r="E263">
        <f>電力量!E264-電力量!E263</f>
        <v>0</v>
      </c>
      <c r="F263">
        <f>電力量!F264-電力量!F263</f>
        <v>20</v>
      </c>
      <c r="G263">
        <f>電力量!G264-電力量!G263</f>
        <v>56.19999999999709</v>
      </c>
      <c r="H263">
        <f>電力量!H264-電力量!H263</f>
        <v>13</v>
      </c>
      <c r="I263">
        <f>電力量!I264-電力量!I263</f>
        <v>245</v>
      </c>
      <c r="J263">
        <f>電力量!J264-電力量!J263</f>
        <v>6.5</v>
      </c>
      <c r="K263">
        <f>電力量!K264-電力量!K263</f>
        <v>3.2999999999883585</v>
      </c>
      <c r="L263">
        <f>電力量!L264-電力量!L263</f>
        <v>21.399999999999636</v>
      </c>
      <c r="M263">
        <f>電力量!M264-電力量!M263</f>
        <v>33</v>
      </c>
      <c r="N263">
        <f>電力量!N264-電力量!N263</f>
        <v>53.5</v>
      </c>
      <c r="O263">
        <f>電力量!O264-電力量!O263</f>
        <v>20.69999999999709</v>
      </c>
      <c r="P263">
        <f>電力量!P264-電力量!P263</f>
        <v>0</v>
      </c>
      <c r="Q263">
        <f>電力量!Q264-電力量!Q263</f>
        <v>0</v>
      </c>
      <c r="R263">
        <f>電力量!R264-電力量!R263</f>
        <v>0</v>
      </c>
    </row>
    <row r="264" spans="1:18">
      <c r="A264" s="4">
        <f t="shared" ref="A264:A312" si="113">A242+(22/24)</f>
        <v>45910.916666666664</v>
      </c>
      <c r="B264">
        <f>電力量!B265-電力量!B264</f>
        <v>726</v>
      </c>
      <c r="C264">
        <f>電力量!C265-電力量!C264</f>
        <v>185</v>
      </c>
      <c r="D264">
        <f>電力量!D265-電力量!D264</f>
        <v>16.900000000001455</v>
      </c>
      <c r="E264">
        <f>電力量!E265-電力量!E264</f>
        <v>0</v>
      </c>
      <c r="F264">
        <f>電力量!F265-電力量!F264</f>
        <v>20</v>
      </c>
      <c r="G264">
        <f>電力量!G265-電力量!G264</f>
        <v>56.80000000000291</v>
      </c>
      <c r="H264">
        <f>電力量!H265-電力量!H264</f>
        <v>12</v>
      </c>
      <c r="I264">
        <f>電力量!I265-電力量!I264</f>
        <v>243</v>
      </c>
      <c r="J264">
        <f>電力量!J265-電力量!J264</f>
        <v>6.5999999999985448</v>
      </c>
      <c r="K264">
        <f>電力量!K265-電力量!K264</f>
        <v>3.3000000000029104</v>
      </c>
      <c r="L264">
        <f>電力量!L265-電力量!L264</f>
        <v>21.800000000000182</v>
      </c>
      <c r="M264">
        <f>電力量!M265-電力量!M264</f>
        <v>32.5</v>
      </c>
      <c r="N264">
        <f>電力量!N265-電力量!N264</f>
        <v>53.799999999999955</v>
      </c>
      <c r="O264">
        <f>電力量!O265-電力量!O264</f>
        <v>17.5</v>
      </c>
      <c r="P264">
        <f>電力量!P265-電力量!P264</f>
        <v>0</v>
      </c>
      <c r="Q264">
        <f>電力量!Q265-電力量!Q264</f>
        <v>0</v>
      </c>
      <c r="R264">
        <f>電力量!R265-電力量!R264</f>
        <v>0</v>
      </c>
    </row>
    <row r="265" spans="1:18">
      <c r="A265" s="4">
        <f t="shared" ref="A265:A313" si="114">A242+(23/24)</f>
        <v>45910.958333333336</v>
      </c>
      <c r="B265">
        <f>電力量!B266-電力量!B265</f>
        <v>721</v>
      </c>
      <c r="C265">
        <f>電力量!C266-電力量!C265</f>
        <v>182</v>
      </c>
      <c r="D265">
        <f>電力量!D266-電力量!D265</f>
        <v>19.200000000004366</v>
      </c>
      <c r="E265">
        <f>電力量!E266-電力量!E265</f>
        <v>0</v>
      </c>
      <c r="F265">
        <f>電力量!F266-電力量!F265</f>
        <v>17</v>
      </c>
      <c r="G265">
        <f>電力量!G266-電力量!G265</f>
        <v>56.399999999994179</v>
      </c>
      <c r="H265">
        <f>電力量!H266-電力量!H265</f>
        <v>12</v>
      </c>
      <c r="I265">
        <f>電力量!I266-電力量!I265</f>
        <v>243</v>
      </c>
      <c r="J265">
        <f>電力量!J266-電力量!J265</f>
        <v>6.6999999999970896</v>
      </c>
      <c r="K265">
        <f>電力量!K266-電力量!K265</f>
        <v>3.3000000000029104</v>
      </c>
      <c r="L265">
        <f>電力量!L266-電力量!L265</f>
        <v>21.300000000000182</v>
      </c>
      <c r="M265">
        <f>電力量!M266-電力量!M265</f>
        <v>32.900000000008731</v>
      </c>
      <c r="N265">
        <f>電力量!N266-電力量!N265</f>
        <v>52.299999999999955</v>
      </c>
      <c r="O265">
        <f>電力量!O266-電力量!O265</f>
        <v>18.69999999999709</v>
      </c>
      <c r="P265">
        <f>電力量!P266-電力量!P265</f>
        <v>0</v>
      </c>
      <c r="Q265">
        <f>電力量!Q266-電力量!Q265</f>
        <v>0</v>
      </c>
      <c r="R265">
        <f>電力量!R266-電力量!R265</f>
        <v>0</v>
      </c>
    </row>
    <row r="266" spans="1:18">
      <c r="A266" s="4">
        <v>45911</v>
      </c>
      <c r="B266">
        <f>電力量!B267-電力量!B266</f>
        <v>706</v>
      </c>
      <c r="C266">
        <f>電力量!C267-電力量!C266</f>
        <v>180</v>
      </c>
      <c r="D266">
        <f>電力量!D267-電力量!D266</f>
        <v>17.099999999998545</v>
      </c>
      <c r="E266">
        <f>電力量!E267-電力量!E266</f>
        <v>0</v>
      </c>
      <c r="F266">
        <f>電力量!F267-電力量!F266</f>
        <v>15</v>
      </c>
      <c r="G266">
        <f>電力量!G267-電力量!G266</f>
        <v>52.19999999999709</v>
      </c>
      <c r="H266">
        <f>電力量!H267-電力量!H266</f>
        <v>12</v>
      </c>
      <c r="I266">
        <f>電力量!I267-電力量!I266</f>
        <v>244</v>
      </c>
      <c r="J266">
        <f>電力量!J267-電力量!J266</f>
        <v>6.3000000000029104</v>
      </c>
      <c r="K266">
        <f>電力量!K267-電力量!K266</f>
        <v>3.1999999999970896</v>
      </c>
      <c r="L266">
        <f>電力量!L267-電力量!L266</f>
        <v>20.599999999999454</v>
      </c>
      <c r="M266">
        <f>電力量!M267-電力量!M266</f>
        <v>32.099999999991269</v>
      </c>
      <c r="N266">
        <f>電力量!N267-電力量!N266</f>
        <v>53.400000000000091</v>
      </c>
      <c r="O266">
        <f>電力量!O267-電力量!O266</f>
        <v>16</v>
      </c>
      <c r="P266">
        <f>電力量!P267-電力量!P266</f>
        <v>0</v>
      </c>
      <c r="Q266">
        <f>電力量!Q267-電力量!Q266</f>
        <v>0</v>
      </c>
      <c r="R266">
        <f>電力量!R267-電力量!R266</f>
        <v>0</v>
      </c>
    </row>
    <row r="267" spans="1:18">
      <c r="A267" s="4">
        <f t="shared" si="92"/>
        <v>45911.041666666664</v>
      </c>
      <c r="B267">
        <f>電力量!B268-電力量!B267</f>
        <v>697</v>
      </c>
      <c r="C267">
        <f>電力量!C268-電力量!C267</f>
        <v>171</v>
      </c>
      <c r="D267">
        <f>電力量!D268-電力量!D267</f>
        <v>17.400000000001455</v>
      </c>
      <c r="E267">
        <f>電力量!E268-電力量!E267</f>
        <v>0</v>
      </c>
      <c r="F267">
        <f>電力量!F268-電力量!F267</f>
        <v>14</v>
      </c>
      <c r="G267">
        <f>電力量!G268-電力量!G267</f>
        <v>53.5</v>
      </c>
      <c r="H267">
        <f>電力量!H268-電力量!H267</f>
        <v>11</v>
      </c>
      <c r="I267">
        <f>電力量!I268-電力量!I267</f>
        <v>244</v>
      </c>
      <c r="J267">
        <f>電力量!J268-電力量!J267</f>
        <v>6.5999999999985448</v>
      </c>
      <c r="K267">
        <f>電力量!K268-電力量!K267</f>
        <v>3.1999999999970896</v>
      </c>
      <c r="L267">
        <f>電力量!L268-電力量!L267</f>
        <v>19.699999999999818</v>
      </c>
      <c r="M267">
        <f>電力量!M268-電力量!M267</f>
        <v>31.69999999999709</v>
      </c>
      <c r="N267">
        <f>電力量!N268-電力量!N267</f>
        <v>53.699999999999818</v>
      </c>
      <c r="O267">
        <f>電力量!O268-電力量!O267</f>
        <v>17.200000000011642</v>
      </c>
      <c r="P267">
        <f>電力量!P268-電力量!P267</f>
        <v>0</v>
      </c>
      <c r="Q267">
        <f>電力量!Q268-電力量!Q267</f>
        <v>0</v>
      </c>
      <c r="R267">
        <f>電力量!R268-電力量!R267</f>
        <v>0</v>
      </c>
    </row>
    <row r="268" spans="1:18">
      <c r="A268" s="4">
        <f t="shared" si="93"/>
        <v>45911.083333333336</v>
      </c>
      <c r="B268">
        <f>電力量!B269-電力量!B268</f>
        <v>683</v>
      </c>
      <c r="C268">
        <f>電力量!C269-電力量!C268</f>
        <v>165</v>
      </c>
      <c r="D268">
        <f>電力量!D269-電力量!D268</f>
        <v>15</v>
      </c>
      <c r="E268">
        <f>電力量!E269-電力量!E268</f>
        <v>0</v>
      </c>
      <c r="F268">
        <f>電力量!F269-電力量!F268</f>
        <v>15</v>
      </c>
      <c r="G268">
        <f>電力量!G269-電力量!G268</f>
        <v>51.700000000011642</v>
      </c>
      <c r="H268">
        <f>電力量!H269-電力量!H268</f>
        <v>11</v>
      </c>
      <c r="I268">
        <f>電力量!I269-電力量!I268</f>
        <v>238</v>
      </c>
      <c r="J268">
        <f>電力量!J269-電力量!J268</f>
        <v>6.3000000000029104</v>
      </c>
      <c r="K268">
        <f>電力量!K269-電力量!K268</f>
        <v>3.3000000000029104</v>
      </c>
      <c r="L268">
        <f>電力量!L269-電力量!L268</f>
        <v>21.700000000000728</v>
      </c>
      <c r="M268">
        <f>電力量!M269-電力量!M268</f>
        <v>32.200000000011642</v>
      </c>
      <c r="N268">
        <f>電力量!N269-電力量!N268</f>
        <v>53.300000000000182</v>
      </c>
      <c r="O268">
        <f>電力量!O269-電力量!O268</f>
        <v>17</v>
      </c>
      <c r="P268">
        <f>電力量!P269-電力量!P268</f>
        <v>0</v>
      </c>
      <c r="Q268">
        <f>電力量!Q269-電力量!Q268</f>
        <v>0</v>
      </c>
      <c r="R268">
        <f>電力量!R269-電力量!R268</f>
        <v>0</v>
      </c>
    </row>
    <row r="269" spans="1:18">
      <c r="A269" s="4">
        <f t="shared" si="94"/>
        <v>45911.125</v>
      </c>
      <c r="B269">
        <f>電力量!B270-電力量!B269</f>
        <v>667</v>
      </c>
      <c r="C269">
        <f>電力量!C270-電力量!C269</f>
        <v>159</v>
      </c>
      <c r="D269">
        <f>電力量!D270-電力量!D269</f>
        <v>15.399999999994179</v>
      </c>
      <c r="E269">
        <f>電力量!E270-電力量!E269</f>
        <v>0</v>
      </c>
      <c r="F269">
        <f>電力量!F270-電力量!F269</f>
        <v>14</v>
      </c>
      <c r="G269">
        <f>電力量!G270-電力量!G269</f>
        <v>50.599999999991269</v>
      </c>
      <c r="H269">
        <f>電力量!H270-電力量!H269</f>
        <v>11</v>
      </c>
      <c r="I269">
        <f>電力量!I270-電力量!I269</f>
        <v>233</v>
      </c>
      <c r="J269">
        <f>電力量!J270-電力量!J269</f>
        <v>6.1999999999970896</v>
      </c>
      <c r="K269">
        <f>電力量!K270-電力量!K269</f>
        <v>3.1999999999970896</v>
      </c>
      <c r="L269">
        <f>電力量!L270-電力量!L269</f>
        <v>20</v>
      </c>
      <c r="M269">
        <f>電力量!M270-電力量!M269</f>
        <v>31.899999999994179</v>
      </c>
      <c r="N269">
        <f>電力量!N270-電力量!N269</f>
        <v>51.900000000000091</v>
      </c>
      <c r="O269">
        <f>電力量!O270-電力量!O269</f>
        <v>17.399999999994179</v>
      </c>
      <c r="P269">
        <f>電力量!P270-電力量!P269</f>
        <v>0</v>
      </c>
      <c r="Q269">
        <f>電力量!Q270-電力量!Q269</f>
        <v>0</v>
      </c>
      <c r="R269">
        <f>電力量!R270-電力量!R269</f>
        <v>0</v>
      </c>
    </row>
    <row r="270" spans="1:18">
      <c r="A270" s="4">
        <f t="shared" si="95"/>
        <v>45911.166666666664</v>
      </c>
      <c r="B270">
        <f>電力量!B271-電力量!B270</f>
        <v>670</v>
      </c>
      <c r="C270">
        <f>電力量!C271-電力量!C270</f>
        <v>156</v>
      </c>
      <c r="D270">
        <f>電力量!D271-電力量!D270</f>
        <v>14.30000000000291</v>
      </c>
      <c r="E270">
        <f>電力量!E271-電力量!E270</f>
        <v>0</v>
      </c>
      <c r="F270">
        <f>電力量!F271-電力量!F270</f>
        <v>14</v>
      </c>
      <c r="G270">
        <f>電力量!G271-電力量!G270</f>
        <v>52.69999999999709</v>
      </c>
      <c r="H270">
        <f>電力量!H271-電力量!H270</f>
        <v>12</v>
      </c>
      <c r="I270">
        <f>電力量!I271-電力量!I270</f>
        <v>236</v>
      </c>
      <c r="J270">
        <f>電力量!J271-電力量!J270</f>
        <v>6.2000000000043656</v>
      </c>
      <c r="K270">
        <f>電力量!K271-電力量!K270</f>
        <v>3.1000000000058208</v>
      </c>
      <c r="L270">
        <f>電力量!L271-電力量!L270</f>
        <v>19.899999999999636</v>
      </c>
      <c r="M270">
        <f>電力量!M271-電力量!M270</f>
        <v>31.899999999994179</v>
      </c>
      <c r="N270">
        <f>電力量!N271-電力量!N270</f>
        <v>53.599999999999909</v>
      </c>
      <c r="O270">
        <f>電力量!O271-電力量!O270</f>
        <v>17.69999999999709</v>
      </c>
      <c r="P270">
        <f>電力量!P271-電力量!P270</f>
        <v>0</v>
      </c>
      <c r="Q270">
        <f>電力量!Q271-電力量!Q270</f>
        <v>0</v>
      </c>
      <c r="R270">
        <f>電力量!R271-電力量!R270</f>
        <v>0</v>
      </c>
    </row>
    <row r="271" spans="1:18">
      <c r="A271" s="4">
        <f t="shared" si="96"/>
        <v>45911.208333333336</v>
      </c>
      <c r="B271">
        <f>電力量!B272-電力量!B271</f>
        <v>676</v>
      </c>
      <c r="C271">
        <f>電力量!C272-電力量!C271</f>
        <v>156</v>
      </c>
      <c r="D271">
        <f>電力量!D272-電力量!D271</f>
        <v>14</v>
      </c>
      <c r="E271">
        <f>電力量!E272-電力量!E271</f>
        <v>0</v>
      </c>
      <c r="F271">
        <f>電力量!F272-電力量!F271</f>
        <v>14</v>
      </c>
      <c r="G271">
        <f>電力量!G272-電力量!G271</f>
        <v>52.200000000011642</v>
      </c>
      <c r="H271">
        <f>電力量!H272-電力量!H271</f>
        <v>12</v>
      </c>
      <c r="I271">
        <f>電力量!I272-電力量!I271</f>
        <v>238</v>
      </c>
      <c r="J271">
        <f>電力量!J272-電力量!J271</f>
        <v>6.2999999999956344</v>
      </c>
      <c r="K271">
        <f>電力量!K272-電力量!K271</f>
        <v>3.3000000000029104</v>
      </c>
      <c r="L271">
        <f>電力量!L272-電力量!L271</f>
        <v>20.800000000000182</v>
      </c>
      <c r="M271">
        <f>電力量!M272-電力量!M271</f>
        <v>31.80000000000291</v>
      </c>
      <c r="N271">
        <f>電力量!N272-電力量!N271</f>
        <v>53.199999999999818</v>
      </c>
      <c r="O271">
        <f>電力量!O272-電力量!O271</f>
        <v>19</v>
      </c>
      <c r="P271">
        <f>電力量!P272-電力量!P271</f>
        <v>0</v>
      </c>
      <c r="Q271">
        <f>電力量!Q272-電力量!Q271</f>
        <v>0</v>
      </c>
      <c r="R271">
        <f>電力量!R272-電力量!R271</f>
        <v>0</v>
      </c>
    </row>
    <row r="272" spans="1:18">
      <c r="A272" s="4">
        <f t="shared" si="97"/>
        <v>45911.25</v>
      </c>
      <c r="B272">
        <f>電力量!B273-電力量!B272</f>
        <v>669</v>
      </c>
      <c r="C272">
        <f>電力量!C273-電力量!C272</f>
        <v>155</v>
      </c>
      <c r="D272">
        <f>電力量!D273-電力量!D272</f>
        <v>13.80000000000291</v>
      </c>
      <c r="E272">
        <f>電力量!E273-電力量!E272</f>
        <v>0</v>
      </c>
      <c r="F272">
        <f>電力量!F273-電力量!F272</f>
        <v>14</v>
      </c>
      <c r="G272">
        <f>電力量!G273-電力量!G272</f>
        <v>49.599999999991269</v>
      </c>
      <c r="H272">
        <f>電力量!H273-電力量!H272</f>
        <v>12</v>
      </c>
      <c r="I272">
        <f>電力量!I273-電力量!I272</f>
        <v>236</v>
      </c>
      <c r="J272">
        <f>電力量!J273-電力量!J272</f>
        <v>6.2000000000043656</v>
      </c>
      <c r="K272">
        <f>電力量!K273-電力量!K272</f>
        <v>2.8000000000029104</v>
      </c>
      <c r="L272">
        <f>電力量!L273-電力量!L272</f>
        <v>19.300000000000182</v>
      </c>
      <c r="M272">
        <f>電力量!M273-電力量!M272</f>
        <v>31.19999999999709</v>
      </c>
      <c r="N272">
        <f>電力量!N273-電力量!N272</f>
        <v>53.400000000000091</v>
      </c>
      <c r="O272">
        <f>電力量!O273-電力量!O272</f>
        <v>19.69999999999709</v>
      </c>
      <c r="P272">
        <f>電力量!P273-電力量!P272</f>
        <v>1</v>
      </c>
      <c r="Q272">
        <f>電力量!Q273-電力量!Q272</f>
        <v>0</v>
      </c>
      <c r="R272">
        <f>電力量!R273-電力量!R272</f>
        <v>0</v>
      </c>
    </row>
    <row r="273" spans="1:18">
      <c r="A273" s="4">
        <f t="shared" si="98"/>
        <v>45911.291666666664</v>
      </c>
      <c r="B273">
        <f>電力量!B274-電力量!B273</f>
        <v>685</v>
      </c>
      <c r="C273">
        <f>電力量!C274-電力量!C273</f>
        <v>166</v>
      </c>
      <c r="D273">
        <f>電力量!D274-電力量!D273</f>
        <v>14.099999999998545</v>
      </c>
      <c r="E273">
        <f>電力量!E274-電力量!E273</f>
        <v>0</v>
      </c>
      <c r="F273">
        <f>電力量!F274-電力量!F273</f>
        <v>15</v>
      </c>
      <c r="G273">
        <f>電力量!G274-電力量!G273</f>
        <v>47.69999999999709</v>
      </c>
      <c r="H273">
        <f>電力量!H274-電力量!H273</f>
        <v>12</v>
      </c>
      <c r="I273">
        <f>電力量!I274-電力量!I273</f>
        <v>242</v>
      </c>
      <c r="J273">
        <f>電力量!J274-電力量!J273</f>
        <v>6.1999999999970896</v>
      </c>
      <c r="K273">
        <f>電力量!K274-電力量!K273</f>
        <v>1.3999999999941792</v>
      </c>
      <c r="L273">
        <f>電力量!L274-電力量!L273</f>
        <v>19.799999999999272</v>
      </c>
      <c r="M273">
        <f>電力量!M274-電力量!M273</f>
        <v>31.5</v>
      </c>
      <c r="N273">
        <f>電力量!N274-電力量!N273</f>
        <v>51</v>
      </c>
      <c r="O273">
        <f>電力量!O274-電力量!O273</f>
        <v>22.80000000000291</v>
      </c>
      <c r="P273">
        <f>電力量!P274-電力量!P273</f>
        <v>1</v>
      </c>
      <c r="Q273">
        <f>電力量!Q274-電力量!Q273</f>
        <v>2</v>
      </c>
      <c r="R273">
        <f>電力量!R274-電力量!R273</f>
        <v>0</v>
      </c>
    </row>
    <row r="274" spans="1:18">
      <c r="A274" s="4">
        <f t="shared" si="99"/>
        <v>45911.333333333336</v>
      </c>
      <c r="B274">
        <f>電力量!B275-電力量!B274</f>
        <v>777</v>
      </c>
      <c r="C274">
        <f>電力量!C275-電力量!C274</f>
        <v>192</v>
      </c>
      <c r="D274">
        <f>電力量!D275-電力量!D274</f>
        <v>16.900000000001455</v>
      </c>
      <c r="E274">
        <f>電力量!E275-電力量!E274</f>
        <v>0</v>
      </c>
      <c r="F274">
        <f>電力量!F275-電力量!F274</f>
        <v>21</v>
      </c>
      <c r="G274">
        <f>電力量!G275-電力量!G274</f>
        <v>45.700000000011642</v>
      </c>
      <c r="H274">
        <f>電力量!H275-電力量!H274</f>
        <v>12</v>
      </c>
      <c r="I274">
        <f>電力量!I275-電力量!I274</f>
        <v>274</v>
      </c>
      <c r="J274">
        <f>電力量!J275-電力量!J274</f>
        <v>6.5</v>
      </c>
      <c r="K274">
        <f>電力量!K275-電力量!K274</f>
        <v>1.6000000000058208</v>
      </c>
      <c r="L274">
        <f>電力量!L275-電力量!L274</f>
        <v>23</v>
      </c>
      <c r="M274">
        <f>電力量!M275-電力量!M274</f>
        <v>36.100000000005821</v>
      </c>
      <c r="N274">
        <f>電力量!N275-電力量!N274</f>
        <v>49.200000000000273</v>
      </c>
      <c r="O274">
        <f>電力量!O275-電力量!O274</f>
        <v>36.400000000008731</v>
      </c>
      <c r="P274">
        <f>電力量!P275-電力量!P274</f>
        <v>4</v>
      </c>
      <c r="Q274">
        <f>電力量!Q275-電力量!Q274</f>
        <v>7</v>
      </c>
      <c r="R274">
        <f>電力量!R275-電力量!R274</f>
        <v>0</v>
      </c>
    </row>
    <row r="275" spans="1:18">
      <c r="A275" s="4">
        <f t="shared" si="100"/>
        <v>45911.375</v>
      </c>
      <c r="B275">
        <f>電力量!B276-電力量!B275</f>
        <v>965</v>
      </c>
      <c r="C275">
        <f>電力量!C276-電力量!C275</f>
        <v>251</v>
      </c>
      <c r="D275">
        <f>電力量!D276-電力量!D275</f>
        <v>26.799999999995634</v>
      </c>
      <c r="E275">
        <f>電力量!E276-電力量!E275</f>
        <v>0</v>
      </c>
      <c r="F275">
        <f>電力量!F276-電力量!F275</f>
        <v>33</v>
      </c>
      <c r="G275">
        <f>電力量!G276-電力量!G275</f>
        <v>45.099999999991269</v>
      </c>
      <c r="H275">
        <f>電力量!H276-電力量!H275</f>
        <v>12</v>
      </c>
      <c r="I275">
        <f>電力量!I276-電力量!I275</f>
        <v>332</v>
      </c>
      <c r="J275">
        <f>電力量!J276-電力量!J275</f>
        <v>7.4000000000014552</v>
      </c>
      <c r="K275">
        <f>電力量!K276-電力量!K275</f>
        <v>9.9999999991268851E-2</v>
      </c>
      <c r="L275">
        <f>電力量!L276-電力量!L275</f>
        <v>29.400000000000546</v>
      </c>
      <c r="M275">
        <f>電力量!M276-電力量!M275</f>
        <v>40.80000000000291</v>
      </c>
      <c r="N275">
        <f>電力量!N276-電力量!N275</f>
        <v>45.5</v>
      </c>
      <c r="O275">
        <f>電力量!O276-電力量!O275</f>
        <v>57.299999999988358</v>
      </c>
      <c r="P275">
        <f>電力量!P276-電力量!P275</f>
        <v>11</v>
      </c>
      <c r="Q275">
        <f>電力量!Q276-電力量!Q275</f>
        <v>17</v>
      </c>
      <c r="R275">
        <f>電力量!R276-電力量!R275</f>
        <v>0</v>
      </c>
    </row>
    <row r="276" spans="1:18">
      <c r="A276" s="4">
        <f t="shared" si="101"/>
        <v>45911.416666666664</v>
      </c>
      <c r="B276">
        <f>電力量!B277-電力量!B276</f>
        <v>1098</v>
      </c>
      <c r="C276">
        <f>電力量!C277-電力量!C276</f>
        <v>273</v>
      </c>
      <c r="D276">
        <f>電力量!D277-電力量!D276</f>
        <v>26.599999999998545</v>
      </c>
      <c r="E276">
        <f>電力量!E277-電力量!E276</f>
        <v>0</v>
      </c>
      <c r="F276">
        <f>電力量!F277-電力量!F276</f>
        <v>46</v>
      </c>
      <c r="G276">
        <f>電力量!G277-電力量!G276</f>
        <v>71.30000000000291</v>
      </c>
      <c r="H276">
        <f>電力量!H277-電力量!H276</f>
        <v>11</v>
      </c>
      <c r="I276">
        <f>電力量!I277-電力量!I276</f>
        <v>373</v>
      </c>
      <c r="J276">
        <f>電力量!J277-電力量!J276</f>
        <v>7.9000000000014552</v>
      </c>
      <c r="K276">
        <f>電力量!K277-電力量!K276</f>
        <v>3.3000000000029104</v>
      </c>
      <c r="L276">
        <f>電力量!L277-電力量!L276</f>
        <v>32.5</v>
      </c>
      <c r="M276">
        <f>電力量!M277-電力量!M276</f>
        <v>41.599999999991269</v>
      </c>
      <c r="N276">
        <f>電力量!N277-電力量!N276</f>
        <v>52.599999999999909</v>
      </c>
      <c r="O276">
        <f>電力量!O277-電力量!O276</f>
        <v>65.600000000005821</v>
      </c>
      <c r="P276">
        <f>電力量!P277-電力量!P276</f>
        <v>7</v>
      </c>
      <c r="Q276">
        <f>電力量!Q277-電力量!Q276</f>
        <v>10</v>
      </c>
      <c r="R276">
        <f>電力量!R277-電力量!R276</f>
        <v>0</v>
      </c>
    </row>
    <row r="277" spans="1:18">
      <c r="A277" s="4">
        <f t="shared" si="102"/>
        <v>45911.458333333336</v>
      </c>
      <c r="B277">
        <f>電力量!B278-電力量!B277</f>
        <v>1163</v>
      </c>
      <c r="C277">
        <f>電力量!C278-電力量!C277</f>
        <v>303</v>
      </c>
      <c r="D277">
        <f>電力量!D278-電力量!D277</f>
        <v>32.400000000001455</v>
      </c>
      <c r="E277">
        <f>電力量!E278-電力量!E277</f>
        <v>0</v>
      </c>
      <c r="F277">
        <f>電力量!F278-電力量!F277</f>
        <v>45</v>
      </c>
      <c r="G277">
        <f>電力量!G278-電力量!G277</f>
        <v>74.399999999994179</v>
      </c>
      <c r="H277">
        <f>電力量!H278-電力量!H277</f>
        <v>12</v>
      </c>
      <c r="I277">
        <f>電力量!I278-電力量!I277</f>
        <v>392</v>
      </c>
      <c r="J277">
        <f>電力量!J278-電力量!J277</f>
        <v>8.5</v>
      </c>
      <c r="K277">
        <f>電力量!K278-電力量!K277</f>
        <v>0.39999999999417923</v>
      </c>
      <c r="L277">
        <f>電力量!L278-電力量!L277</f>
        <v>34.800000000000182</v>
      </c>
      <c r="M277">
        <f>電力量!M278-電力量!M277</f>
        <v>43.900000000008731</v>
      </c>
      <c r="N277">
        <f>電力量!N278-電力量!N277</f>
        <v>45</v>
      </c>
      <c r="O277">
        <f>電力量!O278-電力量!O277</f>
        <v>65.5</v>
      </c>
      <c r="P277">
        <f>電力量!P278-電力量!P277</f>
        <v>14</v>
      </c>
      <c r="Q277">
        <f>電力量!Q278-電力量!Q277</f>
        <v>23</v>
      </c>
      <c r="R277">
        <f>電力量!R278-電力量!R277</f>
        <v>0</v>
      </c>
    </row>
    <row r="278" spans="1:18">
      <c r="A278" s="4">
        <f t="shared" si="103"/>
        <v>45911.5</v>
      </c>
      <c r="B278">
        <f>電力量!B279-電力量!B278</f>
        <v>1223</v>
      </c>
      <c r="C278">
        <f>電力量!C279-電力量!C278</f>
        <v>313</v>
      </c>
      <c r="D278">
        <f>電力量!D279-電力量!D278</f>
        <v>34.900000000001455</v>
      </c>
      <c r="E278">
        <f>電力量!E279-電力量!E278</f>
        <v>0</v>
      </c>
      <c r="F278">
        <f>電力量!F279-電力量!F278</f>
        <v>44</v>
      </c>
      <c r="G278">
        <f>電力量!G279-電力量!G278</f>
        <v>82.80000000000291</v>
      </c>
      <c r="H278">
        <f>電力量!H279-電力量!H278</f>
        <v>13</v>
      </c>
      <c r="I278">
        <f>電力量!I279-電力量!I278</f>
        <v>406</v>
      </c>
      <c r="J278">
        <f>電力量!J279-電力量!J278</f>
        <v>11.799999999995634</v>
      </c>
      <c r="K278">
        <f>電力量!K279-電力量!K278</f>
        <v>0.5</v>
      </c>
      <c r="L278">
        <f>電力量!L279-電力量!L278</f>
        <v>42.599999999999454</v>
      </c>
      <c r="M278">
        <f>電力量!M279-電力量!M278</f>
        <v>46.19999999999709</v>
      </c>
      <c r="N278">
        <f>電力量!N279-電力量!N278</f>
        <v>45.599999999999909</v>
      </c>
      <c r="O278">
        <f>電力量!O279-電力量!O278</f>
        <v>65.19999999999709</v>
      </c>
      <c r="P278">
        <f>電力量!P279-電力量!P278</f>
        <v>16</v>
      </c>
      <c r="Q278">
        <f>電力量!Q279-電力量!Q278</f>
        <v>23</v>
      </c>
      <c r="R278">
        <f>電力量!R279-電力量!R278</f>
        <v>0</v>
      </c>
    </row>
    <row r="279" spans="1:18">
      <c r="A279" s="4">
        <f t="shared" si="104"/>
        <v>45911.541666666664</v>
      </c>
      <c r="B279">
        <f>電力量!B280-電力量!B279</f>
        <v>1273</v>
      </c>
      <c r="C279">
        <f>電力量!C280-電力量!C279</f>
        <v>310</v>
      </c>
      <c r="D279">
        <f>電力量!D280-電力量!D279</f>
        <v>31.900000000001455</v>
      </c>
      <c r="E279">
        <f>電力量!E280-電力量!E279</f>
        <v>0</v>
      </c>
      <c r="F279">
        <f>電力量!F280-電力量!F279</f>
        <v>59</v>
      </c>
      <c r="G279">
        <f>電力量!G280-電力量!G279</f>
        <v>82.100000000005821</v>
      </c>
      <c r="H279">
        <f>電力量!H280-電力量!H279</f>
        <v>13</v>
      </c>
      <c r="I279">
        <f>電力量!I280-電力量!I279</f>
        <v>430</v>
      </c>
      <c r="J279">
        <f>電力量!J280-電力量!J279</f>
        <v>10.900000000001455</v>
      </c>
      <c r="K279">
        <f>電力量!K280-電力量!K279</f>
        <v>0</v>
      </c>
      <c r="L279">
        <f>電力量!L280-電力量!L279</f>
        <v>52.400000000000546</v>
      </c>
      <c r="M279">
        <f>電力量!M280-電力量!M279</f>
        <v>53.100000000005821</v>
      </c>
      <c r="N279">
        <f>電力量!N280-電力量!N279</f>
        <v>42.400000000000091</v>
      </c>
      <c r="O279">
        <f>電力量!O280-電力量!O279</f>
        <v>72.400000000008731</v>
      </c>
      <c r="P279">
        <f>電力量!P280-電力量!P279</f>
        <v>16</v>
      </c>
      <c r="Q279">
        <f>電力量!Q280-電力量!Q279</f>
        <v>24</v>
      </c>
      <c r="R279">
        <f>電力量!R280-電力量!R279</f>
        <v>0</v>
      </c>
    </row>
    <row r="280" spans="1:18">
      <c r="A280" s="4">
        <f t="shared" si="105"/>
        <v>45911.583333333336</v>
      </c>
      <c r="B280">
        <f>電力量!B281-電力量!B280</f>
        <v>1293</v>
      </c>
      <c r="C280">
        <f>電力量!C281-電力量!C280</f>
        <v>318</v>
      </c>
      <c r="D280">
        <f>電力量!D281-電力量!D280</f>
        <v>39.099999999998545</v>
      </c>
      <c r="E280">
        <f>電力量!E281-電力量!E280</f>
        <v>0</v>
      </c>
      <c r="F280">
        <f>電力量!F281-電力量!F280</f>
        <v>57</v>
      </c>
      <c r="G280">
        <f>電力量!G281-電力量!G280</f>
        <v>96.30000000000291</v>
      </c>
      <c r="H280">
        <f>電力量!H281-電力量!H280</f>
        <v>12</v>
      </c>
      <c r="I280">
        <f>電力量!I281-電力量!I280</f>
        <v>445</v>
      </c>
      <c r="J280">
        <f>電力量!J281-電力量!J280</f>
        <v>11.400000000001455</v>
      </c>
      <c r="K280">
        <f>電力量!K281-電力量!K280</f>
        <v>0.20000000001164153</v>
      </c>
      <c r="L280">
        <f>電力量!L281-電力量!L280</f>
        <v>49.899999999999636</v>
      </c>
      <c r="M280">
        <f>電力量!M281-電力量!M280</f>
        <v>51.399999999994179</v>
      </c>
      <c r="N280">
        <f>電力量!N281-電力量!N280</f>
        <v>45.099999999999909</v>
      </c>
      <c r="O280">
        <f>電力量!O281-電力量!O280</f>
        <v>55.399999999994179</v>
      </c>
      <c r="P280">
        <f>電力量!P281-電力量!P280</f>
        <v>13</v>
      </c>
      <c r="Q280">
        <f>電力量!Q281-電力量!Q280</f>
        <v>20</v>
      </c>
      <c r="R280">
        <f>電力量!R281-電力量!R280</f>
        <v>0</v>
      </c>
    </row>
    <row r="281" spans="1:18">
      <c r="A281" s="4">
        <f t="shared" si="106"/>
        <v>45911.625</v>
      </c>
      <c r="B281">
        <f>電力量!B282-電力量!B281</f>
        <v>1299</v>
      </c>
      <c r="C281">
        <f>電力量!C282-電力量!C281</f>
        <v>327</v>
      </c>
      <c r="D281">
        <f>電力量!D282-電力量!D281</f>
        <v>38.19999999999709</v>
      </c>
      <c r="E281">
        <f>電力量!E282-電力量!E281</f>
        <v>0</v>
      </c>
      <c r="F281">
        <f>電力量!F282-電力量!F281</f>
        <v>57</v>
      </c>
      <c r="G281">
        <f>電力量!G282-電力量!G281</f>
        <v>99.19999999999709</v>
      </c>
      <c r="H281">
        <f>電力量!H282-電力量!H281</f>
        <v>18</v>
      </c>
      <c r="I281">
        <f>電力量!I282-電力量!I281</f>
        <v>449</v>
      </c>
      <c r="J281">
        <f>電力量!J282-電力量!J281</f>
        <v>12.900000000001455</v>
      </c>
      <c r="K281">
        <f>電力量!K282-電力量!K281</f>
        <v>0.5</v>
      </c>
      <c r="L281">
        <f>電力量!L282-電力量!L281</f>
        <v>57.300000000000182</v>
      </c>
      <c r="M281">
        <f>電力量!M282-電力量!M281</f>
        <v>53.69999999999709</v>
      </c>
      <c r="N281">
        <f>電力量!N282-電力量!N281</f>
        <v>49.099999999999909</v>
      </c>
      <c r="O281">
        <f>電力量!O282-電力量!O281</f>
        <v>37</v>
      </c>
      <c r="P281">
        <f>電力量!P282-電力量!P281</f>
        <v>11</v>
      </c>
      <c r="Q281">
        <f>電力量!Q282-電力量!Q281</f>
        <v>16</v>
      </c>
      <c r="R281">
        <f>電力量!R282-電力量!R281</f>
        <v>0</v>
      </c>
    </row>
    <row r="282" spans="1:18">
      <c r="A282" s="4">
        <f t="shared" si="107"/>
        <v>45911.666666666664</v>
      </c>
      <c r="B282">
        <f>電力量!B283-電力量!B282</f>
        <v>1245</v>
      </c>
      <c r="C282">
        <f>電力量!C283-電力量!C282</f>
        <v>312</v>
      </c>
      <c r="D282">
        <f>電力量!D283-電力量!D282</f>
        <v>32.900000000001455</v>
      </c>
      <c r="E282">
        <f>電力量!E283-電力量!E282</f>
        <v>0</v>
      </c>
      <c r="F282">
        <f>電力量!F283-電力量!F282</f>
        <v>50</v>
      </c>
      <c r="G282">
        <f>電力量!G283-電力量!G282</f>
        <v>107</v>
      </c>
      <c r="H282">
        <f>電力量!H283-電力量!H282</f>
        <v>35</v>
      </c>
      <c r="I282">
        <f>電力量!I283-電力量!I282</f>
        <v>416</v>
      </c>
      <c r="J282">
        <f>電力量!J283-電力量!J282</f>
        <v>9.3999999999941792</v>
      </c>
      <c r="K282">
        <f>電力量!K283-電力量!K282</f>
        <v>6.6999999999970896</v>
      </c>
      <c r="L282">
        <f>電力量!L283-電力量!L282</f>
        <v>41.599999999999454</v>
      </c>
      <c r="M282">
        <f>電力量!M283-電力量!M282</f>
        <v>50.900000000008731</v>
      </c>
      <c r="N282">
        <f>電力量!N283-電力量!N282</f>
        <v>55.599999999999909</v>
      </c>
      <c r="O282">
        <f>電力量!O283-電力量!O282</f>
        <v>34.600000000005821</v>
      </c>
      <c r="P282">
        <f>電力量!P283-電力量!P282</f>
        <v>1</v>
      </c>
      <c r="Q282">
        <f>電力量!Q283-電力量!Q282</f>
        <v>3</v>
      </c>
      <c r="R282">
        <f>電力量!R283-電力量!R282</f>
        <v>0</v>
      </c>
    </row>
    <row r="283" spans="1:18">
      <c r="A283" s="4">
        <f t="shared" si="108"/>
        <v>45911.708333333336</v>
      </c>
      <c r="B283">
        <f>電力量!B284-電力量!B283</f>
        <v>1082</v>
      </c>
      <c r="C283">
        <f>電力量!C284-電力量!C283</f>
        <v>291</v>
      </c>
      <c r="D283">
        <f>電力量!D284-電力量!D283</f>
        <v>28.099999999998545</v>
      </c>
      <c r="E283">
        <f>電力量!E284-電力量!E283</f>
        <v>0</v>
      </c>
      <c r="F283">
        <f>電力量!F284-電力量!F283</f>
        <v>38</v>
      </c>
      <c r="G283">
        <f>電力量!G284-電力量!G283</f>
        <v>91.599999999991269</v>
      </c>
      <c r="H283">
        <f>電力量!H284-電力量!H283</f>
        <v>21</v>
      </c>
      <c r="I283">
        <f>電力量!I284-電力量!I283</f>
        <v>362</v>
      </c>
      <c r="J283">
        <f>電力量!J284-電力量!J283</f>
        <v>7.7000000000043656</v>
      </c>
      <c r="K283">
        <f>電力量!K284-電力量!K283</f>
        <v>4.0999999999912689</v>
      </c>
      <c r="L283">
        <f>電力量!L284-電力量!L283</f>
        <v>32.200000000000728</v>
      </c>
      <c r="M283">
        <f>電力量!M284-電力量!M283</f>
        <v>42.5</v>
      </c>
      <c r="N283">
        <f>電力量!N284-電力量!N283</f>
        <v>56.400000000000091</v>
      </c>
      <c r="O283">
        <f>電力量!O284-電力量!O283</f>
        <v>26</v>
      </c>
      <c r="P283">
        <f>電力量!P284-電力量!P283</f>
        <v>1</v>
      </c>
      <c r="Q283">
        <f>電力量!Q284-電力量!Q283</f>
        <v>1</v>
      </c>
      <c r="R283">
        <f>電力量!R284-電力量!R283</f>
        <v>0</v>
      </c>
    </row>
    <row r="284" spans="1:18">
      <c r="A284" s="4">
        <f t="shared" si="109"/>
        <v>45911.75</v>
      </c>
      <c r="B284">
        <f>電力量!B285-電力量!B284</f>
        <v>966</v>
      </c>
      <c r="C284">
        <f>電力量!C285-電力量!C284</f>
        <v>251</v>
      </c>
      <c r="D284">
        <f>電力量!D285-電力量!D284</f>
        <v>20.100000000005821</v>
      </c>
      <c r="E284">
        <f>電力量!E285-電力量!E284</f>
        <v>0</v>
      </c>
      <c r="F284">
        <f>電力量!F285-電力量!F284</f>
        <v>31</v>
      </c>
      <c r="G284">
        <f>電力量!G285-電力量!G284</f>
        <v>81.600000000005821</v>
      </c>
      <c r="H284">
        <f>電力量!H285-電力量!H284</f>
        <v>15</v>
      </c>
      <c r="I284">
        <f>電力量!I285-電力量!I284</f>
        <v>327</v>
      </c>
      <c r="J284">
        <f>電力量!J285-電力量!J284</f>
        <v>7.4000000000014552</v>
      </c>
      <c r="K284">
        <f>電力量!K285-電力量!K284</f>
        <v>3.2000000000116415</v>
      </c>
      <c r="L284">
        <f>電力量!L285-電力量!L284</f>
        <v>28</v>
      </c>
      <c r="M284">
        <f>電力量!M285-電力量!M284</f>
        <v>43.399999999994179</v>
      </c>
      <c r="N284">
        <f>電力量!N285-電力量!N284</f>
        <v>55.400000000000091</v>
      </c>
      <c r="O284">
        <f>電力量!O285-電力量!O284</f>
        <v>22.599999999991269</v>
      </c>
      <c r="P284">
        <f>電力量!P285-電力量!P284</f>
        <v>0</v>
      </c>
      <c r="Q284">
        <f>電力量!Q285-電力量!Q284</f>
        <v>0</v>
      </c>
      <c r="R284">
        <f>電力量!R285-電力量!R284</f>
        <v>0</v>
      </c>
    </row>
    <row r="285" spans="1:18">
      <c r="A285" s="4">
        <f t="shared" si="110"/>
        <v>45911.791666666664</v>
      </c>
      <c r="B285">
        <f>電力量!B286-電力量!B285</f>
        <v>882</v>
      </c>
      <c r="C285">
        <f>電力量!C286-電力量!C285</f>
        <v>228</v>
      </c>
      <c r="D285">
        <f>電力量!D286-電力量!D285</f>
        <v>17.899999999994179</v>
      </c>
      <c r="E285">
        <f>電力量!E286-電力量!E285</f>
        <v>0</v>
      </c>
      <c r="F285">
        <f>電力量!F286-電力量!F285</f>
        <v>27</v>
      </c>
      <c r="G285">
        <f>電力量!G286-電力量!G285</f>
        <v>76.69999999999709</v>
      </c>
      <c r="H285">
        <f>電力量!H286-電力量!H285</f>
        <v>13</v>
      </c>
      <c r="I285">
        <f>電力量!I286-電力量!I285</f>
        <v>304</v>
      </c>
      <c r="J285">
        <f>電力量!J286-電力量!J285</f>
        <v>7.0999999999985448</v>
      </c>
      <c r="K285">
        <f>電力量!K286-電力量!K285</f>
        <v>3.1999999999970896</v>
      </c>
      <c r="L285">
        <f>電力量!L286-電力量!L285</f>
        <v>24.099999999999454</v>
      </c>
      <c r="M285">
        <f>電力量!M286-電力量!M285</f>
        <v>37.600000000005821</v>
      </c>
      <c r="N285">
        <f>電力量!N286-電力量!N285</f>
        <v>55.300000000000182</v>
      </c>
      <c r="O285">
        <f>電力量!O286-電力量!O285</f>
        <v>23</v>
      </c>
      <c r="P285">
        <f>電力量!P286-電力量!P285</f>
        <v>0</v>
      </c>
      <c r="Q285">
        <f>電力量!Q286-電力量!Q285</f>
        <v>0</v>
      </c>
      <c r="R285">
        <f>電力量!R286-電力量!R285</f>
        <v>0</v>
      </c>
    </row>
    <row r="286" spans="1:18">
      <c r="A286" s="4">
        <f t="shared" si="111"/>
        <v>45911.833333333336</v>
      </c>
      <c r="B286">
        <f>電力量!B287-電力量!B286</f>
        <v>784</v>
      </c>
      <c r="C286">
        <f>電力量!C287-電力量!C286</f>
        <v>188</v>
      </c>
      <c r="D286">
        <f>電力量!D287-電力量!D286</f>
        <v>15.100000000005821</v>
      </c>
      <c r="E286">
        <f>電力量!E287-電力量!E286</f>
        <v>0</v>
      </c>
      <c r="F286">
        <f>電力量!F287-電力量!F286</f>
        <v>23</v>
      </c>
      <c r="G286">
        <f>電力量!G287-電力量!G286</f>
        <v>64.19999999999709</v>
      </c>
      <c r="H286">
        <f>電力量!H287-電力量!H286</f>
        <v>12</v>
      </c>
      <c r="I286">
        <f>電力量!I287-電力量!I286</f>
        <v>271</v>
      </c>
      <c r="J286">
        <f>電力量!J287-電力量!J286</f>
        <v>6.6999999999970896</v>
      </c>
      <c r="K286">
        <f>電力量!K287-電力量!K286</f>
        <v>3.0999999999912689</v>
      </c>
      <c r="L286">
        <f>電力量!L287-電力量!L286</f>
        <v>23.400000000000546</v>
      </c>
      <c r="M286">
        <f>電力量!M287-電力量!M286</f>
        <v>38.299999999988358</v>
      </c>
      <c r="N286">
        <f>電力量!N287-電力量!N286</f>
        <v>54.099999999999909</v>
      </c>
      <c r="O286">
        <f>電力量!O287-電力量!O286</f>
        <v>24.5</v>
      </c>
      <c r="P286">
        <f>電力量!P287-電力量!P286</f>
        <v>0</v>
      </c>
      <c r="Q286">
        <f>電力量!Q287-電力量!Q286</f>
        <v>0</v>
      </c>
      <c r="R286">
        <f>電力量!R287-電力量!R286</f>
        <v>0</v>
      </c>
    </row>
    <row r="287" spans="1:18">
      <c r="A287" s="4">
        <f t="shared" si="112"/>
        <v>45911.875</v>
      </c>
      <c r="B287">
        <f>電力量!B288-電力量!B287</f>
        <v>755</v>
      </c>
      <c r="C287">
        <f>電力量!C288-電力量!C287</f>
        <v>178</v>
      </c>
      <c r="D287">
        <f>電力量!D288-電力量!D287</f>
        <v>15.5</v>
      </c>
      <c r="E287">
        <f>電力量!E288-電力量!E287</f>
        <v>0</v>
      </c>
      <c r="F287">
        <f>電力量!F288-電力量!F287</f>
        <v>22</v>
      </c>
      <c r="G287">
        <f>電力量!G288-電力量!G287</f>
        <v>60</v>
      </c>
      <c r="H287">
        <f>電力量!H288-電力量!H287</f>
        <v>12</v>
      </c>
      <c r="I287">
        <f>電力量!I288-電力量!I287</f>
        <v>262</v>
      </c>
      <c r="J287">
        <f>電力量!J288-電力量!J287</f>
        <v>6.9000000000014552</v>
      </c>
      <c r="K287">
        <f>電力量!K288-電力量!K287</f>
        <v>3.1000000000058208</v>
      </c>
      <c r="L287">
        <f>電力量!L288-電力量!L287</f>
        <v>22.799999999999272</v>
      </c>
      <c r="M287">
        <f>電力量!M288-電力量!M287</f>
        <v>39.100000000005821</v>
      </c>
      <c r="N287">
        <f>電力量!N288-電力量!N287</f>
        <v>53.900000000000091</v>
      </c>
      <c r="O287">
        <f>電力量!O288-電力量!O287</f>
        <v>21.900000000008731</v>
      </c>
      <c r="P287">
        <f>電力量!P288-電力量!P287</f>
        <v>0</v>
      </c>
      <c r="Q287">
        <f>電力量!Q288-電力量!Q287</f>
        <v>0</v>
      </c>
      <c r="R287">
        <f>電力量!R288-電力量!R287</f>
        <v>0</v>
      </c>
    </row>
    <row r="288" spans="1:18">
      <c r="A288" s="4">
        <f t="shared" si="113"/>
        <v>45911.916666666664</v>
      </c>
      <c r="B288">
        <f>電力量!B289-電力量!B288</f>
        <v>743</v>
      </c>
      <c r="C288">
        <f>電力量!C289-電力量!C288</f>
        <v>184</v>
      </c>
      <c r="D288">
        <f>電力量!D289-電力量!D288</f>
        <v>17.69999999999709</v>
      </c>
      <c r="E288">
        <f>電力量!E289-電力量!E288</f>
        <v>0</v>
      </c>
      <c r="F288">
        <f>電力量!F289-電力量!F288</f>
        <v>20</v>
      </c>
      <c r="G288">
        <f>電力量!G289-電力量!G288</f>
        <v>58.100000000005821</v>
      </c>
      <c r="H288">
        <f>電力量!H289-電力量!H288</f>
        <v>12</v>
      </c>
      <c r="I288">
        <f>電力量!I289-電力量!I288</f>
        <v>252</v>
      </c>
      <c r="J288">
        <f>電力量!J289-電力量!J288</f>
        <v>6.6999999999970896</v>
      </c>
      <c r="K288">
        <f>電力量!K289-電力量!K288</f>
        <v>3.1000000000058208</v>
      </c>
      <c r="L288">
        <f>電力量!L289-電力量!L288</f>
        <v>20.900000000000546</v>
      </c>
      <c r="M288">
        <f>電力量!M289-電力量!M288</f>
        <v>39.100000000005821</v>
      </c>
      <c r="N288">
        <f>電力量!N289-電力量!N288</f>
        <v>53.899999999999636</v>
      </c>
      <c r="O288">
        <f>電力量!O289-電力量!O288</f>
        <v>17.69999999999709</v>
      </c>
      <c r="P288">
        <f>電力量!P289-電力量!P288</f>
        <v>0</v>
      </c>
      <c r="Q288">
        <f>電力量!Q289-電力量!Q288</f>
        <v>0</v>
      </c>
      <c r="R288">
        <f>電力量!R289-電力量!R288</f>
        <v>0</v>
      </c>
    </row>
    <row r="289" spans="1:18">
      <c r="A289" s="4">
        <f t="shared" si="114"/>
        <v>45911.958333333336</v>
      </c>
      <c r="B289">
        <f>電力量!B290-電力量!B289</f>
        <v>736</v>
      </c>
      <c r="C289">
        <f>電力量!C290-電力量!C289</f>
        <v>183</v>
      </c>
      <c r="D289">
        <f>電力量!D290-電力量!D289</f>
        <v>16.400000000001455</v>
      </c>
      <c r="E289">
        <f>電力量!E290-電力量!E289</f>
        <v>0</v>
      </c>
      <c r="F289">
        <f>電力量!F290-電力量!F289</f>
        <v>19</v>
      </c>
      <c r="G289">
        <f>電力量!G290-電力量!G289</f>
        <v>58.30000000000291</v>
      </c>
      <c r="H289">
        <f>電力量!H290-電力量!H289</f>
        <v>11</v>
      </c>
      <c r="I289">
        <f>電力量!I290-電力量!I289</f>
        <v>250</v>
      </c>
      <c r="J289">
        <f>電力量!J290-電力量!J289</f>
        <v>6.8000000000029104</v>
      </c>
      <c r="K289">
        <f>電力量!K290-電力量!K289</f>
        <v>3.0999999999912689</v>
      </c>
      <c r="L289">
        <f>電力量!L290-電力量!L289</f>
        <v>20.199999999999818</v>
      </c>
      <c r="M289">
        <f>電力量!M290-電力量!M289</f>
        <v>39</v>
      </c>
      <c r="N289">
        <f>電力量!N290-電力量!N289</f>
        <v>54.400000000000091</v>
      </c>
      <c r="O289">
        <f>電力量!O290-電力量!O289</f>
        <v>17.399999999994179</v>
      </c>
      <c r="P289">
        <f>電力量!P290-電力量!P289</f>
        <v>0</v>
      </c>
      <c r="Q289">
        <f>電力量!Q290-電力量!Q289</f>
        <v>0</v>
      </c>
      <c r="R289">
        <f>電力量!R290-電力量!R289</f>
        <v>0</v>
      </c>
    </row>
    <row r="290" spans="1:18">
      <c r="A290" s="4">
        <v>45912</v>
      </c>
      <c r="B290">
        <f>電力量!B291-電力量!B290</f>
        <v>723</v>
      </c>
      <c r="C290">
        <f>電力量!C291-電力量!C290</f>
        <v>174</v>
      </c>
      <c r="D290">
        <f>電力量!D291-電力量!D290</f>
        <v>16.69999999999709</v>
      </c>
      <c r="E290">
        <f>電力量!E291-電力量!E290</f>
        <v>0</v>
      </c>
      <c r="F290">
        <f>電力量!F291-電力量!F290</f>
        <v>18</v>
      </c>
      <c r="G290">
        <f>電力量!G291-電力量!G290</f>
        <v>59.69999999999709</v>
      </c>
      <c r="H290">
        <f>電力量!H291-電力量!H290</f>
        <v>12</v>
      </c>
      <c r="I290">
        <f>電力量!I291-電力量!I290</f>
        <v>249</v>
      </c>
      <c r="J290">
        <f>電力量!J291-電力量!J290</f>
        <v>6.5999999999985448</v>
      </c>
      <c r="K290">
        <f>電力量!K291-電力量!K290</f>
        <v>3.1999999999970896</v>
      </c>
      <c r="L290">
        <f>電力量!L291-電力量!L290</f>
        <v>20.399999999999636</v>
      </c>
      <c r="M290">
        <f>電力量!M291-電力量!M290</f>
        <v>38.799999999988358</v>
      </c>
      <c r="N290">
        <f>電力量!N291-電力量!N290</f>
        <v>54.400000000000091</v>
      </c>
      <c r="O290">
        <f>電力量!O291-電力量!O290</f>
        <v>16.100000000005821</v>
      </c>
      <c r="P290">
        <f>電力量!P291-電力量!P290</f>
        <v>0</v>
      </c>
      <c r="Q290">
        <f>電力量!Q291-電力量!Q290</f>
        <v>0</v>
      </c>
      <c r="R290">
        <f>電力量!R291-電力量!R290</f>
        <v>0</v>
      </c>
    </row>
    <row r="291" spans="1:18">
      <c r="A291" s="4">
        <f t="shared" si="92"/>
        <v>45912.041666666664</v>
      </c>
      <c r="B291">
        <f>電力量!B292-電力量!B291</f>
        <v>716</v>
      </c>
      <c r="C291">
        <f>電力量!C292-電力量!C291</f>
        <v>170</v>
      </c>
      <c r="D291">
        <f>電力量!D292-電力量!D291</f>
        <v>15.200000000004366</v>
      </c>
      <c r="E291">
        <f>電力量!E292-電力量!E291</f>
        <v>0</v>
      </c>
      <c r="F291">
        <f>電力量!F292-電力量!F291</f>
        <v>18</v>
      </c>
      <c r="G291">
        <f>電力量!G292-電力量!G291</f>
        <v>60.100000000005821</v>
      </c>
      <c r="H291">
        <f>電力量!H292-電力量!H291</f>
        <v>12</v>
      </c>
      <c r="I291">
        <f>電力量!I292-電力量!I291</f>
        <v>245</v>
      </c>
      <c r="J291">
        <f>電力量!J292-電力量!J291</f>
        <v>6.8000000000029104</v>
      </c>
      <c r="K291">
        <f>電力量!K292-電力量!K291</f>
        <v>3.2000000000116415</v>
      </c>
      <c r="L291">
        <f>電力量!L292-電力量!L291</f>
        <v>20.200000000000728</v>
      </c>
      <c r="M291">
        <f>電力量!M292-電力量!M291</f>
        <v>37.700000000011642</v>
      </c>
      <c r="N291">
        <f>電力量!N292-電力量!N291</f>
        <v>54.300000000000182</v>
      </c>
      <c r="O291">
        <f>電力量!O292-電力量!O291</f>
        <v>17.19999999999709</v>
      </c>
      <c r="P291">
        <f>電力量!P292-電力量!P291</f>
        <v>0</v>
      </c>
      <c r="Q291">
        <f>電力量!Q292-電力量!Q291</f>
        <v>0</v>
      </c>
      <c r="R291">
        <f>電力量!R292-電力量!R291</f>
        <v>0</v>
      </c>
    </row>
    <row r="292" spans="1:18">
      <c r="A292" s="4">
        <f t="shared" si="93"/>
        <v>45912.083333333336</v>
      </c>
      <c r="B292">
        <f>電力量!B293-電力量!B292</f>
        <v>701</v>
      </c>
      <c r="C292">
        <f>電力量!C293-電力量!C292</f>
        <v>166</v>
      </c>
      <c r="D292">
        <f>電力量!D293-電力量!D292</f>
        <v>14.19999999999709</v>
      </c>
      <c r="E292">
        <f>電力量!E293-電力量!E292</f>
        <v>0</v>
      </c>
      <c r="F292">
        <f>電力量!F293-電力量!F292</f>
        <v>17</v>
      </c>
      <c r="G292">
        <f>電力量!G293-電力量!G292</f>
        <v>57.19999999999709</v>
      </c>
      <c r="H292">
        <f>電力量!H293-電力量!H292</f>
        <v>13</v>
      </c>
      <c r="I292">
        <f>電力量!I293-電力量!I292</f>
        <v>241</v>
      </c>
      <c r="J292">
        <f>電力量!J293-電力量!J292</f>
        <v>6.5999999999985448</v>
      </c>
      <c r="K292">
        <f>電力量!K293-電力量!K292</f>
        <v>3.0999999999912689</v>
      </c>
      <c r="L292">
        <f>電力量!L293-電力量!L292</f>
        <v>19.899999999999636</v>
      </c>
      <c r="M292">
        <f>電力量!M293-電力量!M292</f>
        <v>37.5</v>
      </c>
      <c r="N292">
        <f>電力量!N293-電力量!N292</f>
        <v>53.899999999999636</v>
      </c>
      <c r="O292">
        <f>電力量!O293-電力量!O292</f>
        <v>17.80000000000291</v>
      </c>
      <c r="P292">
        <f>電力量!P293-電力量!P292</f>
        <v>0</v>
      </c>
      <c r="Q292">
        <f>電力量!Q293-電力量!Q292</f>
        <v>0</v>
      </c>
      <c r="R292">
        <f>電力量!R293-電力量!R292</f>
        <v>0</v>
      </c>
    </row>
    <row r="293" spans="1:18">
      <c r="A293" s="4">
        <f t="shared" si="94"/>
        <v>45912.125</v>
      </c>
      <c r="B293">
        <f>電力量!B294-電力量!B293</f>
        <v>701</v>
      </c>
      <c r="C293">
        <f>電力量!C294-電力量!C293</f>
        <v>168</v>
      </c>
      <c r="D293">
        <f>電力量!D294-電力量!D293</f>
        <v>13.599999999998545</v>
      </c>
      <c r="E293">
        <f>電力量!E294-電力量!E293</f>
        <v>0</v>
      </c>
      <c r="F293">
        <f>電力量!F294-電力量!F293</f>
        <v>18</v>
      </c>
      <c r="G293">
        <f>電力量!G294-電力量!G293</f>
        <v>55.69999999999709</v>
      </c>
      <c r="H293">
        <f>電力量!H294-電力量!H293</f>
        <v>12</v>
      </c>
      <c r="I293">
        <f>電力量!I294-電力量!I293</f>
        <v>239</v>
      </c>
      <c r="J293">
        <f>電力量!J294-電力量!J293</f>
        <v>6.5999999999985448</v>
      </c>
      <c r="K293">
        <f>電力量!K294-電力量!K293</f>
        <v>3.1999999999970896</v>
      </c>
      <c r="L293">
        <f>電力量!L294-電力量!L293</f>
        <v>20.399999999999636</v>
      </c>
      <c r="M293">
        <f>電力量!M294-電力量!M293</f>
        <v>37.399999999994179</v>
      </c>
      <c r="N293">
        <f>電力量!N294-電力量!N293</f>
        <v>54.800000000000182</v>
      </c>
      <c r="O293">
        <f>電力量!O294-電力量!O293</f>
        <v>17.099999999991269</v>
      </c>
      <c r="P293">
        <f>電力量!P294-電力量!P293</f>
        <v>0</v>
      </c>
      <c r="Q293">
        <f>電力量!Q294-電力量!Q293</f>
        <v>0</v>
      </c>
      <c r="R293">
        <f>電力量!R294-電力量!R293</f>
        <v>0</v>
      </c>
    </row>
    <row r="294" spans="1:18">
      <c r="A294" s="4">
        <f t="shared" si="95"/>
        <v>45912.166666666664</v>
      </c>
      <c r="B294">
        <f>電力量!B295-電力量!B294</f>
        <v>699</v>
      </c>
      <c r="C294">
        <f>電力量!C295-電力量!C294</f>
        <v>165</v>
      </c>
      <c r="D294">
        <f>電力量!D295-電力量!D294</f>
        <v>13.400000000001455</v>
      </c>
      <c r="E294">
        <f>電力量!E295-電力量!E294</f>
        <v>0</v>
      </c>
      <c r="F294">
        <f>電力量!F295-電力量!F294</f>
        <v>18</v>
      </c>
      <c r="G294">
        <f>電力量!G295-電力量!G294</f>
        <v>54.80000000000291</v>
      </c>
      <c r="H294">
        <f>電力量!H295-電力量!H294</f>
        <v>11</v>
      </c>
      <c r="I294">
        <f>電力量!I295-電力量!I294</f>
        <v>244</v>
      </c>
      <c r="J294">
        <f>電力量!J295-電力量!J294</f>
        <v>6.7000000000043656</v>
      </c>
      <c r="K294">
        <f>電力量!K295-電力量!K294</f>
        <v>3.2000000000116415</v>
      </c>
      <c r="L294">
        <f>電力量!L295-電力量!L294</f>
        <v>19.700000000000728</v>
      </c>
      <c r="M294">
        <f>電力量!M295-電力量!M294</f>
        <v>36.80000000000291</v>
      </c>
      <c r="N294">
        <f>電力量!N295-電力量!N294</f>
        <v>54.400000000000091</v>
      </c>
      <c r="O294">
        <f>電力量!O295-電力量!O294</f>
        <v>17.5</v>
      </c>
      <c r="P294">
        <f>電力量!P295-電力量!P294</f>
        <v>0</v>
      </c>
      <c r="Q294">
        <f>電力量!Q295-電力量!Q294</f>
        <v>0</v>
      </c>
      <c r="R294">
        <f>電力量!R295-電力量!R294</f>
        <v>0</v>
      </c>
    </row>
    <row r="295" spans="1:18">
      <c r="A295" s="4">
        <f t="shared" si="96"/>
        <v>45912.208333333336</v>
      </c>
      <c r="B295">
        <f>電力量!B296-電力量!B295</f>
        <v>693</v>
      </c>
      <c r="C295">
        <f>電力量!C296-電力量!C295</f>
        <v>165</v>
      </c>
      <c r="D295">
        <f>電力量!D296-電力量!D295</f>
        <v>13.80000000000291</v>
      </c>
      <c r="E295">
        <f>電力量!E296-電力量!E295</f>
        <v>0</v>
      </c>
      <c r="F295">
        <f>電力量!F296-電力量!F295</f>
        <v>16</v>
      </c>
      <c r="G295">
        <f>電力量!G296-電力量!G295</f>
        <v>54.399999999994179</v>
      </c>
      <c r="H295">
        <f>電力量!H296-電力量!H295</f>
        <v>12</v>
      </c>
      <c r="I295">
        <f>電力量!I296-電力量!I295</f>
        <v>240</v>
      </c>
      <c r="J295">
        <f>電力量!J296-電力量!J295</f>
        <v>6.5999999999985448</v>
      </c>
      <c r="K295">
        <f>電力量!K296-電力量!K295</f>
        <v>3.0999999999912689</v>
      </c>
      <c r="L295">
        <f>電力量!L296-電力量!L295</f>
        <v>19.899999999999636</v>
      </c>
      <c r="M295">
        <f>電力量!M296-電力量!M295</f>
        <v>36.599999999991269</v>
      </c>
      <c r="N295">
        <f>電力量!N296-電力量!N295</f>
        <v>54.299999999999727</v>
      </c>
      <c r="O295">
        <f>電力量!O296-電力量!O295</f>
        <v>20</v>
      </c>
      <c r="P295">
        <f>電力量!P296-電力量!P295</f>
        <v>0</v>
      </c>
      <c r="Q295">
        <f>電力量!Q296-電力量!Q295</f>
        <v>0</v>
      </c>
      <c r="R295">
        <f>電力量!R296-電力量!R295</f>
        <v>0</v>
      </c>
    </row>
    <row r="296" spans="1:18">
      <c r="A296" s="4">
        <f t="shared" si="97"/>
        <v>45912.25</v>
      </c>
      <c r="B296">
        <f>電力量!B297-電力量!B296</f>
        <v>703</v>
      </c>
      <c r="C296">
        <f>電力量!C297-電力量!C296</f>
        <v>170</v>
      </c>
      <c r="D296">
        <f>電力量!D297-電力量!D296</f>
        <v>13.299999999995634</v>
      </c>
      <c r="E296">
        <f>電力量!E297-電力量!E296</f>
        <v>0</v>
      </c>
      <c r="F296">
        <f>電力量!F297-電力量!F296</f>
        <v>17</v>
      </c>
      <c r="G296">
        <f>電力量!G297-電力量!G296</f>
        <v>53.80000000000291</v>
      </c>
      <c r="H296">
        <f>電力量!H297-電力量!H296</f>
        <v>11</v>
      </c>
      <c r="I296">
        <f>電力量!I297-電力量!I296</f>
        <v>245</v>
      </c>
      <c r="J296">
        <f>電力量!J297-電力量!J296</f>
        <v>6.4000000000014552</v>
      </c>
      <c r="K296">
        <f>電力量!K297-電力量!K296</f>
        <v>3.3000000000029104</v>
      </c>
      <c r="L296">
        <f>電力量!L297-電力量!L296</f>
        <v>19.100000000000364</v>
      </c>
      <c r="M296">
        <f>電力量!M297-電力量!M296</f>
        <v>36.200000000011642</v>
      </c>
      <c r="N296">
        <f>電力量!N297-電力量!N296</f>
        <v>53.700000000000273</v>
      </c>
      <c r="O296">
        <f>電力量!O297-電力量!O296</f>
        <v>19.600000000005821</v>
      </c>
      <c r="P296">
        <f>電力量!P297-電力量!P296</f>
        <v>0</v>
      </c>
      <c r="Q296">
        <f>電力量!Q297-電力量!Q296</f>
        <v>0</v>
      </c>
      <c r="R296">
        <f>電力量!R297-電力量!R296</f>
        <v>0</v>
      </c>
    </row>
    <row r="297" spans="1:18">
      <c r="A297" s="4">
        <f t="shared" si="98"/>
        <v>45912.291666666664</v>
      </c>
      <c r="B297">
        <f>電力量!B298-電力量!B297</f>
        <v>714</v>
      </c>
      <c r="C297">
        <f>電力量!C298-電力量!C297</f>
        <v>175</v>
      </c>
      <c r="D297">
        <f>電力量!D298-電力量!D297</f>
        <v>14.200000000004366</v>
      </c>
      <c r="E297">
        <f>電力量!E298-電力量!E297</f>
        <v>0</v>
      </c>
      <c r="F297">
        <f>電力量!F298-電力量!F297</f>
        <v>22</v>
      </c>
      <c r="G297">
        <f>電力量!G298-電力量!G297</f>
        <v>49.399999999994179</v>
      </c>
      <c r="H297">
        <f>電力量!H298-電力量!H297</f>
        <v>12</v>
      </c>
      <c r="I297">
        <f>電力量!I298-電力量!I297</f>
        <v>248</v>
      </c>
      <c r="J297">
        <f>電力量!J298-電力量!J297</f>
        <v>6.7999999999956344</v>
      </c>
      <c r="K297">
        <f>電力量!K298-電力量!K297</f>
        <v>1.3000000000029104</v>
      </c>
      <c r="L297">
        <f>電力量!L298-電力量!L297</f>
        <v>20.099999999999454</v>
      </c>
      <c r="M297">
        <f>電力量!M298-電力量!M297</f>
        <v>37</v>
      </c>
      <c r="N297">
        <f>電力量!N298-電力量!N297</f>
        <v>50.799999999999727</v>
      </c>
      <c r="O297">
        <f>電力量!O298-電力量!O297</f>
        <v>24.899999999994179</v>
      </c>
      <c r="P297">
        <f>電力量!P298-電力量!P297</f>
        <v>2</v>
      </c>
      <c r="Q297">
        <f>電力量!Q298-電力量!Q297</f>
        <v>4</v>
      </c>
      <c r="R297">
        <f>電力量!R298-電力量!R297</f>
        <v>0</v>
      </c>
    </row>
    <row r="298" spans="1:18">
      <c r="A298" s="4">
        <f t="shared" si="99"/>
        <v>45912.333333333336</v>
      </c>
      <c r="B298">
        <f>電力量!B299-電力量!B298</f>
        <v>816</v>
      </c>
      <c r="C298">
        <f>電力量!C299-電力量!C298</f>
        <v>199</v>
      </c>
      <c r="D298">
        <f>電力量!D299-電力量!D298</f>
        <v>17.19999999999709</v>
      </c>
      <c r="E298">
        <f>電力量!E299-電力量!E298</f>
        <v>0</v>
      </c>
      <c r="F298">
        <f>電力量!F299-電力量!F298</f>
        <v>23</v>
      </c>
      <c r="G298">
        <f>電力量!G299-電力量!G298</f>
        <v>48.5</v>
      </c>
      <c r="H298">
        <f>電力量!H299-電力量!H298</f>
        <v>12</v>
      </c>
      <c r="I298">
        <f>電力量!I299-電力量!I298</f>
        <v>277</v>
      </c>
      <c r="J298">
        <f>電力量!J299-電力量!J298</f>
        <v>6.7000000000043656</v>
      </c>
      <c r="K298">
        <f>電力量!K299-電力量!K298</f>
        <v>0.80000000000291038</v>
      </c>
      <c r="L298">
        <f>電力量!L299-電力量!L298</f>
        <v>25.5</v>
      </c>
      <c r="M298">
        <f>電力量!M299-電力量!M298</f>
        <v>48.299999999988358</v>
      </c>
      <c r="N298">
        <f>電力量!N299-電力量!N298</f>
        <v>50.400000000000091</v>
      </c>
      <c r="O298">
        <f>電力量!O299-電力量!O298</f>
        <v>38.400000000008731</v>
      </c>
      <c r="P298">
        <f>電力量!P299-電力量!P298</f>
        <v>4</v>
      </c>
      <c r="Q298">
        <f>電力量!Q299-電力量!Q298</f>
        <v>6</v>
      </c>
      <c r="R298">
        <f>電力量!R299-電力量!R298</f>
        <v>0</v>
      </c>
    </row>
    <row r="299" spans="1:18">
      <c r="A299" s="4">
        <f t="shared" si="100"/>
        <v>45912.375</v>
      </c>
      <c r="B299">
        <f>電力量!B300-電力量!B299</f>
        <v>982</v>
      </c>
      <c r="C299">
        <f>電力量!C300-電力量!C299</f>
        <v>254</v>
      </c>
      <c r="D299">
        <f>電力量!D300-電力量!D299</f>
        <v>23.69999999999709</v>
      </c>
      <c r="E299">
        <f>電力量!E300-電力量!E299</f>
        <v>0</v>
      </c>
      <c r="F299">
        <f>電力量!F300-電力量!F299</f>
        <v>32</v>
      </c>
      <c r="G299">
        <f>電力量!G300-電力量!G299</f>
        <v>56.5</v>
      </c>
      <c r="H299">
        <f>電力量!H300-電力量!H299</f>
        <v>12</v>
      </c>
      <c r="I299">
        <f>電力量!I300-電力量!I299</f>
        <v>334</v>
      </c>
      <c r="J299">
        <f>電力量!J300-電力量!J299</f>
        <v>7</v>
      </c>
      <c r="K299">
        <f>電力量!K300-電力量!K299</f>
        <v>0.19999999999708962</v>
      </c>
      <c r="L299">
        <f>電力量!L300-電力量!L299</f>
        <v>29.800000000000182</v>
      </c>
      <c r="M299">
        <f>電力量!M300-電力量!M299</f>
        <v>52.30000000000291</v>
      </c>
      <c r="N299">
        <f>電力量!N300-電力量!N299</f>
        <v>48.300000000000182</v>
      </c>
      <c r="O299">
        <f>電力量!O300-電力量!O299</f>
        <v>51.80000000000291</v>
      </c>
      <c r="P299">
        <f>電力量!P300-電力量!P299</f>
        <v>7</v>
      </c>
      <c r="Q299">
        <f>電力量!Q300-電力量!Q299</f>
        <v>12</v>
      </c>
      <c r="R299">
        <f>電力量!R300-電力量!R299</f>
        <v>0</v>
      </c>
    </row>
    <row r="300" spans="1:18">
      <c r="A300" s="4">
        <f t="shared" si="101"/>
        <v>45912.416666666664</v>
      </c>
      <c r="B300">
        <f>電力量!B301-電力量!B300</f>
        <v>1133</v>
      </c>
      <c r="C300">
        <f>電力量!C301-電力量!C300</f>
        <v>287</v>
      </c>
      <c r="D300">
        <f>電力量!D301-電力量!D300</f>
        <v>26.200000000004366</v>
      </c>
      <c r="E300">
        <f>電力量!E301-電力量!E300</f>
        <v>0</v>
      </c>
      <c r="F300">
        <f>電力量!F301-電力量!F300</f>
        <v>49</v>
      </c>
      <c r="G300">
        <f>電力量!G301-電力量!G300</f>
        <v>78.600000000005821</v>
      </c>
      <c r="H300">
        <f>電力量!H301-電力量!H300</f>
        <v>13</v>
      </c>
      <c r="I300">
        <f>電力量!I301-電力量!I300</f>
        <v>378</v>
      </c>
      <c r="J300">
        <f>電力量!J301-電力量!J300</f>
        <v>6.7999999999956344</v>
      </c>
      <c r="K300">
        <f>電力量!K301-電力量!K300</f>
        <v>1.0999999999912689</v>
      </c>
      <c r="L300">
        <f>電力量!L301-電力量!L300</f>
        <v>29.899999999999636</v>
      </c>
      <c r="M300">
        <f>電力量!M301-電力量!M300</f>
        <v>54.19999999999709</v>
      </c>
      <c r="N300">
        <f>電力量!N301-電力量!N300</f>
        <v>47.900000000000091</v>
      </c>
      <c r="O300">
        <f>電力量!O301-電力量!O300</f>
        <v>71.899999999994179</v>
      </c>
      <c r="P300">
        <f>電力量!P301-電力量!P300</f>
        <v>8</v>
      </c>
      <c r="Q300">
        <f>電力量!Q301-電力量!Q300</f>
        <v>12</v>
      </c>
      <c r="R300">
        <f>電力量!R301-電力量!R300</f>
        <v>0</v>
      </c>
    </row>
    <row r="301" spans="1:18">
      <c r="A301" s="4">
        <f t="shared" si="102"/>
        <v>45912.458333333336</v>
      </c>
      <c r="B301">
        <f>電力量!B302-電力量!B301</f>
        <v>1201</v>
      </c>
      <c r="C301">
        <f>電力量!C302-電力量!C301</f>
        <v>306</v>
      </c>
      <c r="D301">
        <f>電力量!D302-電力量!D301</f>
        <v>26</v>
      </c>
      <c r="E301">
        <f>電力量!E302-電力量!E301</f>
        <v>0</v>
      </c>
      <c r="F301">
        <f>電力量!F302-電力量!F301</f>
        <v>49</v>
      </c>
      <c r="G301">
        <f>電力量!G302-電力量!G301</f>
        <v>82.399999999994179</v>
      </c>
      <c r="H301">
        <f>電力量!H302-電力量!H301</f>
        <v>12</v>
      </c>
      <c r="I301">
        <f>電力量!I302-電力量!I301</f>
        <v>417</v>
      </c>
      <c r="J301">
        <f>電力量!J302-電力量!J301</f>
        <v>7.4000000000014552</v>
      </c>
      <c r="K301">
        <f>電力量!K302-電力量!K301</f>
        <v>0</v>
      </c>
      <c r="L301">
        <f>電力量!L302-電力量!L301</f>
        <v>33.700000000000728</v>
      </c>
      <c r="M301">
        <f>電力量!M302-電力量!M301</f>
        <v>54.30000000000291</v>
      </c>
      <c r="N301">
        <f>電力量!N302-電力量!N301</f>
        <v>45.899999999999636</v>
      </c>
      <c r="O301">
        <f>電力量!O302-電力量!O301</f>
        <v>69</v>
      </c>
      <c r="P301">
        <f>電力量!P302-電力量!P301</f>
        <v>14</v>
      </c>
      <c r="Q301">
        <f>電力量!Q302-電力量!Q301</f>
        <v>22</v>
      </c>
      <c r="R301">
        <f>電力量!R302-電力量!R301</f>
        <v>0</v>
      </c>
    </row>
    <row r="302" spans="1:18">
      <c r="A302" s="4">
        <f t="shared" si="103"/>
        <v>45912.5</v>
      </c>
      <c r="B302">
        <f>電力量!B303-電力量!B302</f>
        <v>1213</v>
      </c>
      <c r="C302">
        <f>電力量!C303-電力量!C302</f>
        <v>306</v>
      </c>
      <c r="D302">
        <f>電力量!D303-電力量!D302</f>
        <v>31.400000000001455</v>
      </c>
      <c r="E302">
        <f>電力量!E303-電力量!E302</f>
        <v>0</v>
      </c>
      <c r="F302">
        <f>電力量!F303-電力量!F302</f>
        <v>48</v>
      </c>
      <c r="G302">
        <f>電力量!G303-電力量!G302</f>
        <v>96.600000000005821</v>
      </c>
      <c r="H302">
        <f>電力量!H303-電力量!H302</f>
        <v>12</v>
      </c>
      <c r="I302">
        <f>電力量!I303-電力量!I302</f>
        <v>416</v>
      </c>
      <c r="J302">
        <f>電力量!J303-電力量!J302</f>
        <v>7.5999999999985448</v>
      </c>
      <c r="K302">
        <f>電力量!K303-電力量!K302</f>
        <v>0.60000000000582077</v>
      </c>
      <c r="L302">
        <f>電力量!L303-電力量!L302</f>
        <v>37</v>
      </c>
      <c r="M302">
        <f>電力量!M303-電力量!M302</f>
        <v>50.69999999999709</v>
      </c>
      <c r="N302">
        <f>電力量!N303-電力量!N302</f>
        <v>47.200000000000273</v>
      </c>
      <c r="O302">
        <f>電力量!O303-電力量!O302</f>
        <v>71.600000000005821</v>
      </c>
      <c r="P302">
        <f>電力量!P303-電力量!P302</f>
        <v>10</v>
      </c>
      <c r="Q302">
        <f>電力量!Q303-電力量!Q302</f>
        <v>14</v>
      </c>
      <c r="R302">
        <f>電力量!R303-電力量!R302</f>
        <v>0</v>
      </c>
    </row>
    <row r="303" spans="1:18">
      <c r="A303" s="4">
        <f t="shared" si="104"/>
        <v>45912.541666666664</v>
      </c>
      <c r="B303">
        <f>電力量!B304-電力量!B303</f>
        <v>1242</v>
      </c>
      <c r="C303">
        <f>電力量!C304-電力量!C303</f>
        <v>310</v>
      </c>
      <c r="D303">
        <f>電力量!D304-電力量!D303</f>
        <v>31.19999999999709</v>
      </c>
      <c r="E303">
        <f>電力量!E304-電力量!E303</f>
        <v>0</v>
      </c>
      <c r="F303">
        <f>電力量!F304-電力量!F303</f>
        <v>42</v>
      </c>
      <c r="G303">
        <f>電力量!G304-電力量!G303</f>
        <v>104</v>
      </c>
      <c r="H303">
        <f>電力量!H304-電力量!H303</f>
        <v>14</v>
      </c>
      <c r="I303">
        <f>電力量!I304-電力量!I303</f>
        <v>418</v>
      </c>
      <c r="J303">
        <f>電力量!J304-電力量!J303</f>
        <v>7.5999999999985448</v>
      </c>
      <c r="K303">
        <f>電力量!K304-電力量!K303</f>
        <v>4.3000000000029104</v>
      </c>
      <c r="L303">
        <f>電力量!L304-電力量!L303</f>
        <v>51.799999999999272</v>
      </c>
      <c r="M303">
        <f>電力量!M304-電力量!M303</f>
        <v>49.600000000005821</v>
      </c>
      <c r="N303">
        <f>電力量!N304-電力量!N303</f>
        <v>49.900000000000091</v>
      </c>
      <c r="O303">
        <f>電力量!O304-電力量!O303</f>
        <v>77.5</v>
      </c>
      <c r="P303">
        <f>電力量!P304-電力量!P303</f>
        <v>4</v>
      </c>
      <c r="Q303">
        <f>電力量!Q304-電力量!Q303</f>
        <v>8</v>
      </c>
      <c r="R303">
        <f>電力量!R304-電力量!R303</f>
        <v>0</v>
      </c>
    </row>
    <row r="304" spans="1:18">
      <c r="A304" s="4">
        <f t="shared" si="105"/>
        <v>45912.583333333336</v>
      </c>
      <c r="B304">
        <f>電力量!B305-電力量!B304</f>
        <v>1237</v>
      </c>
      <c r="C304">
        <f>電力量!C305-電力量!C304</f>
        <v>333</v>
      </c>
      <c r="D304">
        <f>電力量!D305-電力量!D304</f>
        <v>35.69999999999709</v>
      </c>
      <c r="E304">
        <f>電力量!E305-電力量!E304</f>
        <v>0</v>
      </c>
      <c r="F304">
        <f>電力量!F305-電力量!F304</f>
        <v>42</v>
      </c>
      <c r="G304">
        <f>電力量!G305-電力量!G304</f>
        <v>107</v>
      </c>
      <c r="H304">
        <f>電力量!H305-電力量!H304</f>
        <v>17</v>
      </c>
      <c r="I304">
        <f>電力量!I305-電力量!I304</f>
        <v>402</v>
      </c>
      <c r="J304">
        <f>電力量!J305-電力量!J304</f>
        <v>6.9000000000014552</v>
      </c>
      <c r="K304">
        <f>電力量!K305-電力量!K304</f>
        <v>8.3999999999941792</v>
      </c>
      <c r="L304">
        <f>電力量!L305-電力量!L304</f>
        <v>43.5</v>
      </c>
      <c r="M304">
        <f>電力量!M305-電力量!M304</f>
        <v>52</v>
      </c>
      <c r="N304">
        <f>電力量!N305-電力量!N304</f>
        <v>52.799999999999727</v>
      </c>
      <c r="O304">
        <f>電力量!O305-電力量!O304</f>
        <v>55.399999999994179</v>
      </c>
      <c r="P304">
        <f>電力量!P305-電力量!P304</f>
        <v>2</v>
      </c>
      <c r="Q304">
        <f>電力量!Q305-電力量!Q304</f>
        <v>3</v>
      </c>
      <c r="R304">
        <f>電力量!R305-電力量!R304</f>
        <v>0</v>
      </c>
    </row>
    <row r="305" spans="1:18">
      <c r="A305" s="4">
        <f t="shared" si="106"/>
        <v>45912.625</v>
      </c>
      <c r="B305">
        <f>電力量!B306-電力量!B305</f>
        <v>1180</v>
      </c>
      <c r="C305">
        <f>電力量!C306-電力量!C305</f>
        <v>345</v>
      </c>
      <c r="D305">
        <f>電力量!D306-電力量!D305</f>
        <v>28.200000000004366</v>
      </c>
      <c r="E305">
        <f>電力量!E306-電力量!E305</f>
        <v>0</v>
      </c>
      <c r="F305">
        <f>電力量!F306-電力量!F305</f>
        <v>41</v>
      </c>
      <c r="G305">
        <f>電力量!G306-電力量!G305</f>
        <v>97.19999999999709</v>
      </c>
      <c r="H305">
        <f>電力量!H306-電力量!H305</f>
        <v>12</v>
      </c>
      <c r="I305">
        <f>電力量!I306-電力量!I305</f>
        <v>393</v>
      </c>
      <c r="J305">
        <f>電力量!J306-電力量!J305</f>
        <v>6.8000000000029104</v>
      </c>
      <c r="K305">
        <f>電力量!K306-電力量!K305</f>
        <v>4.8000000000029104</v>
      </c>
      <c r="L305">
        <f>電力量!L306-電力量!L305</f>
        <v>40.5</v>
      </c>
      <c r="M305">
        <f>電力量!M306-電力量!M305</f>
        <v>46.399999999994179</v>
      </c>
      <c r="N305">
        <f>電力量!N306-電力量!N305</f>
        <v>51.299999999999727</v>
      </c>
      <c r="O305">
        <f>電力量!O306-電力量!O305</f>
        <v>34.399999999994179</v>
      </c>
      <c r="P305">
        <f>電力量!P306-電力量!P305</f>
        <v>5</v>
      </c>
      <c r="Q305">
        <f>電力量!Q306-電力量!Q305</f>
        <v>6</v>
      </c>
      <c r="R305">
        <f>電力量!R306-電力量!R305</f>
        <v>0</v>
      </c>
    </row>
    <row r="306" spans="1:18">
      <c r="A306" s="4">
        <f t="shared" si="107"/>
        <v>45912.666666666664</v>
      </c>
      <c r="B306">
        <f>電力量!B307-電力量!B306</f>
        <v>1152</v>
      </c>
      <c r="C306">
        <f>電力量!C307-電力量!C306</f>
        <v>333</v>
      </c>
      <c r="D306">
        <f>電力量!D307-電力量!D306</f>
        <v>29.19999999999709</v>
      </c>
      <c r="E306">
        <f>電力量!E307-電力量!E306</f>
        <v>0</v>
      </c>
      <c r="F306">
        <f>電力量!F307-電力量!F306</f>
        <v>38</v>
      </c>
      <c r="G306">
        <f>電力量!G307-電力量!G306</f>
        <v>97.30000000000291</v>
      </c>
      <c r="H306">
        <f>電力量!H307-電力量!H306</f>
        <v>13</v>
      </c>
      <c r="I306">
        <f>電力量!I307-電力量!I306</f>
        <v>375</v>
      </c>
      <c r="J306">
        <f>電力量!J307-電力量!J306</f>
        <v>7</v>
      </c>
      <c r="K306">
        <f>電力量!K307-電力量!K306</f>
        <v>6</v>
      </c>
      <c r="L306">
        <f>電力量!L307-電力量!L306</f>
        <v>38</v>
      </c>
      <c r="M306">
        <f>電力量!M307-電力量!M306</f>
        <v>44.900000000008731</v>
      </c>
      <c r="N306">
        <f>電力量!N307-電力量!N306</f>
        <v>54.100000000000364</v>
      </c>
      <c r="O306">
        <f>電力量!O307-電力量!O306</f>
        <v>32.80000000000291</v>
      </c>
      <c r="P306">
        <f>電力量!P307-電力量!P306</f>
        <v>2</v>
      </c>
      <c r="Q306">
        <f>電力量!Q307-電力量!Q306</f>
        <v>4</v>
      </c>
      <c r="R306">
        <f>電力量!R307-電力量!R306</f>
        <v>0</v>
      </c>
    </row>
    <row r="307" spans="1:18">
      <c r="A307" s="4">
        <f t="shared" si="108"/>
        <v>45912.708333333336</v>
      </c>
      <c r="B307">
        <f>電力量!B308-電力量!B307</f>
        <v>1034</v>
      </c>
      <c r="C307">
        <f>電力量!C308-電力量!C307</f>
        <v>297</v>
      </c>
      <c r="D307">
        <f>電力量!D308-電力量!D307</f>
        <v>25</v>
      </c>
      <c r="E307">
        <f>電力量!E308-電力量!E307</f>
        <v>0</v>
      </c>
      <c r="F307">
        <f>電力量!F308-電力量!F307</f>
        <v>32</v>
      </c>
      <c r="G307">
        <f>電力量!G308-電力量!G307</f>
        <v>78.399999999994179</v>
      </c>
      <c r="H307">
        <f>電力量!H308-電力量!H307</f>
        <v>13</v>
      </c>
      <c r="I307">
        <f>電力量!I308-電力量!I307</f>
        <v>344</v>
      </c>
      <c r="J307">
        <f>電力量!J308-電力量!J307</f>
        <v>6.5999999999985448</v>
      </c>
      <c r="K307">
        <f>電力量!K308-電力量!K307</f>
        <v>2.8000000000029104</v>
      </c>
      <c r="L307">
        <f>電力量!L308-電力量!L307</f>
        <v>31.800000000000182</v>
      </c>
      <c r="M307">
        <f>電力量!M308-電力量!M307</f>
        <v>45.80000000000291</v>
      </c>
      <c r="N307">
        <f>電力量!N308-電力量!N307</f>
        <v>55.300000000000182</v>
      </c>
      <c r="O307">
        <f>電力量!O308-電力量!O307</f>
        <v>25.100000000005821</v>
      </c>
      <c r="P307">
        <f>電力量!P308-電力量!P307</f>
        <v>0</v>
      </c>
      <c r="Q307">
        <f>電力量!Q308-電力量!Q307</f>
        <v>1</v>
      </c>
      <c r="R307">
        <f>電力量!R308-電力量!R307</f>
        <v>0</v>
      </c>
    </row>
    <row r="308" spans="1:18">
      <c r="A308" s="4">
        <f t="shared" si="109"/>
        <v>45912.75</v>
      </c>
      <c r="B308">
        <f>電力量!B309-電力量!B308</f>
        <v>917</v>
      </c>
      <c r="C308">
        <f>電力量!C309-電力量!C308</f>
        <v>267</v>
      </c>
      <c r="D308">
        <f>電力量!D309-電力量!D308</f>
        <v>18.200000000004366</v>
      </c>
      <c r="E308">
        <f>電力量!E309-電力量!E308</f>
        <v>0</v>
      </c>
      <c r="F308">
        <f>電力量!F309-電力量!F308</f>
        <v>27</v>
      </c>
      <c r="G308">
        <f>電力量!G309-電力量!G308</f>
        <v>64.700000000011642</v>
      </c>
      <c r="H308">
        <f>電力量!H309-電力量!H308</f>
        <v>12</v>
      </c>
      <c r="I308">
        <f>電力量!I309-電力量!I308</f>
        <v>312</v>
      </c>
      <c r="J308">
        <f>電力量!J309-電力量!J308</f>
        <v>6.6999999999970896</v>
      </c>
      <c r="K308">
        <f>電力量!K309-電力量!K308</f>
        <v>3</v>
      </c>
      <c r="L308">
        <f>電力量!L309-電力量!L308</f>
        <v>26.800000000000182</v>
      </c>
      <c r="M308">
        <f>電力量!M309-電力量!M308</f>
        <v>39.299999999988358</v>
      </c>
      <c r="N308">
        <f>電力量!N309-電力量!N308</f>
        <v>53.699999999999818</v>
      </c>
      <c r="O308">
        <f>電力量!O309-電力量!O308</f>
        <v>18.099999999991269</v>
      </c>
      <c r="P308">
        <f>電力量!P309-電力量!P308</f>
        <v>0</v>
      </c>
      <c r="Q308">
        <f>電力量!Q309-電力量!Q308</f>
        <v>0</v>
      </c>
      <c r="R308">
        <f>電力量!R309-電力量!R308</f>
        <v>0</v>
      </c>
    </row>
    <row r="309" spans="1:18">
      <c r="A309" s="4">
        <f t="shared" si="110"/>
        <v>45912.791666666664</v>
      </c>
      <c r="B309">
        <f>電力量!B310-電力量!B309</f>
        <v>817</v>
      </c>
      <c r="C309">
        <f>電力量!C310-電力量!C309</f>
        <v>220</v>
      </c>
      <c r="D309">
        <f>電力量!D310-電力量!D309</f>
        <v>16</v>
      </c>
      <c r="E309">
        <f>電力量!E310-電力量!E309</f>
        <v>0</v>
      </c>
      <c r="F309">
        <f>電力量!F310-電力量!F309</f>
        <v>24</v>
      </c>
      <c r="G309">
        <f>電力量!G310-電力量!G309</f>
        <v>56.599999999991269</v>
      </c>
      <c r="H309">
        <f>電力量!H310-電力量!H309</f>
        <v>12</v>
      </c>
      <c r="I309">
        <f>電力量!I310-電力量!I309</f>
        <v>281</v>
      </c>
      <c r="J309">
        <f>電力量!J310-電力量!J309</f>
        <v>6.6000000000058208</v>
      </c>
      <c r="K309">
        <f>電力量!K310-電力量!K309</f>
        <v>3.3000000000029104</v>
      </c>
      <c r="L309">
        <f>電力量!L310-電力量!L309</f>
        <v>26.100000000000364</v>
      </c>
      <c r="M309">
        <f>電力量!M310-電力量!M309</f>
        <v>37.30000000000291</v>
      </c>
      <c r="N309">
        <f>電力量!N310-電力量!N309</f>
        <v>54.399999999999636</v>
      </c>
      <c r="O309">
        <f>電力量!O310-電力量!O309</f>
        <v>22.5</v>
      </c>
      <c r="P309">
        <f>電力量!P310-電力量!P309</f>
        <v>0</v>
      </c>
      <c r="Q309">
        <f>電力量!Q310-電力量!Q309</f>
        <v>0</v>
      </c>
      <c r="R309">
        <f>電力量!R310-電力量!R309</f>
        <v>0</v>
      </c>
    </row>
    <row r="310" spans="1:18">
      <c r="A310" s="4">
        <f t="shared" si="111"/>
        <v>45912.833333333336</v>
      </c>
      <c r="B310">
        <f>電力量!B311-電力量!B310</f>
        <v>790</v>
      </c>
      <c r="C310">
        <f>電力量!C311-電力量!C310</f>
        <v>208</v>
      </c>
      <c r="D310">
        <f>電力量!D311-電力量!D310</f>
        <v>15</v>
      </c>
      <c r="E310">
        <f>電力量!E311-電力量!E310</f>
        <v>0</v>
      </c>
      <c r="F310">
        <f>電力量!F311-電力量!F310</f>
        <v>22</v>
      </c>
      <c r="G310">
        <f>電力量!G311-電力量!G310</f>
        <v>52.600000000005821</v>
      </c>
      <c r="H310">
        <f>電力量!H311-電力量!H310</f>
        <v>13</v>
      </c>
      <c r="I310">
        <f>電力量!I311-電力量!I310</f>
        <v>274</v>
      </c>
      <c r="J310">
        <f>電力量!J311-電力量!J310</f>
        <v>6.5999999999985448</v>
      </c>
      <c r="K310">
        <f>電力量!K311-電力量!K310</f>
        <v>3.1999999999970896</v>
      </c>
      <c r="L310">
        <f>電力量!L311-電力量!L310</f>
        <v>24.199999999999818</v>
      </c>
      <c r="M310">
        <f>電力量!M311-電力量!M310</f>
        <v>37.80000000000291</v>
      </c>
      <c r="N310">
        <f>電力量!N311-電力量!N310</f>
        <v>54.700000000000728</v>
      </c>
      <c r="O310">
        <f>電力量!O311-電力量!O310</f>
        <v>23.5</v>
      </c>
      <c r="P310">
        <f>電力量!P311-電力量!P310</f>
        <v>0</v>
      </c>
      <c r="Q310">
        <f>電力量!Q311-電力量!Q310</f>
        <v>0</v>
      </c>
      <c r="R310">
        <f>電力量!R311-電力量!R310</f>
        <v>0</v>
      </c>
    </row>
    <row r="311" spans="1:18">
      <c r="A311" s="4">
        <f t="shared" si="112"/>
        <v>45912.875</v>
      </c>
      <c r="B311">
        <f>電力量!B312-電力量!B311</f>
        <v>782</v>
      </c>
      <c r="C311">
        <f>電力量!C312-電力量!C311</f>
        <v>206</v>
      </c>
      <c r="D311">
        <f>電力量!D312-電力量!D311</f>
        <v>16.599999999998545</v>
      </c>
      <c r="E311">
        <f>電力量!E312-電力量!E311</f>
        <v>0</v>
      </c>
      <c r="F311">
        <f>電力量!F312-電力量!F311</f>
        <v>23</v>
      </c>
      <c r="G311">
        <f>電力量!G312-電力量!G311</f>
        <v>51.19999999999709</v>
      </c>
      <c r="H311">
        <f>電力量!H312-電力量!H311</f>
        <v>12</v>
      </c>
      <c r="I311">
        <f>電力量!I312-電力量!I311</f>
        <v>268</v>
      </c>
      <c r="J311">
        <f>電力量!J312-電力量!J311</f>
        <v>6.7999999999956344</v>
      </c>
      <c r="K311">
        <f>電力量!K312-電力量!K311</f>
        <v>3.3000000000029104</v>
      </c>
      <c r="L311">
        <f>電力量!L312-電力量!L311</f>
        <v>23.699999999999818</v>
      </c>
      <c r="M311">
        <f>電力量!M312-電力量!M311</f>
        <v>38.5</v>
      </c>
      <c r="N311">
        <f>電力量!N312-電力量!N311</f>
        <v>55.399999999999636</v>
      </c>
      <c r="O311">
        <f>電力量!O312-電力量!O311</f>
        <v>22</v>
      </c>
      <c r="P311">
        <f>電力量!P312-電力量!P311</f>
        <v>0</v>
      </c>
      <c r="Q311">
        <f>電力量!Q312-電力量!Q311</f>
        <v>0</v>
      </c>
      <c r="R311">
        <f>電力量!R312-電力量!R311</f>
        <v>0</v>
      </c>
    </row>
    <row r="312" spans="1:18">
      <c r="A312" s="4">
        <f t="shared" si="113"/>
        <v>45912.916666666664</v>
      </c>
      <c r="B312">
        <f>電力量!B313-電力量!B312</f>
        <v>760</v>
      </c>
      <c r="C312">
        <f>電力量!C313-電力量!C312</f>
        <v>198</v>
      </c>
      <c r="D312">
        <f>電力量!D313-電力量!D312</f>
        <v>15.299999999995634</v>
      </c>
      <c r="E312">
        <f>電力量!E313-電力量!E312</f>
        <v>0</v>
      </c>
      <c r="F312">
        <f>電力量!F313-電力量!F312</f>
        <v>22</v>
      </c>
      <c r="G312">
        <f>電力量!G313-電力量!G312</f>
        <v>50.899999999994179</v>
      </c>
      <c r="H312">
        <f>電力量!H313-電力量!H312</f>
        <v>12</v>
      </c>
      <c r="I312">
        <f>電力量!I313-電力量!I312</f>
        <v>268</v>
      </c>
      <c r="J312">
        <f>電力量!J313-電力量!J312</f>
        <v>7</v>
      </c>
      <c r="K312">
        <f>電力量!K313-電力量!K312</f>
        <v>3.0999999999912689</v>
      </c>
      <c r="L312">
        <f>電力量!L313-電力量!L312</f>
        <v>20.5</v>
      </c>
      <c r="M312">
        <f>電力量!M313-電力量!M312</f>
        <v>37.80000000000291</v>
      </c>
      <c r="N312">
        <f>電力量!N313-電力量!N312</f>
        <v>52.699999999999818</v>
      </c>
      <c r="O312">
        <f>電力量!O313-電力量!O312</f>
        <v>19</v>
      </c>
      <c r="P312">
        <f>電力量!P313-電力量!P312</f>
        <v>0</v>
      </c>
      <c r="Q312">
        <f>電力量!Q313-電力量!Q312</f>
        <v>0</v>
      </c>
      <c r="R312">
        <f>電力量!R313-電力量!R312</f>
        <v>0</v>
      </c>
    </row>
    <row r="313" spans="1:18">
      <c r="A313" s="4">
        <f t="shared" si="114"/>
        <v>45912.958333333336</v>
      </c>
      <c r="B313">
        <f>電力量!B314-電力量!B313</f>
        <v>746</v>
      </c>
      <c r="C313">
        <f>電力量!C314-電力量!C313</f>
        <v>192</v>
      </c>
      <c r="D313">
        <f>電力量!D314-電力量!D313</f>
        <v>15.200000000004366</v>
      </c>
      <c r="E313">
        <f>電力量!E314-電力量!E313</f>
        <v>0</v>
      </c>
      <c r="F313">
        <f>電力量!F314-電力量!F313</f>
        <v>20</v>
      </c>
      <c r="G313">
        <f>電力量!G314-電力量!G313</f>
        <v>48.80000000000291</v>
      </c>
      <c r="H313">
        <f>電力量!H314-電力量!H313</f>
        <v>13</v>
      </c>
      <c r="I313">
        <f>電力量!I314-電力量!I313</f>
        <v>261</v>
      </c>
      <c r="J313">
        <f>電力量!J314-電力量!J313</f>
        <v>8.6000000000058208</v>
      </c>
      <c r="K313">
        <f>電力量!K314-電力量!K313</f>
        <v>2.8000000000029104</v>
      </c>
      <c r="L313">
        <f>電力量!L314-電力量!L313</f>
        <v>21.100000000000364</v>
      </c>
      <c r="M313">
        <f>電力量!M314-電力量!M313</f>
        <v>37.899999999994179</v>
      </c>
      <c r="N313">
        <f>電力量!N314-電力量!N313</f>
        <v>54.600000000000364</v>
      </c>
      <c r="O313">
        <f>電力量!O314-電力量!O313</f>
        <v>18.400000000008731</v>
      </c>
      <c r="P313">
        <f>電力量!P314-電力量!P313</f>
        <v>0</v>
      </c>
      <c r="Q313">
        <f>電力量!Q314-電力量!Q313</f>
        <v>0</v>
      </c>
      <c r="R313">
        <f>電力量!R314-電力量!R313</f>
        <v>0</v>
      </c>
    </row>
    <row r="314" spans="1:18">
      <c r="A314" s="4">
        <v>45913</v>
      </c>
      <c r="B314">
        <f>電力量!B315-電力量!B314</f>
        <v>738</v>
      </c>
      <c r="C314">
        <f>電力量!C315-電力量!C314</f>
        <v>192</v>
      </c>
      <c r="D314">
        <f>電力量!D315-電力量!D314</f>
        <v>14.799999999995634</v>
      </c>
      <c r="E314">
        <f>電力量!E315-電力量!E314</f>
        <v>0</v>
      </c>
      <c r="F314">
        <f>電力量!F315-電力量!F314</f>
        <v>19</v>
      </c>
      <c r="G314">
        <f>電力量!G315-電力量!G314</f>
        <v>52.69999999999709</v>
      </c>
      <c r="H314">
        <f>電力量!H315-電力量!H314</f>
        <v>12</v>
      </c>
      <c r="I314">
        <f>電力量!I315-電力量!I314</f>
        <v>255</v>
      </c>
      <c r="J314">
        <f>電力量!J315-電力量!J314</f>
        <v>8.5</v>
      </c>
      <c r="K314">
        <f>電力量!K315-電力量!K314</f>
        <v>2.8000000000029104</v>
      </c>
      <c r="L314">
        <f>電力量!L315-電力量!L314</f>
        <v>21.099999999999454</v>
      </c>
      <c r="M314">
        <f>電力量!M315-電力量!M314</f>
        <v>37.100000000005821</v>
      </c>
      <c r="N314">
        <f>電力量!N315-電力量!N314</f>
        <v>54.699999999999818</v>
      </c>
      <c r="O314">
        <f>電力量!O315-電力量!O314</f>
        <v>16.399999999994179</v>
      </c>
      <c r="P314">
        <f>電力量!P315-電力量!P314</f>
        <v>0</v>
      </c>
      <c r="Q314">
        <f>電力量!Q315-電力量!Q314</f>
        <v>0</v>
      </c>
      <c r="R314">
        <f>電力量!R315-電力量!R314</f>
        <v>0</v>
      </c>
    </row>
    <row r="315" spans="1:18">
      <c r="A315" s="4">
        <f t="shared" ref="A315:A363" si="115">A314+(1/24)</f>
        <v>45913.041666666664</v>
      </c>
      <c r="B315">
        <f>電力量!B316-電力量!B315</f>
        <v>725</v>
      </c>
      <c r="C315">
        <f>電力量!C316-電力量!C315</f>
        <v>188</v>
      </c>
      <c r="D315">
        <f>電力量!D316-電力量!D315</f>
        <v>15.5</v>
      </c>
      <c r="E315">
        <f>電力量!E316-電力量!E315</f>
        <v>0</v>
      </c>
      <c r="F315">
        <f>電力量!F316-電力量!F315</f>
        <v>18</v>
      </c>
      <c r="G315">
        <f>電力量!G316-電力量!G315</f>
        <v>49.80000000000291</v>
      </c>
      <c r="H315">
        <f>電力量!H316-電力量!H315</f>
        <v>12</v>
      </c>
      <c r="I315">
        <f>電力量!I316-電力量!I315</f>
        <v>249</v>
      </c>
      <c r="J315">
        <f>電力量!J316-電力量!J315</f>
        <v>8</v>
      </c>
      <c r="K315">
        <f>電力量!K316-電力量!K315</f>
        <v>2.6999999999970896</v>
      </c>
      <c r="L315">
        <f>電力量!L316-電力量!L315</f>
        <v>20.800000000000182</v>
      </c>
      <c r="M315">
        <f>電力量!M316-電力量!M315</f>
        <v>35.899999999994179</v>
      </c>
      <c r="N315">
        <f>電力量!N316-電力量!N315</f>
        <v>54.600000000000364</v>
      </c>
      <c r="O315">
        <f>電力量!O316-電力量!O315</f>
        <v>18</v>
      </c>
      <c r="P315">
        <f>電力量!P316-電力量!P315</f>
        <v>0</v>
      </c>
      <c r="Q315">
        <f>電力量!Q316-電力量!Q315</f>
        <v>0</v>
      </c>
      <c r="R315">
        <f>電力量!R316-電力量!R315</f>
        <v>0</v>
      </c>
    </row>
    <row r="316" spans="1:18">
      <c r="A316" s="4">
        <f t="shared" ref="A316:A364" si="116">A314+(2/24)</f>
        <v>45913.083333333336</v>
      </c>
      <c r="B316">
        <f>電力量!B317-電力量!B316</f>
        <v>709</v>
      </c>
      <c r="C316">
        <f>電力量!C317-電力量!C316</f>
        <v>183</v>
      </c>
      <c r="D316">
        <f>電力量!D317-電力量!D316</f>
        <v>15</v>
      </c>
      <c r="E316">
        <f>電力量!E317-電力量!E316</f>
        <v>0</v>
      </c>
      <c r="F316">
        <f>電力量!F317-電力量!F316</f>
        <v>18</v>
      </c>
      <c r="G316">
        <f>電力量!G317-電力量!G316</f>
        <v>48.100000000005821</v>
      </c>
      <c r="H316">
        <f>電力量!H317-電力量!H316</f>
        <v>12</v>
      </c>
      <c r="I316">
        <f>電力量!I317-電力量!I316</f>
        <v>240</v>
      </c>
      <c r="J316">
        <f>電力量!J317-電力量!J316</f>
        <v>7.8999999999941792</v>
      </c>
      <c r="K316">
        <f>電力量!K317-電力量!K316</f>
        <v>2.6999999999970896</v>
      </c>
      <c r="L316">
        <f>電力量!L317-電力量!L316</f>
        <v>22.699999999999818</v>
      </c>
      <c r="M316">
        <f>電力量!M317-電力量!M316</f>
        <v>36.600000000005821</v>
      </c>
      <c r="N316">
        <f>電力量!N317-電力量!N316</f>
        <v>52.5</v>
      </c>
      <c r="O316">
        <f>電力量!O317-電力量!O316</f>
        <v>18.19999999999709</v>
      </c>
      <c r="P316">
        <f>電力量!P317-電力量!P316</f>
        <v>0</v>
      </c>
      <c r="Q316">
        <f>電力量!Q317-電力量!Q316</f>
        <v>0</v>
      </c>
      <c r="R316">
        <f>電力量!R317-電力量!R316</f>
        <v>0</v>
      </c>
    </row>
    <row r="317" spans="1:18">
      <c r="A317" s="4">
        <f t="shared" ref="A317:A365" si="117">A314+(3/24)</f>
        <v>45913.125</v>
      </c>
      <c r="B317">
        <f>電力量!B318-電力量!B317</f>
        <v>693</v>
      </c>
      <c r="C317">
        <f>電力量!C318-電力量!C317</f>
        <v>173</v>
      </c>
      <c r="D317">
        <f>電力量!D318-電力量!D317</f>
        <v>14.100000000005821</v>
      </c>
      <c r="E317">
        <f>電力量!E318-電力量!E317</f>
        <v>0</v>
      </c>
      <c r="F317">
        <f>電力量!F318-電力量!F317</f>
        <v>19</v>
      </c>
      <c r="G317">
        <f>電力量!G318-電力量!G317</f>
        <v>47.5</v>
      </c>
      <c r="H317">
        <f>電力量!H318-電力量!H317</f>
        <v>12</v>
      </c>
      <c r="I317">
        <f>電力量!I318-電力量!I317</f>
        <v>238</v>
      </c>
      <c r="J317">
        <f>電力量!J318-電力量!J317</f>
        <v>8</v>
      </c>
      <c r="K317">
        <f>電力量!K318-電力量!K317</f>
        <v>2.6999999999970896</v>
      </c>
      <c r="L317">
        <f>電力量!L318-電力量!L317</f>
        <v>21.5</v>
      </c>
      <c r="M317">
        <f>電力量!M318-電力量!M317</f>
        <v>34</v>
      </c>
      <c r="N317">
        <f>電力量!N318-電力量!N317</f>
        <v>54.399999999999636</v>
      </c>
      <c r="O317">
        <f>電力量!O318-電力量!O317</f>
        <v>17.900000000008731</v>
      </c>
      <c r="P317">
        <f>電力量!P318-電力量!P317</f>
        <v>0</v>
      </c>
      <c r="Q317">
        <f>電力量!Q318-電力量!Q317</f>
        <v>0</v>
      </c>
      <c r="R317">
        <f>電力量!R318-電力量!R317</f>
        <v>0</v>
      </c>
    </row>
    <row r="318" spans="1:18">
      <c r="A318" s="4">
        <f t="shared" ref="A318:A366" si="118">A314+(4/24)</f>
        <v>45913.166666666664</v>
      </c>
      <c r="B318">
        <f>電力量!B319-電力量!B318</f>
        <v>684</v>
      </c>
      <c r="C318">
        <f>電力量!C319-電力量!C318</f>
        <v>169</v>
      </c>
      <c r="D318">
        <f>電力量!D319-電力量!D318</f>
        <v>13.69999999999709</v>
      </c>
      <c r="E318">
        <f>電力量!E319-電力量!E318</f>
        <v>0</v>
      </c>
      <c r="F318">
        <f>電力量!F319-電力量!F318</f>
        <v>18</v>
      </c>
      <c r="G318">
        <f>電力量!G319-電力量!G318</f>
        <v>47.099999999991269</v>
      </c>
      <c r="H318">
        <f>電力量!H319-電力量!H318</f>
        <v>12</v>
      </c>
      <c r="I318">
        <f>電力量!I319-電力量!I318</f>
        <v>237</v>
      </c>
      <c r="J318">
        <f>電力量!J319-電力量!J318</f>
        <v>7.5</v>
      </c>
      <c r="K318">
        <f>電力量!K319-電力量!K318</f>
        <v>2.6000000000058208</v>
      </c>
      <c r="L318">
        <f>電力量!L319-電力量!L318</f>
        <v>20.900000000000546</v>
      </c>
      <c r="M318">
        <f>電力量!M319-電力量!M318</f>
        <v>32.899999999994179</v>
      </c>
      <c r="N318">
        <f>電力量!N319-電力量!N318</f>
        <v>54.899999999999636</v>
      </c>
      <c r="O318">
        <f>電力量!O319-電力量!O318</f>
        <v>18.5</v>
      </c>
      <c r="P318">
        <f>電力量!P319-電力量!P318</f>
        <v>0</v>
      </c>
      <c r="Q318">
        <f>電力量!Q319-電力量!Q318</f>
        <v>0</v>
      </c>
      <c r="R318">
        <f>電力量!R319-電力量!R318</f>
        <v>0</v>
      </c>
    </row>
    <row r="319" spans="1:18">
      <c r="A319" s="4">
        <f t="shared" ref="A319:A367" si="119">A314+(5/24)</f>
        <v>45913.208333333336</v>
      </c>
      <c r="B319">
        <f>電力量!B320-電力量!B319</f>
        <v>684</v>
      </c>
      <c r="C319">
        <f>電力量!C320-電力量!C319</f>
        <v>169</v>
      </c>
      <c r="D319">
        <f>電力量!D320-電力量!D319</f>
        <v>14.599999999998545</v>
      </c>
      <c r="E319">
        <f>電力量!E320-電力量!E319</f>
        <v>0</v>
      </c>
      <c r="F319">
        <f>電力量!F320-電力量!F319</f>
        <v>18</v>
      </c>
      <c r="G319">
        <f>電力量!G320-電力量!G319</f>
        <v>46.700000000011642</v>
      </c>
      <c r="H319">
        <f>電力量!H320-電力量!H319</f>
        <v>13</v>
      </c>
      <c r="I319">
        <f>電力量!I320-電力量!I319</f>
        <v>238</v>
      </c>
      <c r="J319">
        <f>電力量!J320-電力量!J319</f>
        <v>7.5</v>
      </c>
      <c r="K319">
        <f>電力量!K320-電力量!K319</f>
        <v>2.6999999999970896</v>
      </c>
      <c r="L319">
        <f>電力量!L320-電力量!L319</f>
        <v>19.5</v>
      </c>
      <c r="M319">
        <f>電力量!M320-電力量!M319</f>
        <v>32.69999999999709</v>
      </c>
      <c r="N319">
        <f>電力量!N320-電力量!N319</f>
        <v>54.700000000000728</v>
      </c>
      <c r="O319">
        <f>電力量!O320-電力量!O319</f>
        <v>18</v>
      </c>
      <c r="P319">
        <f>電力量!P320-電力量!P319</f>
        <v>0</v>
      </c>
      <c r="Q319">
        <f>電力量!Q320-電力量!Q319</f>
        <v>0</v>
      </c>
      <c r="R319">
        <f>電力量!R320-電力量!R319</f>
        <v>0</v>
      </c>
    </row>
    <row r="320" spans="1:18">
      <c r="A320" s="4">
        <f t="shared" ref="A320:A368" si="120">A314+(6/24)</f>
        <v>45913.25</v>
      </c>
      <c r="B320">
        <f>電力量!B321-電力量!B320</f>
        <v>678</v>
      </c>
      <c r="C320">
        <f>電力量!C321-電力量!C320</f>
        <v>169</v>
      </c>
      <c r="D320">
        <f>電力量!D321-電力量!D320</f>
        <v>14.400000000001455</v>
      </c>
      <c r="E320">
        <f>電力量!E321-電力量!E320</f>
        <v>0</v>
      </c>
      <c r="F320">
        <f>電力量!F321-電力量!F320</f>
        <v>18</v>
      </c>
      <c r="G320">
        <f>電力量!G321-電力量!G320</f>
        <v>45</v>
      </c>
      <c r="H320">
        <f>電力量!H321-電力量!H320</f>
        <v>11</v>
      </c>
      <c r="I320">
        <f>電力量!I321-電力量!I320</f>
        <v>238</v>
      </c>
      <c r="J320">
        <f>電力量!J321-電力量!J320</f>
        <v>7.7000000000043656</v>
      </c>
      <c r="K320">
        <f>電力量!K321-電力量!K320</f>
        <v>1.8000000000029104</v>
      </c>
      <c r="L320">
        <f>電力量!L321-電力量!L320</f>
        <v>19</v>
      </c>
      <c r="M320">
        <f>電力量!M321-電力量!M320</f>
        <v>32.700000000011642</v>
      </c>
      <c r="N320">
        <f>電力量!N321-電力量!N320</f>
        <v>53.899999999999636</v>
      </c>
      <c r="O320">
        <f>電力量!O321-電力量!O320</f>
        <v>15.19999999999709</v>
      </c>
      <c r="P320">
        <f>電力量!P321-電力量!P320</f>
        <v>0</v>
      </c>
      <c r="Q320">
        <f>電力量!Q321-電力量!Q320</f>
        <v>0</v>
      </c>
      <c r="R320">
        <f>電力量!R321-電力量!R320</f>
        <v>0</v>
      </c>
    </row>
    <row r="321" spans="1:18">
      <c r="A321" s="4">
        <f t="shared" ref="A321:A369" si="121">A314+(7/24)</f>
        <v>45913.291666666664</v>
      </c>
      <c r="B321">
        <f>電力量!B322-電力量!B321</f>
        <v>673</v>
      </c>
      <c r="C321">
        <f>電力量!C322-電力量!C321</f>
        <v>169</v>
      </c>
      <c r="D321">
        <f>電力量!D322-電力量!D321</f>
        <v>13.900000000001455</v>
      </c>
      <c r="E321">
        <f>電力量!E322-電力量!E321</f>
        <v>0</v>
      </c>
      <c r="F321">
        <f>電力量!F322-電力量!F321</f>
        <v>18</v>
      </c>
      <c r="G321">
        <f>電力量!G322-電力量!G321</f>
        <v>42.299999999988358</v>
      </c>
      <c r="H321">
        <f>電力量!H322-電力量!H321</f>
        <v>12</v>
      </c>
      <c r="I321">
        <f>電力量!I322-電力量!I321</f>
        <v>240</v>
      </c>
      <c r="J321">
        <f>電力量!J322-電力量!J321</f>
        <v>7.7999999999956344</v>
      </c>
      <c r="K321">
        <f>電力量!K322-電力量!K321</f>
        <v>0.10000000000582077</v>
      </c>
      <c r="L321">
        <f>電力量!L322-電力量!L321</f>
        <v>18.199999999999818</v>
      </c>
      <c r="M321">
        <f>電力量!M322-電力量!M321</f>
        <v>32.599999999991269</v>
      </c>
      <c r="N321">
        <f>電力量!N322-電力量!N321</f>
        <v>51.600000000000364</v>
      </c>
      <c r="O321">
        <f>電力量!O322-電力量!O321</f>
        <v>18.19999999999709</v>
      </c>
      <c r="P321">
        <f>電力量!P322-電力量!P321</f>
        <v>2</v>
      </c>
      <c r="Q321">
        <f>電力量!Q322-電力量!Q321</f>
        <v>3</v>
      </c>
      <c r="R321">
        <f>電力量!R322-電力量!R321</f>
        <v>0</v>
      </c>
    </row>
    <row r="322" spans="1:18">
      <c r="A322" s="4">
        <f t="shared" ref="A322:A370" si="122">A314+(8/24)</f>
        <v>45913.333333333336</v>
      </c>
      <c r="B322">
        <f>電力量!B323-電力量!B322</f>
        <v>706</v>
      </c>
      <c r="C322">
        <f>電力量!C323-電力量!C322</f>
        <v>174</v>
      </c>
      <c r="D322">
        <f>電力量!D323-電力量!D322</f>
        <v>14.299999999995634</v>
      </c>
      <c r="E322">
        <f>電力量!E323-電力量!E322</f>
        <v>0</v>
      </c>
      <c r="F322">
        <f>電力量!F323-電力量!F322</f>
        <v>20</v>
      </c>
      <c r="G322">
        <f>電力量!G323-電力量!G322</f>
        <v>37.700000000011642</v>
      </c>
      <c r="H322">
        <f>電力量!H323-電力量!H322</f>
        <v>36</v>
      </c>
      <c r="I322">
        <f>電力量!I323-電力量!I322</f>
        <v>244</v>
      </c>
      <c r="J322">
        <f>電力量!J323-電力量!J322</f>
        <v>8.2000000000043656</v>
      </c>
      <c r="K322">
        <f>電力量!K323-電力量!K322</f>
        <v>0</v>
      </c>
      <c r="L322">
        <f>電力量!L323-電力量!L322</f>
        <v>17.300000000000182</v>
      </c>
      <c r="M322">
        <f>電力量!M323-電力量!M322</f>
        <v>33.600000000005821</v>
      </c>
      <c r="N322">
        <f>電力量!N323-電力量!N322</f>
        <v>49.399999999999636</v>
      </c>
      <c r="O322">
        <f>電力量!O323-電力量!O322</f>
        <v>20.80000000000291</v>
      </c>
      <c r="P322">
        <f>電力量!P323-電力量!P322</f>
        <v>4</v>
      </c>
      <c r="Q322">
        <f>電力量!Q323-電力量!Q322</f>
        <v>7</v>
      </c>
      <c r="R322">
        <f>電力量!R323-電力量!R322</f>
        <v>0</v>
      </c>
    </row>
    <row r="323" spans="1:18">
      <c r="A323" s="4">
        <f t="shared" ref="A323:A371" si="123">A314+(9/24)</f>
        <v>45913.375</v>
      </c>
      <c r="B323">
        <f>電力量!B324-電力量!B323</f>
        <v>744</v>
      </c>
      <c r="C323">
        <f>電力量!C324-電力量!C323</f>
        <v>176</v>
      </c>
      <c r="D323">
        <f>電力量!D324-電力量!D323</f>
        <v>17.400000000001455</v>
      </c>
      <c r="E323">
        <f>電力量!E324-電力量!E323</f>
        <v>0</v>
      </c>
      <c r="F323">
        <f>電力量!F324-電力量!F323</f>
        <v>19</v>
      </c>
      <c r="G323">
        <f>電力量!G324-電力量!G323</f>
        <v>37.299999999988358</v>
      </c>
      <c r="H323">
        <f>電力量!H324-電力量!H323</f>
        <v>49</v>
      </c>
      <c r="I323">
        <f>電力量!I324-電力量!I323</f>
        <v>261</v>
      </c>
      <c r="J323">
        <f>電力量!J324-電力量!J323</f>
        <v>8.5999999999985448</v>
      </c>
      <c r="K323">
        <f>電力量!K324-電力量!K323</f>
        <v>0</v>
      </c>
      <c r="L323">
        <f>電力量!L324-電力量!L323</f>
        <v>17.5</v>
      </c>
      <c r="M323">
        <f>電力量!M324-電力量!M323</f>
        <v>32.69999999999709</v>
      </c>
      <c r="N323">
        <f>電力量!N324-電力量!N323</f>
        <v>48.699999999999818</v>
      </c>
      <c r="O323">
        <f>電力量!O324-電力量!O323</f>
        <v>24.399999999994179</v>
      </c>
      <c r="P323">
        <f>電力量!P324-電力量!P323</f>
        <v>4</v>
      </c>
      <c r="Q323">
        <f>電力量!Q324-電力量!Q323</f>
        <v>6</v>
      </c>
      <c r="R323">
        <f>電力量!R324-電力量!R323</f>
        <v>0</v>
      </c>
    </row>
    <row r="324" spans="1:18">
      <c r="A324" s="4">
        <f t="shared" ref="A324:A372" si="124">A314+(10/24)</f>
        <v>45913.416666666664</v>
      </c>
      <c r="B324">
        <f>電力量!B325-電力量!B324</f>
        <v>770</v>
      </c>
      <c r="C324">
        <f>電力量!C325-電力量!C324</f>
        <v>181</v>
      </c>
      <c r="D324">
        <f>電力量!D325-電力量!D324</f>
        <v>17.30000000000291</v>
      </c>
      <c r="E324">
        <f>電力量!E325-電力量!E324</f>
        <v>0</v>
      </c>
      <c r="F324">
        <f>電力量!F325-電力量!F324</f>
        <v>22</v>
      </c>
      <c r="G324">
        <f>電力量!G325-電力量!G324</f>
        <v>44.900000000008731</v>
      </c>
      <c r="H324">
        <f>電力量!H325-電力量!H324</f>
        <v>50</v>
      </c>
      <c r="I324">
        <f>電力量!I325-電力量!I324</f>
        <v>263</v>
      </c>
      <c r="J324">
        <f>電力量!J325-電力量!J324</f>
        <v>8.0999999999985448</v>
      </c>
      <c r="K324">
        <f>電力量!K325-電力量!K324</f>
        <v>0</v>
      </c>
      <c r="L324">
        <f>電力量!L325-電力量!L324</f>
        <v>17.399999999999636</v>
      </c>
      <c r="M324">
        <f>電力量!M325-電力量!M324</f>
        <v>35.19999999999709</v>
      </c>
      <c r="N324">
        <f>電力量!N325-電力量!N324</f>
        <v>51.199999999999818</v>
      </c>
      <c r="O324">
        <f>電力量!O325-電力量!O324</f>
        <v>25.700000000011642</v>
      </c>
      <c r="P324">
        <f>電力量!P325-電力量!P324</f>
        <v>3</v>
      </c>
      <c r="Q324">
        <f>電力量!Q325-電力量!Q324</f>
        <v>5</v>
      </c>
      <c r="R324">
        <f>電力量!R325-電力量!R324</f>
        <v>0</v>
      </c>
    </row>
    <row r="325" spans="1:18">
      <c r="A325" s="4">
        <f t="shared" ref="A325:A373" si="125">A314+(11/24)</f>
        <v>45913.458333333336</v>
      </c>
      <c r="B325">
        <f>電力量!B326-電力量!B325</f>
        <v>776</v>
      </c>
      <c r="C325">
        <f>電力量!C326-電力量!C325</f>
        <v>182</v>
      </c>
      <c r="D325">
        <f>電力量!D326-電力量!D325</f>
        <v>17.599999999998545</v>
      </c>
      <c r="E325">
        <f>電力量!E326-電力量!E325</f>
        <v>0</v>
      </c>
      <c r="F325">
        <f>電力量!F326-電力量!F325</f>
        <v>23</v>
      </c>
      <c r="G325">
        <f>電力量!G326-電力量!G325</f>
        <v>45.69999999999709</v>
      </c>
      <c r="H325">
        <f>電力量!H326-電力量!H325</f>
        <v>49</v>
      </c>
      <c r="I325">
        <f>電力量!I326-電力量!I325</f>
        <v>264</v>
      </c>
      <c r="J325">
        <f>電力量!J326-電力量!J325</f>
        <v>8.3000000000029104</v>
      </c>
      <c r="K325">
        <f>電力量!K326-電力量!K325</f>
        <v>0.19999999999708962</v>
      </c>
      <c r="L325">
        <f>電力量!L326-電力量!L325</f>
        <v>17.300000000000182</v>
      </c>
      <c r="M325">
        <f>電力量!M326-電力量!M325</f>
        <v>35.600000000005821</v>
      </c>
      <c r="N325">
        <f>電力量!N326-電力量!N325</f>
        <v>52.300000000000182</v>
      </c>
      <c r="O325">
        <f>電力量!O326-電力量!O325</f>
        <v>25.799999999988358</v>
      </c>
      <c r="P325">
        <f>電力量!P326-電力量!P325</f>
        <v>2</v>
      </c>
      <c r="Q325">
        <f>電力量!Q326-電力量!Q325</f>
        <v>3</v>
      </c>
      <c r="R325">
        <f>電力量!R326-電力量!R325</f>
        <v>0</v>
      </c>
    </row>
    <row r="326" spans="1:18">
      <c r="A326" s="4">
        <f t="shared" ref="A326:A374" si="126">A314+(12/24)</f>
        <v>45913.5</v>
      </c>
      <c r="B326">
        <f>電力量!B327-電力量!B326</f>
        <v>782</v>
      </c>
      <c r="C326">
        <f>電力量!C327-電力量!C326</f>
        <v>195</v>
      </c>
      <c r="D326">
        <f>電力量!D327-電力量!D326</f>
        <v>19.900000000001455</v>
      </c>
      <c r="E326">
        <f>電力量!E327-電力量!E326</f>
        <v>0</v>
      </c>
      <c r="F326">
        <f>電力量!F327-電力量!F326</f>
        <v>28</v>
      </c>
      <c r="G326">
        <f>電力量!G327-電力量!G326</f>
        <v>34.399999999994179</v>
      </c>
      <c r="H326">
        <f>電力量!H327-電力量!H326</f>
        <v>51</v>
      </c>
      <c r="I326">
        <f>電力量!I327-電力量!I326</f>
        <v>268</v>
      </c>
      <c r="J326">
        <f>電力量!J327-電力量!J326</f>
        <v>8.2999999999956344</v>
      </c>
      <c r="K326">
        <f>電力量!K327-電力量!K326</f>
        <v>0</v>
      </c>
      <c r="L326">
        <f>電力量!L327-電力量!L326</f>
        <v>19.800000000000182</v>
      </c>
      <c r="M326">
        <f>電力量!M327-電力量!M326</f>
        <v>36.599999999991269</v>
      </c>
      <c r="N326">
        <f>電力量!N327-電力量!N326</f>
        <v>46.199999999999818</v>
      </c>
      <c r="O326">
        <f>電力量!O327-電力量!O326</f>
        <v>24.400000000008731</v>
      </c>
      <c r="P326">
        <f>電力量!P327-電力量!P326</f>
        <v>8</v>
      </c>
      <c r="Q326">
        <f>電力量!Q327-電力量!Q326</f>
        <v>12</v>
      </c>
      <c r="R326">
        <f>電力量!R327-電力量!R326</f>
        <v>0</v>
      </c>
    </row>
    <row r="327" spans="1:18">
      <c r="A327" s="4">
        <f t="shared" ref="A327:A375" si="127">A314+(13/24)</f>
        <v>45913.541666666664</v>
      </c>
      <c r="B327">
        <f>電力量!B328-電力量!B327</f>
        <v>812</v>
      </c>
      <c r="C327">
        <f>電力量!C328-電力量!C327</f>
        <v>209</v>
      </c>
      <c r="D327">
        <f>電力量!D328-電力量!D327</f>
        <v>17.69999999999709</v>
      </c>
      <c r="E327">
        <f>電力量!E328-電力量!E327</f>
        <v>0</v>
      </c>
      <c r="F327">
        <f>電力量!F328-電力量!F327</f>
        <v>28</v>
      </c>
      <c r="G327">
        <f>電力量!G328-電力量!G327</f>
        <v>37.700000000011642</v>
      </c>
      <c r="H327">
        <f>電力量!H328-電力量!H327</f>
        <v>51</v>
      </c>
      <c r="I327">
        <f>電力量!I328-電力量!I327</f>
        <v>272</v>
      </c>
      <c r="J327">
        <f>電力量!J328-電力量!J327</f>
        <v>8.8000000000029104</v>
      </c>
      <c r="K327">
        <f>電力量!K328-電力量!K327</f>
        <v>0</v>
      </c>
      <c r="L327">
        <f>電力量!L328-電力量!L327</f>
        <v>20.5</v>
      </c>
      <c r="M327">
        <f>電力量!M328-電力量!M327</f>
        <v>41.900000000008731</v>
      </c>
      <c r="N327">
        <f>電力量!N328-電力量!N327</f>
        <v>46.600000000000364</v>
      </c>
      <c r="O327">
        <f>電力量!O328-電力量!O327</f>
        <v>26.899999999994179</v>
      </c>
      <c r="P327">
        <f>電力量!P328-電力量!P327</f>
        <v>7</v>
      </c>
      <c r="Q327">
        <f>電力量!Q328-電力量!Q327</f>
        <v>11</v>
      </c>
      <c r="R327">
        <f>電力量!R328-電力量!R327</f>
        <v>0</v>
      </c>
    </row>
    <row r="328" spans="1:18">
      <c r="A328" s="4">
        <f t="shared" ref="A328:A376" si="128">A314+(14/24)</f>
        <v>45913.583333333336</v>
      </c>
      <c r="B328">
        <f>電力量!B329-電力量!B328</f>
        <v>846</v>
      </c>
      <c r="C328">
        <f>電力量!C329-電力量!C328</f>
        <v>206</v>
      </c>
      <c r="D328">
        <f>電力量!D329-電力量!D328</f>
        <v>19.5</v>
      </c>
      <c r="E328">
        <f>電力量!E329-電力量!E328</f>
        <v>0</v>
      </c>
      <c r="F328">
        <f>電力量!F329-電力量!F328</f>
        <v>30</v>
      </c>
      <c r="G328">
        <f>電力量!G329-電力量!G328</f>
        <v>50.599999999991269</v>
      </c>
      <c r="H328">
        <f>電力量!H329-電力量!H328</f>
        <v>48</v>
      </c>
      <c r="I328">
        <f>電力量!I329-電力量!I328</f>
        <v>288</v>
      </c>
      <c r="J328">
        <f>電力量!J329-電力量!J328</f>
        <v>7.9000000000014552</v>
      </c>
      <c r="K328">
        <f>電力量!K329-電力量!K328</f>
        <v>1</v>
      </c>
      <c r="L328">
        <f>電力量!L329-電力量!L328</f>
        <v>20</v>
      </c>
      <c r="M328">
        <f>電力量!M329-電力量!M328</f>
        <v>39.19999999999709</v>
      </c>
      <c r="N328">
        <f>電力量!N329-電力量!N328</f>
        <v>52.399999999999636</v>
      </c>
      <c r="O328">
        <f>電力量!O329-電力量!O328</f>
        <v>25.80000000000291</v>
      </c>
      <c r="P328">
        <f>電力量!P329-電力量!P328</f>
        <v>1</v>
      </c>
      <c r="Q328">
        <f>電力量!Q329-電力量!Q328</f>
        <v>2</v>
      </c>
      <c r="R328">
        <f>電力量!R329-電力量!R328</f>
        <v>0</v>
      </c>
    </row>
    <row r="329" spans="1:18">
      <c r="A329" s="4">
        <f t="shared" ref="A329:A377" si="129">A314+(15/24)</f>
        <v>45913.625</v>
      </c>
      <c r="B329">
        <f>電力量!B330-電力量!B329</f>
        <v>840</v>
      </c>
      <c r="C329">
        <f>電力量!C330-電力量!C329</f>
        <v>193</v>
      </c>
      <c r="D329">
        <f>電力量!D330-電力量!D329</f>
        <v>17.80000000000291</v>
      </c>
      <c r="E329">
        <f>電力量!E330-電力量!E329</f>
        <v>0</v>
      </c>
      <c r="F329">
        <f>電力量!F330-電力量!F329</f>
        <v>29</v>
      </c>
      <c r="G329">
        <f>電力量!G330-電力量!G329</f>
        <v>51.69999999999709</v>
      </c>
      <c r="H329">
        <f>電力量!H330-電力量!H329</f>
        <v>50</v>
      </c>
      <c r="I329">
        <f>電力量!I330-電力量!I329</f>
        <v>296</v>
      </c>
      <c r="J329">
        <f>電力量!J330-電力量!J329</f>
        <v>8.0999999999985448</v>
      </c>
      <c r="K329">
        <f>電力量!K330-電力量!K329</f>
        <v>2</v>
      </c>
      <c r="L329">
        <f>電力量!L330-電力量!L329</f>
        <v>19.799999999999272</v>
      </c>
      <c r="M329">
        <f>電力量!M330-電力量!M329</f>
        <v>36.30000000000291</v>
      </c>
      <c r="N329">
        <f>電力量!N330-電力量!N329</f>
        <v>52.700000000000728</v>
      </c>
      <c r="O329">
        <f>電力量!O330-電力量!O329</f>
        <v>25.100000000005821</v>
      </c>
      <c r="P329">
        <f>電力量!P330-電力量!P329</f>
        <v>1</v>
      </c>
      <c r="Q329">
        <f>電力量!Q330-電力量!Q329</f>
        <v>1</v>
      </c>
      <c r="R329">
        <f>電力量!R330-電力量!R329</f>
        <v>0</v>
      </c>
    </row>
    <row r="330" spans="1:18">
      <c r="A330" s="4">
        <f t="shared" ref="A330:A378" si="130">A314+(16/24)</f>
        <v>45913.666666666664</v>
      </c>
      <c r="B330">
        <f>電力量!B331-電力量!B330</f>
        <v>797</v>
      </c>
      <c r="C330">
        <f>電力量!C331-電力量!C330</f>
        <v>189</v>
      </c>
      <c r="D330">
        <f>電力量!D331-電力量!D330</f>
        <v>17.400000000001455</v>
      </c>
      <c r="E330">
        <f>電力量!E331-電力量!E330</f>
        <v>0</v>
      </c>
      <c r="F330">
        <f>電力量!F331-電力量!F330</f>
        <v>26</v>
      </c>
      <c r="G330">
        <f>電力量!G331-電力量!G330</f>
        <v>52.400000000008731</v>
      </c>
      <c r="H330">
        <f>電力量!H331-電力量!H330</f>
        <v>20</v>
      </c>
      <c r="I330">
        <f>電力量!I331-電力量!I330</f>
        <v>292</v>
      </c>
      <c r="J330">
        <f>電力量!J331-電力量!J330</f>
        <v>8.0999999999985448</v>
      </c>
      <c r="K330">
        <f>電力量!K331-電力量!K330</f>
        <v>2.6999999999970896</v>
      </c>
      <c r="L330">
        <f>電力量!L331-電力量!L330</f>
        <v>19.300000000000182</v>
      </c>
      <c r="M330">
        <f>電力量!M331-電力量!M330</f>
        <v>36.599999999991269</v>
      </c>
      <c r="N330">
        <f>電力量!N331-電力量!N330</f>
        <v>55.099999999999454</v>
      </c>
      <c r="O330">
        <f>電力量!O331-電力量!O330</f>
        <v>25</v>
      </c>
      <c r="P330">
        <f>電力量!P331-電力量!P330</f>
        <v>0</v>
      </c>
      <c r="Q330">
        <f>電力量!Q331-電力量!Q330</f>
        <v>1</v>
      </c>
      <c r="R330">
        <f>電力量!R331-電力量!R330</f>
        <v>0</v>
      </c>
    </row>
    <row r="331" spans="1:18">
      <c r="A331" s="4">
        <f t="shared" ref="A331:A379" si="131">A314+(17/24)</f>
        <v>45913.708333333336</v>
      </c>
      <c r="B331">
        <f>電力量!B332-電力量!B331</f>
        <v>786</v>
      </c>
      <c r="C331">
        <f>電力量!C332-電力量!C331</f>
        <v>189</v>
      </c>
      <c r="D331">
        <f>電力量!D332-電力量!D331</f>
        <v>22.5</v>
      </c>
      <c r="E331">
        <f>電力量!E332-電力量!E331</f>
        <v>0</v>
      </c>
      <c r="F331">
        <f>電力量!F332-電力量!F331</f>
        <v>24</v>
      </c>
      <c r="G331">
        <f>電力量!G332-電力量!G331</f>
        <v>54.099999999991269</v>
      </c>
      <c r="H331">
        <f>電力量!H332-電力量!H331</f>
        <v>13</v>
      </c>
      <c r="I331">
        <f>電力量!I332-電力量!I331</f>
        <v>284</v>
      </c>
      <c r="J331">
        <f>電力量!J332-電力量!J331</f>
        <v>7.5</v>
      </c>
      <c r="K331">
        <f>電力量!K332-電力量!K331</f>
        <v>2.8999999999941792</v>
      </c>
      <c r="L331">
        <f>電力量!L332-電力量!L331</f>
        <v>21.800000000000182</v>
      </c>
      <c r="M331">
        <f>電力量!M332-電力量!M331</f>
        <v>36.900000000008731</v>
      </c>
      <c r="N331">
        <f>電力量!N332-電力量!N331</f>
        <v>54.900000000000546</v>
      </c>
      <c r="O331">
        <f>電力量!O332-電力量!O331</f>
        <v>19.799999999988358</v>
      </c>
      <c r="P331">
        <f>電力量!P332-電力量!P331</f>
        <v>0</v>
      </c>
      <c r="Q331">
        <f>電力量!Q332-電力量!Q331</f>
        <v>0</v>
      </c>
      <c r="R331">
        <f>電力量!R332-電力量!R331</f>
        <v>0</v>
      </c>
    </row>
    <row r="332" spans="1:18">
      <c r="A332" s="4">
        <f t="shared" ref="A332:A380" si="132">A314+(18/24)</f>
        <v>45913.75</v>
      </c>
      <c r="B332">
        <f>電力量!B333-電力量!B332</f>
        <v>771</v>
      </c>
      <c r="C332">
        <f>電力量!C333-電力量!C332</f>
        <v>193</v>
      </c>
      <c r="D332">
        <f>電力量!D333-電力量!D332</f>
        <v>20.69999999999709</v>
      </c>
      <c r="E332">
        <f>電力量!E333-電力量!E332</f>
        <v>0</v>
      </c>
      <c r="F332">
        <f>電力量!F333-電力量!F332</f>
        <v>23</v>
      </c>
      <c r="G332">
        <f>電力量!G333-電力量!G332</f>
        <v>53</v>
      </c>
      <c r="H332">
        <f>電力量!H333-電力量!H332</f>
        <v>12</v>
      </c>
      <c r="I332">
        <f>電力量!I333-電力量!I332</f>
        <v>271</v>
      </c>
      <c r="J332">
        <f>電力量!J333-電力量!J332</f>
        <v>7.9000000000014552</v>
      </c>
      <c r="K332">
        <f>電力量!K333-電力量!K332</f>
        <v>3</v>
      </c>
      <c r="L332">
        <f>電力量!L333-電力量!L332</f>
        <v>22.399999999999636</v>
      </c>
      <c r="M332">
        <f>電力量!M333-電力量!M332</f>
        <v>36.69999999999709</v>
      </c>
      <c r="N332">
        <f>電力量!N333-電力量!N332</f>
        <v>55.399999999999636</v>
      </c>
      <c r="O332">
        <f>電力量!O333-電力量!O332</f>
        <v>18.5</v>
      </c>
      <c r="P332">
        <f>電力量!P333-電力量!P332</f>
        <v>0</v>
      </c>
      <c r="Q332">
        <f>電力量!Q333-電力量!Q332</f>
        <v>0</v>
      </c>
      <c r="R332">
        <f>電力量!R333-電力量!R332</f>
        <v>0</v>
      </c>
    </row>
    <row r="333" spans="1:18">
      <c r="A333" s="4">
        <f t="shared" ref="A333:A381" si="133">A314+(19/24)</f>
        <v>45913.791666666664</v>
      </c>
      <c r="B333">
        <f>電力量!B334-電力量!B333</f>
        <v>751</v>
      </c>
      <c r="C333">
        <f>電力量!C334-電力量!C333</f>
        <v>186</v>
      </c>
      <c r="D333">
        <f>電力量!D334-電力量!D333</f>
        <v>17.400000000001455</v>
      </c>
      <c r="E333">
        <f>電力量!E334-電力量!E333</f>
        <v>0</v>
      </c>
      <c r="F333">
        <f>電力量!F334-電力量!F333</f>
        <v>22</v>
      </c>
      <c r="G333">
        <f>電力量!G334-電力量!G333</f>
        <v>52</v>
      </c>
      <c r="H333">
        <f>電力量!H334-電力量!H333</f>
        <v>13</v>
      </c>
      <c r="I333">
        <f>電力量!I334-電力量!I333</f>
        <v>266</v>
      </c>
      <c r="J333">
        <f>電力量!J334-電力量!J333</f>
        <v>7.6999999999970896</v>
      </c>
      <c r="K333">
        <f>電力量!K334-電力量!K333</f>
        <v>2.9000000000087311</v>
      </c>
      <c r="L333">
        <f>電力量!L334-電力量!L333</f>
        <v>21.400000000000546</v>
      </c>
      <c r="M333">
        <f>電力量!M334-電力量!M333</f>
        <v>36.30000000000291</v>
      </c>
      <c r="N333">
        <f>電力量!N334-電力量!N333</f>
        <v>53.699999999999818</v>
      </c>
      <c r="O333">
        <f>電力量!O334-電力量!O333</f>
        <v>20.700000000011642</v>
      </c>
      <c r="P333">
        <f>電力量!P334-電力量!P333</f>
        <v>0</v>
      </c>
      <c r="Q333">
        <f>電力量!Q334-電力量!Q333</f>
        <v>0</v>
      </c>
      <c r="R333">
        <f>電力量!R334-電力量!R333</f>
        <v>0</v>
      </c>
    </row>
    <row r="334" spans="1:18">
      <c r="A334" s="4">
        <f t="shared" ref="A334:A382" si="134">A314+(20/24)</f>
        <v>45913.833333333336</v>
      </c>
      <c r="B334">
        <f>電力量!B335-電力量!B334</f>
        <v>732</v>
      </c>
      <c r="C334">
        <f>電力量!C335-電力量!C334</f>
        <v>180</v>
      </c>
      <c r="D334">
        <f>電力量!D335-電力量!D334</f>
        <v>16.400000000001455</v>
      </c>
      <c r="E334">
        <f>電力量!E335-電力量!E334</f>
        <v>0</v>
      </c>
      <c r="F334">
        <f>電力量!F335-電力量!F334</f>
        <v>21</v>
      </c>
      <c r="G334">
        <f>電力量!G335-電力量!G334</f>
        <v>50.5</v>
      </c>
      <c r="H334">
        <f>電力量!H335-電力量!H334</f>
        <v>12</v>
      </c>
      <c r="I334">
        <f>電力量!I335-電力量!I334</f>
        <v>255</v>
      </c>
      <c r="J334">
        <f>電力量!J335-電力量!J334</f>
        <v>7.6000000000058208</v>
      </c>
      <c r="K334">
        <f>電力量!K335-電力量!K334</f>
        <v>2.8999999999941792</v>
      </c>
      <c r="L334">
        <f>電力量!L335-電力量!L334</f>
        <v>22.199999999999818</v>
      </c>
      <c r="M334">
        <f>電力量!M335-電力量!M334</f>
        <v>33.80000000000291</v>
      </c>
      <c r="N334">
        <f>電力量!N335-電力量!N334</f>
        <v>54.199999999999818</v>
      </c>
      <c r="O334">
        <f>電力量!O335-電力量!O334</f>
        <v>22.099999999991269</v>
      </c>
      <c r="P334">
        <f>電力量!P335-電力量!P334</f>
        <v>0</v>
      </c>
      <c r="Q334">
        <f>電力量!Q335-電力量!Q334</f>
        <v>0</v>
      </c>
      <c r="R334">
        <f>電力量!R335-電力量!R334</f>
        <v>0</v>
      </c>
    </row>
    <row r="335" spans="1:18">
      <c r="A335" s="4">
        <f t="shared" ref="A335:A383" si="135">A314+(21/24)</f>
        <v>45913.875</v>
      </c>
      <c r="B335">
        <f>電力量!B336-電力量!B335</f>
        <v>739</v>
      </c>
      <c r="C335">
        <f>電力量!C336-電力量!C335</f>
        <v>182</v>
      </c>
      <c r="D335">
        <f>電力量!D336-電力量!D335</f>
        <v>22.599999999998545</v>
      </c>
      <c r="E335">
        <f>電力量!E336-電力量!E335</f>
        <v>0</v>
      </c>
      <c r="F335">
        <f>電力量!F336-電力量!F335</f>
        <v>22</v>
      </c>
      <c r="G335">
        <f>電力量!G336-電力量!G335</f>
        <v>50.200000000011642</v>
      </c>
      <c r="H335">
        <f>電力量!H336-電力量!H335</f>
        <v>12</v>
      </c>
      <c r="I335">
        <f>電力量!I336-電力量!I335</f>
        <v>255</v>
      </c>
      <c r="J335">
        <f>電力量!J336-電力量!J335</f>
        <v>8.1999999999970896</v>
      </c>
      <c r="K335">
        <f>電力量!K336-電力量!K335</f>
        <v>2.6000000000058208</v>
      </c>
      <c r="L335">
        <f>電力量!L336-電力量!L335</f>
        <v>22.5</v>
      </c>
      <c r="M335">
        <f>電力量!M336-電力量!M335</f>
        <v>33.799999999988358</v>
      </c>
      <c r="N335">
        <f>電力量!N336-電力量!N335</f>
        <v>55.100000000000364</v>
      </c>
      <c r="O335">
        <f>電力量!O336-電力量!O335</f>
        <v>20.19999999999709</v>
      </c>
      <c r="P335">
        <f>電力量!P336-電力量!P335</f>
        <v>0</v>
      </c>
      <c r="Q335">
        <f>電力量!Q336-電力量!Q335</f>
        <v>0</v>
      </c>
      <c r="R335">
        <f>電力量!R336-電力量!R335</f>
        <v>0</v>
      </c>
    </row>
    <row r="336" spans="1:18">
      <c r="A336" s="4">
        <f t="shared" ref="A336:A384" si="136">A314+(22/24)</f>
        <v>45913.916666666664</v>
      </c>
      <c r="B336">
        <f>電力量!B337-電力量!B336</f>
        <v>727</v>
      </c>
      <c r="C336">
        <f>電力量!C337-電力量!C336</f>
        <v>178</v>
      </c>
      <c r="D336">
        <f>電力量!D337-電力量!D336</f>
        <v>19.69999999999709</v>
      </c>
      <c r="E336">
        <f>電力量!E337-電力量!E336</f>
        <v>0</v>
      </c>
      <c r="F336">
        <f>電力量!F337-電力量!F336</f>
        <v>20</v>
      </c>
      <c r="G336">
        <f>電力量!G337-電力量!G336</f>
        <v>47.299999999988358</v>
      </c>
      <c r="H336">
        <f>電力量!H337-電力量!H336</f>
        <v>13</v>
      </c>
      <c r="I336">
        <f>電力量!I337-電力量!I336</f>
        <v>255</v>
      </c>
      <c r="J336">
        <f>電力量!J337-電力量!J336</f>
        <v>7.8000000000029104</v>
      </c>
      <c r="K336">
        <f>電力量!K337-電力量!K336</f>
        <v>2.8999999999941792</v>
      </c>
      <c r="L336">
        <f>電力量!L337-電力量!L336</f>
        <v>23.300000000000182</v>
      </c>
      <c r="M336">
        <f>電力量!M337-電力量!M336</f>
        <v>33.900000000008731</v>
      </c>
      <c r="N336">
        <f>電力量!N337-電力量!N336</f>
        <v>54.100000000000364</v>
      </c>
      <c r="O336">
        <f>電力量!O337-電力量!O336</f>
        <v>18.900000000008731</v>
      </c>
      <c r="P336">
        <f>電力量!P337-電力量!P336</f>
        <v>0</v>
      </c>
      <c r="Q336">
        <f>電力量!Q337-電力量!Q336</f>
        <v>0</v>
      </c>
      <c r="R336">
        <f>電力量!R337-電力量!R336</f>
        <v>0</v>
      </c>
    </row>
    <row r="337" spans="1:18">
      <c r="A337" s="4">
        <f t="shared" ref="A337:A385" si="137">A314+(23/24)</f>
        <v>45913.958333333336</v>
      </c>
      <c r="B337">
        <f>電力量!B338-電力量!B337</f>
        <v>715</v>
      </c>
      <c r="C337">
        <f>電力量!C338-電力量!C337</f>
        <v>175</v>
      </c>
      <c r="D337">
        <f>電力量!D338-電力量!D337</f>
        <v>17.599999999998545</v>
      </c>
      <c r="E337">
        <f>電力量!E338-電力量!E337</f>
        <v>0</v>
      </c>
      <c r="F337">
        <f>電力量!F338-電力量!F337</f>
        <v>20</v>
      </c>
      <c r="G337">
        <f>電力量!G338-電力量!G337</f>
        <v>46.5</v>
      </c>
      <c r="H337">
        <f>電力量!H338-電力量!H337</f>
        <v>12</v>
      </c>
      <c r="I337">
        <f>電力量!I338-電力量!I337</f>
        <v>251</v>
      </c>
      <c r="J337">
        <f>電力量!J338-電力量!J337</f>
        <v>7.5999999999985448</v>
      </c>
      <c r="K337">
        <f>電力量!K338-電力量!K337</f>
        <v>2.8000000000029104</v>
      </c>
      <c r="L337">
        <f>電力量!L338-電力量!L337</f>
        <v>24.099999999999454</v>
      </c>
      <c r="M337">
        <f>電力量!M338-電力量!M337</f>
        <v>34.099999999991269</v>
      </c>
      <c r="N337">
        <f>電力量!N338-電力量!N337</f>
        <v>55</v>
      </c>
      <c r="O337">
        <f>電力量!O338-電力量!O337</f>
        <v>18</v>
      </c>
      <c r="P337">
        <f>電力量!P338-電力量!P337</f>
        <v>0</v>
      </c>
      <c r="Q337">
        <f>電力量!Q338-電力量!Q337</f>
        <v>0</v>
      </c>
      <c r="R337">
        <f>電力量!R338-電力量!R337</f>
        <v>0</v>
      </c>
    </row>
    <row r="338" spans="1:18">
      <c r="A338" s="4">
        <v>45914</v>
      </c>
      <c r="B338">
        <f>電力量!B339-電力量!B338</f>
        <v>702</v>
      </c>
      <c r="C338">
        <f>電力量!C339-電力量!C338</f>
        <v>175</v>
      </c>
      <c r="D338">
        <f>電力量!D339-電力量!D338</f>
        <v>15.700000000004366</v>
      </c>
      <c r="E338">
        <f>電力量!E339-電力量!E338</f>
        <v>0</v>
      </c>
      <c r="F338">
        <f>電力量!F339-電力量!F338</f>
        <v>18</v>
      </c>
      <c r="G338">
        <f>電力量!G339-電力量!G338</f>
        <v>46.600000000005821</v>
      </c>
      <c r="H338">
        <f>電力量!H339-電力量!H338</f>
        <v>11</v>
      </c>
      <c r="I338">
        <f>電力量!I339-電力量!I338</f>
        <v>248</v>
      </c>
      <c r="J338">
        <f>電力量!J339-電力量!J338</f>
        <v>7.5999999999985448</v>
      </c>
      <c r="K338">
        <f>電力量!K339-電力量!K338</f>
        <v>3.1000000000058208</v>
      </c>
      <c r="L338">
        <f>電力量!L339-電力量!L338</f>
        <v>20.300000000000182</v>
      </c>
      <c r="M338">
        <f>電力量!M339-電力量!M338</f>
        <v>33.700000000011642</v>
      </c>
      <c r="N338">
        <f>電力量!N339-電力量!N338</f>
        <v>54.799999999999272</v>
      </c>
      <c r="O338">
        <f>電力量!O339-電力量!O338</f>
        <v>15.899999999994179</v>
      </c>
      <c r="P338">
        <f>電力量!P339-電力量!P338</f>
        <v>0</v>
      </c>
      <c r="Q338">
        <f>電力量!Q339-電力量!Q338</f>
        <v>0</v>
      </c>
      <c r="R338">
        <f>電力量!R339-電力量!R338</f>
        <v>0</v>
      </c>
    </row>
    <row r="339" spans="1:18">
      <c r="A339" s="4">
        <f t="shared" si="115"/>
        <v>45914.041666666664</v>
      </c>
      <c r="B339">
        <f>電力量!B340-電力量!B339</f>
        <v>703</v>
      </c>
      <c r="C339">
        <f>電力量!C340-電力量!C339</f>
        <v>169</v>
      </c>
      <c r="D339">
        <f>電力量!D340-電力量!D339</f>
        <v>16.400000000001455</v>
      </c>
      <c r="E339">
        <f>電力量!E340-電力量!E339</f>
        <v>0</v>
      </c>
      <c r="F339">
        <f>電力量!F340-電力量!F339</f>
        <v>19</v>
      </c>
      <c r="G339">
        <f>電力量!G340-電力量!G339</f>
        <v>48.80000000000291</v>
      </c>
      <c r="H339">
        <f>電力量!H340-電力量!H339</f>
        <v>13</v>
      </c>
      <c r="I339">
        <f>電力量!I340-電力量!I339</f>
        <v>246</v>
      </c>
      <c r="J339">
        <f>電力量!J340-電力量!J339</f>
        <v>7.5999999999985448</v>
      </c>
      <c r="K339">
        <f>電力量!K340-電力量!K339</f>
        <v>2.7999999999883585</v>
      </c>
      <c r="L339">
        <f>電力量!L340-電力量!L339</f>
        <v>20.900000000000546</v>
      </c>
      <c r="M339">
        <f>電力量!M340-電力量!M339</f>
        <v>35.399999999994179</v>
      </c>
      <c r="N339">
        <f>電力量!N340-電力量!N339</f>
        <v>53.300000000000182</v>
      </c>
      <c r="O339">
        <f>電力量!O340-電力量!O339</f>
        <v>18.19999999999709</v>
      </c>
      <c r="P339">
        <f>電力量!P340-電力量!P339</f>
        <v>0</v>
      </c>
      <c r="Q339">
        <f>電力量!Q340-電力量!Q339</f>
        <v>0</v>
      </c>
      <c r="R339">
        <f>電力量!R340-電力量!R339</f>
        <v>0</v>
      </c>
    </row>
    <row r="340" spans="1:18">
      <c r="A340" s="4">
        <f t="shared" si="116"/>
        <v>45914.083333333336</v>
      </c>
      <c r="B340">
        <f>電力量!B341-電力量!B340</f>
        <v>696</v>
      </c>
      <c r="C340">
        <f>電力量!C341-電力量!C340</f>
        <v>170</v>
      </c>
      <c r="D340">
        <f>電力量!D341-電力量!D340</f>
        <v>16.099999999998545</v>
      </c>
      <c r="E340">
        <f>電力量!E341-電力量!E340</f>
        <v>0</v>
      </c>
      <c r="F340">
        <f>電力量!F341-電力量!F340</f>
        <v>20</v>
      </c>
      <c r="G340">
        <f>電力量!G341-電力量!G340</f>
        <v>48.30000000000291</v>
      </c>
      <c r="H340">
        <f>電力量!H341-電力量!H340</f>
        <v>12</v>
      </c>
      <c r="I340">
        <f>電力量!I341-電力量!I340</f>
        <v>240</v>
      </c>
      <c r="J340">
        <f>電力量!J341-電力量!J340</f>
        <v>8</v>
      </c>
      <c r="K340">
        <f>電力量!K341-電力量!K340</f>
        <v>2.9000000000087311</v>
      </c>
      <c r="L340">
        <f>電力量!L341-電力量!L340</f>
        <v>19.899999999999636</v>
      </c>
      <c r="M340">
        <f>電力量!M341-電力量!M340</f>
        <v>36</v>
      </c>
      <c r="N340">
        <f>電力量!N341-電力量!N340</f>
        <v>53.800000000000182</v>
      </c>
      <c r="O340">
        <f>電力量!O341-電力量!O340</f>
        <v>18.100000000005821</v>
      </c>
      <c r="P340">
        <f>電力量!P341-電力量!P340</f>
        <v>0</v>
      </c>
      <c r="Q340">
        <f>電力量!Q341-電力量!Q340</f>
        <v>0</v>
      </c>
      <c r="R340">
        <f>電力量!R341-電力量!R340</f>
        <v>0</v>
      </c>
    </row>
    <row r="341" spans="1:18">
      <c r="A341" s="4">
        <f t="shared" si="117"/>
        <v>45914.125</v>
      </c>
      <c r="B341">
        <f>電力量!B342-電力量!B341</f>
        <v>685</v>
      </c>
      <c r="C341">
        <f>電力量!C342-電力量!C341</f>
        <v>165</v>
      </c>
      <c r="D341">
        <f>電力量!D342-電力量!D341</f>
        <v>14.099999999998545</v>
      </c>
      <c r="E341">
        <f>電力量!E342-電力量!E341</f>
        <v>0</v>
      </c>
      <c r="F341">
        <f>電力量!F342-電力量!F341</f>
        <v>19</v>
      </c>
      <c r="G341">
        <f>電力量!G342-電力量!G341</f>
        <v>47.399999999994179</v>
      </c>
      <c r="H341">
        <f>電力量!H342-電力量!H341</f>
        <v>12</v>
      </c>
      <c r="I341">
        <f>電力量!I342-電力量!I341</f>
        <v>238</v>
      </c>
      <c r="J341">
        <f>電力量!J342-電力量!J341</f>
        <v>7.5999999999985448</v>
      </c>
      <c r="K341">
        <f>電力量!K342-電力量!K341</f>
        <v>2.6999999999970896</v>
      </c>
      <c r="L341">
        <f>電力量!L342-電力量!L341</f>
        <v>19.300000000000182</v>
      </c>
      <c r="M341">
        <f>電力量!M342-電力量!M341</f>
        <v>36</v>
      </c>
      <c r="N341">
        <f>電力量!N342-電力量!N341</f>
        <v>54.199999999999818</v>
      </c>
      <c r="O341">
        <f>電力量!O342-電力量!O341</f>
        <v>18.5</v>
      </c>
      <c r="P341">
        <f>電力量!P342-電力量!P341</f>
        <v>0</v>
      </c>
      <c r="Q341">
        <f>電力量!Q342-電力量!Q341</f>
        <v>0</v>
      </c>
      <c r="R341">
        <f>電力量!R342-電力量!R341</f>
        <v>0</v>
      </c>
    </row>
    <row r="342" spans="1:18">
      <c r="A342" s="4">
        <f t="shared" si="118"/>
        <v>45914.166666666664</v>
      </c>
      <c r="B342">
        <f>電力量!B343-電力量!B342</f>
        <v>682</v>
      </c>
      <c r="C342">
        <f>電力量!C343-電力量!C342</f>
        <v>165</v>
      </c>
      <c r="D342">
        <f>電力量!D343-電力量!D342</f>
        <v>14.80000000000291</v>
      </c>
      <c r="E342">
        <f>電力量!E343-電力量!E342</f>
        <v>0</v>
      </c>
      <c r="F342">
        <f>電力量!F343-電力量!F342</f>
        <v>19</v>
      </c>
      <c r="G342">
        <f>電力量!G343-電力量!G342</f>
        <v>47.399999999994179</v>
      </c>
      <c r="H342">
        <f>電力量!H343-電力量!H342</f>
        <v>11</v>
      </c>
      <c r="I342">
        <f>電力量!I343-電力量!I342</f>
        <v>238</v>
      </c>
      <c r="J342">
        <f>電力量!J343-電力量!J342</f>
        <v>7.9000000000014552</v>
      </c>
      <c r="K342">
        <f>電力量!K343-電力量!K342</f>
        <v>2.6999999999970896</v>
      </c>
      <c r="L342">
        <f>電力量!L343-電力量!L342</f>
        <v>18.699999999999818</v>
      </c>
      <c r="M342">
        <f>電力量!M343-電力量!M342</f>
        <v>33.5</v>
      </c>
      <c r="N342">
        <f>電力量!N343-電力量!N342</f>
        <v>54.300000000000182</v>
      </c>
      <c r="O342">
        <f>電力量!O343-電力量!O342</f>
        <v>18.600000000005821</v>
      </c>
      <c r="P342">
        <f>電力量!P343-電力量!P342</f>
        <v>0</v>
      </c>
      <c r="Q342">
        <f>電力量!Q343-電力量!Q342</f>
        <v>0</v>
      </c>
      <c r="R342">
        <f>電力量!R343-電力量!R342</f>
        <v>0</v>
      </c>
    </row>
    <row r="343" spans="1:18">
      <c r="A343" s="4">
        <f t="shared" si="119"/>
        <v>45914.208333333336</v>
      </c>
      <c r="B343">
        <f>電力量!B344-電力量!B343</f>
        <v>686</v>
      </c>
      <c r="C343">
        <f>電力量!C344-電力量!C343</f>
        <v>166</v>
      </c>
      <c r="D343">
        <f>電力量!D344-電力量!D343</f>
        <v>14.099999999998545</v>
      </c>
      <c r="E343">
        <f>電力量!E344-電力量!E343</f>
        <v>0</v>
      </c>
      <c r="F343">
        <f>電力量!F344-電力量!F343</f>
        <v>20</v>
      </c>
      <c r="G343">
        <f>電力量!G344-電力量!G343</f>
        <v>48.30000000000291</v>
      </c>
      <c r="H343">
        <f>電力量!H344-電力量!H343</f>
        <v>12</v>
      </c>
      <c r="I343">
        <f>電力量!I344-電力量!I343</f>
        <v>240</v>
      </c>
      <c r="J343">
        <f>電力量!J344-電力量!J343</f>
        <v>7.5</v>
      </c>
      <c r="K343">
        <f>電力量!K344-電力量!K343</f>
        <v>2.6999999999970896</v>
      </c>
      <c r="L343">
        <f>電力量!L344-電力量!L343</f>
        <v>18.800000000000182</v>
      </c>
      <c r="M343">
        <f>電力量!M344-電力量!M343</f>
        <v>33.30000000000291</v>
      </c>
      <c r="N343">
        <f>電力量!N344-電力量!N343</f>
        <v>54.300000000000182</v>
      </c>
      <c r="O343">
        <f>電力量!O344-電力量!O343</f>
        <v>17.799999999988358</v>
      </c>
      <c r="P343">
        <f>電力量!P344-電力量!P343</f>
        <v>0</v>
      </c>
      <c r="Q343">
        <f>電力量!Q344-電力量!Q343</f>
        <v>0</v>
      </c>
      <c r="R343">
        <f>電力量!R344-電力量!R343</f>
        <v>0</v>
      </c>
    </row>
    <row r="344" spans="1:18">
      <c r="A344" s="4">
        <f t="shared" si="120"/>
        <v>45914.25</v>
      </c>
      <c r="B344">
        <f>電力量!B345-電力量!B344</f>
        <v>675</v>
      </c>
      <c r="C344">
        <f>電力量!C345-電力量!C344</f>
        <v>163</v>
      </c>
      <c r="D344">
        <f>電力量!D345-電力量!D344</f>
        <v>13.799999999995634</v>
      </c>
      <c r="E344">
        <f>電力量!E345-電力量!E344</f>
        <v>0</v>
      </c>
      <c r="F344">
        <f>電力量!F345-電力量!F344</f>
        <v>19</v>
      </c>
      <c r="G344">
        <f>電力量!G345-電力量!G344</f>
        <v>45.600000000005821</v>
      </c>
      <c r="H344">
        <f>電力量!H345-電力量!H344</f>
        <v>12</v>
      </c>
      <c r="I344">
        <f>電力量!I345-電力量!I344</f>
        <v>241</v>
      </c>
      <c r="J344">
        <f>電力量!J345-電力量!J344</f>
        <v>7.2000000000043656</v>
      </c>
      <c r="K344">
        <f>電力量!K345-電力量!K344</f>
        <v>2.7000000000116415</v>
      </c>
      <c r="L344">
        <f>電力量!L345-電力量!L344</f>
        <v>17.800000000000182</v>
      </c>
      <c r="M344">
        <f>電力量!M345-電力量!M344</f>
        <v>32.30000000000291</v>
      </c>
      <c r="N344">
        <f>電力量!N345-電力量!N344</f>
        <v>53.599999999999454</v>
      </c>
      <c r="O344">
        <f>電力量!O345-電力量!O344</f>
        <v>15.600000000005821</v>
      </c>
      <c r="P344">
        <f>電力量!P345-電力量!P344</f>
        <v>0</v>
      </c>
      <c r="Q344">
        <f>電力量!Q345-電力量!Q344</f>
        <v>0</v>
      </c>
      <c r="R344">
        <f>電力量!R345-電力量!R344</f>
        <v>0</v>
      </c>
    </row>
    <row r="345" spans="1:18">
      <c r="A345" s="4">
        <f t="shared" si="121"/>
        <v>45914.291666666664</v>
      </c>
      <c r="B345">
        <f>電力量!B346-電力量!B345</f>
        <v>653</v>
      </c>
      <c r="C345">
        <f>電力量!C346-電力量!C345</f>
        <v>156</v>
      </c>
      <c r="D345">
        <f>電力量!D346-電力量!D345</f>
        <v>13.900000000001455</v>
      </c>
      <c r="E345">
        <f>電力量!E346-電力量!E345</f>
        <v>0</v>
      </c>
      <c r="F345">
        <f>電力量!F346-電力量!F345</f>
        <v>18</v>
      </c>
      <c r="G345">
        <f>電力量!G346-電力量!G345</f>
        <v>44.19999999999709</v>
      </c>
      <c r="H345">
        <f>電力量!H346-電力量!H345</f>
        <v>12</v>
      </c>
      <c r="I345">
        <f>電力量!I346-電力量!I345</f>
        <v>233</v>
      </c>
      <c r="J345">
        <f>電力量!J346-電力量!J345</f>
        <v>7</v>
      </c>
      <c r="K345">
        <f>電力量!K346-電力量!K345</f>
        <v>1.7999999999883585</v>
      </c>
      <c r="L345">
        <f>電力量!L346-電力量!L345</f>
        <v>16.699999999999818</v>
      </c>
      <c r="M345">
        <f>電力量!M346-電力量!M345</f>
        <v>31.5</v>
      </c>
      <c r="N345">
        <f>電力量!N346-電力量!N345</f>
        <v>53.100000000000364</v>
      </c>
      <c r="O345">
        <f>電力量!O346-電力量!O345</f>
        <v>17.100000000005821</v>
      </c>
      <c r="P345">
        <f>電力量!P346-電力量!P345</f>
        <v>1</v>
      </c>
      <c r="Q345">
        <f>電力量!Q346-電力量!Q345</f>
        <v>0</v>
      </c>
      <c r="R345">
        <f>電力量!R346-電力量!R345</f>
        <v>0</v>
      </c>
    </row>
    <row r="346" spans="1:18">
      <c r="A346" s="4">
        <f t="shared" si="122"/>
        <v>45914.333333333336</v>
      </c>
      <c r="B346">
        <f>電力量!B347-電力量!B346</f>
        <v>662</v>
      </c>
      <c r="C346">
        <f>電力量!C347-電力量!C346</f>
        <v>160</v>
      </c>
      <c r="D346">
        <f>電力量!D347-電力量!D346</f>
        <v>14.5</v>
      </c>
      <c r="E346">
        <f>電力量!E347-電力量!E346</f>
        <v>0</v>
      </c>
      <c r="F346">
        <f>電力量!F347-電力量!F346</f>
        <v>20</v>
      </c>
      <c r="G346">
        <f>電力量!G347-電力量!G346</f>
        <v>41.5</v>
      </c>
      <c r="H346">
        <f>電力量!H347-電力量!H346</f>
        <v>13</v>
      </c>
      <c r="I346">
        <f>電力量!I347-電力量!I346</f>
        <v>234</v>
      </c>
      <c r="J346">
        <f>電力量!J347-電力量!J346</f>
        <v>7.3999999999941792</v>
      </c>
      <c r="K346">
        <f>電力量!K347-電力量!K346</f>
        <v>0.60000000000582077</v>
      </c>
      <c r="L346">
        <f>電力量!L347-電力量!L346</f>
        <v>17.800000000000182</v>
      </c>
      <c r="M346">
        <f>電力量!M347-電力量!M346</f>
        <v>32.799999999988358</v>
      </c>
      <c r="N346">
        <f>電力量!N347-電力量!N346</f>
        <v>52.199999999999818</v>
      </c>
      <c r="O346">
        <f>電力量!O347-電力量!O346</f>
        <v>17.599999999991269</v>
      </c>
      <c r="P346">
        <f>電力量!P347-電力量!P346</f>
        <v>1</v>
      </c>
      <c r="Q346">
        <f>電力量!Q347-電力量!Q346</f>
        <v>2</v>
      </c>
      <c r="R346">
        <f>電力量!R347-電力量!R346</f>
        <v>0</v>
      </c>
    </row>
    <row r="347" spans="1:18">
      <c r="A347" s="4">
        <f t="shared" si="123"/>
        <v>45914.375</v>
      </c>
      <c r="B347">
        <f>電力量!B348-電力量!B347</f>
        <v>667</v>
      </c>
      <c r="C347">
        <f>電力量!C348-電力量!C347</f>
        <v>163</v>
      </c>
      <c r="D347">
        <f>電力量!D348-電力量!D347</f>
        <v>13.900000000001455</v>
      </c>
      <c r="E347">
        <f>電力量!E348-電力量!E347</f>
        <v>0</v>
      </c>
      <c r="F347">
        <f>電力量!F348-電力量!F347</f>
        <v>20</v>
      </c>
      <c r="G347">
        <f>電力量!G348-電力量!G347</f>
        <v>41.19999999999709</v>
      </c>
      <c r="H347">
        <f>電力量!H348-電力量!H347</f>
        <v>11</v>
      </c>
      <c r="I347">
        <f>電力量!I348-電力量!I347</f>
        <v>241</v>
      </c>
      <c r="J347">
        <f>電力量!J348-電力量!J347</f>
        <v>7.3000000000029104</v>
      </c>
      <c r="K347">
        <f>電力量!K348-電力量!K347</f>
        <v>0.19999999999708962</v>
      </c>
      <c r="L347">
        <f>電力量!L348-電力量!L347</f>
        <v>18.699999999999818</v>
      </c>
      <c r="M347">
        <f>電力量!M348-電力量!M347</f>
        <v>31.900000000008731</v>
      </c>
      <c r="N347">
        <f>電力量!N348-電力量!N347</f>
        <v>51.5</v>
      </c>
      <c r="O347">
        <f>電力量!O348-電力量!O347</f>
        <v>17.69999999999709</v>
      </c>
      <c r="P347">
        <f>電力量!P348-電力量!P347</f>
        <v>1</v>
      </c>
      <c r="Q347">
        <f>電力量!Q348-電力量!Q347</f>
        <v>2</v>
      </c>
      <c r="R347">
        <f>電力量!R348-電力量!R347</f>
        <v>0</v>
      </c>
    </row>
    <row r="348" spans="1:18">
      <c r="A348" s="4">
        <f t="shared" si="124"/>
        <v>45914.416666666664</v>
      </c>
      <c r="B348">
        <f>電力量!B349-電力量!B348</f>
        <v>676</v>
      </c>
      <c r="C348">
        <f>電力量!C349-電力量!C348</f>
        <v>171</v>
      </c>
      <c r="D348">
        <f>電力量!D349-電力量!D348</f>
        <v>14</v>
      </c>
      <c r="E348">
        <f>電力量!E349-電力量!E348</f>
        <v>0</v>
      </c>
      <c r="F348">
        <f>電力量!F349-電力量!F348</f>
        <v>20</v>
      </c>
      <c r="G348">
        <f>電力量!G349-電力量!G348</f>
        <v>42</v>
      </c>
      <c r="H348">
        <f>電力量!H349-電力量!H348</f>
        <v>13</v>
      </c>
      <c r="I348">
        <f>電力量!I349-電力量!I348</f>
        <v>241</v>
      </c>
      <c r="J348">
        <f>電力量!J349-電力量!J348</f>
        <v>7.0999999999985448</v>
      </c>
      <c r="K348">
        <f>電力量!K349-電力量!K348</f>
        <v>0.60000000000582077</v>
      </c>
      <c r="L348">
        <f>電力量!L349-電力量!L348</f>
        <v>18.099999999999454</v>
      </c>
      <c r="M348">
        <f>電力量!M349-電力量!M348</f>
        <v>32.69999999999709</v>
      </c>
      <c r="N348">
        <f>電力量!N349-電力量!N348</f>
        <v>49.5</v>
      </c>
      <c r="O348">
        <f>電力量!O349-電力量!O348</f>
        <v>18.5</v>
      </c>
      <c r="P348">
        <f>電力量!P349-電力量!P348</f>
        <v>3</v>
      </c>
      <c r="Q348">
        <f>電力量!Q349-電力量!Q348</f>
        <v>4</v>
      </c>
      <c r="R348">
        <f>電力量!R349-電力量!R348</f>
        <v>0</v>
      </c>
    </row>
    <row r="349" spans="1:18">
      <c r="A349" s="4">
        <f t="shared" si="125"/>
        <v>45914.458333333336</v>
      </c>
      <c r="B349">
        <f>電力量!B350-電力量!B349</f>
        <v>678</v>
      </c>
      <c r="C349">
        <f>電力量!C350-電力量!C349</f>
        <v>172</v>
      </c>
      <c r="D349">
        <f>電力量!D350-電力量!D349</f>
        <v>18.19999999999709</v>
      </c>
      <c r="E349">
        <f>電力量!E350-電力量!E349</f>
        <v>0</v>
      </c>
      <c r="F349">
        <f>電力量!F350-電力量!F349</f>
        <v>22</v>
      </c>
      <c r="G349">
        <f>電力量!G350-電力量!G349</f>
        <v>33</v>
      </c>
      <c r="H349">
        <f>電力量!H350-電力量!H349</f>
        <v>11</v>
      </c>
      <c r="I349">
        <f>電力量!I350-電力量!I349</f>
        <v>251</v>
      </c>
      <c r="J349">
        <f>電力量!J350-電力量!J349</f>
        <v>7.5999999999985448</v>
      </c>
      <c r="K349">
        <f>電力量!K350-電力量!K349</f>
        <v>9.9999999991268851E-2</v>
      </c>
      <c r="L349">
        <f>電力量!L350-電力量!L349</f>
        <v>20.800000000000182</v>
      </c>
      <c r="M349">
        <f>電力量!M350-電力量!M349</f>
        <v>33.100000000005821</v>
      </c>
      <c r="N349">
        <f>電力量!N350-電力量!N349</f>
        <v>46.900000000000546</v>
      </c>
      <c r="O349">
        <f>電力量!O350-電力量!O349</f>
        <v>17.80000000000291</v>
      </c>
      <c r="P349">
        <f>電力量!P350-電力量!P349</f>
        <v>6</v>
      </c>
      <c r="Q349">
        <f>電力量!Q350-電力量!Q349</f>
        <v>11</v>
      </c>
      <c r="R349">
        <f>電力量!R350-電力量!R349</f>
        <v>0</v>
      </c>
    </row>
    <row r="350" spans="1:18">
      <c r="A350" s="4">
        <f t="shared" si="126"/>
        <v>45914.5</v>
      </c>
      <c r="B350">
        <f>電力量!B351-電力量!B350</f>
        <v>688</v>
      </c>
      <c r="C350">
        <f>電力量!C351-電力量!C350</f>
        <v>180</v>
      </c>
      <c r="D350">
        <f>電力量!D351-電力量!D350</f>
        <v>24</v>
      </c>
      <c r="E350">
        <f>電力量!E351-電力量!E350</f>
        <v>0</v>
      </c>
      <c r="F350">
        <f>電力量!F351-電力量!F350</f>
        <v>23</v>
      </c>
      <c r="G350">
        <f>電力量!G351-電力量!G350</f>
        <v>25.69999999999709</v>
      </c>
      <c r="H350">
        <f>電力量!H351-電力量!H350</f>
        <v>12</v>
      </c>
      <c r="I350">
        <f>電力量!I351-電力量!I350</f>
        <v>259</v>
      </c>
      <c r="J350">
        <f>電力量!J351-電力量!J350</f>
        <v>8.6000000000058208</v>
      </c>
      <c r="K350">
        <f>電力量!K351-電力量!K350</f>
        <v>0</v>
      </c>
      <c r="L350">
        <f>電力量!L351-電力量!L350</f>
        <v>22.199999999999818</v>
      </c>
      <c r="M350">
        <f>電力量!M351-電力量!M350</f>
        <v>37.299999999988358</v>
      </c>
      <c r="N350">
        <f>電力量!N351-電力量!N350</f>
        <v>42.399999999999636</v>
      </c>
      <c r="O350">
        <f>電力量!O351-電力量!O350</f>
        <v>15.900000000008731</v>
      </c>
      <c r="P350">
        <f>電力量!P351-電力量!P350</f>
        <v>11</v>
      </c>
      <c r="Q350">
        <f>電力量!Q351-電力量!Q350</f>
        <v>16</v>
      </c>
      <c r="R350">
        <f>電力量!R351-電力量!R350</f>
        <v>0</v>
      </c>
    </row>
    <row r="351" spans="1:18">
      <c r="A351" s="4">
        <f t="shared" si="127"/>
        <v>45914.541666666664</v>
      </c>
      <c r="B351">
        <f>電力量!B352-電力量!B351</f>
        <v>716</v>
      </c>
      <c r="C351">
        <f>電力量!C352-電力量!C351</f>
        <v>183</v>
      </c>
      <c r="D351">
        <f>電力量!D352-電力量!D351</f>
        <v>23.600000000005821</v>
      </c>
      <c r="E351">
        <f>電力量!E352-電力量!E351</f>
        <v>0</v>
      </c>
      <c r="F351">
        <f>電力量!F352-電力量!F351</f>
        <v>26</v>
      </c>
      <c r="G351">
        <f>電力量!G352-電力量!G351</f>
        <v>26.700000000011642</v>
      </c>
      <c r="H351">
        <f>電力量!H352-電力量!H351</f>
        <v>11</v>
      </c>
      <c r="I351">
        <f>電力量!I352-電力量!I351</f>
        <v>274</v>
      </c>
      <c r="J351">
        <f>電力量!J352-電力量!J351</f>
        <v>9.3999999999941792</v>
      </c>
      <c r="K351">
        <f>電力量!K352-電力量!K351</f>
        <v>0</v>
      </c>
      <c r="L351">
        <f>電力量!L352-電力量!L351</f>
        <v>24.800000000000182</v>
      </c>
      <c r="M351">
        <f>電力量!M352-電力量!M351</f>
        <v>35.80000000000291</v>
      </c>
      <c r="N351">
        <f>電力量!N352-電力量!N351</f>
        <v>41.600000000000364</v>
      </c>
      <c r="O351">
        <f>電力量!O352-電力量!O351</f>
        <v>18</v>
      </c>
      <c r="P351">
        <f>電力量!P352-電力量!P351</f>
        <v>12</v>
      </c>
      <c r="Q351">
        <f>電力量!Q352-電力量!Q351</f>
        <v>18</v>
      </c>
      <c r="R351">
        <f>電力量!R352-電力量!R351</f>
        <v>0</v>
      </c>
    </row>
    <row r="352" spans="1:18">
      <c r="A352" s="4">
        <f t="shared" si="128"/>
        <v>45914.583333333336</v>
      </c>
      <c r="B352">
        <f>電力量!B353-電力量!B352</f>
        <v>759</v>
      </c>
      <c r="C352">
        <f>電力量!C353-電力量!C352</f>
        <v>195</v>
      </c>
      <c r="D352">
        <f>電力量!D353-電力量!D352</f>
        <v>20.5</v>
      </c>
      <c r="E352">
        <f>電力量!E353-電力量!E352</f>
        <v>0</v>
      </c>
      <c r="F352">
        <f>電力量!F353-電力量!F352</f>
        <v>27</v>
      </c>
      <c r="G352">
        <f>電力量!G353-電力量!G352</f>
        <v>33.69999999999709</v>
      </c>
      <c r="H352">
        <f>電力量!H353-電力量!H352</f>
        <v>12</v>
      </c>
      <c r="I352">
        <f>電力量!I353-電力量!I352</f>
        <v>290</v>
      </c>
      <c r="J352">
        <f>電力量!J353-電力量!J352</f>
        <v>9.9000000000014552</v>
      </c>
      <c r="K352">
        <f>電力量!K353-電力量!K352</f>
        <v>0</v>
      </c>
      <c r="L352">
        <f>電力量!L353-電力量!L352</f>
        <v>30.300000000000182</v>
      </c>
      <c r="M352">
        <f>電力量!M353-電力量!M352</f>
        <v>35.600000000005821</v>
      </c>
      <c r="N352">
        <f>電力量!N353-電力量!N352</f>
        <v>43.5</v>
      </c>
      <c r="O352">
        <f>電力量!O353-電力量!O352</f>
        <v>18.19999999999709</v>
      </c>
      <c r="P352">
        <f>電力量!P353-電力量!P352</f>
        <v>10</v>
      </c>
      <c r="Q352">
        <f>電力量!Q353-電力量!Q352</f>
        <v>16</v>
      </c>
      <c r="R352">
        <f>電力量!R353-電力量!R352</f>
        <v>0</v>
      </c>
    </row>
    <row r="353" spans="1:18">
      <c r="A353" s="4">
        <f t="shared" si="129"/>
        <v>45914.625</v>
      </c>
      <c r="B353">
        <f>電力量!B354-電力量!B353</f>
        <v>803</v>
      </c>
      <c r="C353">
        <f>電力量!C354-電力量!C353</f>
        <v>203</v>
      </c>
      <c r="D353">
        <f>電力量!D354-電力量!D353</f>
        <v>18.299999999995634</v>
      </c>
      <c r="E353">
        <f>電力量!E354-電力量!E353</f>
        <v>0</v>
      </c>
      <c r="F353">
        <f>電力量!F354-電力量!F353</f>
        <v>23</v>
      </c>
      <c r="G353">
        <f>電力量!G354-電力量!G353</f>
        <v>58.099999999991269</v>
      </c>
      <c r="H353">
        <f>電力量!H354-電力量!H353</f>
        <v>13</v>
      </c>
      <c r="I353">
        <f>電力量!I354-電力量!I353</f>
        <v>296</v>
      </c>
      <c r="J353">
        <f>電力量!J354-電力量!J353</f>
        <v>9.3000000000029104</v>
      </c>
      <c r="K353">
        <f>電力量!K354-電力量!K353</f>
        <v>0</v>
      </c>
      <c r="L353">
        <f>電力量!L354-電力量!L353</f>
        <v>24.300000000000182</v>
      </c>
      <c r="M353">
        <f>電力量!M354-電力量!M353</f>
        <v>37</v>
      </c>
      <c r="N353">
        <f>電力量!N354-電力量!N353</f>
        <v>49.399999999999636</v>
      </c>
      <c r="O353">
        <f>電力量!O354-電力量!O353</f>
        <v>18.19999999999709</v>
      </c>
      <c r="P353">
        <f>電力量!P354-電力量!P353</f>
        <v>5</v>
      </c>
      <c r="Q353">
        <f>電力量!Q354-電力量!Q353</f>
        <v>7</v>
      </c>
      <c r="R353">
        <f>電力量!R354-電力量!R353</f>
        <v>0</v>
      </c>
    </row>
    <row r="354" spans="1:18">
      <c r="A354" s="4">
        <f t="shared" si="130"/>
        <v>45914.666666666664</v>
      </c>
      <c r="B354">
        <f>電力量!B355-電力量!B354</f>
        <v>804</v>
      </c>
      <c r="C354">
        <f>電力量!C355-電力量!C354</f>
        <v>205</v>
      </c>
      <c r="D354">
        <f>電力量!D355-電力量!D354</f>
        <v>21.200000000004366</v>
      </c>
      <c r="E354">
        <f>電力量!E355-電力量!E354</f>
        <v>0</v>
      </c>
      <c r="F354">
        <f>電力量!F355-電力量!F354</f>
        <v>21</v>
      </c>
      <c r="G354">
        <f>電力量!G355-電力量!G354</f>
        <v>62.5</v>
      </c>
      <c r="H354">
        <f>電力量!H355-電力量!H354</f>
        <v>12</v>
      </c>
      <c r="I354">
        <f>電力量!I355-電力量!I354</f>
        <v>288</v>
      </c>
      <c r="J354">
        <f>電力量!J355-電力量!J354</f>
        <v>8.6999999999970896</v>
      </c>
      <c r="K354">
        <f>電力量!K355-電力量!K354</f>
        <v>0.20000000001164153</v>
      </c>
      <c r="L354">
        <f>電力量!L355-電力量!L354</f>
        <v>23.599999999999454</v>
      </c>
      <c r="M354">
        <f>電力量!M355-電力量!M354</f>
        <v>36.899999999994179</v>
      </c>
      <c r="N354">
        <f>電力量!N355-電力量!N354</f>
        <v>51.899999999999636</v>
      </c>
      <c r="O354">
        <f>電力量!O355-電力量!O354</f>
        <v>19.899999999994179</v>
      </c>
      <c r="P354">
        <f>電力量!P355-電力量!P354</f>
        <v>3</v>
      </c>
      <c r="Q354">
        <f>電力量!Q355-電力量!Q354</f>
        <v>5</v>
      </c>
      <c r="R354">
        <f>電力量!R355-電力量!R354</f>
        <v>0</v>
      </c>
    </row>
    <row r="355" spans="1:18">
      <c r="A355" s="4">
        <f t="shared" si="131"/>
        <v>45914.708333333336</v>
      </c>
      <c r="B355">
        <f>電力量!B356-電力量!B355</f>
        <v>799</v>
      </c>
      <c r="C355">
        <f>電力量!C356-電力量!C355</f>
        <v>199</v>
      </c>
      <c r="D355">
        <f>電力量!D356-電力量!D355</f>
        <v>20.5</v>
      </c>
      <c r="E355">
        <f>電力量!E356-電力量!E355</f>
        <v>0</v>
      </c>
      <c r="F355">
        <f>電力量!F356-電力量!F355</f>
        <v>22</v>
      </c>
      <c r="G355">
        <f>電力量!G356-電力量!G355</f>
        <v>58.900000000008731</v>
      </c>
      <c r="H355">
        <f>電力量!H356-電力量!H355</f>
        <v>12</v>
      </c>
      <c r="I355">
        <f>電力量!I356-電力量!I355</f>
        <v>290</v>
      </c>
      <c r="J355">
        <f>電力量!J356-電力量!J355</f>
        <v>8.9000000000014552</v>
      </c>
      <c r="K355">
        <f>電力量!K356-電力量!K355</f>
        <v>1.2999999999883585</v>
      </c>
      <c r="L355">
        <f>電力量!L356-電力量!L355</f>
        <v>23.100000000000364</v>
      </c>
      <c r="M355">
        <f>電力量!M356-電力量!M355</f>
        <v>37.80000000000291</v>
      </c>
      <c r="N355">
        <f>電力量!N356-電力量!N355</f>
        <v>52.900000000000546</v>
      </c>
      <c r="O355">
        <f>電力量!O356-電力量!O355</f>
        <v>19.200000000011642</v>
      </c>
      <c r="P355">
        <f>電力量!P356-電力量!P355</f>
        <v>2</v>
      </c>
      <c r="Q355">
        <f>電力量!Q356-電力量!Q355</f>
        <v>3</v>
      </c>
      <c r="R355">
        <f>電力量!R356-電力量!R355</f>
        <v>0</v>
      </c>
    </row>
    <row r="356" spans="1:18">
      <c r="A356" s="4">
        <f t="shared" si="132"/>
        <v>45914.75</v>
      </c>
      <c r="B356">
        <f>電力量!B357-電力量!B356</f>
        <v>776</v>
      </c>
      <c r="C356">
        <f>電力量!C357-電力量!C356</f>
        <v>193</v>
      </c>
      <c r="D356">
        <f>電力量!D357-電力量!D356</f>
        <v>16.5</v>
      </c>
      <c r="E356">
        <f>電力量!E357-電力量!E356</f>
        <v>0</v>
      </c>
      <c r="F356">
        <f>電力量!F357-電力量!F356</f>
        <v>20</v>
      </c>
      <c r="G356">
        <f>電力量!G357-電力量!G356</f>
        <v>64.5</v>
      </c>
      <c r="H356">
        <f>電力量!H357-電力量!H356</f>
        <v>12</v>
      </c>
      <c r="I356">
        <f>電力量!I357-電力量!I356</f>
        <v>280</v>
      </c>
      <c r="J356">
        <f>電力量!J357-電力量!J356</f>
        <v>8</v>
      </c>
      <c r="K356">
        <f>電力量!K357-電力量!K356</f>
        <v>3</v>
      </c>
      <c r="L356">
        <f>電力量!L357-電力量!L356</f>
        <v>21.699999999999818</v>
      </c>
      <c r="M356">
        <f>電力量!M357-電力量!M356</f>
        <v>34.600000000005821</v>
      </c>
      <c r="N356">
        <f>電力量!N357-電力量!N356</f>
        <v>54.300000000000182</v>
      </c>
      <c r="O356">
        <f>電力量!O357-電力量!O356</f>
        <v>15.299999999988358</v>
      </c>
      <c r="P356">
        <f>電力量!P357-電力量!P356</f>
        <v>0</v>
      </c>
      <c r="Q356">
        <f>電力量!Q357-電力量!Q356</f>
        <v>0</v>
      </c>
      <c r="R356">
        <f>電力量!R357-電力量!R356</f>
        <v>0</v>
      </c>
    </row>
    <row r="357" spans="1:18">
      <c r="A357" s="4">
        <f t="shared" si="133"/>
        <v>45914.791666666664</v>
      </c>
      <c r="B357">
        <f>電力量!B358-電力量!B357</f>
        <v>764</v>
      </c>
      <c r="C357">
        <f>電力量!C358-電力量!C357</f>
        <v>186</v>
      </c>
      <c r="D357">
        <f>電力量!D358-電力量!D357</f>
        <v>16</v>
      </c>
      <c r="E357">
        <f>電力量!E358-電力量!E357</f>
        <v>0</v>
      </c>
      <c r="F357">
        <f>電力量!F358-電力量!F357</f>
        <v>21</v>
      </c>
      <c r="G357">
        <f>電力量!G358-電力量!G357</f>
        <v>65.30000000000291</v>
      </c>
      <c r="H357">
        <f>電力量!H358-電力量!H357</f>
        <v>12</v>
      </c>
      <c r="I357">
        <f>電力量!I358-電力量!I357</f>
        <v>275</v>
      </c>
      <c r="J357">
        <f>電力量!J358-電力量!J357</f>
        <v>8.0999999999985448</v>
      </c>
      <c r="K357">
        <f>電力量!K358-電力量!K357</f>
        <v>2.9000000000087311</v>
      </c>
      <c r="L357">
        <f>電力量!L358-電力量!L357</f>
        <v>18.800000000000182</v>
      </c>
      <c r="M357">
        <f>電力量!M358-電力量!M357</f>
        <v>34.5</v>
      </c>
      <c r="N357">
        <f>電力量!N358-電力量!N357</f>
        <v>54.5</v>
      </c>
      <c r="O357">
        <f>電力量!O358-電力量!O357</f>
        <v>18.5</v>
      </c>
      <c r="P357">
        <f>電力量!P358-電力量!P357</f>
        <v>0</v>
      </c>
      <c r="Q357">
        <f>電力量!Q358-電力量!Q357</f>
        <v>0</v>
      </c>
      <c r="R357">
        <f>電力量!R358-電力量!R357</f>
        <v>0</v>
      </c>
    </row>
    <row r="358" spans="1:18">
      <c r="A358" s="4">
        <f t="shared" si="134"/>
        <v>45914.833333333336</v>
      </c>
      <c r="B358">
        <f>電力量!B359-電力量!B358</f>
        <v>744</v>
      </c>
      <c r="C358">
        <f>電力量!C359-電力量!C358</f>
        <v>177</v>
      </c>
      <c r="D358">
        <f>電力量!D359-電力量!D358</f>
        <v>19.599999999998545</v>
      </c>
      <c r="E358">
        <f>電力量!E359-電力量!E358</f>
        <v>0</v>
      </c>
      <c r="F358">
        <f>電力量!F359-電力量!F358</f>
        <v>19</v>
      </c>
      <c r="G358">
        <f>電力量!G359-電力量!G358</f>
        <v>60.599999999991269</v>
      </c>
      <c r="H358">
        <f>電力量!H359-電力量!H358</f>
        <v>13</v>
      </c>
      <c r="I358">
        <f>電力量!I359-電力量!I358</f>
        <v>269</v>
      </c>
      <c r="J358">
        <f>電力量!J359-電力量!J358</f>
        <v>7.3000000000029104</v>
      </c>
      <c r="K358">
        <f>電力量!K359-電力量!K358</f>
        <v>2.8999999999941792</v>
      </c>
      <c r="L358">
        <f>電力量!L359-電力量!L358</f>
        <v>18.399999999999636</v>
      </c>
      <c r="M358">
        <f>電力量!M359-電力量!M358</f>
        <v>33.69999999999709</v>
      </c>
      <c r="N358">
        <f>電力量!N359-電力量!N358</f>
        <v>53.799999999999272</v>
      </c>
      <c r="O358">
        <f>電力量!O359-電力量!O358</f>
        <v>19.5</v>
      </c>
      <c r="P358">
        <f>電力量!P359-電力量!P358</f>
        <v>0</v>
      </c>
      <c r="Q358">
        <f>電力量!Q359-電力量!Q358</f>
        <v>0</v>
      </c>
      <c r="R358">
        <f>電力量!R359-電力量!R358</f>
        <v>0</v>
      </c>
    </row>
    <row r="359" spans="1:18">
      <c r="A359" s="4">
        <f t="shared" si="135"/>
        <v>45914.875</v>
      </c>
      <c r="B359">
        <f>電力量!B360-電力量!B359</f>
        <v>733</v>
      </c>
      <c r="C359">
        <f>電力量!C360-電力量!C359</f>
        <v>178</v>
      </c>
      <c r="D359">
        <f>電力量!D360-電力量!D359</f>
        <v>18</v>
      </c>
      <c r="E359">
        <f>電力量!E360-電力量!E359</f>
        <v>0</v>
      </c>
      <c r="F359">
        <f>電力量!F360-電力量!F359</f>
        <v>19</v>
      </c>
      <c r="G359">
        <f>電力量!G360-電力量!G359</f>
        <v>59.19999999999709</v>
      </c>
      <c r="H359">
        <f>電力量!H360-電力量!H359</f>
        <v>12</v>
      </c>
      <c r="I359">
        <f>電力量!I360-電力量!I359</f>
        <v>257</v>
      </c>
      <c r="J359">
        <f>電力量!J360-電力量!J359</f>
        <v>7.1999999999970896</v>
      </c>
      <c r="K359">
        <f>電力量!K360-電力量!K359</f>
        <v>2.8000000000029104</v>
      </c>
      <c r="L359">
        <f>電力量!L360-電力量!L359</f>
        <v>19.600000000000364</v>
      </c>
      <c r="M359">
        <f>電力量!M360-電力量!M359</f>
        <v>33.599999999991269</v>
      </c>
      <c r="N359">
        <f>電力量!N360-電力量!N359</f>
        <v>53.800000000000182</v>
      </c>
      <c r="O359">
        <f>電力量!O360-電力量!O359</f>
        <v>19.30000000000291</v>
      </c>
      <c r="P359">
        <f>電力量!P360-電力量!P359</f>
        <v>0</v>
      </c>
      <c r="Q359">
        <f>電力量!Q360-電力量!Q359</f>
        <v>0</v>
      </c>
      <c r="R359">
        <f>電力量!R360-電力量!R359</f>
        <v>0</v>
      </c>
    </row>
    <row r="360" spans="1:18">
      <c r="A360" s="4">
        <f t="shared" si="136"/>
        <v>45914.916666666664</v>
      </c>
      <c r="B360">
        <f>電力量!B361-電力量!B360</f>
        <v>735</v>
      </c>
      <c r="C360">
        <f>電力量!C361-電力量!C360</f>
        <v>182</v>
      </c>
      <c r="D360">
        <f>電力量!D361-電力量!D360</f>
        <v>18.599999999998545</v>
      </c>
      <c r="E360">
        <f>電力量!E361-電力量!E360</f>
        <v>0</v>
      </c>
      <c r="F360">
        <f>電力量!F361-電力量!F360</f>
        <v>19</v>
      </c>
      <c r="G360">
        <f>電力量!G361-電力量!G360</f>
        <v>57.100000000005821</v>
      </c>
      <c r="H360">
        <f>電力量!H361-電力量!H360</f>
        <v>12</v>
      </c>
      <c r="I360">
        <f>電力量!I361-電力量!I360</f>
        <v>258</v>
      </c>
      <c r="J360">
        <f>電力量!J361-電力量!J360</f>
        <v>7.4000000000014552</v>
      </c>
      <c r="K360">
        <f>電力量!K361-電力量!K360</f>
        <v>2.8000000000029104</v>
      </c>
      <c r="L360">
        <f>電力量!L361-電力量!L360</f>
        <v>21.5</v>
      </c>
      <c r="M360">
        <f>電力量!M361-電力量!M360</f>
        <v>34.100000000005821</v>
      </c>
      <c r="N360">
        <f>電力量!N361-電力量!N360</f>
        <v>54</v>
      </c>
      <c r="O360">
        <f>電力量!O361-電力量!O360</f>
        <v>18.69999999999709</v>
      </c>
      <c r="P360">
        <f>電力量!P361-電力量!P360</f>
        <v>0</v>
      </c>
      <c r="Q360">
        <f>電力量!Q361-電力量!Q360</f>
        <v>0</v>
      </c>
      <c r="R360">
        <f>電力量!R361-電力量!R360</f>
        <v>0</v>
      </c>
    </row>
    <row r="361" spans="1:18">
      <c r="A361" s="4">
        <f t="shared" si="137"/>
        <v>45914.958333333336</v>
      </c>
      <c r="B361">
        <f>電力量!B362-電力量!B361</f>
        <v>721</v>
      </c>
      <c r="C361">
        <f>電力量!C362-電力量!C361</f>
        <v>175</v>
      </c>
      <c r="D361">
        <f>電力量!D362-電力量!D361</f>
        <v>17.900000000001455</v>
      </c>
      <c r="E361">
        <f>電力量!E362-電力量!E361</f>
        <v>0</v>
      </c>
      <c r="F361">
        <f>電力量!F362-電力量!F361</f>
        <v>18</v>
      </c>
      <c r="G361">
        <f>電力量!G362-電力量!G361</f>
        <v>55.5</v>
      </c>
      <c r="H361">
        <f>電力量!H362-電力量!H361</f>
        <v>12</v>
      </c>
      <c r="I361">
        <f>電力量!I362-電力量!I361</f>
        <v>254</v>
      </c>
      <c r="J361">
        <f>電力量!J362-電力量!J361</f>
        <v>7.1999999999970896</v>
      </c>
      <c r="K361">
        <f>電力量!K362-電力量!K361</f>
        <v>2.6999999999970896</v>
      </c>
      <c r="L361">
        <f>電力量!L362-電力量!L361</f>
        <v>22</v>
      </c>
      <c r="M361">
        <f>電力量!M362-電力量!M361</f>
        <v>33.80000000000291</v>
      </c>
      <c r="N361">
        <f>電力量!N362-電力量!N361</f>
        <v>53.199999999999818</v>
      </c>
      <c r="O361">
        <f>電力量!O362-電力量!O361</f>
        <v>18.30000000000291</v>
      </c>
      <c r="P361">
        <f>電力量!P362-電力量!P361</f>
        <v>0</v>
      </c>
      <c r="Q361">
        <f>電力量!Q362-電力量!Q361</f>
        <v>0</v>
      </c>
      <c r="R361">
        <f>電力量!R362-電力量!R361</f>
        <v>0</v>
      </c>
    </row>
    <row r="362" spans="1:18">
      <c r="A362" s="4">
        <v>45915</v>
      </c>
      <c r="B362">
        <f>電力量!B363-電力量!B362</f>
        <v>707</v>
      </c>
      <c r="C362">
        <f>電力量!C363-電力量!C362</f>
        <v>167</v>
      </c>
      <c r="D362">
        <f>電力量!D363-電力量!D362</f>
        <v>17</v>
      </c>
      <c r="E362">
        <f>電力量!E363-電力量!E362</f>
        <v>0</v>
      </c>
      <c r="F362">
        <f>電力量!F363-電力量!F362</f>
        <v>19</v>
      </c>
      <c r="G362">
        <f>電力量!G363-電力量!G362</f>
        <v>56.30000000000291</v>
      </c>
      <c r="H362">
        <f>電力量!H363-電力量!H362</f>
        <v>11</v>
      </c>
      <c r="I362">
        <f>電力量!I363-電力量!I362</f>
        <v>251</v>
      </c>
      <c r="J362">
        <f>電力量!J363-電力量!J362</f>
        <v>7.2000000000043656</v>
      </c>
      <c r="K362">
        <f>電力量!K363-電力量!K362</f>
        <v>3.3000000000029104</v>
      </c>
      <c r="L362">
        <f>電力量!L363-電力量!L362</f>
        <v>21.600000000000364</v>
      </c>
      <c r="M362">
        <f>電力量!M363-電力量!M362</f>
        <v>32.19999999999709</v>
      </c>
      <c r="N362">
        <f>電力量!N363-電力量!N362</f>
        <v>54</v>
      </c>
      <c r="O362">
        <f>電力量!O363-電力量!O362</f>
        <v>16.100000000005821</v>
      </c>
      <c r="P362">
        <f>電力量!P363-電力量!P362</f>
        <v>0</v>
      </c>
      <c r="Q362">
        <f>電力量!Q363-電力量!Q362</f>
        <v>0</v>
      </c>
      <c r="R362">
        <f>電力量!R363-電力量!R362</f>
        <v>0</v>
      </c>
    </row>
    <row r="363" spans="1:18">
      <c r="A363" s="4">
        <f t="shared" si="115"/>
        <v>45915.041666666664</v>
      </c>
      <c r="B363">
        <f>電力量!B364-電力量!B363</f>
        <v>700</v>
      </c>
      <c r="C363">
        <f>電力量!C364-電力量!C363</f>
        <v>168</v>
      </c>
      <c r="D363">
        <f>電力量!D364-電力量!D363</f>
        <v>14.299999999995634</v>
      </c>
      <c r="E363">
        <f>電力量!E364-電力量!E363</f>
        <v>0</v>
      </c>
      <c r="F363">
        <f>電力量!F364-電力量!F363</f>
        <v>20</v>
      </c>
      <c r="G363">
        <f>電力量!G364-電力量!G363</f>
        <v>57.599999999991269</v>
      </c>
      <c r="H363">
        <f>電力量!H364-電力量!H363</f>
        <v>12</v>
      </c>
      <c r="I363">
        <f>電力量!I364-電力量!I363</f>
        <v>242</v>
      </c>
      <c r="J363">
        <f>電力量!J364-電力量!J363</f>
        <v>7</v>
      </c>
      <c r="K363">
        <f>電力量!K364-電力量!K363</f>
        <v>3.0999999999912689</v>
      </c>
      <c r="L363">
        <f>電力量!L364-電力量!L363</f>
        <v>21.299999999999272</v>
      </c>
      <c r="M363">
        <f>電力量!M364-電力量!M363</f>
        <v>32.899999999994179</v>
      </c>
      <c r="N363">
        <f>電力量!N364-電力量!N363</f>
        <v>54.100000000000364</v>
      </c>
      <c r="O363">
        <f>電力量!O364-電力量!O363</f>
        <v>18.899999999994179</v>
      </c>
      <c r="P363">
        <f>電力量!P364-電力量!P363</f>
        <v>0</v>
      </c>
      <c r="Q363">
        <f>電力量!Q364-電力量!Q363</f>
        <v>0</v>
      </c>
      <c r="R363">
        <f>電力量!R364-電力量!R363</f>
        <v>0</v>
      </c>
    </row>
    <row r="364" spans="1:18">
      <c r="A364" s="4">
        <f t="shared" si="116"/>
        <v>45915.083333333336</v>
      </c>
      <c r="B364">
        <f>電力量!B365-電力量!B364</f>
        <v>696</v>
      </c>
      <c r="C364">
        <f>電力量!C365-電力量!C364</f>
        <v>171</v>
      </c>
      <c r="D364">
        <f>電力量!D365-電力量!D364</f>
        <v>13.600000000005821</v>
      </c>
      <c r="E364">
        <f>電力量!E365-電力量!E364</f>
        <v>0</v>
      </c>
      <c r="F364">
        <f>電力量!F365-電力量!F364</f>
        <v>19</v>
      </c>
      <c r="G364">
        <f>電力量!G365-電力量!G364</f>
        <v>55.5</v>
      </c>
      <c r="H364">
        <f>電力量!H365-電力量!H364</f>
        <v>11</v>
      </c>
      <c r="I364">
        <f>電力量!I365-電力量!I364</f>
        <v>239</v>
      </c>
      <c r="J364">
        <f>電力量!J365-電力量!J364</f>
        <v>6.9000000000014552</v>
      </c>
      <c r="K364">
        <f>電力量!K365-電力量!K364</f>
        <v>2.8000000000029104</v>
      </c>
      <c r="L364">
        <f>電力量!L365-電力量!L364</f>
        <v>21.300000000000182</v>
      </c>
      <c r="M364">
        <f>電力量!M365-電力量!M364</f>
        <v>33.30000000000291</v>
      </c>
      <c r="N364">
        <f>電力量!N365-電力量!N364</f>
        <v>53.699999999999818</v>
      </c>
      <c r="O364">
        <f>電力量!O365-電力量!O364</f>
        <v>18</v>
      </c>
      <c r="P364">
        <f>電力量!P365-電力量!P364</f>
        <v>0</v>
      </c>
      <c r="Q364">
        <f>電力量!Q365-電力量!Q364</f>
        <v>0</v>
      </c>
      <c r="R364">
        <f>電力量!R365-電力量!R364</f>
        <v>0</v>
      </c>
    </row>
    <row r="365" spans="1:18">
      <c r="A365" s="4">
        <f t="shared" si="117"/>
        <v>45915.125</v>
      </c>
      <c r="B365">
        <f>電力量!B366-電力量!B365</f>
        <v>689</v>
      </c>
      <c r="C365">
        <f>電力量!C366-電力量!C365</f>
        <v>171</v>
      </c>
      <c r="D365">
        <f>電力量!D366-電力量!D365</f>
        <v>14.19999999999709</v>
      </c>
      <c r="E365">
        <f>電力量!E366-電力量!E365</f>
        <v>0</v>
      </c>
      <c r="F365">
        <f>電力量!F366-電力量!F365</f>
        <v>18</v>
      </c>
      <c r="G365">
        <f>電力量!G366-電力量!G365</f>
        <v>54.900000000008731</v>
      </c>
      <c r="H365">
        <f>電力量!H366-電力量!H365</f>
        <v>11</v>
      </c>
      <c r="I365">
        <f>電力量!I366-電力量!I365</f>
        <v>234</v>
      </c>
      <c r="J365">
        <f>電力量!J366-電力量!J365</f>
        <v>6.8999999999941792</v>
      </c>
      <c r="K365">
        <f>電力量!K366-電力量!K365</f>
        <v>2.6000000000058208</v>
      </c>
      <c r="L365">
        <f>電力量!L366-電力量!L365</f>
        <v>21.5</v>
      </c>
      <c r="M365">
        <f>電力量!M366-電力量!M365</f>
        <v>32.600000000005821</v>
      </c>
      <c r="N365">
        <f>電力量!N366-電力量!N365</f>
        <v>53.699999999999818</v>
      </c>
      <c r="O365">
        <f>電力量!O366-電力量!O365</f>
        <v>18.19999999999709</v>
      </c>
      <c r="P365">
        <f>電力量!P366-電力量!P365</f>
        <v>0</v>
      </c>
      <c r="Q365">
        <f>電力量!Q366-電力量!Q365</f>
        <v>0</v>
      </c>
      <c r="R365">
        <f>電力量!R366-電力量!R365</f>
        <v>0</v>
      </c>
    </row>
    <row r="366" spans="1:18">
      <c r="A366" s="4">
        <f t="shared" si="118"/>
        <v>45915.166666666664</v>
      </c>
      <c r="B366">
        <f>電力量!B367-電力量!B366</f>
        <v>680</v>
      </c>
      <c r="C366">
        <f>電力量!C367-電力量!C366</f>
        <v>162</v>
      </c>
      <c r="D366">
        <f>電力量!D367-電力量!D366</f>
        <v>14</v>
      </c>
      <c r="E366">
        <f>電力量!E367-電力量!E366</f>
        <v>0</v>
      </c>
      <c r="F366">
        <f>電力量!F367-電力量!F366</f>
        <v>19</v>
      </c>
      <c r="G366">
        <f>電力量!G367-電力量!G366</f>
        <v>52.599999999991269</v>
      </c>
      <c r="H366">
        <f>電力量!H367-電力量!H366</f>
        <v>13</v>
      </c>
      <c r="I366">
        <f>電力量!I367-電力量!I366</f>
        <v>234</v>
      </c>
      <c r="J366">
        <f>電力量!J367-電力量!J366</f>
        <v>7.1000000000058208</v>
      </c>
      <c r="K366">
        <f>電力量!K367-電力量!K366</f>
        <v>2.8000000000029104</v>
      </c>
      <c r="L366">
        <f>電力量!L367-電力量!L366</f>
        <v>21.300000000000182</v>
      </c>
      <c r="M366">
        <f>電力量!M367-電力量!M366</f>
        <v>32.30000000000291</v>
      </c>
      <c r="N366">
        <f>電力量!N367-電力量!N366</f>
        <v>54.400000000000546</v>
      </c>
      <c r="O366">
        <f>電力量!O367-電力量!O366</f>
        <v>19.100000000005821</v>
      </c>
      <c r="P366">
        <f>電力量!P367-電力量!P366</f>
        <v>0</v>
      </c>
      <c r="Q366">
        <f>電力量!Q367-電力量!Q366</f>
        <v>0</v>
      </c>
      <c r="R366">
        <f>電力量!R367-電力量!R366</f>
        <v>0</v>
      </c>
    </row>
    <row r="367" spans="1:18">
      <c r="A367" s="4">
        <f t="shared" si="119"/>
        <v>45915.208333333336</v>
      </c>
      <c r="B367">
        <f>電力量!B368-電力量!B367</f>
        <v>673</v>
      </c>
      <c r="C367">
        <f>電力量!C368-電力量!C367</f>
        <v>161</v>
      </c>
      <c r="D367">
        <f>電力量!D368-電力量!D367</f>
        <v>14.5</v>
      </c>
      <c r="E367">
        <f>電力量!E368-電力量!E367</f>
        <v>0</v>
      </c>
      <c r="F367">
        <f>電力量!F368-電力量!F367</f>
        <v>19</v>
      </c>
      <c r="G367">
        <f>電力量!G368-電力量!G367</f>
        <v>52.30000000000291</v>
      </c>
      <c r="H367">
        <f>電力量!H368-電力量!H367</f>
        <v>11</v>
      </c>
      <c r="I367">
        <f>電力量!I368-電力量!I367</f>
        <v>230</v>
      </c>
      <c r="J367">
        <f>電力量!J368-電力量!J367</f>
        <v>6.7999999999956344</v>
      </c>
      <c r="K367">
        <f>電力量!K368-電力量!K367</f>
        <v>2.6999999999970896</v>
      </c>
      <c r="L367">
        <f>電力量!L368-電力量!L367</f>
        <v>21.199999999999818</v>
      </c>
      <c r="M367">
        <f>電力量!M368-電力量!M367</f>
        <v>32.69999999999709</v>
      </c>
      <c r="N367">
        <f>電力量!N368-電力量!N367</f>
        <v>53.5</v>
      </c>
      <c r="O367">
        <f>電力量!O368-電力量!O367</f>
        <v>18</v>
      </c>
      <c r="P367">
        <f>電力量!P368-電力量!P367</f>
        <v>0</v>
      </c>
      <c r="Q367">
        <f>電力量!Q368-電力量!Q367</f>
        <v>0</v>
      </c>
      <c r="R367">
        <f>電力量!R368-電力量!R367</f>
        <v>0</v>
      </c>
    </row>
    <row r="368" spans="1:18">
      <c r="A368" s="4">
        <f t="shared" si="120"/>
        <v>45915.25</v>
      </c>
      <c r="B368">
        <f>電力量!B369-電力量!B368</f>
        <v>665</v>
      </c>
      <c r="C368">
        <f>電力量!C369-電力量!C368</f>
        <v>157</v>
      </c>
      <c r="D368">
        <f>電力量!D369-電力量!D368</f>
        <v>14.400000000001455</v>
      </c>
      <c r="E368">
        <f>電力量!E369-電力量!E368</f>
        <v>0</v>
      </c>
      <c r="F368">
        <f>電力量!F369-電力量!F368</f>
        <v>19</v>
      </c>
      <c r="G368">
        <f>電力量!G369-電力量!G368</f>
        <v>51.600000000005821</v>
      </c>
      <c r="H368">
        <f>電力量!H369-電力量!H368</f>
        <v>11</v>
      </c>
      <c r="I368">
        <f>電力量!I369-電力量!I368</f>
        <v>231</v>
      </c>
      <c r="J368">
        <f>電力量!J369-電力量!J368</f>
        <v>6.9000000000014552</v>
      </c>
      <c r="K368">
        <f>電力量!K369-電力量!K368</f>
        <v>1.8999999999941792</v>
      </c>
      <c r="L368">
        <f>電力量!L369-電力量!L368</f>
        <v>20.5</v>
      </c>
      <c r="M368">
        <f>電力量!M369-電力量!M368</f>
        <v>31.80000000000291</v>
      </c>
      <c r="N368">
        <f>電力量!N369-電力量!N368</f>
        <v>53.300000000000182</v>
      </c>
      <c r="O368">
        <f>電力量!O369-電力量!O368</f>
        <v>17.399999999994179</v>
      </c>
      <c r="P368">
        <f>電力量!P369-電力量!P368</f>
        <v>0</v>
      </c>
      <c r="Q368">
        <f>電力量!Q369-電力量!Q368</f>
        <v>1</v>
      </c>
      <c r="R368">
        <f>電力量!R369-電力量!R368</f>
        <v>0</v>
      </c>
    </row>
    <row r="369" spans="1:18">
      <c r="A369" s="4">
        <f t="shared" si="121"/>
        <v>45915.291666666664</v>
      </c>
      <c r="B369">
        <f>電力量!B370-電力量!B369</f>
        <v>666</v>
      </c>
      <c r="C369">
        <f>電力量!C370-電力量!C369</f>
        <v>163</v>
      </c>
      <c r="D369">
        <f>電力量!D370-電力量!D369</f>
        <v>13.900000000001455</v>
      </c>
      <c r="E369">
        <f>電力量!E370-電力量!E369</f>
        <v>0</v>
      </c>
      <c r="F369">
        <f>電力量!F370-電力量!F369</f>
        <v>18</v>
      </c>
      <c r="G369">
        <f>電力量!G370-電力量!G369</f>
        <v>48.80000000000291</v>
      </c>
      <c r="H369">
        <f>電力量!H370-電力量!H369</f>
        <v>11</v>
      </c>
      <c r="I369">
        <f>電力量!I370-電力量!I369</f>
        <v>233</v>
      </c>
      <c r="J369">
        <f>電力量!J370-電力量!J369</f>
        <v>7.1999999999970896</v>
      </c>
      <c r="K369">
        <f>電力量!K370-電力量!K369</f>
        <v>0.90000000000873115</v>
      </c>
      <c r="L369">
        <f>電力量!L370-電力量!L369</f>
        <v>19.400000000000546</v>
      </c>
      <c r="M369">
        <f>電力量!M370-電力量!M369</f>
        <v>32.5</v>
      </c>
      <c r="N369">
        <f>電力量!N370-電力量!N369</f>
        <v>51</v>
      </c>
      <c r="O369">
        <f>電力量!O370-電力量!O369</f>
        <v>17.400000000008731</v>
      </c>
      <c r="P369">
        <f>電力量!P370-電力量!P369</f>
        <v>2</v>
      </c>
      <c r="Q369">
        <f>電力量!Q370-電力量!Q369</f>
        <v>2</v>
      </c>
      <c r="R369">
        <f>電力量!R370-電力量!R369</f>
        <v>0</v>
      </c>
    </row>
    <row r="370" spans="1:18">
      <c r="A370" s="4">
        <f t="shared" si="122"/>
        <v>45915.333333333336</v>
      </c>
      <c r="B370">
        <f>電力量!B371-電力量!B370</f>
        <v>678</v>
      </c>
      <c r="C370">
        <f>電力量!C371-電力量!C370</f>
        <v>165</v>
      </c>
      <c r="D370">
        <f>電力量!D371-電力量!D370</f>
        <v>14.19999999999709</v>
      </c>
      <c r="E370">
        <f>電力量!E371-電力量!E370</f>
        <v>0</v>
      </c>
      <c r="F370">
        <f>電力量!F371-電力量!F370</f>
        <v>20</v>
      </c>
      <c r="G370">
        <f>電力量!G371-電力量!G370</f>
        <v>42.099999999991269</v>
      </c>
      <c r="H370">
        <f>電力量!H371-電力量!H370</f>
        <v>16</v>
      </c>
      <c r="I370">
        <f>電力量!I371-電力量!I370</f>
        <v>241</v>
      </c>
      <c r="J370">
        <f>電力量!J371-電力量!J370</f>
        <v>7.6000000000058208</v>
      </c>
      <c r="K370">
        <f>電力量!K371-電力量!K370</f>
        <v>0</v>
      </c>
      <c r="L370">
        <f>電力量!L371-電力量!L370</f>
        <v>18.199999999999818</v>
      </c>
      <c r="M370">
        <f>電力量!M371-電力量!M370</f>
        <v>36.399999999994179</v>
      </c>
      <c r="N370">
        <f>電力量!N371-電力量!N370</f>
        <v>50</v>
      </c>
      <c r="O370">
        <f>電力量!O371-電力量!O370</f>
        <v>19.5</v>
      </c>
      <c r="P370">
        <f>電力量!P371-電力量!P370</f>
        <v>3</v>
      </c>
      <c r="Q370">
        <f>電力量!Q371-電力量!Q370</f>
        <v>6</v>
      </c>
      <c r="R370">
        <f>電力量!R371-電力量!R370</f>
        <v>0</v>
      </c>
    </row>
    <row r="371" spans="1:18">
      <c r="A371" s="4">
        <f t="shared" si="123"/>
        <v>45915.375</v>
      </c>
      <c r="B371">
        <f>電力量!B372-電力量!B371</f>
        <v>705</v>
      </c>
      <c r="C371">
        <f>電力量!C372-電力量!C371</f>
        <v>174</v>
      </c>
      <c r="D371">
        <f>電力量!D372-電力量!D371</f>
        <v>14.80000000000291</v>
      </c>
      <c r="E371">
        <f>電力量!E372-電力量!E371</f>
        <v>0</v>
      </c>
      <c r="F371">
        <f>電力量!F372-電力量!F371</f>
        <v>22</v>
      </c>
      <c r="G371">
        <f>電力量!G372-電力量!G371</f>
        <v>40.400000000008731</v>
      </c>
      <c r="H371">
        <f>電力量!H372-電力量!H371</f>
        <v>20</v>
      </c>
      <c r="I371">
        <f>電力量!I372-電力量!I371</f>
        <v>257</v>
      </c>
      <c r="J371">
        <f>電力量!J372-電力量!J371</f>
        <v>7.5</v>
      </c>
      <c r="K371">
        <f>電力量!K372-電力量!K371</f>
        <v>0</v>
      </c>
      <c r="L371">
        <f>電力量!L372-電力量!L371</f>
        <v>18.5</v>
      </c>
      <c r="M371">
        <f>電力量!M372-電力量!M371</f>
        <v>35</v>
      </c>
      <c r="N371">
        <f>電力量!N372-電力量!N371</f>
        <v>49.099999999999454</v>
      </c>
      <c r="O371">
        <f>電力量!O372-電力量!O371</f>
        <v>19.30000000000291</v>
      </c>
      <c r="P371">
        <f>電力量!P372-電力量!P371</f>
        <v>5</v>
      </c>
      <c r="Q371">
        <f>電力量!Q372-電力量!Q371</f>
        <v>8</v>
      </c>
      <c r="R371">
        <f>電力量!R372-電力量!R371</f>
        <v>0</v>
      </c>
    </row>
    <row r="372" spans="1:18">
      <c r="A372" s="4">
        <f t="shared" si="124"/>
        <v>45915.416666666664</v>
      </c>
      <c r="B372">
        <f>電力量!B373-電力量!B372</f>
        <v>724</v>
      </c>
      <c r="C372">
        <f>電力量!C373-電力量!C372</f>
        <v>179</v>
      </c>
      <c r="D372">
        <f>電力量!D373-電力量!D372</f>
        <v>18.399999999994179</v>
      </c>
      <c r="E372">
        <f>電力量!E373-電力量!E372</f>
        <v>0</v>
      </c>
      <c r="F372">
        <f>電力量!F373-電力量!F372</f>
        <v>21</v>
      </c>
      <c r="G372">
        <f>電力量!G373-電力量!G372</f>
        <v>33.899999999994179</v>
      </c>
      <c r="H372">
        <f>電力量!H373-電力量!H372</f>
        <v>23</v>
      </c>
      <c r="I372">
        <f>電力量!I373-電力量!I372</f>
        <v>269</v>
      </c>
      <c r="J372">
        <f>電力量!J373-電力量!J372</f>
        <v>8.6999999999970896</v>
      </c>
      <c r="K372">
        <f>電力量!K373-電力量!K372</f>
        <v>0</v>
      </c>
      <c r="L372">
        <f>電力量!L373-電力量!L372</f>
        <v>20.5</v>
      </c>
      <c r="M372">
        <f>電力量!M373-電力量!M372</f>
        <v>37.399999999994179</v>
      </c>
      <c r="N372">
        <f>電力量!N373-電力量!N372</f>
        <v>45.199999999999818</v>
      </c>
      <c r="O372">
        <f>電力量!O373-電力量!O372</f>
        <v>19.399999999994179</v>
      </c>
      <c r="P372">
        <f>電力量!P373-電力量!P372</f>
        <v>9</v>
      </c>
      <c r="Q372">
        <f>電力量!Q373-電力量!Q372</f>
        <v>13</v>
      </c>
      <c r="R372">
        <f>電力量!R373-電力量!R372</f>
        <v>0</v>
      </c>
    </row>
    <row r="373" spans="1:18">
      <c r="A373" s="4">
        <f t="shared" si="125"/>
        <v>45915.458333333336</v>
      </c>
      <c r="B373">
        <f>電力量!B374-電力量!B373</f>
        <v>750</v>
      </c>
      <c r="C373">
        <f>電力量!C374-電力量!C373</f>
        <v>189</v>
      </c>
      <c r="D373">
        <f>電力量!D374-電力量!D373</f>
        <v>18.100000000005821</v>
      </c>
      <c r="E373">
        <f>電力量!E374-電力量!E373</f>
        <v>0</v>
      </c>
      <c r="F373">
        <f>電力量!F374-電力量!F373</f>
        <v>27</v>
      </c>
      <c r="G373">
        <f>電力量!G374-電力量!G373</f>
        <v>29.19999999999709</v>
      </c>
      <c r="H373">
        <f>電力量!H374-電力量!H373</f>
        <v>24</v>
      </c>
      <c r="I373">
        <f>電力量!I374-電力量!I373</f>
        <v>279</v>
      </c>
      <c r="J373">
        <f>電力量!J374-電力量!J373</f>
        <v>8.8000000000029104</v>
      </c>
      <c r="K373">
        <f>電力量!K374-電力量!K373</f>
        <v>0</v>
      </c>
      <c r="L373">
        <f>電力量!L374-電力量!L373</f>
        <v>25.899999999999636</v>
      </c>
      <c r="M373">
        <f>電力量!M374-電力量!M373</f>
        <v>39.30000000000291</v>
      </c>
      <c r="N373">
        <f>電力量!N374-電力量!N373</f>
        <v>46.200000000000728</v>
      </c>
      <c r="O373">
        <f>電力量!O374-電力量!O373</f>
        <v>19.69999999999709</v>
      </c>
      <c r="P373">
        <f>電力量!P374-電力量!P373</f>
        <v>12</v>
      </c>
      <c r="Q373">
        <f>電力量!Q374-電力量!Q373</f>
        <v>19</v>
      </c>
      <c r="R373">
        <f>電力量!R374-電力量!R373</f>
        <v>0</v>
      </c>
    </row>
    <row r="374" spans="1:18">
      <c r="A374" s="4">
        <f t="shared" si="126"/>
        <v>45915.5</v>
      </c>
      <c r="B374">
        <f>電力量!B375-電力量!B374</f>
        <v>784</v>
      </c>
      <c r="C374">
        <f>電力量!C375-電力量!C374</f>
        <v>192</v>
      </c>
      <c r="D374">
        <f>電力量!D375-電力量!D374</f>
        <v>25.099999999998545</v>
      </c>
      <c r="E374">
        <f>電力量!E375-電力量!E374</f>
        <v>0</v>
      </c>
      <c r="F374">
        <f>電力量!F375-電力量!F374</f>
        <v>25</v>
      </c>
      <c r="G374">
        <f>電力量!G375-電力量!G374</f>
        <v>35.80000000000291</v>
      </c>
      <c r="H374">
        <f>電力量!H375-電力量!H374</f>
        <v>22</v>
      </c>
      <c r="I374">
        <f>電力量!I375-電力量!I374</f>
        <v>292</v>
      </c>
      <c r="J374">
        <f>電力量!J375-電力量!J374</f>
        <v>9.2999999999956344</v>
      </c>
      <c r="K374">
        <f>電力量!K375-電力量!K374</f>
        <v>0</v>
      </c>
      <c r="L374">
        <f>電力量!L375-電力量!L374</f>
        <v>32.800000000000182</v>
      </c>
      <c r="M374">
        <f>電力量!M375-電力量!M374</f>
        <v>41.80000000000291</v>
      </c>
      <c r="N374">
        <f>電力量!N375-電力量!N374</f>
        <v>46.5</v>
      </c>
      <c r="O374">
        <f>電力量!O375-電力量!O374</f>
        <v>17.5</v>
      </c>
      <c r="P374">
        <f>電力量!P375-電力量!P374</f>
        <v>10</v>
      </c>
      <c r="Q374">
        <f>電力量!Q375-電力量!Q374</f>
        <v>15</v>
      </c>
      <c r="R374">
        <f>電力量!R375-電力量!R374</f>
        <v>0</v>
      </c>
    </row>
    <row r="375" spans="1:18">
      <c r="A375" s="4">
        <f t="shared" si="127"/>
        <v>45915.541666666664</v>
      </c>
      <c r="B375">
        <f>電力量!B376-電力量!B375</f>
        <v>807</v>
      </c>
      <c r="C375">
        <f>電力量!C376-電力量!C375</f>
        <v>201</v>
      </c>
      <c r="D375">
        <f>電力量!D376-電力量!D375</f>
        <v>28.799999999995634</v>
      </c>
      <c r="E375">
        <f>電力量!E376-電力量!E375</f>
        <v>0</v>
      </c>
      <c r="F375">
        <f>電力量!F376-電力量!F375</f>
        <v>25</v>
      </c>
      <c r="G375">
        <f>電力量!G376-電力量!G375</f>
        <v>36.5</v>
      </c>
      <c r="H375">
        <f>電力量!H376-電力量!H375</f>
        <v>23</v>
      </c>
      <c r="I375">
        <f>電力量!I376-電力量!I375</f>
        <v>299</v>
      </c>
      <c r="J375">
        <f>電力量!J376-電力量!J375</f>
        <v>10.400000000001455</v>
      </c>
      <c r="K375">
        <f>電力量!K376-電力量!K375</f>
        <v>0</v>
      </c>
      <c r="L375">
        <f>電力量!L376-電力量!L375</f>
        <v>30.800000000000182</v>
      </c>
      <c r="M375">
        <f>電力量!M376-電力量!M375</f>
        <v>43.600000000005821</v>
      </c>
      <c r="N375">
        <f>電力量!N376-電力量!N375</f>
        <v>47.5</v>
      </c>
      <c r="O375">
        <f>電力量!O376-電力量!O375</f>
        <v>19.80000000000291</v>
      </c>
      <c r="P375">
        <f>電力量!P376-電力量!P375</f>
        <v>12</v>
      </c>
      <c r="Q375">
        <f>電力量!Q376-電力量!Q375</f>
        <v>19</v>
      </c>
      <c r="R375">
        <f>電力量!R376-電力量!R375</f>
        <v>0</v>
      </c>
    </row>
    <row r="376" spans="1:18">
      <c r="A376" s="4">
        <f t="shared" si="128"/>
        <v>45915.583333333336</v>
      </c>
      <c r="B376">
        <f>電力量!B377-電力量!B376</f>
        <v>858</v>
      </c>
      <c r="C376">
        <f>電力量!C377-電力量!C376</f>
        <v>213</v>
      </c>
      <c r="D376">
        <f>電力量!D377-電力量!D376</f>
        <v>32.200000000004366</v>
      </c>
      <c r="E376">
        <f>電力量!E377-電力量!E376</f>
        <v>0</v>
      </c>
      <c r="F376">
        <f>電力量!F377-電力量!F376</f>
        <v>26</v>
      </c>
      <c r="G376">
        <f>電力量!G377-電力量!G376</f>
        <v>59.600000000005821</v>
      </c>
      <c r="H376">
        <f>電力量!H377-電力量!H376</f>
        <v>24</v>
      </c>
      <c r="I376">
        <f>電力量!I377-電力量!I376</f>
        <v>301</v>
      </c>
      <c r="J376">
        <f>電力量!J377-電力量!J376</f>
        <v>10.099999999998545</v>
      </c>
      <c r="K376">
        <f>電力量!K377-電力量!K376</f>
        <v>0</v>
      </c>
      <c r="L376">
        <f>電力量!L377-電力量!L376</f>
        <v>29.599999999999454</v>
      </c>
      <c r="M376">
        <f>電力量!M377-電力量!M376</f>
        <v>40.899999999994179</v>
      </c>
      <c r="N376">
        <f>電力量!N377-電力量!N376</f>
        <v>48.799999999999272</v>
      </c>
      <c r="O376" s="6">
        <f>100000+電力量!O377-電力量!O376</f>
        <v>20.399999999994179</v>
      </c>
      <c r="P376">
        <f>電力量!P377-電力量!P376</f>
        <v>4</v>
      </c>
      <c r="Q376">
        <f>電力量!Q377-電力量!Q376</f>
        <v>6</v>
      </c>
      <c r="R376">
        <f>電力量!R377-電力量!R376</f>
        <v>0</v>
      </c>
    </row>
    <row r="377" spans="1:18">
      <c r="A377" s="4">
        <f t="shared" si="129"/>
        <v>45915.625</v>
      </c>
      <c r="B377">
        <f>電力量!B378-電力量!B377</f>
        <v>860</v>
      </c>
      <c r="C377">
        <f>電力量!C378-電力量!C377</f>
        <v>198</v>
      </c>
      <c r="D377">
        <f>電力量!D378-電力量!D377</f>
        <v>27.400000000001455</v>
      </c>
      <c r="E377">
        <f>電力量!E378-電力量!E377</f>
        <v>0</v>
      </c>
      <c r="F377">
        <f>電力量!F378-電力量!F377</f>
        <v>25</v>
      </c>
      <c r="G377">
        <f>電力量!G378-電力量!G377</f>
        <v>65.69999999999709</v>
      </c>
      <c r="H377">
        <f>電力量!H378-電力量!H377</f>
        <v>24</v>
      </c>
      <c r="I377">
        <f>電力量!I378-電力量!I377</f>
        <v>314</v>
      </c>
      <c r="J377">
        <f>電力量!J378-電力量!J377</f>
        <v>8.9000000000014552</v>
      </c>
      <c r="K377">
        <f>電力量!K378-電力量!K377</f>
        <v>1.0999999999912689</v>
      </c>
      <c r="L377">
        <f>電力量!L378-電力量!L377</f>
        <v>28.900000000000546</v>
      </c>
      <c r="M377">
        <f>電力量!M378-電力量!M377</f>
        <v>36.600000000005821</v>
      </c>
      <c r="N377">
        <f>電力量!N378-電力量!N377</f>
        <v>53.200000000000728</v>
      </c>
      <c r="O377">
        <f>電力量!O378-電力量!O377</f>
        <v>19.700000000000003</v>
      </c>
      <c r="P377">
        <f>電力量!P378-電力量!P377</f>
        <v>1</v>
      </c>
      <c r="Q377">
        <f>電力量!Q378-電力量!Q377</f>
        <v>2</v>
      </c>
      <c r="R377">
        <f>電力量!R378-電力量!R377</f>
        <v>0</v>
      </c>
    </row>
    <row r="378" spans="1:18">
      <c r="A378" s="4">
        <f t="shared" si="130"/>
        <v>45915.666666666664</v>
      </c>
      <c r="B378">
        <f>電力量!B379-電力量!B378</f>
        <v>872</v>
      </c>
      <c r="C378">
        <f>電力量!C379-電力量!C378</f>
        <v>206</v>
      </c>
      <c r="D378">
        <f>電力量!D379-電力量!D378</f>
        <v>25.5</v>
      </c>
      <c r="E378">
        <f>電力量!E379-電力量!E378</f>
        <v>0</v>
      </c>
      <c r="F378">
        <f>電力量!F379-電力量!F378</f>
        <v>24</v>
      </c>
      <c r="G378">
        <f>電力量!G379-電力量!G378</f>
        <v>64.599999999991269</v>
      </c>
      <c r="H378">
        <f>電力量!H379-電力量!H378</f>
        <v>23</v>
      </c>
      <c r="I378">
        <f>電力量!I379-電力量!I378</f>
        <v>322</v>
      </c>
      <c r="J378">
        <f>電力量!J379-電力量!J378</f>
        <v>9</v>
      </c>
      <c r="K378">
        <f>電力量!K379-電力量!K378</f>
        <v>1.1000000000058208</v>
      </c>
      <c r="L378">
        <f>電力量!L379-電力量!L378</f>
        <v>29.899999999999636</v>
      </c>
      <c r="M378">
        <f>電力量!M379-電力量!M378</f>
        <v>38.399999999994179</v>
      </c>
      <c r="N378">
        <f>電力量!N379-電力量!N378</f>
        <v>52.599999999999454</v>
      </c>
      <c r="O378">
        <f>電力量!O379-電力量!O378</f>
        <v>20</v>
      </c>
      <c r="P378">
        <f>電力量!P379-電力量!P378</f>
        <v>3</v>
      </c>
      <c r="Q378">
        <f>電力量!Q379-電力量!Q378</f>
        <v>3</v>
      </c>
      <c r="R378">
        <f>電力量!R379-電力量!R378</f>
        <v>0</v>
      </c>
    </row>
    <row r="379" spans="1:18">
      <c r="A379" s="4">
        <f t="shared" si="131"/>
        <v>45915.708333333336</v>
      </c>
      <c r="B379">
        <f>電力量!B380-電力量!B379</f>
        <v>859</v>
      </c>
      <c r="C379">
        <f>電力量!C380-電力量!C379</f>
        <v>205</v>
      </c>
      <c r="D379">
        <f>電力量!D380-電力量!D379</f>
        <v>27.399999999994179</v>
      </c>
      <c r="E379">
        <f>電力量!E380-電力量!E379</f>
        <v>0</v>
      </c>
      <c r="F379">
        <f>電力量!F380-電力量!F379</f>
        <v>24</v>
      </c>
      <c r="G379">
        <f>電力量!G380-電力量!G379</f>
        <v>57.900000000008731</v>
      </c>
      <c r="H379">
        <f>電力量!H380-電力量!H379</f>
        <v>25</v>
      </c>
      <c r="I379">
        <f>電力量!I380-電力量!I379</f>
        <v>317</v>
      </c>
      <c r="J379">
        <f>電力量!J380-電力量!J379</f>
        <v>9.0999999999985448</v>
      </c>
      <c r="K379">
        <f>電力量!K380-電力量!K379</f>
        <v>1.5</v>
      </c>
      <c r="L379">
        <f>電力量!L380-電力量!L379</f>
        <v>23</v>
      </c>
      <c r="M379">
        <f>電力量!M380-電力量!M379</f>
        <v>38.5</v>
      </c>
      <c r="N379">
        <f>電力量!N380-電力量!N379</f>
        <v>52.100000000000364</v>
      </c>
      <c r="O379">
        <f>電力量!O380-電力量!O379</f>
        <v>19.399999999999999</v>
      </c>
      <c r="P379">
        <f>電力量!P380-電力量!P379</f>
        <v>2</v>
      </c>
      <c r="Q379">
        <f>電力量!Q380-電力量!Q379</f>
        <v>4</v>
      </c>
      <c r="R379">
        <f>電力量!R380-電力量!R379</f>
        <v>0</v>
      </c>
    </row>
    <row r="380" spans="1:18">
      <c r="A380" s="4">
        <f t="shared" si="132"/>
        <v>45915.75</v>
      </c>
      <c r="B380">
        <f>電力量!B381-電力量!B380</f>
        <v>845</v>
      </c>
      <c r="C380">
        <f>電力量!C381-電力量!C380</f>
        <v>200</v>
      </c>
      <c r="D380">
        <f>電力量!D381-電力量!D380</f>
        <v>26.200000000004366</v>
      </c>
      <c r="E380">
        <f>電力量!E381-電力量!E380</f>
        <v>0</v>
      </c>
      <c r="F380">
        <f>電力量!F381-電力量!F380</f>
        <v>24</v>
      </c>
      <c r="G380">
        <f>電力量!G381-電力量!G380</f>
        <v>64.399999999994179</v>
      </c>
      <c r="H380">
        <f>電力量!H381-電力量!H380</f>
        <v>27</v>
      </c>
      <c r="I380">
        <f>電力量!I381-電力量!I380</f>
        <v>307</v>
      </c>
      <c r="J380">
        <f>電力量!J381-電力量!J380</f>
        <v>7.5999999999985448</v>
      </c>
      <c r="K380">
        <f>電力量!K381-電力量!K380</f>
        <v>3</v>
      </c>
      <c r="L380">
        <f>電力量!L381-電力量!L380</f>
        <v>22.100000000000364</v>
      </c>
      <c r="M380">
        <f>電力量!M381-電力量!M380</f>
        <v>34.399999999994179</v>
      </c>
      <c r="N380">
        <f>電力量!N381-電力量!N380</f>
        <v>52.699999999999818</v>
      </c>
      <c r="O380">
        <f>電力量!O381-電力量!O380</f>
        <v>18.700000000000003</v>
      </c>
      <c r="P380">
        <f>電力量!P381-電力量!P380</f>
        <v>0</v>
      </c>
      <c r="Q380">
        <f>電力量!Q381-電力量!Q380</f>
        <v>0</v>
      </c>
      <c r="R380">
        <f>電力量!R381-電力量!R380</f>
        <v>0</v>
      </c>
    </row>
    <row r="381" spans="1:18">
      <c r="A381" s="4">
        <f t="shared" si="133"/>
        <v>45915.791666666664</v>
      </c>
      <c r="B381">
        <f>電力量!B382-電力量!B381</f>
        <v>805</v>
      </c>
      <c r="C381">
        <f>電力量!C382-電力量!C381</f>
        <v>191</v>
      </c>
      <c r="D381">
        <f>電力量!D382-電力量!D381</f>
        <v>20.5</v>
      </c>
      <c r="E381">
        <f>電力量!E382-電力量!E381</f>
        <v>0</v>
      </c>
      <c r="F381">
        <f>電力量!F382-電力量!F381</f>
        <v>24</v>
      </c>
      <c r="G381">
        <f>電力量!G382-電力量!G381</f>
        <v>61.30000000000291</v>
      </c>
      <c r="H381">
        <f>電力量!H382-電力量!H381</f>
        <v>18</v>
      </c>
      <c r="I381">
        <f>電力量!I382-電力量!I381</f>
        <v>292</v>
      </c>
      <c r="J381">
        <f>電力量!J382-電力量!J381</f>
        <v>7.2000000000043656</v>
      </c>
      <c r="K381">
        <f>電力量!K382-電力量!K381</f>
        <v>2.8000000000029104</v>
      </c>
      <c r="L381">
        <f>電力量!L382-電力量!L381</f>
        <v>25.099999999999454</v>
      </c>
      <c r="M381">
        <f>電力量!M382-電力量!M381</f>
        <v>33.700000000011642</v>
      </c>
      <c r="N381">
        <f>電力量!N382-電力量!N381</f>
        <v>55.199999999999818</v>
      </c>
      <c r="O381">
        <f>電力量!O382-電力量!O381</f>
        <v>19.700000000000003</v>
      </c>
      <c r="P381">
        <f>電力量!P382-電力量!P381</f>
        <v>0</v>
      </c>
      <c r="Q381">
        <f>電力量!Q382-電力量!Q381</f>
        <v>0</v>
      </c>
      <c r="R381">
        <f>電力量!R382-電力量!R381</f>
        <v>0</v>
      </c>
    </row>
    <row r="382" spans="1:18">
      <c r="A382" s="4">
        <f t="shared" si="134"/>
        <v>45915.833333333336</v>
      </c>
      <c r="B382">
        <f>電力量!B383-電力量!B382</f>
        <v>782</v>
      </c>
      <c r="C382">
        <f>電力量!C383-電力量!C382</f>
        <v>190</v>
      </c>
      <c r="D382">
        <f>電力量!D383-電力量!D382</f>
        <v>15.400000000001455</v>
      </c>
      <c r="E382">
        <f>電力量!E383-電力量!E382</f>
        <v>0</v>
      </c>
      <c r="F382">
        <f>電力量!F383-電力量!F382</f>
        <v>23</v>
      </c>
      <c r="G382">
        <f>電力量!G383-電力量!G382</f>
        <v>60.399999999994179</v>
      </c>
      <c r="H382">
        <f>電力量!H383-電力量!H382</f>
        <v>13</v>
      </c>
      <c r="I382">
        <f>電力量!I383-電力量!I382</f>
        <v>283</v>
      </c>
      <c r="J382">
        <f>電力量!J383-電力量!J382</f>
        <v>7.5</v>
      </c>
      <c r="K382">
        <f>電力量!K383-電力量!K382</f>
        <v>2.7999999999883585</v>
      </c>
      <c r="L382">
        <f>電力量!L383-電力量!L382</f>
        <v>24</v>
      </c>
      <c r="M382">
        <f>電力量!M383-電力量!M382</f>
        <v>33.69999999999709</v>
      </c>
      <c r="N382">
        <f>電力量!N383-電力量!N382</f>
        <v>54.800000000000182</v>
      </c>
      <c r="O382">
        <f>電力量!O383-電力量!O382</f>
        <v>20.399999999999991</v>
      </c>
      <c r="P382">
        <f>電力量!P383-電力量!P382</f>
        <v>0</v>
      </c>
      <c r="Q382">
        <f>電力量!Q383-電力量!Q382</f>
        <v>0</v>
      </c>
      <c r="R382">
        <f>電力量!R383-電力量!R382</f>
        <v>0</v>
      </c>
    </row>
    <row r="383" spans="1:18">
      <c r="A383" s="4">
        <f t="shared" si="135"/>
        <v>45915.875</v>
      </c>
      <c r="B383">
        <f>電力量!B384-電力量!B383</f>
        <v>762</v>
      </c>
      <c r="C383">
        <f>電力量!C384-電力量!C383</f>
        <v>185</v>
      </c>
      <c r="D383">
        <f>電力量!D384-電力量!D383</f>
        <v>20.399999999994179</v>
      </c>
      <c r="E383">
        <f>電力量!E384-電力量!E383</f>
        <v>0</v>
      </c>
      <c r="F383">
        <f>電力量!F384-電力量!F383</f>
        <v>21</v>
      </c>
      <c r="G383">
        <f>電力量!G384-電力量!G383</f>
        <v>58.600000000005821</v>
      </c>
      <c r="H383">
        <f>電力量!H384-電力量!H383</f>
        <v>13</v>
      </c>
      <c r="I383">
        <f>電力量!I384-電力量!I383</f>
        <v>270</v>
      </c>
      <c r="J383">
        <f>電力量!J384-電力量!J383</f>
        <v>7</v>
      </c>
      <c r="K383">
        <f>電力量!K384-電力量!K383</f>
        <v>2.8000000000029104</v>
      </c>
      <c r="L383">
        <f>電力量!L384-電力量!L383</f>
        <v>23</v>
      </c>
      <c r="M383">
        <f>電力量!M384-電力量!M383</f>
        <v>33.5</v>
      </c>
      <c r="N383">
        <f>電力量!N384-電力量!N383</f>
        <v>54.100000000000364</v>
      </c>
      <c r="O383">
        <f>電力量!O384-電力量!O383</f>
        <v>21.200000000000003</v>
      </c>
      <c r="P383">
        <f>電力量!P384-電力量!P383</f>
        <v>0</v>
      </c>
      <c r="Q383">
        <f>電力量!Q384-電力量!Q383</f>
        <v>0</v>
      </c>
      <c r="R383">
        <f>電力量!R384-電力量!R383</f>
        <v>0</v>
      </c>
    </row>
    <row r="384" spans="1:18">
      <c r="A384" s="4">
        <f t="shared" si="136"/>
        <v>45915.916666666664</v>
      </c>
      <c r="B384">
        <f>電力量!B385-電力量!B384</f>
        <v>757</v>
      </c>
      <c r="C384">
        <f>電力量!C385-電力量!C384</f>
        <v>191</v>
      </c>
      <c r="D384">
        <f>電力量!D385-電力量!D384</f>
        <v>20.30000000000291</v>
      </c>
      <c r="E384">
        <f>電力量!E385-電力量!E384</f>
        <v>0</v>
      </c>
      <c r="F384">
        <f>電力量!F385-電力量!F384</f>
        <v>22</v>
      </c>
      <c r="G384">
        <f>電力量!G385-電力量!G384</f>
        <v>55.899999999994179</v>
      </c>
      <c r="H384">
        <f>電力量!H385-電力量!H384</f>
        <v>12</v>
      </c>
      <c r="I384">
        <f>電力量!I385-電力量!I384</f>
        <v>262</v>
      </c>
      <c r="J384">
        <f>電力量!J385-電力量!J384</f>
        <v>7</v>
      </c>
      <c r="K384">
        <f>電力量!K385-電力量!K384</f>
        <v>2.8000000000029104</v>
      </c>
      <c r="L384">
        <f>電力量!L385-電力量!L384</f>
        <v>21.5</v>
      </c>
      <c r="M384">
        <f>電力量!M385-電力量!M384</f>
        <v>35</v>
      </c>
      <c r="N384">
        <f>電力量!N385-電力量!N384</f>
        <v>53.299999999999272</v>
      </c>
      <c r="O384">
        <f>電力量!O385-電力量!O384</f>
        <v>19.400000000000006</v>
      </c>
      <c r="P384">
        <f>電力量!P385-電力量!P384</f>
        <v>0</v>
      </c>
      <c r="Q384">
        <f>電力量!Q385-電力量!Q384</f>
        <v>0</v>
      </c>
      <c r="R384">
        <f>電力量!R385-電力量!R384</f>
        <v>0</v>
      </c>
    </row>
    <row r="385" spans="1:18">
      <c r="A385" s="4">
        <f t="shared" si="137"/>
        <v>45915.958333333336</v>
      </c>
      <c r="B385">
        <f>電力量!B386-電力量!B385</f>
        <v>739</v>
      </c>
      <c r="C385">
        <f>電力量!C386-電力量!C385</f>
        <v>182</v>
      </c>
      <c r="D385">
        <f>電力量!D386-電力量!D385</f>
        <v>17.80000000000291</v>
      </c>
      <c r="E385">
        <f>電力量!E386-電力量!E385</f>
        <v>0</v>
      </c>
      <c r="F385">
        <f>電力量!F386-電力量!F385</f>
        <v>20</v>
      </c>
      <c r="G385">
        <f>電力量!G386-電力量!G385</f>
        <v>54.100000000005821</v>
      </c>
      <c r="H385">
        <f>電力量!H386-電力量!H385</f>
        <v>14</v>
      </c>
      <c r="I385">
        <f>電力量!I386-電力量!I385</f>
        <v>260</v>
      </c>
      <c r="J385">
        <f>電力量!J386-電力量!J385</f>
        <v>7.2999999999956344</v>
      </c>
      <c r="K385">
        <f>電力量!K386-電力量!K385</f>
        <v>2.8000000000029104</v>
      </c>
      <c r="L385">
        <f>電力量!L386-電力量!L385</f>
        <v>19.700000000000728</v>
      </c>
      <c r="M385">
        <f>電力量!M386-電力量!M385</f>
        <v>36.30000000000291</v>
      </c>
      <c r="N385">
        <f>電力量!N386-電力量!N385</f>
        <v>52.800000000001091</v>
      </c>
      <c r="O385">
        <f>電力量!O386-電力量!O385</f>
        <v>18.900000000000006</v>
      </c>
      <c r="P385">
        <f>電力量!P386-電力量!P385</f>
        <v>0</v>
      </c>
      <c r="Q385">
        <f>電力量!Q386-電力量!Q385</f>
        <v>0</v>
      </c>
      <c r="R385">
        <f>電力量!R386-電力量!R385</f>
        <v>0</v>
      </c>
    </row>
    <row r="386" spans="1:18">
      <c r="A386" s="4">
        <v>45916</v>
      </c>
      <c r="B386">
        <f>電力量!B387-電力量!B386</f>
        <v>723</v>
      </c>
      <c r="C386">
        <f>電力量!C387-電力量!C386</f>
        <v>177</v>
      </c>
      <c r="D386">
        <f>電力量!D387-電力量!D386</f>
        <v>14.299999999995634</v>
      </c>
      <c r="E386">
        <f>電力量!E387-電力量!E386</f>
        <v>0</v>
      </c>
      <c r="F386">
        <f>電力量!F387-電力量!F386</f>
        <v>21</v>
      </c>
      <c r="G386">
        <f>電力量!G387-電力量!G386</f>
        <v>50.30000000000291</v>
      </c>
      <c r="H386">
        <f>電力量!H387-電力量!H386</f>
        <v>12</v>
      </c>
      <c r="I386">
        <f>電力量!I387-電力量!I386</f>
        <v>257</v>
      </c>
      <c r="J386">
        <f>電力量!J387-電力量!J386</f>
        <v>7.6000000000058208</v>
      </c>
      <c r="K386">
        <f>電力量!K387-電力量!K386</f>
        <v>2.8000000000029104</v>
      </c>
      <c r="L386">
        <f>電力量!L387-電力量!L386</f>
        <v>25.099999999999454</v>
      </c>
      <c r="M386">
        <f>電力量!M387-電力量!M386</f>
        <v>33.69999999999709</v>
      </c>
      <c r="N386">
        <f>電力量!N387-電力量!N386</f>
        <v>54</v>
      </c>
      <c r="O386">
        <f>電力量!O387-電力量!O386</f>
        <v>17</v>
      </c>
      <c r="P386">
        <f>電力量!P387-電力量!P386</f>
        <v>0</v>
      </c>
      <c r="Q386">
        <f>電力量!Q387-電力量!Q386</f>
        <v>0</v>
      </c>
      <c r="R386">
        <f>電力量!R387-電力量!R386</f>
        <v>0</v>
      </c>
    </row>
    <row r="387" spans="1:18">
      <c r="A387" s="4">
        <f t="shared" ref="A387:A435" si="138">A386+(1/24)</f>
        <v>45916.041666666664</v>
      </c>
      <c r="B387">
        <f>電力量!B388-電力量!B387</f>
        <v>706</v>
      </c>
      <c r="C387">
        <f>電力量!C388-電力量!C387</f>
        <v>168</v>
      </c>
      <c r="D387">
        <f>電力量!D388-電力量!D387</f>
        <v>15.099999999998545</v>
      </c>
      <c r="E387">
        <f>電力量!E388-電力量!E387</f>
        <v>0</v>
      </c>
      <c r="F387">
        <f>電力量!F388-電力量!F387</f>
        <v>19</v>
      </c>
      <c r="G387">
        <f>電力量!G388-電力量!G387</f>
        <v>50.099999999991269</v>
      </c>
      <c r="H387">
        <f>電力量!H388-電力量!H387</f>
        <v>12</v>
      </c>
      <c r="I387">
        <f>電力量!I388-電力量!I387</f>
        <v>250</v>
      </c>
      <c r="J387">
        <f>電力量!J388-電力量!J387</f>
        <v>6.8999999999941792</v>
      </c>
      <c r="K387">
        <f>電力量!K388-電力量!K387</f>
        <v>2.8999999999941792</v>
      </c>
      <c r="L387">
        <f>電力量!L388-電力量!L387</f>
        <v>26.400000000000546</v>
      </c>
      <c r="M387">
        <f>電力量!M388-電力量!M387</f>
        <v>32.19999999999709</v>
      </c>
      <c r="N387">
        <f>電力量!N388-電力量!N387</f>
        <v>54.099999999998545</v>
      </c>
      <c r="O387">
        <f>電力量!O388-電力量!O387</f>
        <v>18.5</v>
      </c>
      <c r="P387">
        <f>電力量!P388-電力量!P387</f>
        <v>0</v>
      </c>
      <c r="Q387">
        <f>電力量!Q388-電力量!Q387</f>
        <v>0</v>
      </c>
      <c r="R387">
        <f>電力量!R388-電力量!R387</f>
        <v>0</v>
      </c>
    </row>
    <row r="388" spans="1:18">
      <c r="A388" s="4">
        <f t="shared" ref="A388:A436" si="139">A386+(2/24)</f>
        <v>45916.083333333336</v>
      </c>
      <c r="B388">
        <f>電力量!B389-電力量!B388</f>
        <v>688</v>
      </c>
      <c r="C388">
        <f>電力量!C389-電力量!C388</f>
        <v>164</v>
      </c>
      <c r="D388">
        <f>電力量!D389-電力量!D388</f>
        <v>14.30000000000291</v>
      </c>
      <c r="E388">
        <f>電力量!E389-電力量!E388</f>
        <v>0</v>
      </c>
      <c r="F388">
        <f>電力量!F389-電力量!F388</f>
        <v>20</v>
      </c>
      <c r="G388">
        <f>電力量!G389-電力量!G388</f>
        <v>49.200000000011642</v>
      </c>
      <c r="H388">
        <f>電力量!H389-電力量!H388</f>
        <v>12</v>
      </c>
      <c r="I388">
        <f>電力量!I389-電力量!I388</f>
        <v>239</v>
      </c>
      <c r="J388">
        <f>電力量!J389-電力量!J388</f>
        <v>6.8000000000029104</v>
      </c>
      <c r="K388">
        <f>電力量!K389-電力量!K388</f>
        <v>2.8000000000029104</v>
      </c>
      <c r="L388">
        <f>電力量!L389-電力量!L388</f>
        <v>25</v>
      </c>
      <c r="M388">
        <f>電力量!M389-電力量!M388</f>
        <v>32.5</v>
      </c>
      <c r="N388">
        <f>電力量!N389-電力量!N388</f>
        <v>53.100000000000364</v>
      </c>
      <c r="O388">
        <f>電力量!O389-電力量!O388</f>
        <v>18</v>
      </c>
      <c r="P388">
        <f>電力量!P389-電力量!P388</f>
        <v>0</v>
      </c>
      <c r="Q388">
        <f>電力量!Q389-電力量!Q388</f>
        <v>0</v>
      </c>
      <c r="R388">
        <f>電力量!R389-電力量!R388</f>
        <v>0</v>
      </c>
    </row>
    <row r="389" spans="1:18">
      <c r="A389" s="4">
        <f t="shared" ref="A389:A437" si="140">A386+(3/24)</f>
        <v>45916.125</v>
      </c>
      <c r="B389">
        <f>電力量!B390-電力量!B389</f>
        <v>686</v>
      </c>
      <c r="C389">
        <f>電力量!C390-電力量!C389</f>
        <v>158</v>
      </c>
      <c r="D389">
        <f>電力量!D390-電力量!D389</f>
        <v>13.400000000001455</v>
      </c>
      <c r="E389">
        <f>電力量!E390-電力量!E389</f>
        <v>0</v>
      </c>
      <c r="F389">
        <f>電力量!F390-電力量!F389</f>
        <v>20</v>
      </c>
      <c r="G389">
        <f>電力量!G390-電力量!G389</f>
        <v>48.19999999999709</v>
      </c>
      <c r="H389">
        <f>電力量!H390-電力量!H389</f>
        <v>11</v>
      </c>
      <c r="I389">
        <f>電力量!I390-電力量!I389</f>
        <v>245</v>
      </c>
      <c r="J389">
        <f>電力量!J390-電力量!J389</f>
        <v>7</v>
      </c>
      <c r="K389">
        <f>電力量!K390-電力量!K389</f>
        <v>2.6999999999970896</v>
      </c>
      <c r="L389">
        <f>電力量!L390-電力量!L389</f>
        <v>25</v>
      </c>
      <c r="M389">
        <f>電力量!M390-電力量!M389</f>
        <v>31.899999999994179</v>
      </c>
      <c r="N389">
        <f>電力量!N390-電力量!N389</f>
        <v>53.700000000000728</v>
      </c>
      <c r="O389">
        <f>電力量!O390-電力量!O389</f>
        <v>18.299999999999983</v>
      </c>
      <c r="P389">
        <f>電力量!P390-電力量!P389</f>
        <v>0</v>
      </c>
      <c r="Q389">
        <f>電力量!Q390-電力量!Q389</f>
        <v>0</v>
      </c>
      <c r="R389">
        <f>電力量!R390-電力量!R389</f>
        <v>0</v>
      </c>
    </row>
    <row r="390" spans="1:18">
      <c r="A390" s="4">
        <f t="shared" ref="A390:A438" si="141">A386+(4/24)</f>
        <v>45916.166666666664</v>
      </c>
      <c r="B390">
        <f>電力量!B391-電力量!B390</f>
        <v>677</v>
      </c>
      <c r="C390">
        <f>電力量!C391-電力量!C390</f>
        <v>161</v>
      </c>
      <c r="D390">
        <f>電力量!D391-電力量!D390</f>
        <v>13.5</v>
      </c>
      <c r="E390">
        <f>電力量!E391-電力量!E390</f>
        <v>0</v>
      </c>
      <c r="F390">
        <f>電力量!F391-電力量!F390</f>
        <v>20</v>
      </c>
      <c r="G390">
        <f>電力量!G391-電力量!G390</f>
        <v>47.80000000000291</v>
      </c>
      <c r="H390">
        <f>電力量!H391-電力量!H390</f>
        <v>12</v>
      </c>
      <c r="I390">
        <f>電力量!I391-電力量!I390</f>
        <v>235</v>
      </c>
      <c r="J390">
        <f>電力量!J391-電力量!J390</f>
        <v>6.5999999999985448</v>
      </c>
      <c r="K390">
        <f>電力量!K391-電力量!K390</f>
        <v>2.6000000000058208</v>
      </c>
      <c r="L390">
        <f>電力量!L391-電力量!L390</f>
        <v>23.5</v>
      </c>
      <c r="M390">
        <f>電力量!M391-電力量!M390</f>
        <v>32.400000000008731</v>
      </c>
      <c r="N390">
        <f>電力量!N391-電力量!N390</f>
        <v>53.399999999999636</v>
      </c>
      <c r="O390">
        <f>電力量!O391-電力量!O390</f>
        <v>19.500000000000028</v>
      </c>
      <c r="P390">
        <f>電力量!P391-電力量!P390</f>
        <v>0</v>
      </c>
      <c r="Q390">
        <f>電力量!Q391-電力量!Q390</f>
        <v>0</v>
      </c>
      <c r="R390">
        <f>電力量!R391-電力量!R390</f>
        <v>0</v>
      </c>
    </row>
    <row r="391" spans="1:18">
      <c r="A391" s="4">
        <f t="shared" ref="A391:A439" si="142">A386+(5/24)</f>
        <v>45916.208333333336</v>
      </c>
      <c r="B391">
        <f>電力量!B392-電力量!B391</f>
        <v>684</v>
      </c>
      <c r="C391">
        <f>電力量!C392-電力量!C391</f>
        <v>164</v>
      </c>
      <c r="D391">
        <f>電力量!D392-電力量!D391</f>
        <v>13.19999999999709</v>
      </c>
      <c r="E391">
        <f>電力量!E392-電力量!E391</f>
        <v>0</v>
      </c>
      <c r="F391">
        <f>電力量!F392-電力量!F391</f>
        <v>19</v>
      </c>
      <c r="G391">
        <f>電力量!G392-電力量!G391</f>
        <v>46.899999999994179</v>
      </c>
      <c r="H391">
        <f>電力量!H392-電力量!H391</f>
        <v>12</v>
      </c>
      <c r="I391">
        <f>電力量!I392-電力量!I391</f>
        <v>237</v>
      </c>
      <c r="J391">
        <f>電力量!J392-電力量!J391</f>
        <v>6.7000000000043656</v>
      </c>
      <c r="K391">
        <f>電力量!K392-電力量!K391</f>
        <v>2.6999999999970896</v>
      </c>
      <c r="L391">
        <f>電力量!L392-電力量!L391</f>
        <v>23.399999999999636</v>
      </c>
      <c r="M391">
        <f>電力量!M392-電力量!M391</f>
        <v>32.5</v>
      </c>
      <c r="N391">
        <f>電力量!N392-電力量!N391</f>
        <v>54.100000000000364</v>
      </c>
      <c r="O391">
        <f>電力量!O392-電力量!O391</f>
        <v>21.399999999999977</v>
      </c>
      <c r="P391">
        <f>電力量!P392-電力量!P391</f>
        <v>0</v>
      </c>
      <c r="Q391">
        <f>電力量!Q392-電力量!Q391</f>
        <v>0</v>
      </c>
      <c r="R391">
        <f>電力量!R392-電力量!R391</f>
        <v>0</v>
      </c>
    </row>
    <row r="392" spans="1:18">
      <c r="A392" s="4">
        <f t="shared" ref="A392:A440" si="143">A386+(6/24)</f>
        <v>45916.25</v>
      </c>
      <c r="B392">
        <f>電力量!B393-電力量!B392</f>
        <v>688</v>
      </c>
      <c r="C392">
        <f>電力量!C393-電力量!C392</f>
        <v>170</v>
      </c>
      <c r="D392">
        <f>電力量!D393-電力量!D392</f>
        <v>13.599999999998545</v>
      </c>
      <c r="E392">
        <f>電力量!E393-電力量!E392</f>
        <v>0</v>
      </c>
      <c r="F392">
        <f>電力量!F393-電力量!F392</f>
        <v>19</v>
      </c>
      <c r="G392">
        <f>電力量!G393-電力量!G392</f>
        <v>44.399999999994179</v>
      </c>
      <c r="H392">
        <f>電力量!H393-電力量!H392</f>
        <v>13</v>
      </c>
      <c r="I392">
        <f>電力量!I393-電力量!I392</f>
        <v>241</v>
      </c>
      <c r="J392">
        <f>電力量!J393-電力量!J392</f>
        <v>6.5999999999985448</v>
      </c>
      <c r="K392">
        <f>電力量!K393-電力量!K392</f>
        <v>2.3999999999941792</v>
      </c>
      <c r="L392">
        <f>電力量!L393-電力量!L392</f>
        <v>23.600000000000364</v>
      </c>
      <c r="M392">
        <f>電力量!M393-電力量!M392</f>
        <v>31.80000000000291</v>
      </c>
      <c r="N392">
        <f>電力量!N393-電力量!N392</f>
        <v>53.299999999999272</v>
      </c>
      <c r="O392">
        <f>電力量!O393-電力量!O392</f>
        <v>18.899999999999977</v>
      </c>
      <c r="P392">
        <f>電力量!P393-電力量!P392</f>
        <v>0</v>
      </c>
      <c r="Q392">
        <f>電力量!Q393-電力量!Q392</f>
        <v>1</v>
      </c>
      <c r="R392">
        <f>電力量!R393-電力量!R392</f>
        <v>0</v>
      </c>
    </row>
    <row r="393" spans="1:18">
      <c r="A393" s="4">
        <f t="shared" ref="A393:A441" si="144">A386+(7/24)</f>
        <v>45916.291666666664</v>
      </c>
      <c r="B393">
        <f>電力量!B394-電力量!B393</f>
        <v>712</v>
      </c>
      <c r="C393">
        <f>電力量!C394-電力量!C393</f>
        <v>180</v>
      </c>
      <c r="D393">
        <f>電力量!D394-電力量!D393</f>
        <v>17.30000000000291</v>
      </c>
      <c r="E393">
        <f>電力量!E394-電力量!E393</f>
        <v>0</v>
      </c>
      <c r="F393">
        <f>電力量!F394-電力量!F393</f>
        <v>19</v>
      </c>
      <c r="G393">
        <f>電力量!G394-電力量!G393</f>
        <v>42.200000000011642</v>
      </c>
      <c r="H393">
        <f>電力量!H394-電力量!H393</f>
        <v>12</v>
      </c>
      <c r="I393">
        <f>電力量!I394-電力量!I393</f>
        <v>252</v>
      </c>
      <c r="J393">
        <f>電力量!J394-電力量!J393</f>
        <v>7.5</v>
      </c>
      <c r="K393">
        <f>電力量!K394-電力量!K393</f>
        <v>0.69999999999708962</v>
      </c>
      <c r="L393">
        <f>電力量!L394-電力量!L393</f>
        <v>21.899999999999636</v>
      </c>
      <c r="M393">
        <f>電力量!M394-電力量!M393</f>
        <v>32.399999999994179</v>
      </c>
      <c r="N393">
        <f>電力量!N394-電力量!N393</f>
        <v>49.399999999999636</v>
      </c>
      <c r="O393">
        <f>電力量!O394-電力量!O393</f>
        <v>24.100000000000023</v>
      </c>
      <c r="P393">
        <f>電力量!P394-電力量!P393</f>
        <v>2</v>
      </c>
      <c r="Q393">
        <f>電力量!Q394-電力量!Q393</f>
        <v>3</v>
      </c>
      <c r="R393">
        <f>電力量!R394-電力量!R393</f>
        <v>0</v>
      </c>
    </row>
    <row r="394" spans="1:18">
      <c r="A394" s="4">
        <f t="shared" ref="A394:A442" si="145">A386+(8/24)</f>
        <v>45916.333333333336</v>
      </c>
      <c r="B394">
        <f>電力量!B395-電力量!B394</f>
        <v>836</v>
      </c>
      <c r="C394">
        <f>電力量!C395-電力量!C394</f>
        <v>215</v>
      </c>
      <c r="D394">
        <f>電力量!D395-電力量!D394</f>
        <v>19.80000000000291</v>
      </c>
      <c r="E394">
        <f>電力量!E395-電力量!E394</f>
        <v>0</v>
      </c>
      <c r="F394">
        <f>電力量!F395-電力量!F394</f>
        <v>25</v>
      </c>
      <c r="G394">
        <f>電力量!G395-電力量!G394</f>
        <v>45.799999999988358</v>
      </c>
      <c r="H394">
        <f>電力量!H395-電力量!H394</f>
        <v>12</v>
      </c>
      <c r="I394">
        <f>電力量!I395-電力量!I394</f>
        <v>289</v>
      </c>
      <c r="J394">
        <f>電力量!J395-電力量!J394</f>
        <v>7.5</v>
      </c>
      <c r="K394">
        <f>電力量!K395-電力量!K394</f>
        <v>0.80000000000291038</v>
      </c>
      <c r="L394">
        <f>電力量!L395-電力量!L394</f>
        <v>29.399999999999636</v>
      </c>
      <c r="M394">
        <f>電力量!M395-電力量!M394</f>
        <v>39.19999999999709</v>
      </c>
      <c r="N394">
        <f>電力量!N395-電力量!N394</f>
        <v>49.900000000001455</v>
      </c>
      <c r="O394">
        <f>電力量!O395-電力量!O394</f>
        <v>39.100000000000023</v>
      </c>
      <c r="P394">
        <f>電力量!P395-電力量!P394</f>
        <v>5</v>
      </c>
      <c r="Q394">
        <f>電力量!Q395-電力量!Q394</f>
        <v>8</v>
      </c>
      <c r="R394">
        <f>電力量!R395-電力量!R394</f>
        <v>0</v>
      </c>
    </row>
    <row r="395" spans="1:18">
      <c r="A395" s="4">
        <f t="shared" ref="A395:A443" si="146">A386+(9/24)</f>
        <v>45916.375</v>
      </c>
      <c r="B395">
        <f>電力量!B396-電力量!B395</f>
        <v>1046</v>
      </c>
      <c r="C395">
        <f>電力量!C396-電力量!C395</f>
        <v>283</v>
      </c>
      <c r="D395">
        <f>電力量!D396-電力量!D395</f>
        <v>26.799999999995634</v>
      </c>
      <c r="E395">
        <f>電力量!E396-電力量!E395</f>
        <v>0</v>
      </c>
      <c r="F395">
        <f>電力量!F396-電力量!F395</f>
        <v>32</v>
      </c>
      <c r="G395">
        <f>電力量!G396-電力量!G395</f>
        <v>55.80000000000291</v>
      </c>
      <c r="H395">
        <f>電力量!H396-電力量!H395</f>
        <v>12</v>
      </c>
      <c r="I395">
        <f>電力量!I396-電力量!I395</f>
        <v>346</v>
      </c>
      <c r="J395">
        <f>電力量!J396-電力量!J395</f>
        <v>9.2999999999956344</v>
      </c>
      <c r="K395">
        <f>電力量!K396-電力量!K395</f>
        <v>0</v>
      </c>
      <c r="L395">
        <f>電力量!L396-電力量!L395</f>
        <v>36.600000000000364</v>
      </c>
      <c r="M395">
        <f>電力量!M396-電力量!M395</f>
        <v>46.100000000005821</v>
      </c>
      <c r="N395">
        <f>電力量!N396-電力量!N395</f>
        <v>47.299999999999272</v>
      </c>
      <c r="O395">
        <f>電力量!O396-電力量!O395</f>
        <v>61.699999999999989</v>
      </c>
      <c r="P395">
        <f>電力量!P396-電力量!P395</f>
        <v>10</v>
      </c>
      <c r="Q395">
        <f>電力量!Q396-電力量!Q395</f>
        <v>15</v>
      </c>
      <c r="R395">
        <f>電力量!R396-電力量!R395</f>
        <v>0</v>
      </c>
    </row>
    <row r="396" spans="1:18">
      <c r="A396" s="4">
        <f t="shared" ref="A396:A444" si="147">A386+(10/24)</f>
        <v>45916.416666666664</v>
      </c>
      <c r="B396">
        <f>電力量!B397-電力量!B396</f>
        <v>1226</v>
      </c>
      <c r="C396">
        <f>電力量!C397-電力量!C396</f>
        <v>335</v>
      </c>
      <c r="D396">
        <f>電力量!D397-電力量!D396</f>
        <v>28.099999999998545</v>
      </c>
      <c r="E396">
        <f>電力量!E397-電力量!E396</f>
        <v>0</v>
      </c>
      <c r="F396">
        <f>電力量!F397-電力量!F396</f>
        <v>50</v>
      </c>
      <c r="G396">
        <f>電力量!G397-電力量!G396</f>
        <v>80.5</v>
      </c>
      <c r="H396">
        <f>電力量!H397-電力量!H396</f>
        <v>11</v>
      </c>
      <c r="I396">
        <f>電力量!I397-電力量!I396</f>
        <v>425</v>
      </c>
      <c r="J396">
        <f>電力量!J397-電力量!J396</f>
        <v>9.8000000000029104</v>
      </c>
      <c r="K396">
        <f>電力量!K397-電力量!K396</f>
        <v>0.10000000000582077</v>
      </c>
      <c r="L396">
        <f>電力量!L397-電力量!L396</f>
        <v>34.399999999999636</v>
      </c>
      <c r="M396">
        <f>電力量!M397-電力量!M396</f>
        <v>45.099999999991269</v>
      </c>
      <c r="N396">
        <f>電力量!N397-電力量!N396</f>
        <v>49.299999999999272</v>
      </c>
      <c r="O396">
        <f>電力量!O397-電力量!O396</f>
        <v>74.800000000000011</v>
      </c>
      <c r="P396">
        <f>電力量!P397-電力量!P396</f>
        <v>13</v>
      </c>
      <c r="Q396">
        <f>電力量!Q397-電力量!Q396</f>
        <v>19</v>
      </c>
      <c r="R396">
        <f>電力量!R397-電力量!R396</f>
        <v>0</v>
      </c>
    </row>
    <row r="397" spans="1:18">
      <c r="A397" s="4">
        <f t="shared" ref="A397:A445" si="148">A386+(11/24)</f>
        <v>45916.458333333336</v>
      </c>
      <c r="B397">
        <f>電力量!B398-電力量!B397</f>
        <v>1317</v>
      </c>
      <c r="C397">
        <f>電力量!C398-電力量!C397</f>
        <v>370</v>
      </c>
      <c r="D397">
        <f>電力量!D398-電力量!D397</f>
        <v>29.80000000000291</v>
      </c>
      <c r="E397">
        <f>電力量!E398-電力量!E397</f>
        <v>0</v>
      </c>
      <c r="F397">
        <f>電力量!F398-電力量!F397</f>
        <v>46</v>
      </c>
      <c r="G397">
        <f>電力量!G398-電力量!G397</f>
        <v>88.80000000000291</v>
      </c>
      <c r="H397">
        <f>電力量!H398-電力量!H397</f>
        <v>13</v>
      </c>
      <c r="I397">
        <f>電力量!I398-電力量!I397</f>
        <v>455</v>
      </c>
      <c r="J397">
        <f>電力量!J398-電力量!J397</f>
        <v>10.30000000000291</v>
      </c>
      <c r="K397">
        <f>電力量!K398-電力量!K397</f>
        <v>9.9999999991268851E-2</v>
      </c>
      <c r="L397">
        <f>電力量!L398-電力量!L397</f>
        <v>41.5</v>
      </c>
      <c r="M397">
        <f>電力量!M398-電力量!M397</f>
        <v>45.700000000011642</v>
      </c>
      <c r="N397">
        <f>電力量!N398-電力量!N397</f>
        <v>47.200000000000728</v>
      </c>
      <c r="O397">
        <f>電力量!O398-電力量!O397</f>
        <v>68.699999999999932</v>
      </c>
      <c r="P397">
        <f>電力量!P398-電力量!P397</f>
        <v>14</v>
      </c>
      <c r="Q397">
        <f>電力量!Q398-電力量!Q397</f>
        <v>22</v>
      </c>
      <c r="R397">
        <f>電力量!R398-電力量!R397</f>
        <v>0</v>
      </c>
    </row>
    <row r="398" spans="1:18">
      <c r="A398" s="4">
        <f t="shared" ref="A398:A446" si="149">A386+(12/24)</f>
        <v>45916.5</v>
      </c>
      <c r="B398">
        <f>電力量!B399-電力量!B398</f>
        <v>1370</v>
      </c>
      <c r="C398">
        <f>電力量!C399-電力量!C398</f>
        <v>379</v>
      </c>
      <c r="D398">
        <f>電力量!D399-電力量!D398</f>
        <v>39.099999999998545</v>
      </c>
      <c r="E398">
        <f>電力量!E399-電力量!E398</f>
        <v>0</v>
      </c>
      <c r="F398">
        <f>電力量!F399-電力量!F398</f>
        <v>46</v>
      </c>
      <c r="G398">
        <f>電力量!G399-電力量!G398</f>
        <v>91.600000000005821</v>
      </c>
      <c r="H398">
        <f>電力量!H399-電力量!H398</f>
        <v>12</v>
      </c>
      <c r="I398">
        <f>電力量!I399-電力量!I398</f>
        <v>470</v>
      </c>
      <c r="J398">
        <f>電力量!J399-電力量!J398</f>
        <v>11.099999999998545</v>
      </c>
      <c r="K398">
        <f>電力量!K399-電力量!K398</f>
        <v>0</v>
      </c>
      <c r="L398">
        <f>電力量!L399-電力量!L398</f>
        <v>49.700000000000728</v>
      </c>
      <c r="M398">
        <f>電力量!M399-電力量!M398</f>
        <v>49.099999999991269</v>
      </c>
      <c r="N398">
        <f>電力量!N399-電力量!N398</f>
        <v>44.299999999999272</v>
      </c>
      <c r="O398">
        <f>電力量!O399-電力量!O398</f>
        <v>69.800000000000068</v>
      </c>
      <c r="P398">
        <f>電力量!P399-電力量!P398</f>
        <v>16</v>
      </c>
      <c r="Q398">
        <f>電力量!Q399-電力量!Q398</f>
        <v>24</v>
      </c>
      <c r="R398">
        <f>電力量!R399-電力量!R398</f>
        <v>0</v>
      </c>
    </row>
    <row r="399" spans="1:18">
      <c r="A399" s="4">
        <f t="shared" ref="A399:A447" si="150">A386+(13/24)</f>
        <v>45916.541666666664</v>
      </c>
      <c r="B399">
        <f>電力量!B400-電力量!B399</f>
        <v>1491</v>
      </c>
      <c r="C399">
        <f>電力量!C400-電力量!C399</f>
        <v>412</v>
      </c>
      <c r="D399">
        <f>電力量!D400-電力量!D399</f>
        <v>44.200000000004366</v>
      </c>
      <c r="E399">
        <f>電力量!E400-電力量!E399</f>
        <v>0</v>
      </c>
      <c r="F399">
        <f>電力量!F400-電力量!F399</f>
        <v>46</v>
      </c>
      <c r="G399">
        <f>電力量!G400-電力量!G399</f>
        <v>118</v>
      </c>
      <c r="H399">
        <f>電力量!H400-電力量!H399</f>
        <v>15</v>
      </c>
      <c r="I399">
        <f>電力量!I400-電力量!I399</f>
        <v>481</v>
      </c>
      <c r="J399">
        <f>電力量!J400-電力量!J399</f>
        <v>13.099999999998545</v>
      </c>
      <c r="K399">
        <f>電力量!K400-電力量!K399</f>
        <v>0</v>
      </c>
      <c r="L399">
        <f>電力量!L400-電力量!L399</f>
        <v>57.399999999999636</v>
      </c>
      <c r="M399">
        <f>電力量!M400-電力量!M399</f>
        <v>56.600000000005821</v>
      </c>
      <c r="N399">
        <f>電力量!N400-電力量!N399</f>
        <v>48.300000000001091</v>
      </c>
      <c r="O399">
        <f>電力量!O400-電力量!O399</f>
        <v>79.600000000000023</v>
      </c>
      <c r="P399">
        <f>電力量!P400-電力量!P399</f>
        <v>15</v>
      </c>
      <c r="Q399">
        <f>電力量!Q400-電力量!Q399</f>
        <v>23</v>
      </c>
      <c r="R399">
        <f>電力量!R400-電力量!R399</f>
        <v>0</v>
      </c>
    </row>
    <row r="400" spans="1:18">
      <c r="A400" s="4">
        <f t="shared" ref="A400:A448" si="151">A386+(14/24)</f>
        <v>45916.583333333336</v>
      </c>
      <c r="B400">
        <f>電力量!B401-電力量!B400</f>
        <v>1477</v>
      </c>
      <c r="C400">
        <f>電力量!C401-電力量!C400</f>
        <v>416</v>
      </c>
      <c r="D400">
        <f>電力量!D401-電力量!D400</f>
        <v>43.599999999998545</v>
      </c>
      <c r="E400">
        <f>電力量!E401-電力量!E400</f>
        <v>0</v>
      </c>
      <c r="F400">
        <f>電力量!F401-電力量!F400</f>
        <v>56</v>
      </c>
      <c r="G400">
        <f>電力量!G401-電力量!G400</f>
        <v>129.89999999999418</v>
      </c>
      <c r="H400">
        <f>電力量!H401-電力量!H400</f>
        <v>24</v>
      </c>
      <c r="I400">
        <f>電力量!I401-電力量!I400</f>
        <v>476</v>
      </c>
      <c r="J400">
        <f>電力量!J401-電力量!J400</f>
        <v>14.5</v>
      </c>
      <c r="K400">
        <f>電力量!K401-電力量!K400</f>
        <v>0</v>
      </c>
      <c r="L400">
        <f>電力量!L401-電力量!L400</f>
        <v>56.5</v>
      </c>
      <c r="M400">
        <f>電力量!M401-電力量!M400</f>
        <v>52.399999999994179</v>
      </c>
      <c r="N400">
        <f>電力量!N401-電力量!N400</f>
        <v>50.299999999999272</v>
      </c>
      <c r="O400">
        <f>電力量!O401-電力量!O400</f>
        <v>54.799999999999955</v>
      </c>
      <c r="P400">
        <f>電力量!P401-電力量!P400</f>
        <v>14</v>
      </c>
      <c r="Q400">
        <f>電力量!Q401-電力量!Q400</f>
        <v>21</v>
      </c>
      <c r="R400">
        <f>電力量!R401-電力量!R400</f>
        <v>0</v>
      </c>
    </row>
    <row r="401" spans="1:18">
      <c r="A401" s="4">
        <f t="shared" ref="A401:A449" si="152">A386+(15/24)</f>
        <v>45916.625</v>
      </c>
      <c r="B401">
        <f>電力量!B402-電力量!B401</f>
        <v>1455</v>
      </c>
      <c r="C401">
        <f>電力量!C402-電力量!C401</f>
        <v>415</v>
      </c>
      <c r="D401">
        <f>電力量!D402-電力量!D401</f>
        <v>43.400000000001455</v>
      </c>
      <c r="E401">
        <f>電力量!E402-電力量!E401</f>
        <v>0</v>
      </c>
      <c r="F401">
        <f>電力量!F402-電力量!F401</f>
        <v>51</v>
      </c>
      <c r="G401">
        <f>電力量!G402-電力量!G401</f>
        <v>143.19999999999709</v>
      </c>
      <c r="H401">
        <f>電力量!H402-電力量!H401</f>
        <v>20</v>
      </c>
      <c r="I401">
        <f>電力量!I402-電力量!I401</f>
        <v>476</v>
      </c>
      <c r="J401">
        <f>電力量!J402-電力量!J401</f>
        <v>14</v>
      </c>
      <c r="K401">
        <f>電力量!K402-電力量!K401</f>
        <v>0.30000000000291038</v>
      </c>
      <c r="L401">
        <f>電力量!L402-電力量!L401</f>
        <v>56.5</v>
      </c>
      <c r="M401">
        <f>電力量!M402-電力量!M401</f>
        <v>51.69999999999709</v>
      </c>
      <c r="N401">
        <f>電力量!N402-電力量!N401</f>
        <v>52.100000000000364</v>
      </c>
      <c r="O401">
        <f>電力量!O402-電力量!O401</f>
        <v>28.600000000000023</v>
      </c>
      <c r="P401">
        <f>電力量!P402-電力量!P401</f>
        <v>11</v>
      </c>
      <c r="Q401">
        <f>電力量!Q402-電力量!Q401</f>
        <v>17</v>
      </c>
      <c r="R401">
        <f>電力量!R402-電力量!R401</f>
        <v>0</v>
      </c>
    </row>
    <row r="402" spans="1:18">
      <c r="A402" s="4">
        <f t="shared" ref="A402:A450" si="153">A386+(16/24)</f>
        <v>45916.666666666664</v>
      </c>
      <c r="B402">
        <f>電力量!B403-電力量!B402</f>
        <v>1403</v>
      </c>
      <c r="C402">
        <f>電力量!C403-電力量!C402</f>
        <v>395</v>
      </c>
      <c r="D402">
        <f>電力量!D403-電力量!D402</f>
        <v>41.19999999999709</v>
      </c>
      <c r="E402">
        <f>電力量!E403-電力量!E402</f>
        <v>0</v>
      </c>
      <c r="F402">
        <f>電力量!F403-電力量!F402</f>
        <v>44</v>
      </c>
      <c r="G402">
        <f>電力量!G403-電力量!G402</f>
        <v>129.19999999999709</v>
      </c>
      <c r="H402">
        <f>電力量!H403-電力量!H402</f>
        <v>23</v>
      </c>
      <c r="I402">
        <f>電力量!I403-電力量!I402</f>
        <v>465</v>
      </c>
      <c r="J402">
        <f>電力量!J403-電力量!J402</f>
        <v>13.5</v>
      </c>
      <c r="K402">
        <f>電力量!K403-電力量!K402</f>
        <v>3</v>
      </c>
      <c r="L402">
        <f>電力量!L403-電力量!L402</f>
        <v>52.800000000000182</v>
      </c>
      <c r="M402">
        <f>電力量!M403-電力量!M402</f>
        <v>47.900000000008731</v>
      </c>
      <c r="N402">
        <f>電力量!N403-電力量!N402</f>
        <v>56</v>
      </c>
      <c r="O402">
        <f>電力量!O403-電力量!O402</f>
        <v>25.399999999999977</v>
      </c>
      <c r="P402">
        <f>電力量!P403-電力量!P402</f>
        <v>7</v>
      </c>
      <c r="Q402">
        <f>電力量!Q403-電力量!Q402</f>
        <v>11</v>
      </c>
      <c r="R402">
        <f>電力量!R403-電力量!R402</f>
        <v>0</v>
      </c>
    </row>
    <row r="403" spans="1:18">
      <c r="A403" s="4">
        <f t="shared" ref="A403:A451" si="154">A386+(17/24)</f>
        <v>45916.708333333336</v>
      </c>
      <c r="B403">
        <f>電力量!B404-電力量!B403</f>
        <v>1253</v>
      </c>
      <c r="C403">
        <f>電力量!C404-電力量!C403</f>
        <v>349</v>
      </c>
      <c r="D403">
        <f>電力量!D404-電力量!D403</f>
        <v>33.599999999998545</v>
      </c>
      <c r="E403">
        <f>電力量!E404-電力量!E403</f>
        <v>0</v>
      </c>
      <c r="F403">
        <f>電力量!F404-電力量!F403</f>
        <v>38</v>
      </c>
      <c r="G403">
        <f>電力量!G404-電力量!G403</f>
        <v>106.90000000000873</v>
      </c>
      <c r="H403">
        <f>電力量!H404-電力量!H403</f>
        <v>20</v>
      </c>
      <c r="I403">
        <f>電力量!I404-電力量!I403</f>
        <v>432</v>
      </c>
      <c r="J403">
        <f>電力量!J404-電力量!J403</f>
        <v>11.5</v>
      </c>
      <c r="K403">
        <f>電力量!K404-電力量!K403</f>
        <v>2.8000000000029104</v>
      </c>
      <c r="L403">
        <f>電力量!L404-電力量!L403</f>
        <v>45.099999999999454</v>
      </c>
      <c r="M403">
        <f>電力量!M404-電力量!M403</f>
        <v>39.899999999994179</v>
      </c>
      <c r="N403">
        <f>電力量!N404-電力量!N403</f>
        <v>58.200000000000728</v>
      </c>
      <c r="O403">
        <f>電力量!O404-電力量!O403</f>
        <v>23.799999999999955</v>
      </c>
      <c r="P403">
        <f>電力量!P404-電力量!P403</f>
        <v>2</v>
      </c>
      <c r="Q403">
        <f>電力量!Q404-電力量!Q403</f>
        <v>3</v>
      </c>
      <c r="R403">
        <f>電力量!R404-電力量!R403</f>
        <v>0</v>
      </c>
    </row>
    <row r="404" spans="1:18">
      <c r="A404" s="4">
        <f t="shared" ref="A404:A452" si="155">A386+(18/24)</f>
        <v>45916.75</v>
      </c>
      <c r="B404">
        <f>電力量!B405-電力量!B404</f>
        <v>1091</v>
      </c>
      <c r="C404">
        <f>電力量!C405-電力量!C404</f>
        <v>309</v>
      </c>
      <c r="D404">
        <f>電力量!D405-電力量!D404</f>
        <v>26.80000000000291</v>
      </c>
      <c r="E404">
        <f>電力量!E405-電力量!E404</f>
        <v>0</v>
      </c>
      <c r="F404">
        <f>電力量!F405-電力量!F404</f>
        <v>31</v>
      </c>
      <c r="G404">
        <f>電力量!G405-電力量!G404</f>
        <v>84.5</v>
      </c>
      <c r="H404">
        <f>電力量!H405-電力量!H404</f>
        <v>15</v>
      </c>
      <c r="I404">
        <f>電力量!I405-電力量!I404</f>
        <v>390</v>
      </c>
      <c r="J404">
        <f>電力量!J405-電力量!J404</f>
        <v>9.5999999999985448</v>
      </c>
      <c r="K404">
        <f>電力量!K405-電力量!K404</f>
        <v>3</v>
      </c>
      <c r="L404">
        <f>電力量!L405-電力量!L404</f>
        <v>34.800000000000182</v>
      </c>
      <c r="M404">
        <f>電力量!M405-電力量!M404</f>
        <v>35.80000000000291</v>
      </c>
      <c r="N404">
        <f>電力量!N405-電力量!N404</f>
        <v>56.399999999999636</v>
      </c>
      <c r="O404">
        <f>電力量!O405-電力量!O404</f>
        <v>19.300000000000068</v>
      </c>
      <c r="P404">
        <f>電力量!P405-電力量!P404</f>
        <v>0</v>
      </c>
      <c r="Q404">
        <f>電力量!Q405-電力量!Q404</f>
        <v>0</v>
      </c>
      <c r="R404">
        <f>電力量!R405-電力量!R404</f>
        <v>0</v>
      </c>
    </row>
    <row r="405" spans="1:18">
      <c r="A405" s="4">
        <f t="shared" ref="A405:A453" si="156">A386+(19/24)</f>
        <v>45916.791666666664</v>
      </c>
      <c r="B405">
        <f>電力量!B406-電力量!B405</f>
        <v>986</v>
      </c>
      <c r="C405">
        <f>電力量!C406-電力量!C405</f>
        <v>276</v>
      </c>
      <c r="D405">
        <f>電力量!D406-電力量!D405</f>
        <v>24</v>
      </c>
      <c r="E405">
        <f>電力量!E406-電力量!E405</f>
        <v>0</v>
      </c>
      <c r="F405">
        <f>電力量!F406-電力量!F405</f>
        <v>26</v>
      </c>
      <c r="G405">
        <f>電力量!G406-電力量!G405</f>
        <v>79.80000000000291</v>
      </c>
      <c r="H405">
        <f>電力量!H406-電力量!H405</f>
        <v>13</v>
      </c>
      <c r="I405">
        <f>電力量!I406-電力量!I405</f>
        <v>343</v>
      </c>
      <c r="J405">
        <f>電力量!J406-電力量!J405</f>
        <v>8.9000000000014552</v>
      </c>
      <c r="K405">
        <f>電力量!K406-電力量!K405</f>
        <v>2.8999999999941792</v>
      </c>
      <c r="L405">
        <f>電力量!L406-電力量!L405</f>
        <v>30.199999999999818</v>
      </c>
      <c r="M405">
        <f>電力量!M406-電力量!M405</f>
        <v>36.5</v>
      </c>
      <c r="N405">
        <f>電力量!N406-電力量!N405</f>
        <v>55.799999999999272</v>
      </c>
      <c r="O405">
        <f>電力量!O406-電力量!O405</f>
        <v>24.199999999999932</v>
      </c>
      <c r="P405">
        <f>電力量!P406-電力量!P405</f>
        <v>0</v>
      </c>
      <c r="Q405">
        <f>電力量!Q406-電力量!Q405</f>
        <v>0</v>
      </c>
      <c r="R405">
        <f>電力量!R406-電力量!R405</f>
        <v>0</v>
      </c>
    </row>
    <row r="406" spans="1:18">
      <c r="A406" s="4">
        <f t="shared" ref="A406:A454" si="157">A386+(20/24)</f>
        <v>45916.833333333336</v>
      </c>
      <c r="B406">
        <f>電力量!B407-電力量!B406</f>
        <v>879</v>
      </c>
      <c r="C406">
        <f>電力量!C407-電力量!C406</f>
        <v>238</v>
      </c>
      <c r="D406">
        <f>電力量!D407-電力量!D406</f>
        <v>21.900000000001455</v>
      </c>
      <c r="E406">
        <f>電力量!E407-電力量!E406</f>
        <v>0</v>
      </c>
      <c r="F406">
        <f>電力量!F407-電力量!F406</f>
        <v>26</v>
      </c>
      <c r="G406">
        <f>電力量!G407-電力量!G406</f>
        <v>75.5</v>
      </c>
      <c r="H406">
        <f>電力量!H407-電力量!H406</f>
        <v>13</v>
      </c>
      <c r="I406">
        <f>電力量!I407-電力量!I406</f>
        <v>293</v>
      </c>
      <c r="J406">
        <f>電力量!J407-電力量!J406</f>
        <v>7.9000000000014552</v>
      </c>
      <c r="K406">
        <f>電力量!K407-電力量!K406</f>
        <v>3</v>
      </c>
      <c r="L406">
        <f>電力量!L407-電力量!L406</f>
        <v>24.300000000000182</v>
      </c>
      <c r="M406">
        <f>電力量!M407-電力量!M406</f>
        <v>37.19999999999709</v>
      </c>
      <c r="N406">
        <f>電力量!N407-電力量!N406</f>
        <v>55.399999999999636</v>
      </c>
      <c r="O406">
        <f>電力量!O407-電力量!O406</f>
        <v>23.100000000000023</v>
      </c>
      <c r="P406">
        <f>電力量!P407-電力量!P406</f>
        <v>0</v>
      </c>
      <c r="Q406">
        <f>電力量!Q407-電力量!Q406</f>
        <v>0</v>
      </c>
      <c r="R406">
        <f>電力量!R407-電力量!R406</f>
        <v>0</v>
      </c>
    </row>
    <row r="407" spans="1:18">
      <c r="A407" s="4">
        <f t="shared" ref="A407:A455" si="158">A386+(21/24)</f>
        <v>45916.875</v>
      </c>
      <c r="B407">
        <f>電力量!B408-電力量!B407</f>
        <v>831</v>
      </c>
      <c r="C407">
        <f>電力量!C408-電力量!C407</f>
        <v>223</v>
      </c>
      <c r="D407">
        <f>電力量!D408-電力量!D407</f>
        <v>19.099999999998545</v>
      </c>
      <c r="E407">
        <f>電力量!E408-電力量!E407</f>
        <v>0</v>
      </c>
      <c r="F407">
        <f>電力量!F408-電力量!F407</f>
        <v>26</v>
      </c>
      <c r="G407">
        <f>電力量!G408-電力量!G407</f>
        <v>69.299999999988358</v>
      </c>
      <c r="H407">
        <f>電力量!H408-電力量!H407</f>
        <v>12</v>
      </c>
      <c r="I407">
        <f>電力量!I408-電力量!I407</f>
        <v>281</v>
      </c>
      <c r="J407">
        <f>電力量!J408-電力量!J407</f>
        <v>7.7999999999956344</v>
      </c>
      <c r="K407">
        <f>電力量!K408-電力量!K407</f>
        <v>2.8000000000029104</v>
      </c>
      <c r="L407">
        <f>電力量!L408-電力量!L407</f>
        <v>22.400000000000546</v>
      </c>
      <c r="M407">
        <f>電力量!M408-電力量!M407</f>
        <v>32.900000000008731</v>
      </c>
      <c r="N407">
        <f>電力量!N408-電力量!N407</f>
        <v>55.400000000001455</v>
      </c>
      <c r="O407">
        <f>電力量!O408-電力量!O407</f>
        <v>21.800000000000068</v>
      </c>
      <c r="P407">
        <f>電力量!P408-電力量!P407</f>
        <v>0</v>
      </c>
      <c r="Q407">
        <f>電力量!Q408-電力量!Q407</f>
        <v>0</v>
      </c>
      <c r="R407">
        <f>電力量!R408-電力量!R407</f>
        <v>0</v>
      </c>
    </row>
    <row r="408" spans="1:18">
      <c r="A408" s="4">
        <f t="shared" ref="A408:A456" si="159">A386+(22/24)</f>
        <v>45916.916666666664</v>
      </c>
      <c r="B408">
        <f>電力量!B409-電力量!B408</f>
        <v>808</v>
      </c>
      <c r="C408">
        <f>電力量!C409-電力量!C408</f>
        <v>230</v>
      </c>
      <c r="D408">
        <f>電力量!D409-電力量!D408</f>
        <v>18.5</v>
      </c>
      <c r="E408">
        <f>電力量!E409-電力量!E408</f>
        <v>0</v>
      </c>
      <c r="F408">
        <f>電力量!F409-電力量!F408</f>
        <v>24</v>
      </c>
      <c r="G408">
        <f>電力量!G409-電力量!G408</f>
        <v>66.200000000011642</v>
      </c>
      <c r="H408">
        <f>電力量!H409-電力量!H408</f>
        <v>12</v>
      </c>
      <c r="I408">
        <f>電力量!I409-電力量!I408</f>
        <v>265</v>
      </c>
      <c r="J408">
        <f>電力量!J409-電力量!J408</f>
        <v>7.4000000000014552</v>
      </c>
      <c r="K408">
        <f>電力量!K409-電力量!K408</f>
        <v>2.9000000000087311</v>
      </c>
      <c r="L408">
        <f>電力量!L409-電力量!L408</f>
        <v>21.899999999999636</v>
      </c>
      <c r="M408">
        <f>電力量!M409-電力量!M408</f>
        <v>31.799999999988358</v>
      </c>
      <c r="N408">
        <f>電力量!N409-電力量!N408</f>
        <v>55.099999999998545</v>
      </c>
      <c r="O408">
        <f>電力量!O409-電力量!O408</f>
        <v>18.799999999999955</v>
      </c>
      <c r="P408">
        <f>電力量!P409-電力量!P408</f>
        <v>0</v>
      </c>
      <c r="Q408">
        <f>電力量!Q409-電力量!Q408</f>
        <v>0</v>
      </c>
      <c r="R408">
        <f>電力量!R409-電力量!R408</f>
        <v>0</v>
      </c>
    </row>
    <row r="409" spans="1:18">
      <c r="A409" s="4">
        <f t="shared" ref="A409:A457" si="160">A386+(23/24)</f>
        <v>45916.958333333336</v>
      </c>
      <c r="B409">
        <f>電力量!B410-電力量!B409</f>
        <v>770</v>
      </c>
      <c r="C409">
        <f>電力量!C410-電力量!C409</f>
        <v>212</v>
      </c>
      <c r="D409">
        <f>電力量!D410-電力量!D409</f>
        <v>15.5</v>
      </c>
      <c r="E409">
        <f>電力量!E410-電力量!E409</f>
        <v>0</v>
      </c>
      <c r="F409">
        <f>電力量!F410-電力量!F409</f>
        <v>23</v>
      </c>
      <c r="G409">
        <f>電力量!G410-電力量!G409</f>
        <v>62</v>
      </c>
      <c r="H409">
        <f>電力量!H410-電力量!H409</f>
        <v>12</v>
      </c>
      <c r="I409">
        <f>電力量!I410-電力量!I409</f>
        <v>253</v>
      </c>
      <c r="J409">
        <f>電力量!J410-電力量!J409</f>
        <v>7.5999999999985448</v>
      </c>
      <c r="K409">
        <f>電力量!K410-電力量!K409</f>
        <v>2.7999999999883585</v>
      </c>
      <c r="L409">
        <f>電力量!L410-電力量!L409</f>
        <v>21.600000000000364</v>
      </c>
      <c r="M409">
        <f>電力量!M410-電力量!M409</f>
        <v>32.400000000008731</v>
      </c>
      <c r="N409">
        <f>電力量!N410-電力量!N409</f>
        <v>54.700000000000728</v>
      </c>
      <c r="O409">
        <f>電力量!O410-電力量!O409</f>
        <v>18.200000000000045</v>
      </c>
      <c r="P409">
        <f>電力量!P410-電力量!P409</f>
        <v>0</v>
      </c>
      <c r="Q409">
        <f>電力量!Q410-電力量!Q409</f>
        <v>0</v>
      </c>
      <c r="R409">
        <f>電力量!R410-電力量!R409</f>
        <v>0</v>
      </c>
    </row>
    <row r="410" spans="1:18">
      <c r="A410" s="4">
        <v>45917</v>
      </c>
      <c r="B410">
        <f>電力量!B411-電力量!B410</f>
        <v>740</v>
      </c>
      <c r="C410">
        <f>電力量!C411-電力量!C410</f>
        <v>190</v>
      </c>
      <c r="D410">
        <f>電力量!D411-電力量!D410</f>
        <v>15.5</v>
      </c>
      <c r="E410">
        <f>電力量!E411-電力量!E410</f>
        <v>0</v>
      </c>
      <c r="F410">
        <f>電力量!F411-電力量!F410</f>
        <v>23</v>
      </c>
      <c r="G410">
        <f>電力量!G411-電力量!G410</f>
        <v>60.69999999999709</v>
      </c>
      <c r="H410">
        <f>電力量!H411-電力量!H410</f>
        <v>12</v>
      </c>
      <c r="I410">
        <f>電力量!I411-電力量!I410</f>
        <v>247</v>
      </c>
      <c r="J410">
        <f>電力量!J411-電力量!J410</f>
        <v>7.1000000000058208</v>
      </c>
      <c r="K410">
        <f>電力量!K411-電力量!K410</f>
        <v>2.9000000000087311</v>
      </c>
      <c r="L410">
        <f>電力量!L411-電力量!L410</f>
        <v>21.5</v>
      </c>
      <c r="M410">
        <f>電力量!M411-電力量!M410</f>
        <v>32.599999999991269</v>
      </c>
      <c r="N410">
        <f>電力量!N411-電力量!N410</f>
        <v>54.700000000000728</v>
      </c>
      <c r="O410">
        <f>電力量!O411-電力量!O410</f>
        <v>18.099999999999909</v>
      </c>
      <c r="P410">
        <f>電力量!P411-電力量!P410</f>
        <v>0</v>
      </c>
      <c r="Q410">
        <f>電力量!Q411-電力量!Q410</f>
        <v>0</v>
      </c>
      <c r="R410">
        <f>電力量!R411-電力量!R410</f>
        <v>0</v>
      </c>
    </row>
    <row r="411" spans="1:18">
      <c r="A411" s="4">
        <f t="shared" si="138"/>
        <v>45917.041666666664</v>
      </c>
      <c r="B411">
        <f>電力量!B412-電力量!B411</f>
        <v>728</v>
      </c>
      <c r="C411">
        <f>電力量!C412-電力量!C411</f>
        <v>179</v>
      </c>
      <c r="D411">
        <f>電力量!D412-電力量!D411</f>
        <v>13.69999999999709</v>
      </c>
      <c r="E411">
        <f>電力量!E412-電力量!E411</f>
        <v>0</v>
      </c>
      <c r="F411">
        <f>電力量!F412-電力量!F411</f>
        <v>22</v>
      </c>
      <c r="G411">
        <f>電力量!G412-電力量!G411</f>
        <v>61.30000000000291</v>
      </c>
      <c r="H411">
        <f>電力量!H412-電力量!H411</f>
        <v>13</v>
      </c>
      <c r="I411">
        <f>電力量!I412-電力量!I411</f>
        <v>252</v>
      </c>
      <c r="J411">
        <f>電力量!J412-電力量!J411</f>
        <v>7.1999999999970896</v>
      </c>
      <c r="K411">
        <f>電力量!K412-電力量!K411</f>
        <v>3.0999999999912689</v>
      </c>
      <c r="L411">
        <f>電力量!L412-電力量!L411</f>
        <v>21.799999999999272</v>
      </c>
      <c r="M411">
        <f>電力量!M412-電力量!M411</f>
        <v>31.400000000008731</v>
      </c>
      <c r="N411">
        <f>電力量!N412-電力量!N411</f>
        <v>54.299999999999272</v>
      </c>
      <c r="O411">
        <f>電力量!O412-電力量!O411</f>
        <v>17.700000000000045</v>
      </c>
      <c r="P411">
        <f>電力量!P412-電力量!P411</f>
        <v>0</v>
      </c>
      <c r="Q411">
        <f>電力量!Q412-電力量!Q411</f>
        <v>0</v>
      </c>
      <c r="R411">
        <f>電力量!R412-電力量!R411</f>
        <v>0</v>
      </c>
    </row>
    <row r="412" spans="1:18">
      <c r="A412" s="4">
        <f t="shared" si="139"/>
        <v>45917.083333333336</v>
      </c>
      <c r="B412">
        <f>電力量!B413-電力量!B412</f>
        <v>711</v>
      </c>
      <c r="C412">
        <f>電力量!C413-電力量!C412</f>
        <v>172</v>
      </c>
      <c r="D412">
        <f>電力量!D413-電力量!D412</f>
        <v>14</v>
      </c>
      <c r="E412">
        <f>電力量!E413-電力量!E412</f>
        <v>0</v>
      </c>
      <c r="F412">
        <f>電力量!F413-電力量!F412</f>
        <v>22</v>
      </c>
      <c r="G412">
        <f>電力量!G413-電力量!G412</f>
        <v>60.599999999991269</v>
      </c>
      <c r="H412">
        <f>電力量!H413-電力量!H412</f>
        <v>11</v>
      </c>
      <c r="I412">
        <f>電力量!I413-電力量!I412</f>
        <v>245</v>
      </c>
      <c r="J412">
        <f>電力量!J413-電力量!J412</f>
        <v>6.9000000000014552</v>
      </c>
      <c r="K412">
        <f>電力量!K413-電力量!K412</f>
        <v>3.3000000000029104</v>
      </c>
      <c r="L412">
        <f>電力量!L413-電力量!L412</f>
        <v>20.800000000000182</v>
      </c>
      <c r="M412">
        <f>電力量!M413-電力量!M412</f>
        <v>31.30000000000291</v>
      </c>
      <c r="N412">
        <f>電力量!N413-電力量!N412</f>
        <v>54.299999999999272</v>
      </c>
      <c r="O412">
        <f>電力量!O413-電力量!O412</f>
        <v>17.400000000000091</v>
      </c>
      <c r="P412">
        <f>電力量!P413-電力量!P412</f>
        <v>0</v>
      </c>
      <c r="Q412">
        <f>電力量!Q413-電力量!Q412</f>
        <v>0</v>
      </c>
      <c r="R412">
        <f>電力量!R413-電力量!R412</f>
        <v>0</v>
      </c>
    </row>
    <row r="413" spans="1:18">
      <c r="A413" s="4">
        <f t="shared" si="140"/>
        <v>45917.125</v>
      </c>
      <c r="B413">
        <f>電力量!B414-電力量!B413</f>
        <v>709</v>
      </c>
      <c r="C413">
        <f>電力量!C414-電力量!C413</f>
        <v>172</v>
      </c>
      <c r="D413">
        <f>電力量!D414-電力量!D413</f>
        <v>14.400000000001455</v>
      </c>
      <c r="E413">
        <f>電力量!E414-電力量!E413</f>
        <v>0</v>
      </c>
      <c r="F413">
        <f>電力量!F414-電力量!F413</f>
        <v>21</v>
      </c>
      <c r="G413">
        <f>電力量!G414-電力量!G413</f>
        <v>59.30000000000291</v>
      </c>
      <c r="H413">
        <f>電力量!H414-電力量!H413</f>
        <v>11</v>
      </c>
      <c r="I413">
        <f>電力量!I414-電力量!I413</f>
        <v>245</v>
      </c>
      <c r="J413">
        <f>電力量!J414-電力量!J413</f>
        <v>7.0999999999985448</v>
      </c>
      <c r="K413">
        <f>電力量!K414-電力量!K413</f>
        <v>2.9000000000087311</v>
      </c>
      <c r="L413">
        <f>電力量!L414-電力量!L413</f>
        <v>20.900000000000546</v>
      </c>
      <c r="M413">
        <f>電力量!M414-電力量!M413</f>
        <v>32</v>
      </c>
      <c r="N413">
        <f>電力量!N414-電力量!N413</f>
        <v>54.700000000000728</v>
      </c>
      <c r="O413">
        <f>電力量!O414-電力量!O413</f>
        <v>17.299999999999955</v>
      </c>
      <c r="P413">
        <f>電力量!P414-電力量!P413</f>
        <v>0</v>
      </c>
      <c r="Q413">
        <f>電力量!Q414-電力量!Q413</f>
        <v>0</v>
      </c>
      <c r="R413">
        <f>電力量!R414-電力量!R413</f>
        <v>0</v>
      </c>
    </row>
    <row r="414" spans="1:18">
      <c r="A414" s="4">
        <f t="shared" si="141"/>
        <v>45917.166666666664</v>
      </c>
      <c r="B414">
        <f>電力量!B415-電力量!B414</f>
        <v>715</v>
      </c>
      <c r="C414">
        <f>電力量!C415-電力量!C414</f>
        <v>172</v>
      </c>
      <c r="D414">
        <f>電力量!D415-電力量!D414</f>
        <v>14.69999999999709</v>
      </c>
      <c r="E414">
        <f>電力量!E415-電力量!E414</f>
        <v>0</v>
      </c>
      <c r="F414">
        <f>電力量!F415-電力量!F414</f>
        <v>22</v>
      </c>
      <c r="G414">
        <f>電力量!G415-電力量!G414</f>
        <v>58</v>
      </c>
      <c r="H414">
        <f>電力量!H415-電力量!H414</f>
        <v>11</v>
      </c>
      <c r="I414">
        <f>電力量!I415-電力量!I414</f>
        <v>249</v>
      </c>
      <c r="J414">
        <f>電力量!J415-電力量!J414</f>
        <v>6.9000000000014552</v>
      </c>
      <c r="K414">
        <f>電力量!K415-電力量!K414</f>
        <v>2.6999999999970896</v>
      </c>
      <c r="L414">
        <f>電力量!L415-電力量!L414</f>
        <v>20.699999999999818</v>
      </c>
      <c r="M414">
        <f>電力量!M415-電力量!M414</f>
        <v>33.69999999999709</v>
      </c>
      <c r="N414">
        <f>電力量!N415-電力量!N414</f>
        <v>55.200000000000728</v>
      </c>
      <c r="O414">
        <f>電力量!O415-電力量!O414</f>
        <v>17.399999999999864</v>
      </c>
      <c r="P414">
        <f>電力量!P415-電力量!P414</f>
        <v>0</v>
      </c>
      <c r="Q414">
        <f>電力量!Q415-電力量!Q414</f>
        <v>0</v>
      </c>
      <c r="R414">
        <f>電力量!R415-電力量!R414</f>
        <v>0</v>
      </c>
    </row>
    <row r="415" spans="1:18">
      <c r="A415" s="4">
        <f t="shared" si="142"/>
        <v>45917.208333333336</v>
      </c>
      <c r="B415">
        <f>電力量!B416-電力量!B415</f>
        <v>707</v>
      </c>
      <c r="C415">
        <f>電力量!C416-電力量!C415</f>
        <v>169</v>
      </c>
      <c r="D415">
        <f>電力量!D416-電力量!D415</f>
        <v>15.80000000000291</v>
      </c>
      <c r="E415">
        <f>電力量!E416-電力量!E415</f>
        <v>0</v>
      </c>
      <c r="F415">
        <f>電力量!F416-電力量!F415</f>
        <v>20</v>
      </c>
      <c r="G415">
        <f>電力量!G416-電力量!G415</f>
        <v>58.600000000005821</v>
      </c>
      <c r="H415">
        <f>電力量!H416-電力量!H415</f>
        <v>11</v>
      </c>
      <c r="I415">
        <f>電力量!I416-電力量!I415</f>
        <v>242</v>
      </c>
      <c r="J415">
        <f>電力量!J416-電力量!J415</f>
        <v>6.7999999999956344</v>
      </c>
      <c r="K415">
        <f>電力量!K416-電力量!K415</f>
        <v>2.8000000000029104</v>
      </c>
      <c r="L415">
        <f>電力量!L416-電力量!L415</f>
        <v>20</v>
      </c>
      <c r="M415">
        <f>電力量!M416-電力量!M415</f>
        <v>34.19999999999709</v>
      </c>
      <c r="N415">
        <f>電力量!N416-電力量!N415</f>
        <v>54.899999999999636</v>
      </c>
      <c r="O415">
        <f>電力量!O416-電力量!O415</f>
        <v>20.400000000000091</v>
      </c>
      <c r="P415">
        <f>電力量!P416-電力量!P415</f>
        <v>0</v>
      </c>
      <c r="Q415">
        <f>電力量!Q416-電力量!Q415</f>
        <v>0</v>
      </c>
      <c r="R415">
        <f>電力量!R416-電力量!R415</f>
        <v>0</v>
      </c>
    </row>
    <row r="416" spans="1:18">
      <c r="A416" s="4">
        <f t="shared" si="143"/>
        <v>45917.25</v>
      </c>
      <c r="B416">
        <f>電力量!B417-電力量!B416</f>
        <v>714</v>
      </c>
      <c r="C416">
        <f>電力量!C417-電力量!C416</f>
        <v>176</v>
      </c>
      <c r="D416">
        <f>電力量!D417-電力量!D416</f>
        <v>16.099999999998545</v>
      </c>
      <c r="E416">
        <f>電力量!E417-電力量!E416</f>
        <v>0</v>
      </c>
      <c r="F416">
        <f>電力量!F417-電力量!F416</f>
        <v>20</v>
      </c>
      <c r="G416">
        <f>電力量!G417-電力量!G416</f>
        <v>57.19999999999709</v>
      </c>
      <c r="H416">
        <f>電力量!H417-電力量!H416</f>
        <v>12</v>
      </c>
      <c r="I416">
        <f>電力量!I417-電力量!I416</f>
        <v>243</v>
      </c>
      <c r="J416">
        <f>電力量!J417-電力量!J416</f>
        <v>6.9000000000014552</v>
      </c>
      <c r="K416">
        <f>電力量!K417-電力量!K416</f>
        <v>2.5999999999912689</v>
      </c>
      <c r="L416">
        <f>電力量!L417-電力量!L416</f>
        <v>19.199999999999818</v>
      </c>
      <c r="M416">
        <f>電力量!M417-電力量!M416</f>
        <v>32</v>
      </c>
      <c r="N416">
        <f>電力量!N417-電力量!N416</f>
        <v>54.299999999999272</v>
      </c>
      <c r="O416">
        <f>電力量!O417-電力量!O416</f>
        <v>19.200000000000045</v>
      </c>
      <c r="P416">
        <f>電力量!P417-電力量!P416</f>
        <v>0</v>
      </c>
      <c r="Q416">
        <f>電力量!Q417-電力量!Q416</f>
        <v>0</v>
      </c>
      <c r="R416">
        <f>電力量!R417-電力量!R416</f>
        <v>0</v>
      </c>
    </row>
    <row r="417" spans="1:18">
      <c r="A417" s="4">
        <f t="shared" si="144"/>
        <v>45917.291666666664</v>
      </c>
      <c r="B417">
        <f>電力量!B418-電力量!B417</f>
        <v>746</v>
      </c>
      <c r="C417">
        <f>電力量!C418-電力量!C417</f>
        <v>190</v>
      </c>
      <c r="D417">
        <f>電力量!D418-電力量!D417</f>
        <v>16.30000000000291</v>
      </c>
      <c r="E417">
        <f>電力量!E418-電力量!E417</f>
        <v>0</v>
      </c>
      <c r="F417">
        <f>電力量!F418-電力量!F417</f>
        <v>23</v>
      </c>
      <c r="G417">
        <f>電力量!G418-電力量!G417</f>
        <v>55.099999999991269</v>
      </c>
      <c r="H417">
        <f>電力量!H418-電力量!H417</f>
        <v>11</v>
      </c>
      <c r="I417">
        <f>電力量!I418-電力量!I417</f>
        <v>254</v>
      </c>
      <c r="J417">
        <f>電力量!J418-電力量!J417</f>
        <v>7</v>
      </c>
      <c r="K417">
        <f>電力量!K418-電力量!K417</f>
        <v>1</v>
      </c>
      <c r="L417">
        <f>電力量!L418-電力量!L417</f>
        <v>21</v>
      </c>
      <c r="M417">
        <f>電力量!M418-電力量!M417</f>
        <v>31.30000000000291</v>
      </c>
      <c r="N417">
        <f>電力量!N418-電力量!N417</f>
        <v>51.600000000000364</v>
      </c>
      <c r="O417">
        <f>電力量!O418-電力量!O417</f>
        <v>26.700000000000045</v>
      </c>
      <c r="P417">
        <f>電力量!P418-電力量!P417</f>
        <v>2</v>
      </c>
      <c r="Q417">
        <f>電力量!Q418-電力量!Q417</f>
        <v>3</v>
      </c>
      <c r="R417">
        <f>電力量!R418-電力量!R417</f>
        <v>0</v>
      </c>
    </row>
    <row r="418" spans="1:18">
      <c r="A418" s="4">
        <f t="shared" si="145"/>
        <v>45917.333333333336</v>
      </c>
      <c r="B418">
        <f>電力量!B419-電力量!B418</f>
        <v>874</v>
      </c>
      <c r="C418">
        <f>電力量!C419-電力量!C418</f>
        <v>231</v>
      </c>
      <c r="D418">
        <f>電力量!D419-電力量!D418</f>
        <v>19.69999999999709</v>
      </c>
      <c r="E418">
        <f>電力量!E419-電力量!E418</f>
        <v>0</v>
      </c>
      <c r="F418">
        <f>電力量!F419-電力量!F418</f>
        <v>31</v>
      </c>
      <c r="G418">
        <f>電力量!G419-電力量!G418</f>
        <v>55</v>
      </c>
      <c r="H418">
        <f>電力量!H419-電力量!H418</f>
        <v>14</v>
      </c>
      <c r="I418">
        <f>電力量!I419-電力量!I418</f>
        <v>286</v>
      </c>
      <c r="J418">
        <f>電力量!J419-電力量!J418</f>
        <v>8</v>
      </c>
      <c r="K418">
        <f>電力量!K419-電力量!K418</f>
        <v>0.19999999999708962</v>
      </c>
      <c r="L418">
        <f>電力量!L419-電力量!L418</f>
        <v>26.199999999999818</v>
      </c>
      <c r="M418">
        <f>電力量!M419-電力量!M418</f>
        <v>38.899999999994179</v>
      </c>
      <c r="N418">
        <f>電力量!N419-電力量!N418</f>
        <v>50</v>
      </c>
      <c r="O418">
        <f>電力量!O419-電力量!O418</f>
        <v>38.699999999999818</v>
      </c>
      <c r="P418">
        <f>電力量!P419-電力量!P418</f>
        <v>5</v>
      </c>
      <c r="Q418">
        <f>電力量!Q419-電力量!Q418</f>
        <v>9</v>
      </c>
      <c r="R418">
        <f>電力量!R419-電力量!R418</f>
        <v>0</v>
      </c>
    </row>
    <row r="419" spans="1:18">
      <c r="A419" s="4">
        <f t="shared" si="146"/>
        <v>45917.375</v>
      </c>
      <c r="B419">
        <f>電力量!B420-電力量!B419</f>
        <v>1106</v>
      </c>
      <c r="C419">
        <f>電力量!C420-電力量!C419</f>
        <v>309</v>
      </c>
      <c r="D419">
        <f>電力量!D420-電力量!D419</f>
        <v>24</v>
      </c>
      <c r="E419">
        <f>電力量!E420-電力量!E419</f>
        <v>0</v>
      </c>
      <c r="F419">
        <f>電力量!F420-電力量!F419</f>
        <v>35</v>
      </c>
      <c r="G419">
        <f>電力量!G420-電力量!G419</f>
        <v>65.600000000005821</v>
      </c>
      <c r="H419">
        <f>電力量!H420-電力量!H419</f>
        <v>29</v>
      </c>
      <c r="I419">
        <f>電力量!I420-電力量!I419</f>
        <v>355</v>
      </c>
      <c r="J419">
        <f>電力量!J420-電力量!J419</f>
        <v>8.4000000000014552</v>
      </c>
      <c r="K419">
        <f>電力量!K420-電力量!K419</f>
        <v>0.80000000000291038</v>
      </c>
      <c r="L419">
        <f>電力量!L420-電力量!L419</f>
        <v>31.100000000000364</v>
      </c>
      <c r="M419">
        <f>電力量!M420-電力量!M419</f>
        <v>42.19999999999709</v>
      </c>
      <c r="N419">
        <f>電力量!N420-電力量!N419</f>
        <v>48.5</v>
      </c>
      <c r="O419">
        <f>電力量!O420-電力量!O419</f>
        <v>59.400000000000091</v>
      </c>
      <c r="P419">
        <f>電力量!P420-電力量!P419</f>
        <v>9</v>
      </c>
      <c r="Q419">
        <f>電力量!Q420-電力量!Q419</f>
        <v>13</v>
      </c>
      <c r="R419">
        <f>電力量!R420-電力量!R419</f>
        <v>0</v>
      </c>
    </row>
    <row r="420" spans="1:18">
      <c r="A420" s="4">
        <f t="shared" si="147"/>
        <v>45917.416666666664</v>
      </c>
      <c r="B420">
        <f>電力量!B421-電力量!B420</f>
        <v>1301</v>
      </c>
      <c r="C420">
        <f>電力量!C421-電力量!C420</f>
        <v>353</v>
      </c>
      <c r="D420">
        <f>電力量!D421-電力量!D420</f>
        <v>33.80000000000291</v>
      </c>
      <c r="E420">
        <f>電力量!E421-電力量!E420</f>
        <v>0</v>
      </c>
      <c r="F420">
        <f>電力量!F421-電力量!F420</f>
        <v>46</v>
      </c>
      <c r="G420">
        <f>電力量!G421-電力量!G420</f>
        <v>84.899999999994179</v>
      </c>
      <c r="H420">
        <f>電力量!H421-電力量!H420</f>
        <v>42</v>
      </c>
      <c r="I420">
        <f>電力量!I421-電力量!I420</f>
        <v>432</v>
      </c>
      <c r="J420">
        <f>電力量!J421-電力量!J420</f>
        <v>10.099999999998545</v>
      </c>
      <c r="K420">
        <f>電力量!K421-電力量!K420</f>
        <v>0.5</v>
      </c>
      <c r="L420">
        <f>電力量!L421-電力量!L420</f>
        <v>39.5</v>
      </c>
      <c r="M420">
        <f>電力量!M421-電力量!M420</f>
        <v>46.900000000008731</v>
      </c>
      <c r="N420">
        <f>電力量!N421-電力量!N420</f>
        <v>46.100000000000364</v>
      </c>
      <c r="O420">
        <f>電力量!O421-電力量!O420</f>
        <v>68.099999999999909</v>
      </c>
      <c r="P420">
        <f>電力量!P421-電力量!P420</f>
        <v>11</v>
      </c>
      <c r="Q420">
        <f>電力量!Q421-電力量!Q420</f>
        <v>17</v>
      </c>
      <c r="R420">
        <f>電力量!R421-電力量!R420</f>
        <v>0</v>
      </c>
    </row>
    <row r="421" spans="1:18">
      <c r="A421" s="4">
        <f t="shared" si="148"/>
        <v>45917.458333333336</v>
      </c>
      <c r="B421">
        <f>電力量!B422-電力量!B421</f>
        <v>1368</v>
      </c>
      <c r="C421">
        <f>電力量!C422-電力量!C421</f>
        <v>367</v>
      </c>
      <c r="D421">
        <f>電力量!D422-電力量!D421</f>
        <v>34.400000000001455</v>
      </c>
      <c r="E421">
        <f>電力量!E422-電力量!E421</f>
        <v>0</v>
      </c>
      <c r="F421">
        <f>電力量!F422-電力量!F421</f>
        <v>50</v>
      </c>
      <c r="G421">
        <f>電力量!G422-電力量!G421</f>
        <v>103.20000000001164</v>
      </c>
      <c r="H421">
        <f>電力量!H422-電力量!H421</f>
        <v>42</v>
      </c>
      <c r="I421">
        <f>電力量!I422-電力量!I421</f>
        <v>461</v>
      </c>
      <c r="J421">
        <f>電力量!J422-電力量!J421</f>
        <v>11.30000000000291</v>
      </c>
      <c r="K421">
        <f>電力量!K422-電力量!K421</f>
        <v>0.69999999999708962</v>
      </c>
      <c r="L421">
        <f>電力量!L422-電力量!L421</f>
        <v>43.699999999999818</v>
      </c>
      <c r="M421">
        <f>電力量!M422-電力量!M421</f>
        <v>49.69999999999709</v>
      </c>
      <c r="N421">
        <f>電力量!N422-電力量!N421</f>
        <v>44.799999999999272</v>
      </c>
      <c r="O421">
        <f>電力量!O422-電力量!O421</f>
        <v>68.100000000000136</v>
      </c>
      <c r="P421">
        <f>電力量!P422-電力量!P421</f>
        <v>13</v>
      </c>
      <c r="Q421">
        <f>電力量!Q422-電力量!Q421</f>
        <v>20</v>
      </c>
      <c r="R421">
        <f>電力量!R422-電力量!R421</f>
        <v>0</v>
      </c>
    </row>
    <row r="422" spans="1:18">
      <c r="A422" s="4">
        <f t="shared" si="149"/>
        <v>45917.5</v>
      </c>
      <c r="B422">
        <f>電力量!B423-電力量!B422</f>
        <v>1405</v>
      </c>
      <c r="C422">
        <f>電力量!C423-電力量!C422</f>
        <v>373</v>
      </c>
      <c r="D422">
        <f>電力量!D423-電力量!D422</f>
        <v>35.099999999998545</v>
      </c>
      <c r="E422">
        <f>電力量!E423-電力量!E422</f>
        <v>0</v>
      </c>
      <c r="F422">
        <f>電力量!F423-電力量!F422</f>
        <v>53</v>
      </c>
      <c r="G422">
        <f>電力量!G423-電力量!G422</f>
        <v>117.79999999998836</v>
      </c>
      <c r="H422">
        <f>電力量!H423-電力量!H422</f>
        <v>35</v>
      </c>
      <c r="I422">
        <f>電力量!I423-電力量!I422</f>
        <v>470</v>
      </c>
      <c r="J422">
        <f>電力量!J423-電力量!J422</f>
        <v>12.400000000001455</v>
      </c>
      <c r="K422">
        <f>電力量!K423-電力量!K422</f>
        <v>2.2000000000116415</v>
      </c>
      <c r="L422">
        <f>電力量!L423-電力量!L422</f>
        <v>45.200000000000728</v>
      </c>
      <c r="M422">
        <f>電力量!M423-電力量!M422</f>
        <v>49</v>
      </c>
      <c r="N422">
        <f>電力量!N423-電力量!N422</f>
        <v>49.5</v>
      </c>
      <c r="O422">
        <f>電力量!O423-電力量!O422</f>
        <v>66.099999999999909</v>
      </c>
      <c r="P422">
        <f>電力量!P423-電力量!P422</f>
        <v>10</v>
      </c>
      <c r="Q422">
        <f>電力量!Q423-電力量!Q422</f>
        <v>15</v>
      </c>
      <c r="R422">
        <f>電力量!R423-電力量!R422</f>
        <v>0</v>
      </c>
    </row>
    <row r="423" spans="1:18">
      <c r="A423" s="4">
        <f t="shared" si="150"/>
        <v>45917.541666666664</v>
      </c>
      <c r="B423">
        <f>電力量!B424-電力量!B423</f>
        <v>1477</v>
      </c>
      <c r="C423">
        <f>電力量!C424-電力量!C423</f>
        <v>390</v>
      </c>
      <c r="D423">
        <f>電力量!D424-電力量!D423</f>
        <v>45.799999999995634</v>
      </c>
      <c r="E423">
        <f>電力量!E424-電力量!E423</f>
        <v>0</v>
      </c>
      <c r="F423">
        <f>電力量!F424-電力量!F423</f>
        <v>51</v>
      </c>
      <c r="G423">
        <f>電力量!G424-電力量!G423</f>
        <v>113.20000000001164</v>
      </c>
      <c r="H423">
        <f>電力量!H424-電力量!H423</f>
        <v>64</v>
      </c>
      <c r="I423">
        <f>電力量!I424-電力量!I423</f>
        <v>474</v>
      </c>
      <c r="J423">
        <f>電力量!J424-電力量!J423</f>
        <v>13.799999999995634</v>
      </c>
      <c r="K423">
        <f>電力量!K424-電力量!K423</f>
        <v>1.5</v>
      </c>
      <c r="L423">
        <f>電力量!L424-電力量!L423</f>
        <v>51.599999999998545</v>
      </c>
      <c r="M423">
        <f>電力量!M424-電力量!M423</f>
        <v>47</v>
      </c>
      <c r="N423">
        <f>電力量!N424-電力量!N423</f>
        <v>54</v>
      </c>
      <c r="O423">
        <f>電力量!O424-電力量!O423</f>
        <v>76.799999999999955</v>
      </c>
      <c r="P423">
        <f>電力量!P424-電力量!P423</f>
        <v>13</v>
      </c>
      <c r="Q423">
        <f>電力量!Q424-電力量!Q423</f>
        <v>19</v>
      </c>
      <c r="R423">
        <f>電力量!R424-電力量!R423</f>
        <v>0</v>
      </c>
    </row>
    <row r="424" spans="1:18">
      <c r="A424" s="4">
        <f t="shared" si="151"/>
        <v>45917.583333333336</v>
      </c>
      <c r="B424">
        <f>電力量!B425-電力量!B424</f>
        <v>1503</v>
      </c>
      <c r="C424">
        <f>電力量!C425-電力量!C424</f>
        <v>403</v>
      </c>
      <c r="D424">
        <f>電力量!D425-電力量!D424</f>
        <v>50</v>
      </c>
      <c r="E424">
        <f>電力量!E425-電力量!E424</f>
        <v>0</v>
      </c>
      <c r="F424">
        <f>電力量!F425-電力量!F424</f>
        <v>57</v>
      </c>
      <c r="G424">
        <f>電力量!G425-電力量!G424</f>
        <v>109.5</v>
      </c>
      <c r="H424">
        <f>電力量!H425-電力量!H424</f>
        <v>58</v>
      </c>
      <c r="I424">
        <f>電力量!I425-電力量!I424</f>
        <v>482</v>
      </c>
      <c r="J424">
        <f>電力量!J425-電力量!J424</f>
        <v>14.700000000004366</v>
      </c>
      <c r="K424">
        <f>電力量!K425-電力量!K424</f>
        <v>1.0999999999912689</v>
      </c>
      <c r="L424">
        <f>電力量!L425-電力量!L424</f>
        <v>55.200000000000728</v>
      </c>
      <c r="M424">
        <f>電力量!M425-電力量!M424</f>
        <v>51.100000000005821</v>
      </c>
      <c r="N424">
        <f>電力量!N425-電力量!N424</f>
        <v>52.700000000000728</v>
      </c>
      <c r="O424">
        <f>電力量!O425-電力量!O424</f>
        <v>58</v>
      </c>
      <c r="P424">
        <f>電力量!P425-電力量!P424</f>
        <v>13</v>
      </c>
      <c r="Q424">
        <f>電力量!Q425-電力量!Q424</f>
        <v>20</v>
      </c>
      <c r="R424">
        <f>電力量!R425-電力量!R424</f>
        <v>0</v>
      </c>
    </row>
    <row r="425" spans="1:18">
      <c r="A425" s="4">
        <f t="shared" si="152"/>
        <v>45917.625</v>
      </c>
      <c r="B425">
        <f>電力量!B426-電力量!B425</f>
        <v>1454</v>
      </c>
      <c r="C425">
        <f>電力量!C426-電力量!C425</f>
        <v>407</v>
      </c>
      <c r="D425">
        <f>電力量!D426-電力量!D425</f>
        <v>43.700000000004366</v>
      </c>
      <c r="E425">
        <f>電力量!E426-電力量!E425</f>
        <v>0</v>
      </c>
      <c r="F425">
        <f>電力量!F426-電力量!F425</f>
        <v>51</v>
      </c>
      <c r="G425">
        <f>電力量!G426-電力量!G425</f>
        <v>127.89999999999418</v>
      </c>
      <c r="H425">
        <f>電力量!H426-電力量!H425</f>
        <v>39</v>
      </c>
      <c r="I425">
        <f>電力量!I426-電力量!I425</f>
        <v>471</v>
      </c>
      <c r="J425">
        <f>電力量!J426-電力量!J425</f>
        <v>13.69999999999709</v>
      </c>
      <c r="K425">
        <f>電力量!K426-電力量!K425</f>
        <v>3.9000000000087311</v>
      </c>
      <c r="L425">
        <f>電力量!L426-電力量!L425</f>
        <v>44.700000000000728</v>
      </c>
      <c r="M425">
        <f>電力量!M426-電力量!M425</f>
        <v>52.899999999994179</v>
      </c>
      <c r="N425">
        <f>電力量!N426-電力量!N425</f>
        <v>53.799999999999272</v>
      </c>
      <c r="O425">
        <f>電力量!O426-電力量!O425</f>
        <v>32.200000000000045</v>
      </c>
      <c r="P425">
        <f>電力量!P426-電力量!P425</f>
        <v>7</v>
      </c>
      <c r="Q425">
        <f>電力量!Q426-電力量!Q425</f>
        <v>10</v>
      </c>
      <c r="R425">
        <f>電力量!R426-電力量!R425</f>
        <v>0</v>
      </c>
    </row>
    <row r="426" spans="1:18">
      <c r="A426" s="4">
        <f t="shared" si="153"/>
        <v>45917.666666666664</v>
      </c>
      <c r="B426">
        <f>電力量!B427-電力量!B426</f>
        <v>1315</v>
      </c>
      <c r="C426">
        <f>電力量!C427-電力量!C426</f>
        <v>354</v>
      </c>
      <c r="D426">
        <f>電力量!D427-電力量!D426</f>
        <v>36.5</v>
      </c>
      <c r="E426">
        <f>電力量!E427-電力量!E426</f>
        <v>0</v>
      </c>
      <c r="F426">
        <f>電力量!F427-電力量!F426</f>
        <v>43</v>
      </c>
      <c r="G426">
        <f>電力量!G427-電力量!G426</f>
        <v>126.19999999999709</v>
      </c>
      <c r="H426">
        <f>電力量!H427-電力量!H426</f>
        <v>35</v>
      </c>
      <c r="I426">
        <f>電力量!I427-電力量!I426</f>
        <v>433</v>
      </c>
      <c r="J426">
        <f>電力量!J427-電力量!J426</f>
        <v>10.19999999999709</v>
      </c>
      <c r="K426">
        <f>電力量!K427-電力量!K426</f>
        <v>8.6999999999970896</v>
      </c>
      <c r="L426">
        <f>電力量!L427-電力量!L426</f>
        <v>39.799999999999272</v>
      </c>
      <c r="M426">
        <f>電力量!M427-電力量!M426</f>
        <v>43.30000000000291</v>
      </c>
      <c r="N426">
        <f>電力量!N427-電力量!N426</f>
        <v>57.600000000000364</v>
      </c>
      <c r="O426">
        <f>電力量!O427-電力量!O426</f>
        <v>30.900000000000091</v>
      </c>
      <c r="P426">
        <f>電力量!P427-電力量!P426</f>
        <v>0</v>
      </c>
      <c r="Q426">
        <f>電力量!Q427-電力量!Q426</f>
        <v>1</v>
      </c>
      <c r="R426">
        <f>電力量!R427-電力量!R426</f>
        <v>0</v>
      </c>
    </row>
    <row r="427" spans="1:18">
      <c r="A427" s="4">
        <f t="shared" si="154"/>
        <v>45917.708333333336</v>
      </c>
      <c r="B427">
        <f>電力量!B428-電力量!B427</f>
        <v>1177</v>
      </c>
      <c r="C427">
        <f>電力量!C428-電力量!C427</f>
        <v>326</v>
      </c>
      <c r="D427">
        <f>電力量!D428-電力量!D427</f>
        <v>30.099999999998545</v>
      </c>
      <c r="E427">
        <f>電力量!E428-電力量!E427</f>
        <v>0</v>
      </c>
      <c r="F427">
        <f>電力量!F428-電力量!F427</f>
        <v>32</v>
      </c>
      <c r="G427">
        <f>電力量!G428-電力量!G427</f>
        <v>104.30000000000291</v>
      </c>
      <c r="H427">
        <f>電力量!H428-電力量!H427</f>
        <v>31</v>
      </c>
      <c r="I427">
        <f>電力量!I428-電力量!I427</f>
        <v>398</v>
      </c>
      <c r="J427">
        <f>電力量!J428-電力量!J427</f>
        <v>9.1000000000058208</v>
      </c>
      <c r="K427">
        <f>電力量!K428-電力量!K427</f>
        <v>4.0999999999912689</v>
      </c>
      <c r="L427">
        <f>電力量!L428-電力量!L427</f>
        <v>36</v>
      </c>
      <c r="M427">
        <f>電力量!M428-電力量!M427</f>
        <v>37.599999999991269</v>
      </c>
      <c r="N427">
        <f>電力量!N428-電力量!N427</f>
        <v>56.700000000000728</v>
      </c>
      <c r="O427">
        <f>電力量!O428-電力量!O427</f>
        <v>24.399999999999864</v>
      </c>
      <c r="P427">
        <f>電力量!P428-電力量!P427</f>
        <v>0</v>
      </c>
      <c r="Q427">
        <f>電力量!Q428-電力量!Q427</f>
        <v>0</v>
      </c>
      <c r="R427">
        <f>電力量!R428-電力量!R427</f>
        <v>0</v>
      </c>
    </row>
    <row r="428" spans="1:18">
      <c r="A428" s="4">
        <f t="shared" si="155"/>
        <v>45917.75</v>
      </c>
      <c r="B428">
        <f>電力量!B429-電力量!B428</f>
        <v>1014</v>
      </c>
      <c r="C428">
        <f>電力量!C429-電力量!C428</f>
        <v>270</v>
      </c>
      <c r="D428">
        <f>電力量!D429-電力量!D428</f>
        <v>26.599999999998545</v>
      </c>
      <c r="E428">
        <f>電力量!E429-電力量!E428</f>
        <v>0</v>
      </c>
      <c r="F428">
        <f>電力量!F429-電力量!F428</f>
        <v>29</v>
      </c>
      <c r="G428">
        <f>電力量!G429-電力量!G428</f>
        <v>90.30000000000291</v>
      </c>
      <c r="H428">
        <f>電力量!H429-電力量!H428</f>
        <v>13</v>
      </c>
      <c r="I428">
        <f>電力量!I429-電力量!I428</f>
        <v>354</v>
      </c>
      <c r="J428">
        <f>電力量!J429-電力量!J428</f>
        <v>9.0999999999985448</v>
      </c>
      <c r="K428">
        <f>電力量!K429-電力量!K428</f>
        <v>2.9000000000087311</v>
      </c>
      <c r="L428">
        <f>電力量!L429-電力量!L428</f>
        <v>31.299999999999272</v>
      </c>
      <c r="M428">
        <f>電力量!M429-電力量!M428</f>
        <v>36.30000000000291</v>
      </c>
      <c r="N428">
        <f>電力量!N429-電力量!N428</f>
        <v>55.299999999999272</v>
      </c>
      <c r="O428">
        <f>電力量!O429-電力量!O428</f>
        <v>21.600000000000136</v>
      </c>
      <c r="P428">
        <f>電力量!P429-電力量!P428</f>
        <v>0</v>
      </c>
      <c r="Q428">
        <f>電力量!Q429-電力量!Q428</f>
        <v>0</v>
      </c>
      <c r="R428">
        <f>電力量!R429-電力量!R428</f>
        <v>0</v>
      </c>
    </row>
    <row r="429" spans="1:18">
      <c r="A429" s="4">
        <f t="shared" si="156"/>
        <v>45917.791666666664</v>
      </c>
      <c r="B429">
        <f>電力量!B430-電力量!B429</f>
        <v>921</v>
      </c>
      <c r="C429">
        <f>電力量!C430-電力量!C429</f>
        <v>247</v>
      </c>
      <c r="D429">
        <f>電力量!D430-電力量!D429</f>
        <v>23.200000000004366</v>
      </c>
      <c r="E429">
        <f>電力量!E430-電力量!E429</f>
        <v>0</v>
      </c>
      <c r="F429">
        <f>電力量!F430-電力量!F429</f>
        <v>25</v>
      </c>
      <c r="G429">
        <f>電力量!G430-電力量!G429</f>
        <v>83.80000000000291</v>
      </c>
      <c r="H429">
        <f>電力量!H430-電力量!H429</f>
        <v>13</v>
      </c>
      <c r="I429">
        <f>電力量!I430-電力量!I429</f>
        <v>315</v>
      </c>
      <c r="J429">
        <f>電力量!J430-電力量!J429</f>
        <v>8.2999999999956344</v>
      </c>
      <c r="K429">
        <f>電力量!K430-電力量!K429</f>
        <v>2.8999999999941792</v>
      </c>
      <c r="L429">
        <f>電力量!L430-電力量!L429</f>
        <v>25.700000000000728</v>
      </c>
      <c r="M429">
        <f>電力量!M430-電力量!M429</f>
        <v>35.600000000005821</v>
      </c>
      <c r="N429">
        <f>電力量!N430-電力量!N429</f>
        <v>54.5</v>
      </c>
      <c r="O429">
        <f>電力量!O430-電力量!O429</f>
        <v>21.099999999999909</v>
      </c>
      <c r="P429">
        <f>電力量!P430-電力量!P429</f>
        <v>0</v>
      </c>
      <c r="Q429">
        <f>電力量!Q430-電力量!Q429</f>
        <v>0</v>
      </c>
      <c r="R429">
        <f>電力量!R430-電力量!R429</f>
        <v>0</v>
      </c>
    </row>
    <row r="430" spans="1:18">
      <c r="A430" s="4">
        <f t="shared" si="157"/>
        <v>45917.833333333336</v>
      </c>
      <c r="B430">
        <f>電力量!B431-電力量!B430</f>
        <v>859</v>
      </c>
      <c r="C430">
        <f>電力量!C431-電力量!C430</f>
        <v>220</v>
      </c>
      <c r="D430">
        <f>電力量!D431-電力量!D430</f>
        <v>19.399999999994179</v>
      </c>
      <c r="E430">
        <f>電力量!E431-電力量!E430</f>
        <v>0</v>
      </c>
      <c r="F430">
        <f>電力量!F431-電力量!F430</f>
        <v>24</v>
      </c>
      <c r="G430">
        <f>電力量!G431-電力量!G430</f>
        <v>77.599999999991269</v>
      </c>
      <c r="H430">
        <f>電力量!H431-電力量!H430</f>
        <v>14</v>
      </c>
      <c r="I430">
        <f>電力量!I431-電力量!I430</f>
        <v>296</v>
      </c>
      <c r="J430">
        <f>電力量!J431-電力量!J430</f>
        <v>7.5</v>
      </c>
      <c r="K430">
        <f>電力量!K431-電力量!K430</f>
        <v>2.9000000000087311</v>
      </c>
      <c r="L430">
        <f>電力量!L431-電力量!L430</f>
        <v>23.899999999999636</v>
      </c>
      <c r="M430">
        <f>電力量!M431-電力量!M430</f>
        <v>34.80000000000291</v>
      </c>
      <c r="N430">
        <f>電力量!N431-電力量!N430</f>
        <v>54.799999999999272</v>
      </c>
      <c r="O430">
        <f>電力量!O431-電力量!O430</f>
        <v>23</v>
      </c>
      <c r="P430">
        <f>電力量!P431-電力量!P430</f>
        <v>0</v>
      </c>
      <c r="Q430">
        <f>電力量!Q431-電力量!Q430</f>
        <v>0</v>
      </c>
      <c r="R430">
        <f>電力量!R431-電力量!R430</f>
        <v>0</v>
      </c>
    </row>
    <row r="431" spans="1:18">
      <c r="A431" s="4">
        <f t="shared" si="158"/>
        <v>45917.875</v>
      </c>
      <c r="B431">
        <f>電力量!B432-電力量!B431</f>
        <v>824</v>
      </c>
      <c r="C431">
        <f>電力量!C432-電力量!C431</f>
        <v>213</v>
      </c>
      <c r="D431">
        <f>電力量!D432-電力量!D431</f>
        <v>19.30000000000291</v>
      </c>
      <c r="E431">
        <f>電力量!E432-電力量!E431</f>
        <v>0</v>
      </c>
      <c r="F431">
        <f>電力量!F432-電力量!F431</f>
        <v>22</v>
      </c>
      <c r="G431">
        <f>電力量!G432-電力量!G431</f>
        <v>70.19999999999709</v>
      </c>
      <c r="H431">
        <f>電力量!H432-電力量!H431</f>
        <v>12</v>
      </c>
      <c r="I431">
        <f>電力量!I432-電力量!I431</f>
        <v>288</v>
      </c>
      <c r="J431">
        <f>電力量!J432-電力量!J431</f>
        <v>7.5</v>
      </c>
      <c r="K431">
        <f>電力量!K432-電力量!K431</f>
        <v>2.7999999999883585</v>
      </c>
      <c r="L431">
        <f>電力量!L432-電力量!L431</f>
        <v>21.899999999999636</v>
      </c>
      <c r="M431">
        <f>電力量!M432-電力量!M431</f>
        <v>33.899999999994179</v>
      </c>
      <c r="N431">
        <f>電力量!N432-電力量!N431</f>
        <v>54.700000000000728</v>
      </c>
      <c r="O431">
        <f>電力量!O432-電力量!O431</f>
        <v>20.700000000000045</v>
      </c>
      <c r="P431">
        <f>電力量!P432-電力量!P431</f>
        <v>0</v>
      </c>
      <c r="Q431">
        <f>電力量!Q432-電力量!Q431</f>
        <v>0</v>
      </c>
      <c r="R431">
        <f>電力量!R432-電力量!R431</f>
        <v>0</v>
      </c>
    </row>
    <row r="432" spans="1:18">
      <c r="A432" s="4">
        <f t="shared" si="159"/>
        <v>45917.916666666664</v>
      </c>
      <c r="B432">
        <f>電力量!B433-電力量!B432</f>
        <v>817</v>
      </c>
      <c r="C432">
        <f>電力量!C433-電力量!C432</f>
        <v>209</v>
      </c>
      <c r="D432">
        <f>電力量!D433-電力量!D432</f>
        <v>18.19999999999709</v>
      </c>
      <c r="E432">
        <f>電力量!E433-電力量!E432</f>
        <v>0</v>
      </c>
      <c r="F432">
        <f>電力量!F433-電力量!F432</f>
        <v>22</v>
      </c>
      <c r="G432">
        <f>電力量!G433-電力量!G432</f>
        <v>68.5</v>
      </c>
      <c r="H432">
        <f>電力量!H433-電力量!H432</f>
        <v>13</v>
      </c>
      <c r="I432">
        <f>電力量!I433-電力量!I432</f>
        <v>293</v>
      </c>
      <c r="J432">
        <f>電力量!J433-電力量!J432</f>
        <v>7.3000000000029104</v>
      </c>
      <c r="K432">
        <f>電力量!K433-電力量!K432</f>
        <v>2.8000000000029104</v>
      </c>
      <c r="L432">
        <f>電力量!L433-電力量!L432</f>
        <v>21.800000000001091</v>
      </c>
      <c r="M432">
        <f>電力量!M433-電力量!M432</f>
        <v>34.100000000005821</v>
      </c>
      <c r="N432">
        <f>電力量!N433-電力量!N432</f>
        <v>53.700000000000728</v>
      </c>
      <c r="O432">
        <f>電力量!O433-電力量!O432</f>
        <v>18.5</v>
      </c>
      <c r="P432">
        <f>電力量!P433-電力量!P432</f>
        <v>0</v>
      </c>
      <c r="Q432">
        <f>電力量!Q433-電力量!Q432</f>
        <v>0</v>
      </c>
      <c r="R432">
        <f>電力量!R433-電力量!R432</f>
        <v>0</v>
      </c>
    </row>
    <row r="433" spans="1:18">
      <c r="A433" s="4">
        <f t="shared" si="160"/>
        <v>45917.958333333336</v>
      </c>
      <c r="B433">
        <f>電力量!B434-電力量!B433</f>
        <v>788</v>
      </c>
      <c r="C433">
        <f>電力量!C434-電力量!C433</f>
        <v>203</v>
      </c>
      <c r="D433">
        <f>電力量!D434-電力量!D433</f>
        <v>18.30000000000291</v>
      </c>
      <c r="E433">
        <f>電力量!E434-電力量!E433</f>
        <v>0</v>
      </c>
      <c r="F433">
        <f>電力量!F434-電力量!F433</f>
        <v>24</v>
      </c>
      <c r="G433">
        <f>電力量!G434-電力量!G433</f>
        <v>66.900000000008731</v>
      </c>
      <c r="H433">
        <f>電力量!H434-電力量!H433</f>
        <v>12</v>
      </c>
      <c r="I433">
        <f>電力量!I434-電力量!I433</f>
        <v>271</v>
      </c>
      <c r="J433">
        <f>電力量!J434-電力量!J433</f>
        <v>7.1999999999970896</v>
      </c>
      <c r="K433">
        <f>電力量!K434-電力量!K433</f>
        <v>2.9000000000087311</v>
      </c>
      <c r="L433">
        <f>電力量!L434-電力量!L433</f>
        <v>22.5</v>
      </c>
      <c r="M433">
        <f>電力量!M434-電力量!M433</f>
        <v>32.099999999991269</v>
      </c>
      <c r="N433">
        <f>電力量!N434-電力量!N433</f>
        <v>54.299999999999272</v>
      </c>
      <c r="O433">
        <f>電力量!O434-電力量!O433</f>
        <v>18.700000000000045</v>
      </c>
      <c r="P433">
        <f>電力量!P434-電力量!P433</f>
        <v>0</v>
      </c>
      <c r="Q433">
        <f>電力量!Q434-電力量!Q433</f>
        <v>0</v>
      </c>
      <c r="R433">
        <f>電力量!R434-電力量!R433</f>
        <v>0</v>
      </c>
    </row>
    <row r="434" spans="1:18">
      <c r="A434" s="4">
        <v>45918</v>
      </c>
      <c r="B434">
        <f>電力量!B435-電力量!B434</f>
        <v>764</v>
      </c>
      <c r="C434">
        <f>電力量!C435-電力量!C434</f>
        <v>200</v>
      </c>
      <c r="D434">
        <f>電力量!D435-電力量!D434</f>
        <v>17.30000000000291</v>
      </c>
      <c r="E434">
        <f>電力量!E435-電力量!E434</f>
        <v>0</v>
      </c>
      <c r="F434">
        <f>電力量!F435-電力量!F434</f>
        <v>21</v>
      </c>
      <c r="G434">
        <f>電力量!G435-電力量!G434</f>
        <v>65.30000000000291</v>
      </c>
      <c r="H434">
        <f>電力量!H435-電力量!H434</f>
        <v>13</v>
      </c>
      <c r="I434">
        <f>電力量!I435-電力量!I434</f>
        <v>260</v>
      </c>
      <c r="J434">
        <f>電力量!J435-電力量!J434</f>
        <v>7.1000000000058208</v>
      </c>
      <c r="K434">
        <f>電力量!K435-電力量!K434</f>
        <v>2.8999999999941792</v>
      </c>
      <c r="L434">
        <f>電力量!L435-電力量!L434</f>
        <v>22.100000000000364</v>
      </c>
      <c r="M434">
        <f>電力量!M435-電力量!M434</f>
        <v>32.69999999999709</v>
      </c>
      <c r="N434">
        <f>電力量!N435-電力量!N434</f>
        <v>53.399999999999636</v>
      </c>
      <c r="O434">
        <f>電力量!O435-電力量!O434</f>
        <v>17.200000000000045</v>
      </c>
      <c r="P434">
        <f>電力量!P435-電力量!P434</f>
        <v>0</v>
      </c>
      <c r="Q434">
        <f>電力量!Q435-電力量!Q434</f>
        <v>0</v>
      </c>
      <c r="R434">
        <f>電力量!R435-電力量!R434</f>
        <v>0</v>
      </c>
    </row>
    <row r="435" spans="1:18">
      <c r="A435" s="4">
        <f t="shared" si="138"/>
        <v>45918.041666666664</v>
      </c>
      <c r="B435">
        <f>電力量!B436-電力量!B435</f>
        <v>748</v>
      </c>
      <c r="C435">
        <f>電力量!C436-電力量!C435</f>
        <v>193</v>
      </c>
      <c r="D435">
        <f>電力量!D436-電力量!D435</f>
        <v>16.899999999994179</v>
      </c>
      <c r="E435">
        <f>電力量!E436-電力量!E435</f>
        <v>0</v>
      </c>
      <c r="F435">
        <f>電力量!F436-電力量!F435</f>
        <v>22</v>
      </c>
      <c r="G435">
        <f>電力量!G436-電力量!G435</f>
        <v>63</v>
      </c>
      <c r="H435">
        <f>電力量!H436-電力量!H435</f>
        <v>12</v>
      </c>
      <c r="I435">
        <f>電力量!I436-電力量!I435</f>
        <v>254</v>
      </c>
      <c r="J435">
        <f>電力量!J436-電力量!J435</f>
        <v>7</v>
      </c>
      <c r="K435">
        <f>電力量!K436-電力量!K435</f>
        <v>2.8999999999941792</v>
      </c>
      <c r="L435">
        <f>電力量!L436-電力量!L435</f>
        <v>21.899999999999636</v>
      </c>
      <c r="M435">
        <f>電力量!M436-電力量!M435</f>
        <v>31.5</v>
      </c>
      <c r="N435">
        <f>電力量!N436-電力量!N435</f>
        <v>53.600000000000364</v>
      </c>
      <c r="O435">
        <f>電力量!O436-電力量!O435</f>
        <v>17.899999999999864</v>
      </c>
      <c r="P435">
        <f>電力量!P436-電力量!P435</f>
        <v>0</v>
      </c>
      <c r="Q435">
        <f>電力量!Q436-電力量!Q435</f>
        <v>0</v>
      </c>
      <c r="R435">
        <f>電力量!R436-電力量!R435</f>
        <v>0</v>
      </c>
    </row>
    <row r="436" spans="1:18">
      <c r="A436" s="4">
        <f t="shared" si="139"/>
        <v>45918.083333333336</v>
      </c>
      <c r="B436">
        <f>電力量!B437-電力量!B436</f>
        <v>731</v>
      </c>
      <c r="C436">
        <f>電力量!C437-電力量!C436</f>
        <v>188</v>
      </c>
      <c r="D436">
        <f>電力量!D437-電力量!D436</f>
        <v>15.600000000005821</v>
      </c>
      <c r="E436">
        <f>電力量!E437-電力量!E436</f>
        <v>0</v>
      </c>
      <c r="F436">
        <f>電力量!F437-電力量!F436</f>
        <v>25</v>
      </c>
      <c r="G436">
        <f>電力量!G437-電力量!G436</f>
        <v>57.299999999988358</v>
      </c>
      <c r="H436">
        <f>電力量!H437-電力量!H436</f>
        <v>12</v>
      </c>
      <c r="I436">
        <f>電力量!I437-電力量!I436</f>
        <v>245</v>
      </c>
      <c r="J436">
        <f>電力量!J437-電力量!J436</f>
        <v>7</v>
      </c>
      <c r="K436">
        <f>電力量!K437-電力量!K436</f>
        <v>2.9000000000087311</v>
      </c>
      <c r="L436">
        <f>電力量!L437-電力量!L436</f>
        <v>21.299999999999272</v>
      </c>
      <c r="M436">
        <f>電力量!M437-電力量!M436</f>
        <v>32</v>
      </c>
      <c r="N436">
        <f>電力量!N437-電力量!N436</f>
        <v>53.600000000000364</v>
      </c>
      <c r="O436">
        <f>電力量!O437-電力量!O436</f>
        <v>18.5</v>
      </c>
      <c r="P436">
        <f>電力量!P437-電力量!P436</f>
        <v>0</v>
      </c>
      <c r="Q436">
        <f>電力量!Q437-電力量!Q436</f>
        <v>0</v>
      </c>
      <c r="R436">
        <f>電力量!R437-電力量!R436</f>
        <v>0</v>
      </c>
    </row>
    <row r="437" spans="1:18">
      <c r="A437" s="4">
        <f t="shared" si="140"/>
        <v>45918.125</v>
      </c>
      <c r="B437">
        <f>電力量!B438-電力量!B437</f>
        <v>736</v>
      </c>
      <c r="C437">
        <f>電力量!C438-電力量!C437</f>
        <v>192</v>
      </c>
      <c r="D437">
        <f>電力量!D438-電力量!D437</f>
        <v>14.599999999998545</v>
      </c>
      <c r="E437">
        <f>電力量!E438-電力量!E437</f>
        <v>0</v>
      </c>
      <c r="F437">
        <f>電力量!F438-電力量!F437</f>
        <v>26</v>
      </c>
      <c r="G437">
        <f>電力量!G438-電力量!G437</f>
        <v>58.200000000011642</v>
      </c>
      <c r="H437">
        <f>電力量!H438-電力量!H437</f>
        <v>13</v>
      </c>
      <c r="I437">
        <f>電力量!I438-電力量!I437</f>
        <v>240</v>
      </c>
      <c r="J437">
        <f>電力量!J438-電力量!J437</f>
        <v>7</v>
      </c>
      <c r="K437">
        <f>電力量!K438-電力量!K437</f>
        <v>2.8999999999941792</v>
      </c>
      <c r="L437">
        <f>電力量!L438-電力量!L437</f>
        <v>21.800000000001091</v>
      </c>
      <c r="M437">
        <f>電力量!M438-電力量!M437</f>
        <v>34.400000000008731</v>
      </c>
      <c r="N437">
        <f>電力量!N438-電力量!N437</f>
        <v>54.399999999999636</v>
      </c>
      <c r="O437">
        <f>電力量!O438-電力量!O437</f>
        <v>18.100000000000136</v>
      </c>
      <c r="P437">
        <f>電力量!P438-電力量!P437</f>
        <v>0</v>
      </c>
      <c r="Q437">
        <f>電力量!Q438-電力量!Q437</f>
        <v>0</v>
      </c>
      <c r="R437">
        <f>電力量!R438-電力量!R437</f>
        <v>0</v>
      </c>
    </row>
    <row r="438" spans="1:18">
      <c r="A438" s="4">
        <f t="shared" si="141"/>
        <v>45918.166666666664</v>
      </c>
      <c r="B438">
        <f>電力量!B439-電力量!B438</f>
        <v>732</v>
      </c>
      <c r="C438">
        <f>電力量!C439-電力量!C438</f>
        <v>189</v>
      </c>
      <c r="D438">
        <f>電力量!D439-電力量!D438</f>
        <v>14.299999999995634</v>
      </c>
      <c r="E438">
        <f>電力量!E439-電力量!E438</f>
        <v>0</v>
      </c>
      <c r="F438">
        <f>電力量!F439-電力量!F438</f>
        <v>24</v>
      </c>
      <c r="G438">
        <f>電力量!G439-電力量!G438</f>
        <v>57.5</v>
      </c>
      <c r="H438">
        <f>電力量!H439-電力量!H438</f>
        <v>12</v>
      </c>
      <c r="I438">
        <f>電力量!I439-電力量!I438</f>
        <v>244</v>
      </c>
      <c r="J438">
        <f>電力量!J439-電力量!J438</f>
        <v>7.2999999999956344</v>
      </c>
      <c r="K438">
        <f>電力量!K439-電力量!K438</f>
        <v>3</v>
      </c>
      <c r="L438">
        <f>電力量!L439-電力量!L438</f>
        <v>20.899999999999636</v>
      </c>
      <c r="M438">
        <f>電力量!M439-電力量!M438</f>
        <v>34.69999999999709</v>
      </c>
      <c r="N438">
        <f>電力量!N439-電力量!N438</f>
        <v>55</v>
      </c>
      <c r="O438">
        <f>電力量!O439-電力量!O438</f>
        <v>18.5</v>
      </c>
      <c r="P438">
        <f>電力量!P439-電力量!P438</f>
        <v>0</v>
      </c>
      <c r="Q438">
        <f>電力量!Q439-電力量!Q438</f>
        <v>0</v>
      </c>
      <c r="R438">
        <f>電力量!R439-電力量!R438</f>
        <v>0</v>
      </c>
    </row>
    <row r="439" spans="1:18">
      <c r="A439" s="4">
        <f t="shared" si="142"/>
        <v>45918.208333333336</v>
      </c>
      <c r="B439">
        <f>電力量!B440-電力量!B439</f>
        <v>716</v>
      </c>
      <c r="C439">
        <f>電力量!C440-電力量!C439</f>
        <v>182</v>
      </c>
      <c r="D439">
        <f>電力量!D440-電力量!D439</f>
        <v>14.100000000005821</v>
      </c>
      <c r="E439">
        <f>電力量!E440-電力量!E439</f>
        <v>0</v>
      </c>
      <c r="F439">
        <f>電力量!F440-電力量!F439</f>
        <v>24</v>
      </c>
      <c r="G439">
        <f>電力量!G440-電力量!G439</f>
        <v>57.5</v>
      </c>
      <c r="H439">
        <f>電力量!H440-電力量!H439</f>
        <v>12</v>
      </c>
      <c r="I439">
        <f>電力量!I440-電力量!I439</f>
        <v>236</v>
      </c>
      <c r="J439">
        <f>電力量!J440-電力量!J439</f>
        <v>6.9000000000014552</v>
      </c>
      <c r="K439">
        <f>電力量!K440-電力量!K439</f>
        <v>3.3000000000029104</v>
      </c>
      <c r="L439">
        <f>電力量!L440-電力量!L439</f>
        <v>20.799999999999272</v>
      </c>
      <c r="M439">
        <f>電力量!M440-電力量!M439</f>
        <v>32.600000000005821</v>
      </c>
      <c r="N439">
        <f>電力量!N440-電力量!N439</f>
        <v>54</v>
      </c>
      <c r="O439">
        <f>電力量!O440-電力量!O439</f>
        <v>20.299999999999955</v>
      </c>
      <c r="P439">
        <f>電力量!P440-電力量!P439</f>
        <v>0</v>
      </c>
      <c r="Q439">
        <f>電力量!Q440-電力量!Q439</f>
        <v>0</v>
      </c>
      <c r="R439">
        <f>電力量!R440-電力量!R439</f>
        <v>0</v>
      </c>
    </row>
    <row r="440" spans="1:18">
      <c r="A440" s="4">
        <f t="shared" si="143"/>
        <v>45918.25</v>
      </c>
      <c r="B440">
        <f>電力量!B441-電力量!B440</f>
        <v>717</v>
      </c>
      <c r="C440">
        <f>電力量!C441-電力量!C440</f>
        <v>187</v>
      </c>
      <c r="D440">
        <f>電力量!D441-電力量!D440</f>
        <v>14</v>
      </c>
      <c r="E440">
        <f>電力量!E441-電力量!E440</f>
        <v>0</v>
      </c>
      <c r="F440">
        <f>電力量!F441-電力量!F440</f>
        <v>22</v>
      </c>
      <c r="G440">
        <f>電力量!G441-電力量!G440</f>
        <v>55.599999999991269</v>
      </c>
      <c r="H440">
        <f>電力量!H441-電力量!H440</f>
        <v>12</v>
      </c>
      <c r="I440">
        <f>電力量!I441-電力量!I440</f>
        <v>238</v>
      </c>
      <c r="J440">
        <f>電力量!J441-電力量!J440</f>
        <v>6.5</v>
      </c>
      <c r="K440">
        <f>電力量!K441-電力量!K440</f>
        <v>2.6999999999970896</v>
      </c>
      <c r="L440">
        <f>電力量!L441-電力量!L440</f>
        <v>22.200000000000728</v>
      </c>
      <c r="M440">
        <f>電力量!M441-電力量!M440</f>
        <v>31</v>
      </c>
      <c r="N440">
        <f>電力量!N441-電力量!N440</f>
        <v>52.700000000000728</v>
      </c>
      <c r="O440">
        <f>電力量!O441-電力量!O440</f>
        <v>20.799999999999955</v>
      </c>
      <c r="P440">
        <f>電力量!P441-電力量!P440</f>
        <v>0</v>
      </c>
      <c r="Q440">
        <f>電力量!Q441-電力量!Q440</f>
        <v>0</v>
      </c>
      <c r="R440">
        <f>電力量!R441-電力量!R440</f>
        <v>0</v>
      </c>
    </row>
    <row r="441" spans="1:18">
      <c r="A441" s="4">
        <f t="shared" si="144"/>
        <v>45918.291666666664</v>
      </c>
      <c r="B441">
        <f>電力量!B442-電力量!B441</f>
        <v>729</v>
      </c>
      <c r="C441">
        <f>電力量!C442-電力量!C441</f>
        <v>184</v>
      </c>
      <c r="D441">
        <f>電力量!D442-電力量!D441</f>
        <v>14.599999999998545</v>
      </c>
      <c r="E441">
        <f>電力量!E442-電力量!E441</f>
        <v>0</v>
      </c>
      <c r="F441">
        <f>電力量!F442-電力量!F441</f>
        <v>22</v>
      </c>
      <c r="G441">
        <f>電力量!G442-電力量!G441</f>
        <v>54.600000000005821</v>
      </c>
      <c r="H441">
        <f>電力量!H442-電力量!H441</f>
        <v>12</v>
      </c>
      <c r="I441">
        <f>電力量!I442-電力量!I441</f>
        <v>251</v>
      </c>
      <c r="J441">
        <f>電力量!J442-電力量!J441</f>
        <v>6.3000000000029104</v>
      </c>
      <c r="K441">
        <f>電力量!K442-電力量!K441</f>
        <v>2.8000000000029104</v>
      </c>
      <c r="L441">
        <f>電力量!L442-電力量!L441</f>
        <v>20.5</v>
      </c>
      <c r="M441">
        <f>電力量!M442-電力量!M441</f>
        <v>30.899999999994179</v>
      </c>
      <c r="N441">
        <f>電力量!N442-電力量!N441</f>
        <v>52.599999999998545</v>
      </c>
      <c r="O441">
        <f>電力量!O442-電力量!O441</f>
        <v>25</v>
      </c>
      <c r="P441">
        <f>電力量!P442-電力量!P441</f>
        <v>0</v>
      </c>
      <c r="Q441">
        <f>電力量!Q442-電力量!Q441</f>
        <v>0</v>
      </c>
      <c r="R441">
        <f>電力量!R442-電力量!R441</f>
        <v>0</v>
      </c>
    </row>
    <row r="442" spans="1:18">
      <c r="A442" s="4">
        <f t="shared" si="145"/>
        <v>45918.333333333336</v>
      </c>
      <c r="B442">
        <f>電力量!B443-電力量!B442</f>
        <v>819</v>
      </c>
      <c r="C442">
        <f>電力量!C443-電力量!C442</f>
        <v>207</v>
      </c>
      <c r="D442">
        <f>電力量!D443-電力量!D442</f>
        <v>15.299999999995634</v>
      </c>
      <c r="E442">
        <f>電力量!E443-電力量!E442</f>
        <v>0</v>
      </c>
      <c r="F442">
        <f>電力量!F443-電力量!F442</f>
        <v>26</v>
      </c>
      <c r="G442">
        <f>電力量!G443-電力量!G442</f>
        <v>56.099999999991269</v>
      </c>
      <c r="H442">
        <f>電力量!H443-電力量!H442</f>
        <v>12</v>
      </c>
      <c r="I442">
        <f>電力量!I443-電力量!I442</f>
        <v>277</v>
      </c>
      <c r="J442">
        <f>電力量!J443-電力量!J442</f>
        <v>6.2999999999956344</v>
      </c>
      <c r="K442">
        <f>電力量!K443-電力量!K442</f>
        <v>6.1999999999970896</v>
      </c>
      <c r="L442">
        <f>電力量!L443-電力量!L442</f>
        <v>24.799999999999272</v>
      </c>
      <c r="M442">
        <f>電力量!M443-電力量!M442</f>
        <v>35.69999999999709</v>
      </c>
      <c r="N442">
        <f>電力量!N443-電力量!N442</f>
        <v>52.700000000000728</v>
      </c>
      <c r="O442">
        <f>電力量!O443-電力量!O442</f>
        <v>39.299999999999955</v>
      </c>
      <c r="P442">
        <f>電力量!P443-電力量!P442</f>
        <v>0</v>
      </c>
      <c r="Q442">
        <f>電力量!Q443-電力量!Q442</f>
        <v>0</v>
      </c>
      <c r="R442">
        <f>電力量!R443-電力量!R442</f>
        <v>0</v>
      </c>
    </row>
    <row r="443" spans="1:18">
      <c r="A443" s="4">
        <f t="shared" si="146"/>
        <v>45918.375</v>
      </c>
      <c r="B443">
        <f>電力量!B444-電力量!B443</f>
        <v>969</v>
      </c>
      <c r="C443">
        <f>電力量!C444-電力量!C443</f>
        <v>266</v>
      </c>
      <c r="D443">
        <f>電力量!D444-電力量!D443</f>
        <v>20.700000000004366</v>
      </c>
      <c r="E443">
        <f>電力量!E444-電力量!E443</f>
        <v>0</v>
      </c>
      <c r="F443">
        <f>電力量!F444-電力量!F443</f>
        <v>28</v>
      </c>
      <c r="G443">
        <f>電力量!G444-電力量!G443</f>
        <v>59</v>
      </c>
      <c r="H443">
        <f>電力量!H444-電力量!H443</f>
        <v>12</v>
      </c>
      <c r="I443">
        <f>電力量!I444-電力量!I443</f>
        <v>319</v>
      </c>
      <c r="J443">
        <f>電力量!J444-電力量!J443</f>
        <v>7.0999999999985448</v>
      </c>
      <c r="K443">
        <f>電力量!K444-電力量!K443</f>
        <v>6.3000000000029104</v>
      </c>
      <c r="L443">
        <f>電力量!L444-電力量!L443</f>
        <v>32.5</v>
      </c>
      <c r="M443">
        <f>電力量!M444-電力量!M443</f>
        <v>35.19999999999709</v>
      </c>
      <c r="N443">
        <f>電力量!N444-電力量!N443</f>
        <v>54.200000000000728</v>
      </c>
      <c r="O443">
        <f>電力量!O444-電力量!O443</f>
        <v>51.799999999999955</v>
      </c>
      <c r="P443">
        <f>電力量!P444-電力量!P443</f>
        <v>2</v>
      </c>
      <c r="Q443">
        <f>電力量!Q444-電力量!Q443</f>
        <v>3</v>
      </c>
      <c r="R443">
        <f>電力量!R444-電力量!R443</f>
        <v>0</v>
      </c>
    </row>
    <row r="444" spans="1:18">
      <c r="A444" s="4">
        <f t="shared" si="147"/>
        <v>45918.416666666664</v>
      </c>
      <c r="B444">
        <f>電力量!B445-電力量!B444</f>
        <v>1118</v>
      </c>
      <c r="C444">
        <f>電力量!C445-電力量!C444</f>
        <v>310</v>
      </c>
      <c r="D444">
        <f>電力量!D445-電力量!D444</f>
        <v>24</v>
      </c>
      <c r="E444">
        <f>電力量!E445-電力量!E444</f>
        <v>0</v>
      </c>
      <c r="F444">
        <f>電力量!F445-電力量!F444</f>
        <v>42</v>
      </c>
      <c r="G444">
        <f>電力量!G445-電力量!G444</f>
        <v>76.5</v>
      </c>
      <c r="H444">
        <f>電力量!H445-電力量!H444</f>
        <v>13</v>
      </c>
      <c r="I444">
        <f>電力量!I445-電力量!I444</f>
        <v>366</v>
      </c>
      <c r="J444">
        <f>電力量!J445-電力量!J444</f>
        <v>7.7000000000043656</v>
      </c>
      <c r="K444">
        <f>電力量!K445-電力量!K444</f>
        <v>5.8000000000029104</v>
      </c>
      <c r="L444">
        <f>電力量!L445-電力量!L444</f>
        <v>33.600000000000364</v>
      </c>
      <c r="M444">
        <f>電力量!M445-電力量!M444</f>
        <v>40.600000000005821</v>
      </c>
      <c r="N444">
        <f>電力量!N445-電力量!N444</f>
        <v>53.199999999998909</v>
      </c>
      <c r="O444">
        <f>電力量!O445-電力量!O444</f>
        <v>64.400000000000091</v>
      </c>
      <c r="P444">
        <f>電力量!P445-電力量!P444</f>
        <v>2</v>
      </c>
      <c r="Q444">
        <f>電力量!Q445-電力量!Q444</f>
        <v>4</v>
      </c>
      <c r="R444">
        <f>電力量!R445-電力量!R444</f>
        <v>0</v>
      </c>
    </row>
    <row r="445" spans="1:18">
      <c r="A445" s="4">
        <f t="shared" si="148"/>
        <v>45918.458333333336</v>
      </c>
      <c r="B445">
        <f>電力量!B446-電力量!B445</f>
        <v>1185</v>
      </c>
      <c r="C445">
        <f>電力量!C446-電力量!C445</f>
        <v>313</v>
      </c>
      <c r="D445">
        <f>電力量!D446-電力量!D445</f>
        <v>25.900000000001455</v>
      </c>
      <c r="E445">
        <f>電力量!E446-電力量!E445</f>
        <v>0</v>
      </c>
      <c r="F445">
        <f>電力量!F446-電力量!F445</f>
        <v>52</v>
      </c>
      <c r="G445">
        <f>電力量!G446-電力量!G445</f>
        <v>76.5</v>
      </c>
      <c r="H445">
        <f>電力量!H446-電力量!H445</f>
        <v>12</v>
      </c>
      <c r="I445">
        <f>電力量!I446-電力量!I445</f>
        <v>415</v>
      </c>
      <c r="J445">
        <f>電力量!J446-電力量!J445</f>
        <v>8.1999999999970896</v>
      </c>
      <c r="K445">
        <f>電力量!K446-電力量!K445</f>
        <v>2.5999999999912689</v>
      </c>
      <c r="L445">
        <f>電力量!L446-電力量!L445</f>
        <v>36.200000000000728</v>
      </c>
      <c r="M445">
        <f>電力量!M446-電力量!M445</f>
        <v>40.899999999994179</v>
      </c>
      <c r="N445">
        <f>電力量!N446-電力量!N445</f>
        <v>49.700000000000728</v>
      </c>
      <c r="O445">
        <f>電力量!O446-電力量!O445</f>
        <v>68.5</v>
      </c>
      <c r="P445">
        <f>電力量!P446-電力量!P445</f>
        <v>5</v>
      </c>
      <c r="Q445">
        <f>電力量!Q446-電力量!Q445</f>
        <v>8</v>
      </c>
      <c r="R445">
        <f>電力量!R446-電力量!R445</f>
        <v>0</v>
      </c>
    </row>
    <row r="446" spans="1:18">
      <c r="A446" s="4">
        <f t="shared" si="149"/>
        <v>45918.5</v>
      </c>
      <c r="B446">
        <f>電力量!B447-電力量!B446</f>
        <v>1217</v>
      </c>
      <c r="C446">
        <f>電力量!C447-電力量!C446</f>
        <v>314</v>
      </c>
      <c r="D446">
        <f>電力量!D447-電力量!D446</f>
        <v>29.799999999995634</v>
      </c>
      <c r="E446">
        <f>電力量!E447-電力量!E446</f>
        <v>0</v>
      </c>
      <c r="F446">
        <f>電力量!F447-電力量!F446</f>
        <v>55</v>
      </c>
      <c r="G446">
        <f>電力量!G447-電力量!G446</f>
        <v>88.5</v>
      </c>
      <c r="H446">
        <f>電力量!H447-電力量!H446</f>
        <v>13</v>
      </c>
      <c r="I446">
        <f>電力量!I447-電力量!I446</f>
        <v>418</v>
      </c>
      <c r="J446">
        <f>電力量!J447-電力量!J446</f>
        <v>10</v>
      </c>
      <c r="K446">
        <f>電力量!K447-電力量!K446</f>
        <v>3.8000000000029104</v>
      </c>
      <c r="L446">
        <f>電力量!L447-電力量!L446</f>
        <v>45.399999999999636</v>
      </c>
      <c r="M446">
        <f>電力量!M447-電力量!M446</f>
        <v>40.100000000005821</v>
      </c>
      <c r="N446">
        <f>電力量!N447-電力量!N446</f>
        <v>52.199999999998909</v>
      </c>
      <c r="O446">
        <f>電力量!O447-電力量!O446</f>
        <v>65.800000000000182</v>
      </c>
      <c r="P446">
        <f>電力量!P447-電力量!P446</f>
        <v>5</v>
      </c>
      <c r="Q446">
        <f>電力量!Q447-電力量!Q446</f>
        <v>7</v>
      </c>
      <c r="R446">
        <f>電力量!R447-電力量!R446</f>
        <v>0</v>
      </c>
    </row>
    <row r="447" spans="1:18">
      <c r="A447" s="4">
        <f t="shared" si="150"/>
        <v>45918.541666666664</v>
      </c>
      <c r="B447">
        <f>電力量!B448-電力量!B447</f>
        <v>1258</v>
      </c>
      <c r="C447">
        <f>電力量!C448-電力量!C447</f>
        <v>324</v>
      </c>
      <c r="D447">
        <f>電力量!D448-電力量!D447</f>
        <v>32.400000000001455</v>
      </c>
      <c r="E447">
        <f>電力量!E448-電力量!E447</f>
        <v>0</v>
      </c>
      <c r="F447">
        <f>電力量!F448-電力量!F447</f>
        <v>52</v>
      </c>
      <c r="G447">
        <f>電力量!G448-電力量!G447</f>
        <v>90.400000000008731</v>
      </c>
      <c r="H447">
        <f>電力量!H448-電力量!H447</f>
        <v>26</v>
      </c>
      <c r="I447">
        <f>電力量!I448-電力量!I447</f>
        <v>425</v>
      </c>
      <c r="J447">
        <f>電力量!J448-電力量!J447</f>
        <v>10.599999999998545</v>
      </c>
      <c r="K447">
        <f>電力量!K448-電力量!K447</f>
        <v>3.1999999999970896</v>
      </c>
      <c r="L447">
        <f>電力量!L448-電力量!L447</f>
        <v>45.100000000000364</v>
      </c>
      <c r="M447">
        <f>電力量!M448-電力量!M447</f>
        <v>40.69999999999709</v>
      </c>
      <c r="N447">
        <f>電力量!N448-電力量!N447</f>
        <v>48.100000000000364</v>
      </c>
      <c r="O447">
        <f>電力量!O448-電力量!O447</f>
        <v>75.5</v>
      </c>
      <c r="P447">
        <f>電力量!P448-電力量!P447</f>
        <v>6</v>
      </c>
      <c r="Q447">
        <f>電力量!Q448-電力量!Q447</f>
        <v>10</v>
      </c>
      <c r="R447">
        <f>電力量!R448-電力量!R447</f>
        <v>0</v>
      </c>
    </row>
    <row r="448" spans="1:18">
      <c r="A448" s="4">
        <f t="shared" si="151"/>
        <v>45918.583333333336</v>
      </c>
      <c r="B448">
        <f>電力量!B449-電力量!B448</f>
        <v>1259</v>
      </c>
      <c r="C448">
        <f>電力量!C449-電力量!C448</f>
        <v>342</v>
      </c>
      <c r="D448">
        <f>電力量!D449-電力量!D448</f>
        <v>30.5</v>
      </c>
      <c r="E448">
        <f>電力量!E449-電力量!E448</f>
        <v>0</v>
      </c>
      <c r="F448">
        <f>電力量!F449-電力量!F448</f>
        <v>44</v>
      </c>
      <c r="G448">
        <f>電力量!G449-電力量!G448</f>
        <v>97</v>
      </c>
      <c r="H448">
        <f>電力量!H449-電力量!H448</f>
        <v>18</v>
      </c>
      <c r="I448">
        <f>電力量!I449-電力量!I448</f>
        <v>436</v>
      </c>
      <c r="J448">
        <f>電力量!J449-電力量!J448</f>
        <v>10.600000000005821</v>
      </c>
      <c r="K448">
        <f>電力量!K449-電力量!K448</f>
        <v>5.4000000000087311</v>
      </c>
      <c r="L448">
        <f>電力量!L449-電力量!L448</f>
        <v>43.799999999999272</v>
      </c>
      <c r="M448">
        <f>電力量!M449-電力量!M448</f>
        <v>39.600000000005821</v>
      </c>
      <c r="N448">
        <f>電力量!N449-電力量!N448</f>
        <v>51.100000000000364</v>
      </c>
      <c r="O448">
        <f>電力量!O449-電力量!O448</f>
        <v>52.5</v>
      </c>
      <c r="P448">
        <f>電力量!P449-電力量!P448</f>
        <v>5</v>
      </c>
      <c r="Q448">
        <f>電力量!Q449-電力量!Q448</f>
        <v>7</v>
      </c>
      <c r="R448">
        <f>電力量!R449-電力量!R448</f>
        <v>0</v>
      </c>
    </row>
    <row r="449" spans="1:18">
      <c r="A449" s="4">
        <f t="shared" si="152"/>
        <v>45918.625</v>
      </c>
      <c r="B449">
        <f>電力量!B450-電力量!B449</f>
        <v>1194</v>
      </c>
      <c r="C449">
        <f>電力量!C450-電力量!C449</f>
        <v>318</v>
      </c>
      <c r="D449">
        <f>電力量!D450-電力量!D449</f>
        <v>28.19999999999709</v>
      </c>
      <c r="E449">
        <f>電力量!E450-電力量!E449</f>
        <v>0</v>
      </c>
      <c r="F449">
        <f>電力量!F450-電力量!F449</f>
        <v>42</v>
      </c>
      <c r="G449">
        <f>電力量!G450-電力量!G449</f>
        <v>106</v>
      </c>
      <c r="H449">
        <f>電力量!H450-電力量!H449</f>
        <v>12</v>
      </c>
      <c r="I449">
        <f>電力量!I450-電力量!I449</f>
        <v>413</v>
      </c>
      <c r="J449">
        <f>電力量!J450-電力量!J449</f>
        <v>12.299999999995634</v>
      </c>
      <c r="K449">
        <f>電力量!K450-電力量!K449</f>
        <v>8.6999999999970896</v>
      </c>
      <c r="L449">
        <f>電力量!L450-電力量!L449</f>
        <v>44.399999999999636</v>
      </c>
      <c r="M449">
        <f>電力量!M450-電力量!M449</f>
        <v>37.599999999991269</v>
      </c>
      <c r="N449">
        <f>電力量!N450-電力量!N449</f>
        <v>55.799999999999272</v>
      </c>
      <c r="O449">
        <f>電力量!O450-電力量!O449</f>
        <v>28.099999999999909</v>
      </c>
      <c r="P449">
        <f>電力量!P450-電力量!P449</f>
        <v>1</v>
      </c>
      <c r="Q449">
        <f>電力量!Q450-電力量!Q449</f>
        <v>1</v>
      </c>
      <c r="R449">
        <f>電力量!R450-電力量!R449</f>
        <v>0</v>
      </c>
    </row>
    <row r="450" spans="1:18">
      <c r="A450" s="4">
        <f t="shared" si="153"/>
        <v>45918.666666666664</v>
      </c>
      <c r="B450">
        <f>電力量!B451-電力量!B450</f>
        <v>1116</v>
      </c>
      <c r="C450">
        <f>電力量!C451-電力量!C450</f>
        <v>307</v>
      </c>
      <c r="D450">
        <f>電力量!D451-電力量!D450</f>
        <v>26.100000000005821</v>
      </c>
      <c r="E450">
        <f>電力量!E451-電力量!E450</f>
        <v>0</v>
      </c>
      <c r="F450">
        <f>電力量!F451-電力量!F450</f>
        <v>36</v>
      </c>
      <c r="G450">
        <f>電力量!G451-電力量!G450</f>
        <v>96.399999999994179</v>
      </c>
      <c r="H450">
        <f>電力量!H451-電力量!H450</f>
        <v>12</v>
      </c>
      <c r="I450">
        <f>電力量!I451-電力量!I450</f>
        <v>392</v>
      </c>
      <c r="J450">
        <f>電力量!J451-電力量!J450</f>
        <v>8</v>
      </c>
      <c r="K450">
        <f>電力量!K451-電力量!K450</f>
        <v>8.3000000000029104</v>
      </c>
      <c r="L450">
        <f>電力量!L451-電力量!L450</f>
        <v>36.700000000000728</v>
      </c>
      <c r="M450">
        <f>電力量!M451-電力量!M450</f>
        <v>35.5</v>
      </c>
      <c r="N450">
        <f>電力量!N451-電力量!N450</f>
        <v>54.600000000000364</v>
      </c>
      <c r="O450">
        <f>電力量!O451-電力量!O450</f>
        <v>26.5</v>
      </c>
      <c r="P450">
        <f>電力量!P451-電力量!P450</f>
        <v>0</v>
      </c>
      <c r="Q450">
        <f>電力量!Q451-電力量!Q450</f>
        <v>1</v>
      </c>
      <c r="R450">
        <f>電力量!R451-電力量!R450</f>
        <v>0</v>
      </c>
    </row>
    <row r="451" spans="1:18">
      <c r="A451" s="4">
        <f t="shared" si="154"/>
        <v>45918.708333333336</v>
      </c>
      <c r="B451">
        <f>電力量!B452-電力量!B451</f>
        <v>987</v>
      </c>
      <c r="C451">
        <f>電力量!C452-電力量!C451</f>
        <v>277</v>
      </c>
      <c r="D451">
        <f>電力量!D452-電力量!D451</f>
        <v>25.099999999998545</v>
      </c>
      <c r="E451">
        <f>電力量!E452-電力量!E451</f>
        <v>0</v>
      </c>
      <c r="F451">
        <f>電力量!F452-電力量!F451</f>
        <v>29</v>
      </c>
      <c r="G451">
        <f>電力量!G452-電力量!G451</f>
        <v>76.600000000005821</v>
      </c>
      <c r="H451">
        <f>電力量!H452-電力量!H451</f>
        <v>11</v>
      </c>
      <c r="I451">
        <f>電力量!I452-電力量!I451</f>
        <v>339</v>
      </c>
      <c r="J451">
        <f>電力量!J452-電力量!J451</f>
        <v>6.5</v>
      </c>
      <c r="K451">
        <f>電力量!K452-電力量!K451</f>
        <v>3.3000000000029104</v>
      </c>
      <c r="L451">
        <f>電力量!L452-電力量!L451</f>
        <v>34.699999999998909</v>
      </c>
      <c r="M451">
        <f>電力量!M452-電力量!M451</f>
        <v>33.100000000005821</v>
      </c>
      <c r="N451">
        <f>電力量!N452-電力量!N451</f>
        <v>55.399999999999636</v>
      </c>
      <c r="O451">
        <f>電力量!O452-電力量!O451</f>
        <v>23</v>
      </c>
      <c r="P451">
        <f>電力量!P452-電力量!P451</f>
        <v>0</v>
      </c>
      <c r="Q451">
        <f>電力量!Q452-電力量!Q451</f>
        <v>0</v>
      </c>
      <c r="R451">
        <f>電力量!R452-電力量!R451</f>
        <v>0</v>
      </c>
    </row>
    <row r="452" spans="1:18">
      <c r="A452" s="4">
        <f t="shared" si="155"/>
        <v>45918.75</v>
      </c>
      <c r="B452">
        <f>電力量!B453-電力量!B452</f>
        <v>856</v>
      </c>
      <c r="C452">
        <f>電力量!C453-電力量!C452</f>
        <v>228</v>
      </c>
      <c r="D452">
        <f>電力量!D453-電力量!D452</f>
        <v>22.900000000001455</v>
      </c>
      <c r="E452">
        <f>電力量!E453-電力量!E452</f>
        <v>0</v>
      </c>
      <c r="F452">
        <f>電力量!F453-電力量!F452</f>
        <v>26</v>
      </c>
      <c r="G452">
        <f>電力量!G453-電力量!G452</f>
        <v>64.599999999991269</v>
      </c>
      <c r="H452">
        <f>電力量!H453-電力量!H452</f>
        <v>13</v>
      </c>
      <c r="I452">
        <f>電力量!I453-電力量!I452</f>
        <v>285</v>
      </c>
      <c r="J452">
        <f>電力量!J453-電力量!J452</f>
        <v>6.4000000000014552</v>
      </c>
      <c r="K452">
        <f>電力量!K453-電力量!K452</f>
        <v>2.5</v>
      </c>
      <c r="L452">
        <f>電力量!L453-電力量!L452</f>
        <v>30</v>
      </c>
      <c r="M452">
        <f>電力量!M453-電力量!M452</f>
        <v>33.600000000005821</v>
      </c>
      <c r="N452">
        <f>電力量!N453-電力量!N452</f>
        <v>54.100000000000364</v>
      </c>
      <c r="O452">
        <f>電力量!O453-電力量!O452</f>
        <v>21.299999999999727</v>
      </c>
      <c r="P452">
        <f>電力量!P453-電力量!P452</f>
        <v>0</v>
      </c>
      <c r="Q452">
        <f>電力量!Q453-電力量!Q452</f>
        <v>0</v>
      </c>
      <c r="R452">
        <f>電力量!R453-電力量!R452</f>
        <v>0</v>
      </c>
    </row>
    <row r="453" spans="1:18">
      <c r="A453" s="4">
        <f t="shared" si="156"/>
        <v>45918.791666666664</v>
      </c>
      <c r="B453">
        <f>電力量!B454-電力量!B453</f>
        <v>784</v>
      </c>
      <c r="C453">
        <f>電力量!C454-電力量!C453</f>
        <v>202</v>
      </c>
      <c r="D453">
        <f>電力量!D454-電力量!D453</f>
        <v>20.399999999994179</v>
      </c>
      <c r="E453">
        <f>電力量!E454-電力量!E453</f>
        <v>0</v>
      </c>
      <c r="F453">
        <f>電力量!F454-電力量!F453</f>
        <v>24</v>
      </c>
      <c r="G453">
        <f>電力量!G454-電力量!G453</f>
        <v>61.5</v>
      </c>
      <c r="H453">
        <f>電力量!H454-電力量!H453</f>
        <v>11</v>
      </c>
      <c r="I453">
        <f>電力量!I454-電力量!I453</f>
        <v>262</v>
      </c>
      <c r="J453">
        <f>電力量!J454-電力量!J453</f>
        <v>6.0999999999985448</v>
      </c>
      <c r="K453">
        <f>電力量!K454-電力量!K453</f>
        <v>2.6999999999970896</v>
      </c>
      <c r="L453">
        <f>電力量!L454-電力量!L453</f>
        <v>30</v>
      </c>
      <c r="M453">
        <f>電力量!M454-電力量!M453</f>
        <v>32.69999999999709</v>
      </c>
      <c r="N453">
        <f>電力量!N454-電力量!N453</f>
        <v>52.600000000000364</v>
      </c>
      <c r="O453">
        <f>電力量!O454-電力量!O453</f>
        <v>21.300000000000182</v>
      </c>
      <c r="P453">
        <f>電力量!P454-電力量!P453</f>
        <v>0</v>
      </c>
      <c r="Q453">
        <f>電力量!Q454-電力量!Q453</f>
        <v>0</v>
      </c>
      <c r="R453">
        <f>電力量!R454-電力量!R453</f>
        <v>0</v>
      </c>
    </row>
    <row r="454" spans="1:18">
      <c r="A454" s="4">
        <f t="shared" si="157"/>
        <v>45918.833333333336</v>
      </c>
      <c r="B454">
        <f>電力量!B455-電力量!B454</f>
        <v>742</v>
      </c>
      <c r="C454">
        <f>電力量!C455-電力量!C454</f>
        <v>186</v>
      </c>
      <c r="D454">
        <f>電力量!D455-電力量!D454</f>
        <v>20.200000000004366</v>
      </c>
      <c r="E454">
        <f>電力量!E455-電力量!E454</f>
        <v>0</v>
      </c>
      <c r="F454">
        <f>電力量!F455-電力量!F454</f>
        <v>21</v>
      </c>
      <c r="G454">
        <f>電力量!G455-電力量!G454</f>
        <v>58</v>
      </c>
      <c r="H454">
        <f>電力量!H455-電力量!H454</f>
        <v>12</v>
      </c>
      <c r="I454">
        <f>電力量!I455-電力量!I454</f>
        <v>244</v>
      </c>
      <c r="J454">
        <f>電力量!J455-電力量!J454</f>
        <v>6</v>
      </c>
      <c r="K454">
        <f>電力量!K455-電力量!K454</f>
        <v>2.6999999999970896</v>
      </c>
      <c r="L454">
        <f>電力量!L455-電力量!L454</f>
        <v>28</v>
      </c>
      <c r="M454">
        <f>電力量!M455-電力量!M454</f>
        <v>33.19999999999709</v>
      </c>
      <c r="N454">
        <f>電力量!N455-電力量!N454</f>
        <v>54.200000000000728</v>
      </c>
      <c r="O454">
        <f>電力量!O455-電力量!O454</f>
        <v>21.900000000000091</v>
      </c>
      <c r="P454">
        <f>電力量!P455-電力量!P454</f>
        <v>0</v>
      </c>
      <c r="Q454">
        <f>電力量!Q455-電力量!Q454</f>
        <v>0</v>
      </c>
      <c r="R454">
        <f>電力量!R455-電力量!R454</f>
        <v>0</v>
      </c>
    </row>
    <row r="455" spans="1:18">
      <c r="A455" s="4">
        <f t="shared" si="158"/>
        <v>45918.875</v>
      </c>
      <c r="B455">
        <f>電力量!B456-電力量!B455</f>
        <v>704</v>
      </c>
      <c r="C455">
        <f>電力量!C456-電力量!C455</f>
        <v>174</v>
      </c>
      <c r="D455">
        <f>電力量!D456-電力量!D455</f>
        <v>19.599999999998545</v>
      </c>
      <c r="E455">
        <f>電力量!E456-電力量!E455</f>
        <v>0</v>
      </c>
      <c r="F455">
        <f>電力量!F456-電力量!F455</f>
        <v>21</v>
      </c>
      <c r="G455">
        <f>電力量!G456-電力量!G455</f>
        <v>56.600000000005821</v>
      </c>
      <c r="H455">
        <f>電力量!H456-電力量!H455</f>
        <v>12</v>
      </c>
      <c r="I455">
        <f>電力量!I456-電力量!I455</f>
        <v>229</v>
      </c>
      <c r="J455">
        <f>電力量!J456-電力量!J455</f>
        <v>6</v>
      </c>
      <c r="K455">
        <f>電力量!K456-電力量!K455</f>
        <v>2.6000000000058208</v>
      </c>
      <c r="L455">
        <f>電力量!L456-電力量!L455</f>
        <v>24.100000000000364</v>
      </c>
      <c r="M455">
        <f>電力量!M456-電力量!M455</f>
        <v>32.69999999999709</v>
      </c>
      <c r="N455">
        <f>電力量!N456-電力量!N455</f>
        <v>52.199999999998909</v>
      </c>
      <c r="O455">
        <f>電力量!O456-電力量!O455</f>
        <v>21.699999999999818</v>
      </c>
      <c r="P455">
        <f>電力量!P456-電力量!P455</f>
        <v>0</v>
      </c>
      <c r="Q455">
        <f>電力量!Q456-電力量!Q455</f>
        <v>0</v>
      </c>
      <c r="R455">
        <f>電力量!R456-電力量!R455</f>
        <v>0</v>
      </c>
    </row>
    <row r="456" spans="1:18">
      <c r="A456" s="4">
        <f t="shared" si="159"/>
        <v>45918.916666666664</v>
      </c>
      <c r="B456">
        <f>電力量!B457-電力量!B456</f>
        <v>679</v>
      </c>
      <c r="C456">
        <f>電力量!C457-電力量!C456</f>
        <v>172</v>
      </c>
      <c r="D456">
        <f>電力量!D457-電力量!D456</f>
        <v>20</v>
      </c>
      <c r="E456">
        <f>電力量!E457-電力量!E456</f>
        <v>0</v>
      </c>
      <c r="F456">
        <f>電力量!F457-電力量!F456</f>
        <v>19</v>
      </c>
      <c r="G456">
        <f>電力量!G457-電力量!G456</f>
        <v>53.5</v>
      </c>
      <c r="H456">
        <f>電力量!H457-電力量!H456</f>
        <v>11</v>
      </c>
      <c r="I456">
        <f>電力量!I457-電力量!I456</f>
        <v>217</v>
      </c>
      <c r="J456">
        <f>電力量!J457-電力量!J456</f>
        <v>6</v>
      </c>
      <c r="K456">
        <f>電力量!K457-電力量!K456</f>
        <v>2.5999999999912689</v>
      </c>
      <c r="L456">
        <f>電力量!L457-電力量!L456</f>
        <v>19.899999999999636</v>
      </c>
      <c r="M456">
        <f>電力量!M457-電力量!M456</f>
        <v>32.600000000005821</v>
      </c>
      <c r="N456">
        <f>電力量!N457-電力量!N456</f>
        <v>53.300000000001091</v>
      </c>
      <c r="O456">
        <f>電力量!O457-電力量!O456</f>
        <v>18.5</v>
      </c>
      <c r="P456">
        <f>電力量!P457-電力量!P456</f>
        <v>0</v>
      </c>
      <c r="Q456">
        <f>電力量!Q457-電力量!Q456</f>
        <v>0</v>
      </c>
      <c r="R456">
        <f>電力量!R457-電力量!R456</f>
        <v>0</v>
      </c>
    </row>
    <row r="457" spans="1:18">
      <c r="A457" s="4">
        <f t="shared" si="160"/>
        <v>45918.958333333336</v>
      </c>
      <c r="B457">
        <f>電力量!B458-電力量!B457</f>
        <v>667</v>
      </c>
      <c r="C457">
        <f>電力量!C458-電力量!C457</f>
        <v>168</v>
      </c>
      <c r="D457">
        <f>電力量!D458-電力量!D457</f>
        <v>16.900000000001455</v>
      </c>
      <c r="E457">
        <f>電力量!E458-電力量!E457</f>
        <v>0</v>
      </c>
      <c r="F457">
        <f>電力量!F458-電力量!F457</f>
        <v>19</v>
      </c>
      <c r="G457">
        <f>電力量!G458-電力量!G457</f>
        <v>52.5</v>
      </c>
      <c r="H457">
        <f>電力量!H458-電力量!H457</f>
        <v>11</v>
      </c>
      <c r="I457">
        <f>電力量!I458-電力量!I457</f>
        <v>215</v>
      </c>
      <c r="J457">
        <f>電力量!J458-電力量!J457</f>
        <v>5.8000000000029104</v>
      </c>
      <c r="K457">
        <f>電力量!K458-電力量!K457</f>
        <v>2.6000000000058208</v>
      </c>
      <c r="L457">
        <f>電力量!L458-電力量!L457</f>
        <v>20.600000000000364</v>
      </c>
      <c r="M457">
        <f>電力量!M458-電力量!M457</f>
        <v>33.19999999999709</v>
      </c>
      <c r="N457">
        <f>電力量!N458-電力量!N457</f>
        <v>51.599999999998545</v>
      </c>
      <c r="O457">
        <f>電力量!O458-電力量!O457</f>
        <v>18</v>
      </c>
      <c r="P457">
        <f>電力量!P458-電力量!P457</f>
        <v>0</v>
      </c>
      <c r="Q457">
        <f>電力量!Q458-電力量!Q457</f>
        <v>0</v>
      </c>
      <c r="R457">
        <f>電力量!R458-電力量!R457</f>
        <v>0</v>
      </c>
    </row>
    <row r="458" spans="1:18">
      <c r="A458" s="4">
        <v>45919</v>
      </c>
      <c r="B458">
        <f>電力量!B459-電力量!B458</f>
        <v>652</v>
      </c>
      <c r="C458">
        <f>電力量!C459-電力量!C458</f>
        <v>166</v>
      </c>
      <c r="D458">
        <f>電力量!D459-電力量!D458</f>
        <v>17.400000000001455</v>
      </c>
      <c r="E458">
        <f>電力量!E459-電力量!E458</f>
        <v>0</v>
      </c>
      <c r="F458">
        <f>電力量!F459-電力量!F458</f>
        <v>20</v>
      </c>
      <c r="G458">
        <f>電力量!G459-電力量!G458</f>
        <v>52.100000000005821</v>
      </c>
      <c r="H458">
        <f>電力量!H459-電力量!H458</f>
        <v>11</v>
      </c>
      <c r="I458">
        <f>電力量!I459-電力量!I458</f>
        <v>204</v>
      </c>
      <c r="J458">
        <f>電力量!J459-電力量!J458</f>
        <v>5.9000000000014552</v>
      </c>
      <c r="K458">
        <f>電力量!K459-電力量!K458</f>
        <v>2.5999999999912689</v>
      </c>
      <c r="L458">
        <f>電力量!L459-電力量!L458</f>
        <v>21</v>
      </c>
      <c r="M458">
        <f>電力量!M459-電力量!M458</f>
        <v>32.80000000000291</v>
      </c>
      <c r="N458">
        <f>電力量!N459-電力量!N458</f>
        <v>51.900000000001455</v>
      </c>
      <c r="O458">
        <f>電力量!O459-電力量!O458</f>
        <v>17.400000000000091</v>
      </c>
      <c r="P458">
        <f>電力量!P459-電力量!P458</f>
        <v>0</v>
      </c>
      <c r="Q458">
        <f>電力量!Q459-電力量!Q458</f>
        <v>0</v>
      </c>
      <c r="R458">
        <f>電力量!R459-電力量!R458</f>
        <v>0</v>
      </c>
    </row>
    <row r="459" spans="1:18">
      <c r="A459" s="4">
        <f t="shared" ref="A459:A507" si="161">A458+(1/24)</f>
        <v>45919.041666666664</v>
      </c>
      <c r="B459">
        <f>電力量!B460-電力量!B459</f>
        <v>633</v>
      </c>
      <c r="C459">
        <f>電力量!C460-電力量!C459</f>
        <v>159</v>
      </c>
      <c r="D459">
        <f>電力量!D460-電力量!D459</f>
        <v>17</v>
      </c>
      <c r="E459">
        <f>電力量!E460-電力量!E459</f>
        <v>0</v>
      </c>
      <c r="F459">
        <f>電力量!F460-電力量!F459</f>
        <v>17</v>
      </c>
      <c r="G459">
        <f>電力量!G460-電力量!G459</f>
        <v>52.19999999999709</v>
      </c>
      <c r="H459">
        <f>電力量!H460-電力量!H459</f>
        <v>11</v>
      </c>
      <c r="I459">
        <f>電力量!I460-電力量!I459</f>
        <v>195</v>
      </c>
      <c r="J459">
        <f>電力量!J460-電力量!J459</f>
        <v>5.5999999999985448</v>
      </c>
      <c r="K459">
        <f>電力量!K460-電力量!K459</f>
        <v>2.7000000000116415</v>
      </c>
      <c r="L459">
        <f>電力量!L460-電力量!L459</f>
        <v>20.200000000000728</v>
      </c>
      <c r="M459">
        <f>電力量!M460-電力量!M459</f>
        <v>32.899999999994179</v>
      </c>
      <c r="N459">
        <f>電力量!N460-電力量!N459</f>
        <v>51.699999999998909</v>
      </c>
      <c r="O459">
        <f>電力量!O460-電力量!O459</f>
        <v>17.699999999999818</v>
      </c>
      <c r="P459">
        <f>電力量!P460-電力量!P459</f>
        <v>0</v>
      </c>
      <c r="Q459">
        <f>電力量!Q460-電力量!Q459</f>
        <v>0</v>
      </c>
      <c r="R459">
        <f>電力量!R460-電力量!R459</f>
        <v>0</v>
      </c>
    </row>
    <row r="460" spans="1:18">
      <c r="A460" s="4">
        <f t="shared" ref="A460:A508" si="162">A458+(2/24)</f>
        <v>45919.083333333336</v>
      </c>
      <c r="B460">
        <f>電力量!B461-電力量!B460</f>
        <v>620</v>
      </c>
      <c r="C460">
        <f>電力量!C461-電力量!C460</f>
        <v>160</v>
      </c>
      <c r="D460">
        <f>電力量!D461-電力量!D460</f>
        <v>14.299999999995634</v>
      </c>
      <c r="E460">
        <f>電力量!E461-電力量!E460</f>
        <v>0</v>
      </c>
      <c r="F460">
        <f>電力量!F461-電力量!F460</f>
        <v>17</v>
      </c>
      <c r="G460">
        <f>電力量!G461-電力量!G460</f>
        <v>51.399999999994179</v>
      </c>
      <c r="H460">
        <f>電力量!H461-電力量!H460</f>
        <v>12</v>
      </c>
      <c r="I460">
        <f>電力量!I461-電力量!I460</f>
        <v>188</v>
      </c>
      <c r="J460">
        <f>電力量!J461-電力量!J460</f>
        <v>5.6999999999970896</v>
      </c>
      <c r="K460">
        <f>電力量!K461-電力量!K460</f>
        <v>2.5999999999912689</v>
      </c>
      <c r="L460">
        <f>電力量!L461-電力量!L460</f>
        <v>18.899999999999636</v>
      </c>
      <c r="M460">
        <f>電力量!M461-電力量!M460</f>
        <v>30.80000000000291</v>
      </c>
      <c r="N460">
        <f>電力量!N461-電力量!N460</f>
        <v>51.399999999999636</v>
      </c>
      <c r="O460">
        <f>電力量!O461-電力量!O460</f>
        <v>18.400000000000091</v>
      </c>
      <c r="P460">
        <f>電力量!P461-電力量!P460</f>
        <v>0</v>
      </c>
      <c r="Q460">
        <f>電力量!Q461-電力量!Q460</f>
        <v>0</v>
      </c>
      <c r="R460">
        <f>電力量!R461-電力量!R460</f>
        <v>0</v>
      </c>
    </row>
    <row r="461" spans="1:18">
      <c r="A461" s="4">
        <f t="shared" ref="A461:A509" si="163">A458+(3/24)</f>
        <v>45919.125</v>
      </c>
      <c r="B461">
        <f>電力量!B462-電力量!B461</f>
        <v>595</v>
      </c>
      <c r="C461">
        <f>電力量!C462-電力量!C461</f>
        <v>148</v>
      </c>
      <c r="D461">
        <f>電力量!D462-電力量!D461</f>
        <v>14.099999999998545</v>
      </c>
      <c r="E461">
        <f>電力量!E462-電力量!E461</f>
        <v>0</v>
      </c>
      <c r="F461">
        <f>電力量!F462-電力量!F461</f>
        <v>17</v>
      </c>
      <c r="G461">
        <f>電力量!G462-電力量!G461</f>
        <v>50.69999999999709</v>
      </c>
      <c r="H461">
        <f>電力量!H462-電力量!H461</f>
        <v>10</v>
      </c>
      <c r="I461">
        <f>電力量!I462-電力量!I461</f>
        <v>180</v>
      </c>
      <c r="J461">
        <f>電力量!J462-電力量!J461</f>
        <v>5.5</v>
      </c>
      <c r="K461">
        <f>電力量!K462-電力量!K461</f>
        <v>2.6000000000058208</v>
      </c>
      <c r="L461">
        <f>電力量!L462-電力量!L461</f>
        <v>19.299999999999272</v>
      </c>
      <c r="M461">
        <f>電力量!M462-電力量!M461</f>
        <v>29.899999999994179</v>
      </c>
      <c r="N461">
        <f>電力量!N462-電力量!N461</f>
        <v>52.600000000000364</v>
      </c>
      <c r="O461">
        <f>電力量!O462-電力量!O461</f>
        <v>17.5</v>
      </c>
      <c r="P461">
        <f>電力量!P462-電力量!P461</f>
        <v>0</v>
      </c>
      <c r="Q461">
        <f>電力量!Q462-電力量!Q461</f>
        <v>0</v>
      </c>
      <c r="R461">
        <f>電力量!R462-電力量!R461</f>
        <v>0</v>
      </c>
    </row>
    <row r="462" spans="1:18">
      <c r="A462" s="4">
        <f t="shared" ref="A462:A510" si="164">A458+(4/24)</f>
        <v>45919.166666666664</v>
      </c>
      <c r="B462">
        <f>電力量!B463-電力量!B462</f>
        <v>598</v>
      </c>
      <c r="C462">
        <f>電力量!C463-電力量!C462</f>
        <v>143</v>
      </c>
      <c r="D462">
        <f>電力量!D463-電力量!D462</f>
        <v>14.100000000005821</v>
      </c>
      <c r="E462">
        <f>電力量!E463-電力量!E462</f>
        <v>0</v>
      </c>
      <c r="F462">
        <f>電力量!F463-電力量!F462</f>
        <v>16</v>
      </c>
      <c r="G462">
        <f>電力量!G463-電力量!G462</f>
        <v>48.400000000008731</v>
      </c>
      <c r="H462">
        <f>電力量!H463-電力量!H462</f>
        <v>10</v>
      </c>
      <c r="I462">
        <f>電力量!I463-電力量!I462</f>
        <v>189</v>
      </c>
      <c r="J462">
        <f>電力量!J463-電力量!J462</f>
        <v>5.5</v>
      </c>
      <c r="K462">
        <f>電力量!K463-電力量!K462</f>
        <v>2.5999999999912689</v>
      </c>
      <c r="L462">
        <f>電力量!L463-電力量!L462</f>
        <v>19.100000000000364</v>
      </c>
      <c r="M462">
        <f>電力量!M463-電力量!M462</f>
        <v>30.30000000000291</v>
      </c>
      <c r="N462">
        <f>電力量!N463-電力量!N462</f>
        <v>52.600000000000364</v>
      </c>
      <c r="O462">
        <f>電力量!O463-電力量!O462</f>
        <v>17.800000000000182</v>
      </c>
      <c r="P462">
        <f>電力量!P463-電力量!P462</f>
        <v>0</v>
      </c>
      <c r="Q462">
        <f>電力量!Q463-電力量!Q462</f>
        <v>0</v>
      </c>
      <c r="R462">
        <f>電力量!R463-電力量!R462</f>
        <v>0</v>
      </c>
    </row>
    <row r="463" spans="1:18">
      <c r="A463" s="4">
        <f t="shared" ref="A463:A511" si="165">A458+(5/24)</f>
        <v>45919.208333333336</v>
      </c>
      <c r="B463">
        <f>電力量!B464-電力量!B463</f>
        <v>586</v>
      </c>
      <c r="C463">
        <f>電力量!C464-電力量!C463</f>
        <v>140</v>
      </c>
      <c r="D463">
        <f>電力量!D464-電力量!D463</f>
        <v>13.799999999995634</v>
      </c>
      <c r="E463">
        <f>電力量!E464-電力量!E463</f>
        <v>0</v>
      </c>
      <c r="F463">
        <f>電力量!F464-電力量!F463</f>
        <v>17</v>
      </c>
      <c r="G463">
        <f>電力量!G464-電力量!G463</f>
        <v>47.899999999994179</v>
      </c>
      <c r="H463">
        <f>電力量!H464-電力量!H463</f>
        <v>12</v>
      </c>
      <c r="I463">
        <f>電力量!I464-電力量!I463</f>
        <v>179</v>
      </c>
      <c r="J463">
        <f>電力量!J464-電力量!J463</f>
        <v>5.4000000000014552</v>
      </c>
      <c r="K463">
        <f>電力量!K464-電力量!K463</f>
        <v>2.7000000000116415</v>
      </c>
      <c r="L463">
        <f>電力量!L464-電力量!L463</f>
        <v>19.200000000000728</v>
      </c>
      <c r="M463">
        <f>電力量!M464-電力量!M463</f>
        <v>29.600000000005821</v>
      </c>
      <c r="N463">
        <f>電力量!N464-電力量!N463</f>
        <v>51.700000000000728</v>
      </c>
      <c r="O463">
        <f>電力量!O464-電力量!O463</f>
        <v>19.599999999999909</v>
      </c>
      <c r="P463">
        <f>電力量!P464-電力量!P463</f>
        <v>0</v>
      </c>
      <c r="Q463">
        <f>電力量!Q464-電力量!Q463</f>
        <v>0</v>
      </c>
      <c r="R463">
        <f>電力量!R464-電力量!R463</f>
        <v>0</v>
      </c>
    </row>
    <row r="464" spans="1:18">
      <c r="A464" s="4">
        <f t="shared" ref="A464:A512" si="166">A458+(6/24)</f>
        <v>45919.25</v>
      </c>
      <c r="B464">
        <f>電力量!B465-電力量!B464</f>
        <v>588</v>
      </c>
      <c r="C464">
        <f>電力量!C465-電力量!C464</f>
        <v>142</v>
      </c>
      <c r="D464">
        <f>電力量!D465-電力量!D464</f>
        <v>14.099999999998545</v>
      </c>
      <c r="E464">
        <f>電力量!E465-電力量!E464</f>
        <v>0</v>
      </c>
      <c r="F464">
        <f>電力量!F465-電力量!F464</f>
        <v>18</v>
      </c>
      <c r="G464">
        <f>電力量!G465-電力量!G464</f>
        <v>46.900000000008731</v>
      </c>
      <c r="H464">
        <f>電力量!H465-電力量!H464</f>
        <v>10</v>
      </c>
      <c r="I464">
        <f>電力量!I465-電力量!I464</f>
        <v>180</v>
      </c>
      <c r="J464">
        <f>電力量!J465-電力量!J464</f>
        <v>6.3000000000029104</v>
      </c>
      <c r="K464">
        <f>電力量!K465-電力量!K464</f>
        <v>2.2999999999883585</v>
      </c>
      <c r="L464">
        <f>電力量!L465-電力量!L464</f>
        <v>19.299999999999272</v>
      </c>
      <c r="M464">
        <f>電力量!M465-電力量!M464</f>
        <v>30</v>
      </c>
      <c r="N464">
        <f>電力量!N465-電力量!N464</f>
        <v>51.399999999999636</v>
      </c>
      <c r="O464">
        <f>電力量!O465-電力量!O464</f>
        <v>20.300000000000182</v>
      </c>
      <c r="P464">
        <f>電力量!P465-電力量!P464</f>
        <v>0</v>
      </c>
      <c r="Q464">
        <f>電力量!Q465-電力量!Q464</f>
        <v>0</v>
      </c>
      <c r="R464">
        <f>電力量!R465-電力量!R464</f>
        <v>0</v>
      </c>
    </row>
    <row r="465" spans="1:18">
      <c r="A465" s="4">
        <f t="shared" ref="A465:A513" si="167">A458+(7/24)</f>
        <v>45919.291666666664</v>
      </c>
      <c r="B465">
        <f>電力量!B466-電力量!B465</f>
        <v>603</v>
      </c>
      <c r="C465">
        <f>電力量!C466-電力量!C465</f>
        <v>149</v>
      </c>
      <c r="D465">
        <f>電力量!D466-電力量!D465</f>
        <v>14.5</v>
      </c>
      <c r="E465">
        <f>電力量!E466-電力量!E465</f>
        <v>0</v>
      </c>
      <c r="F465">
        <f>電力量!F466-電力量!F465</f>
        <v>18</v>
      </c>
      <c r="G465">
        <f>電力量!G466-電力量!G465</f>
        <v>44.5</v>
      </c>
      <c r="H465">
        <f>電力量!H466-電力量!H465</f>
        <v>10</v>
      </c>
      <c r="I465">
        <f>電力量!I466-電力量!I465</f>
        <v>186</v>
      </c>
      <c r="J465">
        <f>電力量!J466-電力量!J465</f>
        <v>7.5</v>
      </c>
      <c r="K465">
        <f>電力量!K466-電力量!K465</f>
        <v>0.5</v>
      </c>
      <c r="L465">
        <f>電力量!L466-電力量!L465</f>
        <v>18.800000000001091</v>
      </c>
      <c r="M465">
        <f>電力量!M466-電力量!M465</f>
        <v>30.099999999991269</v>
      </c>
      <c r="N465">
        <f>電力量!N466-電力量!N465</f>
        <v>50.100000000000364</v>
      </c>
      <c r="O465">
        <f>電力量!O466-電力量!O465</f>
        <v>27.5</v>
      </c>
      <c r="P465">
        <f>電力量!P466-電力量!P465</f>
        <v>2</v>
      </c>
      <c r="Q465">
        <f>電力量!Q466-電力量!Q465</f>
        <v>3</v>
      </c>
      <c r="R465">
        <f>電力量!R466-電力量!R465</f>
        <v>0</v>
      </c>
    </row>
    <row r="466" spans="1:18">
      <c r="A466" s="4">
        <f t="shared" ref="A466:A514" si="168">A458+(8/24)</f>
        <v>45919.333333333336</v>
      </c>
      <c r="B466">
        <f>電力量!B467-電力量!B466</f>
        <v>690</v>
      </c>
      <c r="C466">
        <f>電力量!C467-電力量!C466</f>
        <v>175</v>
      </c>
      <c r="D466">
        <f>電力量!D467-電力量!D466</f>
        <v>17</v>
      </c>
      <c r="E466">
        <f>電力量!E467-電力量!E466</f>
        <v>0</v>
      </c>
      <c r="F466">
        <f>電力量!F467-電力量!F466</f>
        <v>22</v>
      </c>
      <c r="G466">
        <f>電力量!G467-電力量!G466</f>
        <v>41.19999999999709</v>
      </c>
      <c r="H466">
        <f>電力量!H467-電力量!H466</f>
        <v>12</v>
      </c>
      <c r="I466">
        <f>電力量!I467-電力量!I466</f>
        <v>220</v>
      </c>
      <c r="J466">
        <f>電力量!J467-電力量!J466</f>
        <v>7.6999999999970896</v>
      </c>
      <c r="K466">
        <f>電力量!K467-電力量!K466</f>
        <v>0.10000000000582077</v>
      </c>
      <c r="L466">
        <f>電力量!L467-電力量!L466</f>
        <v>21.299999999999272</v>
      </c>
      <c r="M466">
        <f>電力量!M467-電力量!M466</f>
        <v>33.100000000005821</v>
      </c>
      <c r="N466">
        <f>電力量!N467-電力量!N466</f>
        <v>46.099999999998545</v>
      </c>
      <c r="O466">
        <f>電力量!O467-電力量!O466</f>
        <v>35.899999999999636</v>
      </c>
      <c r="P466">
        <f>電力量!P467-電力量!P466</f>
        <v>6</v>
      </c>
      <c r="Q466">
        <f>電力量!Q467-電力量!Q466</f>
        <v>9</v>
      </c>
      <c r="R466">
        <f>電力量!R467-電力量!R466</f>
        <v>0</v>
      </c>
    </row>
    <row r="467" spans="1:18">
      <c r="A467" s="4">
        <f t="shared" ref="A467:A515" si="169">A458+(9/24)</f>
        <v>45919.375</v>
      </c>
      <c r="B467">
        <f>電力量!B468-電力量!B467</f>
        <v>870</v>
      </c>
      <c r="C467">
        <f>電力量!C468-電力量!C467</f>
        <v>232</v>
      </c>
      <c r="D467">
        <f>電力量!D468-電力量!D467</f>
        <v>21.200000000004366</v>
      </c>
      <c r="E467">
        <f>電力量!E468-電力量!E467</f>
        <v>0</v>
      </c>
      <c r="F467">
        <f>電力量!F468-電力量!F467</f>
        <v>28</v>
      </c>
      <c r="G467">
        <f>電力量!G468-電力量!G467</f>
        <v>41.69999999999709</v>
      </c>
      <c r="H467">
        <f>電力量!H468-電力量!H467</f>
        <v>26</v>
      </c>
      <c r="I467">
        <f>電力量!I468-電力量!I467</f>
        <v>287</v>
      </c>
      <c r="J467">
        <f>電力量!J468-電力量!J467</f>
        <v>8.4000000000014552</v>
      </c>
      <c r="K467">
        <f>電力量!K468-電力量!K467</f>
        <v>0</v>
      </c>
      <c r="L467">
        <f>電力量!L468-電力量!L467</f>
        <v>25.399999999999636</v>
      </c>
      <c r="M467">
        <f>電力量!M468-電力量!M467</f>
        <v>38.69999999999709</v>
      </c>
      <c r="N467">
        <f>電力量!N468-電力量!N467</f>
        <v>47.400000000001455</v>
      </c>
      <c r="O467">
        <f>電力量!O468-電力量!O467</f>
        <v>50.700000000000273</v>
      </c>
      <c r="P467">
        <f>電力量!P468-電力量!P467</f>
        <v>9</v>
      </c>
      <c r="Q467">
        <f>電力量!Q468-電力量!Q467</f>
        <v>15</v>
      </c>
      <c r="R467">
        <f>電力量!R468-電力量!R467</f>
        <v>0</v>
      </c>
    </row>
    <row r="468" spans="1:18">
      <c r="A468" s="4">
        <f t="shared" ref="A468:A516" si="170">A458+(10/24)</f>
        <v>45919.416666666664</v>
      </c>
      <c r="B468">
        <f>電力量!B469-電力量!B468</f>
        <v>1022</v>
      </c>
      <c r="C468">
        <f>電力量!C469-電力量!C468</f>
        <v>260</v>
      </c>
      <c r="D468">
        <f>電力量!D469-電力量!D468</f>
        <v>25.400000000001455</v>
      </c>
      <c r="E468">
        <f>電力量!E469-電力量!E468</f>
        <v>0</v>
      </c>
      <c r="F468">
        <f>電力量!F469-電力量!F468</f>
        <v>38</v>
      </c>
      <c r="G468">
        <f>電力量!G469-電力量!G468</f>
        <v>60.399999999994179</v>
      </c>
      <c r="H468">
        <f>電力量!H469-電力量!H468</f>
        <v>37</v>
      </c>
      <c r="I468">
        <f>電力量!I469-電力量!I468</f>
        <v>326</v>
      </c>
      <c r="J468">
        <f>電力量!J469-電力量!J468</f>
        <v>10.299999999995634</v>
      </c>
      <c r="K468">
        <f>電力量!K469-電力量!K468</f>
        <v>0</v>
      </c>
      <c r="L468">
        <f>電力量!L469-電力量!L468</f>
        <v>33.200000000000728</v>
      </c>
      <c r="M468">
        <f>電力量!M469-電力量!M468</f>
        <v>42.600000000005821</v>
      </c>
      <c r="N468">
        <f>電力量!N469-電力量!N468</f>
        <v>46.399999999999636</v>
      </c>
      <c r="O468">
        <f>電力量!O469-電力量!O468</f>
        <v>67.400000000000091</v>
      </c>
      <c r="P468">
        <f>電力量!P469-電力量!P468</f>
        <v>13</v>
      </c>
      <c r="Q468">
        <f>電力量!Q469-電力量!Q468</f>
        <v>20</v>
      </c>
      <c r="R468">
        <f>電力量!R469-電力量!R468</f>
        <v>0</v>
      </c>
    </row>
    <row r="469" spans="1:18">
      <c r="A469" s="4">
        <f t="shared" ref="A469:A517" si="171">A458+(11/24)</f>
        <v>45919.458333333336</v>
      </c>
      <c r="B469">
        <f>電力量!B470-電力量!B469</f>
        <v>1050</v>
      </c>
      <c r="C469">
        <f>電力量!C470-電力量!C469</f>
        <v>274</v>
      </c>
      <c r="D469">
        <f>電力量!D470-電力量!D469</f>
        <v>27.19999999999709</v>
      </c>
      <c r="E469">
        <f>電力量!E470-電力量!E469</f>
        <v>0</v>
      </c>
      <c r="F469">
        <f>電力量!F470-電力量!F469</f>
        <v>42</v>
      </c>
      <c r="G469">
        <f>電力量!G470-電力量!G469</f>
        <v>75.600000000005821</v>
      </c>
      <c r="H469">
        <f>電力量!H470-電力量!H469</f>
        <v>17</v>
      </c>
      <c r="I469">
        <f>電力量!I470-電力量!I469</f>
        <v>333</v>
      </c>
      <c r="J469">
        <f>電力量!J470-電力量!J469</f>
        <v>10.700000000004366</v>
      </c>
      <c r="K469">
        <f>電力量!K470-電力量!K469</f>
        <v>0</v>
      </c>
      <c r="L469">
        <f>電力量!L470-電力量!L469</f>
        <v>33.699999999998909</v>
      </c>
      <c r="M469">
        <f>電力量!M470-電力量!M469</f>
        <v>38.69999999999709</v>
      </c>
      <c r="N469">
        <f>電力量!N470-電力量!N469</f>
        <v>43.699999999998909</v>
      </c>
      <c r="O469">
        <f>電力量!O470-電力量!O469</f>
        <v>62.299999999999727</v>
      </c>
      <c r="P469">
        <f>電力量!P470-電力量!P469</f>
        <v>15</v>
      </c>
      <c r="Q469">
        <f>電力量!Q470-電力量!Q469</f>
        <v>22</v>
      </c>
      <c r="R469">
        <f>電力量!R470-電力量!R469</f>
        <v>0</v>
      </c>
    </row>
    <row r="470" spans="1:18">
      <c r="A470" s="4">
        <f t="shared" ref="A470:A518" si="172">A458+(12/24)</f>
        <v>45919.5</v>
      </c>
      <c r="B470">
        <f>電力量!B471-電力量!B470</f>
        <v>1071</v>
      </c>
      <c r="C470">
        <f>電力量!C471-電力量!C470</f>
        <v>277</v>
      </c>
      <c r="D470">
        <f>電力量!D471-電力量!D470</f>
        <v>29.5</v>
      </c>
      <c r="E470">
        <f>電力量!E471-電力量!E470</f>
        <v>0</v>
      </c>
      <c r="F470">
        <f>電力量!F471-電力量!F470</f>
        <v>44</v>
      </c>
      <c r="G470">
        <f>電力量!G471-電力量!G470</f>
        <v>76.100000000005821</v>
      </c>
      <c r="H470">
        <f>電力量!H471-電力量!H470</f>
        <v>11</v>
      </c>
      <c r="I470">
        <f>電力量!I471-電力量!I470</f>
        <v>357</v>
      </c>
      <c r="J470">
        <f>電力量!J471-電力量!J470</f>
        <v>11.799999999995634</v>
      </c>
      <c r="K470">
        <f>電力量!K471-電力量!K470</f>
        <v>0</v>
      </c>
      <c r="L470">
        <f>電力量!L471-電力量!L470</f>
        <v>38.5</v>
      </c>
      <c r="M470">
        <f>電力量!M471-電力量!M470</f>
        <v>36.19999999999709</v>
      </c>
      <c r="N470">
        <f>電力量!N471-電力量!N470</f>
        <v>41.300000000001091</v>
      </c>
      <c r="O470">
        <f>電力量!O471-電力量!O470</f>
        <v>65.800000000000182</v>
      </c>
      <c r="P470">
        <f>電力量!P471-電力量!P470</f>
        <v>16</v>
      </c>
      <c r="Q470">
        <f>電力量!Q471-電力量!Q470</f>
        <v>25</v>
      </c>
      <c r="R470">
        <f>電力量!R471-電力量!R470</f>
        <v>0</v>
      </c>
    </row>
    <row r="471" spans="1:18">
      <c r="A471" s="4">
        <f t="shared" ref="A471:A519" si="173">A458+(13/24)</f>
        <v>45919.541666666664</v>
      </c>
      <c r="B471">
        <f>電力量!B472-電力量!B471</f>
        <v>1105</v>
      </c>
      <c r="C471">
        <f>電力量!C472-電力量!C471</f>
        <v>298</v>
      </c>
      <c r="D471">
        <f>電力量!D472-電力量!D471</f>
        <v>35.80000000000291</v>
      </c>
      <c r="E471">
        <f>電力量!E472-電力量!E471</f>
        <v>0</v>
      </c>
      <c r="F471">
        <f>電力量!F472-電力量!F471</f>
        <v>39</v>
      </c>
      <c r="G471">
        <f>電力量!G472-電力量!G471</f>
        <v>80.5</v>
      </c>
      <c r="H471">
        <f>電力量!H472-電力量!H471</f>
        <v>11</v>
      </c>
      <c r="I471">
        <f>電力量!I472-電力量!I471</f>
        <v>356</v>
      </c>
      <c r="J471">
        <f>電力量!J472-電力量!J471</f>
        <v>12.80000000000291</v>
      </c>
      <c r="K471">
        <f>電力量!K472-電力量!K471</f>
        <v>0</v>
      </c>
      <c r="L471">
        <f>電力量!L472-電力量!L471</f>
        <v>39.800000000001091</v>
      </c>
      <c r="M471">
        <f>電力量!M472-電力量!M471</f>
        <v>28</v>
      </c>
      <c r="N471">
        <f>電力量!N472-電力量!N471</f>
        <v>41.399999999999636</v>
      </c>
      <c r="O471">
        <f>電力量!O472-電力量!O471</f>
        <v>73.400000000000091</v>
      </c>
      <c r="P471">
        <f>電力量!P472-電力量!P471</f>
        <v>16</v>
      </c>
      <c r="Q471">
        <f>電力量!Q472-電力量!Q471</f>
        <v>23</v>
      </c>
      <c r="R471">
        <f>電力量!R472-電力量!R471</f>
        <v>0</v>
      </c>
    </row>
    <row r="472" spans="1:18">
      <c r="A472" s="4">
        <f t="shared" ref="A472:A520" si="174">A458+(14/24)</f>
        <v>45919.583333333336</v>
      </c>
      <c r="B472">
        <f>電力量!B473-電力量!B472</f>
        <v>1189</v>
      </c>
      <c r="C472">
        <f>電力量!C473-電力量!C472</f>
        <v>301</v>
      </c>
      <c r="D472">
        <f>電力量!D473-電力量!D472</f>
        <v>34.299999999995634</v>
      </c>
      <c r="E472">
        <f>電力量!E473-電力量!E472</f>
        <v>0</v>
      </c>
      <c r="F472">
        <f>電力量!F473-電力量!F472</f>
        <v>41</v>
      </c>
      <c r="G472">
        <f>電力量!G473-電力量!G472</f>
        <v>113.79999999998836</v>
      </c>
      <c r="H472">
        <f>電力量!H473-電力量!H472</f>
        <v>12</v>
      </c>
      <c r="I472">
        <f>電力量!I473-電力量!I472</f>
        <v>378</v>
      </c>
      <c r="J472">
        <f>電力量!J473-電力量!J472</f>
        <v>13.400000000001455</v>
      </c>
      <c r="K472">
        <f>電力量!K473-電力量!K472</f>
        <v>11.100000000005821</v>
      </c>
      <c r="L472">
        <f>電力量!L473-電力量!L472</f>
        <v>46.600000000000364</v>
      </c>
      <c r="M472">
        <f>電力量!M473-電力量!M472</f>
        <v>25.600000000005821</v>
      </c>
      <c r="N472">
        <f>電力量!N473-電力量!N472</f>
        <v>56.399999999999636</v>
      </c>
      <c r="O472">
        <f>電力量!O473-電力量!O472</f>
        <v>56</v>
      </c>
      <c r="P472">
        <f>電力量!P473-電力量!P472</f>
        <v>1</v>
      </c>
      <c r="Q472">
        <f>電力量!Q473-電力量!Q472</f>
        <v>2</v>
      </c>
      <c r="R472">
        <f>電力量!R473-電力量!R472</f>
        <v>0</v>
      </c>
    </row>
    <row r="473" spans="1:18">
      <c r="A473" s="4">
        <f t="shared" ref="A473:A521" si="175">A458+(15/24)</f>
        <v>45919.625</v>
      </c>
      <c r="B473">
        <f>電力量!B474-電力量!B473</f>
        <v>1142</v>
      </c>
      <c r="C473">
        <f>電力量!C474-電力量!C473</f>
        <v>303</v>
      </c>
      <c r="D473">
        <f>電力量!D474-電力量!D473</f>
        <v>31</v>
      </c>
      <c r="E473">
        <f>電力量!E474-電力量!E473</f>
        <v>0</v>
      </c>
      <c r="F473">
        <f>電力量!F474-電力量!F473</f>
        <v>38</v>
      </c>
      <c r="G473">
        <f>電力量!G474-電力量!G473</f>
        <v>112.90000000000873</v>
      </c>
      <c r="H473">
        <f>電力量!H474-電力量!H473</f>
        <v>15</v>
      </c>
      <c r="I473">
        <f>電力量!I474-電力量!I473</f>
        <v>368</v>
      </c>
      <c r="J473">
        <f>電力量!J474-電力量!J473</f>
        <v>12.599999999998545</v>
      </c>
      <c r="K473">
        <f>電力量!K474-電力量!K473</f>
        <v>9.3999999999941792</v>
      </c>
      <c r="L473">
        <f>電力量!L474-電力量!L473</f>
        <v>44.699999999998909</v>
      </c>
      <c r="M473">
        <f>電力量!M474-電力量!M473</f>
        <v>24.5</v>
      </c>
      <c r="N473">
        <f>電力量!N474-電力量!N473</f>
        <v>57.700000000000728</v>
      </c>
      <c r="O473">
        <f>電力量!O474-電力量!O473</f>
        <v>28.599999999999909</v>
      </c>
      <c r="P473">
        <f>電力量!P474-電力量!P473</f>
        <v>0</v>
      </c>
      <c r="Q473">
        <f>電力量!Q474-電力量!Q473</f>
        <v>0</v>
      </c>
      <c r="R473">
        <f>電力量!R474-電力量!R473</f>
        <v>0</v>
      </c>
    </row>
    <row r="474" spans="1:18">
      <c r="A474" s="4">
        <f t="shared" ref="A474:A522" si="176">A458+(16/24)</f>
        <v>45919.666666666664</v>
      </c>
      <c r="B474">
        <f>電力量!B475-電力量!B474</f>
        <v>1044</v>
      </c>
      <c r="C474">
        <f>電力量!C475-電力量!C474</f>
        <v>280</v>
      </c>
      <c r="D474">
        <f>電力量!D475-電力量!D474</f>
        <v>28.099999999998545</v>
      </c>
      <c r="E474">
        <f>電力量!E475-電力量!E474</f>
        <v>0</v>
      </c>
      <c r="F474">
        <f>電力量!F475-電力量!F474</f>
        <v>35</v>
      </c>
      <c r="G474">
        <f>電力量!G475-電力量!G474</f>
        <v>105.19999999999709</v>
      </c>
      <c r="H474">
        <f>電力量!H475-電力量!H474</f>
        <v>15</v>
      </c>
      <c r="I474">
        <f>電力量!I475-電力量!I474</f>
        <v>347</v>
      </c>
      <c r="J474">
        <f>電力量!J475-電力量!J474</f>
        <v>11.69999999999709</v>
      </c>
      <c r="K474">
        <f>電力量!K475-電力量!K474</f>
        <v>8.1000000000058208</v>
      </c>
      <c r="L474">
        <f>電力量!L475-電力量!L474</f>
        <v>40.899999999999636</v>
      </c>
      <c r="M474">
        <f>電力量!M475-電力量!M474</f>
        <v>16.80000000000291</v>
      </c>
      <c r="N474">
        <f>電力量!N475-電力量!N474</f>
        <v>57.299999999999272</v>
      </c>
      <c r="O474">
        <f>電力量!O475-電力量!O474</f>
        <v>24.599999999999909</v>
      </c>
      <c r="P474">
        <f>電力量!P475-電力量!P474</f>
        <v>0</v>
      </c>
      <c r="Q474">
        <f>電力量!Q475-電力量!Q474</f>
        <v>0</v>
      </c>
      <c r="R474">
        <f>電力量!R475-電力量!R474</f>
        <v>0</v>
      </c>
    </row>
    <row r="475" spans="1:18">
      <c r="A475" s="4">
        <f t="shared" ref="A475:A523" si="177">A458+(17/24)</f>
        <v>45919.708333333336</v>
      </c>
      <c r="B475">
        <f>電力量!B476-電力量!B475</f>
        <v>888</v>
      </c>
      <c r="C475">
        <f>電力量!C476-電力量!C475</f>
        <v>247</v>
      </c>
      <c r="D475">
        <f>電力量!D476-電力量!D475</f>
        <v>20.30000000000291</v>
      </c>
      <c r="E475">
        <f>電力量!E476-電力量!E475</f>
        <v>0</v>
      </c>
      <c r="F475">
        <f>電力量!F476-電力量!F475</f>
        <v>26</v>
      </c>
      <c r="G475">
        <f>電力量!G476-電力量!G475</f>
        <v>86.600000000005821</v>
      </c>
      <c r="H475">
        <f>電力量!H476-電力量!H475</f>
        <v>15</v>
      </c>
      <c r="I475">
        <f>電力量!I476-電力量!I475</f>
        <v>300</v>
      </c>
      <c r="J475">
        <f>電力量!J476-電力量!J475</f>
        <v>9</v>
      </c>
      <c r="K475">
        <f>電力量!K476-電力量!K475</f>
        <v>4.2999999999883585</v>
      </c>
      <c r="L475">
        <f>電力量!L476-電力量!L475</f>
        <v>33.400000000001455</v>
      </c>
      <c r="M475">
        <f>電力量!M476-電力量!M475</f>
        <v>12.599999999991269</v>
      </c>
      <c r="N475">
        <f>電力量!N476-電力量!N475</f>
        <v>55.200000000000728</v>
      </c>
      <c r="O475">
        <f>電力量!O476-電力量!O475</f>
        <v>20.099999999999909</v>
      </c>
      <c r="P475">
        <f>電力量!P476-電力量!P475</f>
        <v>0</v>
      </c>
      <c r="Q475">
        <f>電力量!Q476-電力量!Q475</f>
        <v>0</v>
      </c>
      <c r="R475">
        <f>電力量!R476-電力量!R475</f>
        <v>0</v>
      </c>
    </row>
    <row r="476" spans="1:18">
      <c r="A476" s="4">
        <f t="shared" ref="A476:A524" si="178">A458+(18/24)</f>
        <v>45919.75</v>
      </c>
      <c r="B476">
        <f>電力量!B477-電力量!B476</f>
        <v>743</v>
      </c>
      <c r="C476">
        <f>電力量!C477-電力量!C476</f>
        <v>184</v>
      </c>
      <c r="D476">
        <f>電力量!D477-電力量!D476</f>
        <v>15.400000000001455</v>
      </c>
      <c r="E476">
        <f>電力量!E477-電力量!E476</f>
        <v>0</v>
      </c>
      <c r="F476">
        <f>電力量!F477-電力量!F476</f>
        <v>20</v>
      </c>
      <c r="G476">
        <f>電力量!G477-電力量!G476</f>
        <v>83</v>
      </c>
      <c r="H476">
        <f>電力量!H477-電力量!H476</f>
        <v>12</v>
      </c>
      <c r="I476">
        <f>電力量!I477-電力量!I476</f>
        <v>255</v>
      </c>
      <c r="J476">
        <f>電力量!J477-電力量!J476</f>
        <v>8.3000000000029104</v>
      </c>
      <c r="K476">
        <f>電力量!K477-電力量!K476</f>
        <v>2.5</v>
      </c>
      <c r="L476">
        <f>電力量!L477-電力量!L476</f>
        <v>25</v>
      </c>
      <c r="M476">
        <f>電力量!M477-電力量!M476</f>
        <v>12.100000000005821</v>
      </c>
      <c r="N476">
        <f>電力量!N477-電力量!N476</f>
        <v>54</v>
      </c>
      <c r="O476">
        <f>電力量!O477-電力量!O476</f>
        <v>18.599999999999909</v>
      </c>
      <c r="P476">
        <f>電力量!P477-電力量!P476</f>
        <v>0</v>
      </c>
      <c r="Q476">
        <f>電力量!Q477-電力量!Q476</f>
        <v>0</v>
      </c>
      <c r="R476">
        <f>電力量!R477-電力量!R476</f>
        <v>0</v>
      </c>
    </row>
    <row r="477" spans="1:18">
      <c r="A477" s="4">
        <f t="shared" ref="A477:A525" si="179">A458+(19/24)</f>
        <v>45919.791666666664</v>
      </c>
      <c r="B477">
        <f>電力量!B478-電力量!B477</f>
        <v>660</v>
      </c>
      <c r="C477">
        <f>電力量!C478-電力量!C477</f>
        <v>161</v>
      </c>
      <c r="D477">
        <f>電力量!D478-電力量!D477</f>
        <v>13</v>
      </c>
      <c r="E477">
        <f>電力量!E478-電力量!E477</f>
        <v>0</v>
      </c>
      <c r="F477">
        <f>電力量!F478-電力量!F477</f>
        <v>17</v>
      </c>
      <c r="G477">
        <f>電力量!G478-電力量!G477</f>
        <v>76.299999999988358</v>
      </c>
      <c r="H477">
        <f>電力量!H478-電力量!H477</f>
        <v>11</v>
      </c>
      <c r="I477">
        <f>電力量!I478-電力量!I477</f>
        <v>220</v>
      </c>
      <c r="J477">
        <f>電力量!J478-電力量!J477</f>
        <v>7.9000000000014552</v>
      </c>
      <c r="K477">
        <f>電力量!K478-電力量!K477</f>
        <v>2.2000000000116415</v>
      </c>
      <c r="L477">
        <f>電力量!L478-電力量!L477</f>
        <v>19.899999999999636</v>
      </c>
      <c r="M477">
        <f>電力量!M478-電力量!M477</f>
        <v>11.399999999994179</v>
      </c>
      <c r="N477">
        <f>電力量!N478-電力量!N477</f>
        <v>54.100000000000364</v>
      </c>
      <c r="O477">
        <f>電力量!O478-電力量!O477</f>
        <v>19.900000000000091</v>
      </c>
      <c r="P477">
        <f>電力量!P478-電力量!P477</f>
        <v>0</v>
      </c>
      <c r="Q477">
        <f>電力量!Q478-電力量!Q477</f>
        <v>0</v>
      </c>
      <c r="R477">
        <f>電力量!R478-電力量!R477</f>
        <v>0</v>
      </c>
    </row>
    <row r="478" spans="1:18">
      <c r="A478" s="4">
        <f t="shared" ref="A478:A526" si="180">A458+(20/24)</f>
        <v>45919.833333333336</v>
      </c>
      <c r="B478">
        <f>電力量!B479-電力量!B478</f>
        <v>628</v>
      </c>
      <c r="C478">
        <f>電力量!C479-電力量!C478</f>
        <v>152</v>
      </c>
      <c r="D478">
        <f>電力量!D479-電力量!D478</f>
        <v>11.69999999999709</v>
      </c>
      <c r="E478">
        <f>電力量!E479-電力量!E478</f>
        <v>0</v>
      </c>
      <c r="F478">
        <f>電力量!F479-電力量!F478</f>
        <v>17</v>
      </c>
      <c r="G478">
        <f>電力量!G479-電力量!G478</f>
        <v>70.900000000008731</v>
      </c>
      <c r="H478">
        <f>電力量!H479-電力量!H478</f>
        <v>10</v>
      </c>
      <c r="I478">
        <f>電力量!I479-電力量!I478</f>
        <v>212</v>
      </c>
      <c r="J478">
        <f>電力量!J479-電力量!J478</f>
        <v>6.9000000000014552</v>
      </c>
      <c r="K478">
        <f>電力量!K479-電力量!K478</f>
        <v>2.1999999999970896</v>
      </c>
      <c r="L478">
        <f>電力量!L479-電力量!L478</f>
        <v>18.299999999999272</v>
      </c>
      <c r="M478">
        <f>電力量!M479-電力量!M478</f>
        <v>9</v>
      </c>
      <c r="N478">
        <f>電力量!N479-電力量!N478</f>
        <v>53.599999999998545</v>
      </c>
      <c r="O478">
        <f>電力量!O479-電力量!O478</f>
        <v>20.5</v>
      </c>
      <c r="P478">
        <f>電力量!P479-電力量!P478</f>
        <v>0</v>
      </c>
      <c r="Q478">
        <f>電力量!Q479-電力量!Q478</f>
        <v>0</v>
      </c>
      <c r="R478">
        <f>電力量!R479-電力量!R478</f>
        <v>0</v>
      </c>
    </row>
    <row r="479" spans="1:18">
      <c r="A479" s="4">
        <f t="shared" ref="A479:A527" si="181">A458+(21/24)</f>
        <v>45919.875</v>
      </c>
      <c r="B479">
        <f>電力量!B480-電力量!B479</f>
        <v>615</v>
      </c>
      <c r="C479">
        <f>電力量!C480-電力量!C479</f>
        <v>147</v>
      </c>
      <c r="D479">
        <f>電力量!D480-電力量!D479</f>
        <v>12.200000000004366</v>
      </c>
      <c r="E479">
        <f>電力量!E480-電力量!E479</f>
        <v>0</v>
      </c>
      <c r="F479">
        <f>電力量!F480-電力量!F479</f>
        <v>15</v>
      </c>
      <c r="G479">
        <f>電力量!G480-電力量!G479</f>
        <v>66.399999999994179</v>
      </c>
      <c r="H479">
        <f>電力量!H480-電力量!H479</f>
        <v>11</v>
      </c>
      <c r="I479">
        <f>電力量!I480-電力量!I479</f>
        <v>210</v>
      </c>
      <c r="J479">
        <f>電力量!J480-電力量!J479</f>
        <v>7</v>
      </c>
      <c r="K479">
        <f>電力量!K480-電力量!K479</f>
        <v>2.1999999999970896</v>
      </c>
      <c r="L479">
        <f>電力量!L480-電力量!L479</f>
        <v>17.100000000000364</v>
      </c>
      <c r="M479">
        <f>電力量!M480-電力量!M479</f>
        <v>11</v>
      </c>
      <c r="N479">
        <f>電力量!N480-電力量!N479</f>
        <v>53.300000000001091</v>
      </c>
      <c r="O479">
        <f>電力量!O480-電力量!O479</f>
        <v>20.5</v>
      </c>
      <c r="P479">
        <f>電力量!P480-電力量!P479</f>
        <v>0</v>
      </c>
      <c r="Q479">
        <f>電力量!Q480-電力量!Q479</f>
        <v>0</v>
      </c>
      <c r="R479">
        <f>電力量!R480-電力量!R479</f>
        <v>0</v>
      </c>
    </row>
    <row r="480" spans="1:18">
      <c r="A480" s="4">
        <f t="shared" ref="A480:A528" si="182">A458+(22/24)</f>
        <v>45919.916666666664</v>
      </c>
      <c r="B480">
        <f>電力量!B481-電力量!B480</f>
        <v>588</v>
      </c>
      <c r="C480">
        <f>電力量!C481-電力量!C480</f>
        <v>141</v>
      </c>
      <c r="D480">
        <f>電力量!D481-電力量!D480</f>
        <v>11.19999999999709</v>
      </c>
      <c r="E480">
        <f>電力量!E481-電力量!E480</f>
        <v>0</v>
      </c>
      <c r="F480">
        <f>電力量!F481-電力量!F480</f>
        <v>16</v>
      </c>
      <c r="G480">
        <f>電力量!G481-電力量!G480</f>
        <v>55.600000000005821</v>
      </c>
      <c r="H480">
        <f>電力量!H481-電力量!H480</f>
        <v>11</v>
      </c>
      <c r="I480">
        <f>電力量!I481-電力量!I480</f>
        <v>205</v>
      </c>
      <c r="J480">
        <f>電力量!J481-電力量!J480</f>
        <v>7.1999999999970896</v>
      </c>
      <c r="K480">
        <f>電力量!K481-電力量!K480</f>
        <v>2.1999999999970896</v>
      </c>
      <c r="L480">
        <f>電力量!L481-電力量!L480</f>
        <v>15</v>
      </c>
      <c r="M480">
        <f>電力量!M481-電力量!M480</f>
        <v>9.6000000000058208</v>
      </c>
      <c r="N480">
        <f>電力量!N481-電力量!N480</f>
        <v>54.199999999998909</v>
      </c>
      <c r="O480">
        <f>電力量!O481-電力量!O480</f>
        <v>16.900000000000091</v>
      </c>
      <c r="P480">
        <f>電力量!P481-電力量!P480</f>
        <v>0</v>
      </c>
      <c r="Q480">
        <f>電力量!Q481-電力量!Q480</f>
        <v>0</v>
      </c>
      <c r="R480">
        <f>電力量!R481-電力量!R480</f>
        <v>0</v>
      </c>
    </row>
    <row r="481" spans="1:18">
      <c r="A481" s="4">
        <f t="shared" ref="A481:A529" si="183">A458+(23/24)</f>
        <v>45919.958333333336</v>
      </c>
      <c r="B481">
        <f>電力量!B482-電力量!B481</f>
        <v>553</v>
      </c>
      <c r="C481">
        <f>電力量!C482-電力量!C481</f>
        <v>138</v>
      </c>
      <c r="D481">
        <f>電力量!D482-電力量!D481</f>
        <v>11</v>
      </c>
      <c r="E481">
        <f>電力量!E482-電力量!E481</f>
        <v>0</v>
      </c>
      <c r="F481">
        <f>電力量!F482-電力量!F481</f>
        <v>16</v>
      </c>
      <c r="G481">
        <f>電力量!G482-電力量!G481</f>
        <v>50.399999999994179</v>
      </c>
      <c r="H481">
        <f>電力量!H482-電力量!H481</f>
        <v>11</v>
      </c>
      <c r="I481">
        <f>電力量!I482-電力量!I481</f>
        <v>183</v>
      </c>
      <c r="J481">
        <f>電力量!J482-電力量!J481</f>
        <v>7.0999999999985448</v>
      </c>
      <c r="K481">
        <f>電力量!K482-電力量!K481</f>
        <v>2.1000000000058208</v>
      </c>
      <c r="L481">
        <f>電力量!L482-電力量!L481</f>
        <v>15.299999999999272</v>
      </c>
      <c r="M481">
        <f>電力量!M482-電力量!M481</f>
        <v>8</v>
      </c>
      <c r="N481">
        <f>電力量!N482-電力量!N481</f>
        <v>54</v>
      </c>
      <c r="O481">
        <f>電力量!O482-電力量!O481</f>
        <v>16.199999999999818</v>
      </c>
      <c r="P481">
        <f>電力量!P482-電力量!P481</f>
        <v>0</v>
      </c>
      <c r="Q481">
        <f>電力量!Q482-電力量!Q481</f>
        <v>0</v>
      </c>
      <c r="R481">
        <f>電力量!R482-電力量!R481</f>
        <v>0</v>
      </c>
    </row>
    <row r="482" spans="1:18">
      <c r="A482" s="4">
        <v>45920</v>
      </c>
      <c r="B482">
        <f>電力量!B483-電力量!B482</f>
        <v>543</v>
      </c>
      <c r="C482">
        <f>電力量!C483-電力量!C482</f>
        <v>138</v>
      </c>
      <c r="D482">
        <f>電力量!D483-電力量!D482</f>
        <v>9.0999999999985448</v>
      </c>
      <c r="E482">
        <f>電力量!E483-電力量!E482</f>
        <v>0</v>
      </c>
      <c r="F482">
        <f>電力量!F483-電力量!F482</f>
        <v>16</v>
      </c>
      <c r="G482">
        <f>電力量!G483-電力量!G482</f>
        <v>46.30000000000291</v>
      </c>
      <c r="H482">
        <f>電力量!H483-電力量!H482</f>
        <v>11</v>
      </c>
      <c r="I482">
        <f>電力量!I483-電力量!I482</f>
        <v>181</v>
      </c>
      <c r="J482">
        <f>電力量!J483-電力量!J482</f>
        <v>7.0999999999985448</v>
      </c>
      <c r="K482">
        <f>電力量!K483-電力量!K482</f>
        <v>2.1999999999970896</v>
      </c>
      <c r="L482">
        <f>電力量!L483-電力量!L482</f>
        <v>15.100000000000364</v>
      </c>
      <c r="M482">
        <f>電力量!M483-電力量!M482</f>
        <v>7.5999999999912689</v>
      </c>
      <c r="N482">
        <f>電力量!N483-電力量!N482</f>
        <v>52.800000000001091</v>
      </c>
      <c r="O482">
        <f>電力量!O483-電力量!O482</f>
        <v>15.800000000000182</v>
      </c>
      <c r="P482">
        <f>電力量!P483-電力量!P482</f>
        <v>0</v>
      </c>
      <c r="Q482">
        <f>電力量!Q483-電力量!Q482</f>
        <v>0</v>
      </c>
      <c r="R482">
        <f>電力量!R483-電力量!R482</f>
        <v>0</v>
      </c>
    </row>
    <row r="483" spans="1:18">
      <c r="A483" s="4">
        <f t="shared" si="161"/>
        <v>45920.041666666664</v>
      </c>
      <c r="B483">
        <f>電力量!B484-電力量!B483</f>
        <v>531</v>
      </c>
      <c r="C483">
        <f>電力量!C484-電力量!C483</f>
        <v>131</v>
      </c>
      <c r="D483">
        <f>電力量!D484-電力量!D483</f>
        <v>10</v>
      </c>
      <c r="E483">
        <f>電力量!E484-電力量!E483</f>
        <v>0</v>
      </c>
      <c r="F483">
        <f>電力量!F484-電力量!F483</f>
        <v>16</v>
      </c>
      <c r="G483">
        <f>電力量!G484-電力量!G483</f>
        <v>45</v>
      </c>
      <c r="H483">
        <f>電力量!H484-電力量!H483</f>
        <v>11</v>
      </c>
      <c r="I483">
        <f>電力量!I484-電力量!I483</f>
        <v>174</v>
      </c>
      <c r="J483">
        <f>電力量!J484-電力量!J483</f>
        <v>6.8000000000029104</v>
      </c>
      <c r="K483">
        <f>電力量!K484-電力量!K483</f>
        <v>2.1999999999970896</v>
      </c>
      <c r="L483">
        <f>電力量!L484-電力量!L483</f>
        <v>15.600000000000364</v>
      </c>
      <c r="M483">
        <f>電力量!M484-電力量!M483</f>
        <v>7.9000000000087311</v>
      </c>
      <c r="N483">
        <f>電力量!N484-電力量!N483</f>
        <v>53.899999999999636</v>
      </c>
      <c r="O483">
        <f>電力量!O484-電力量!O483</f>
        <v>17.199999999999818</v>
      </c>
      <c r="P483">
        <f>電力量!P484-電力量!P483</f>
        <v>0</v>
      </c>
      <c r="Q483">
        <f>電力量!Q484-電力量!Q483</f>
        <v>0</v>
      </c>
      <c r="R483">
        <f>電力量!R484-電力量!R483</f>
        <v>0</v>
      </c>
    </row>
    <row r="484" spans="1:18">
      <c r="A484" s="4">
        <f t="shared" si="162"/>
        <v>45920.083333333336</v>
      </c>
      <c r="B484">
        <f>電力量!B485-電力量!B484</f>
        <v>520</v>
      </c>
      <c r="C484">
        <f>電力量!C485-電力量!C484</f>
        <v>130</v>
      </c>
      <c r="D484">
        <f>電力量!D485-電力量!D484</f>
        <v>9.4000000000014552</v>
      </c>
      <c r="E484">
        <f>電力量!E485-電力量!E484</f>
        <v>0</v>
      </c>
      <c r="F484">
        <f>電力量!F485-電力量!F484</f>
        <v>17</v>
      </c>
      <c r="G484">
        <f>電力量!G485-電力量!G484</f>
        <v>44</v>
      </c>
      <c r="H484">
        <f>電力量!H485-電力量!H484</f>
        <v>11</v>
      </c>
      <c r="I484">
        <f>電力量!I485-電力量!I484</f>
        <v>167</v>
      </c>
      <c r="J484">
        <f>電力量!J485-電力量!J484</f>
        <v>6.8000000000029104</v>
      </c>
      <c r="K484">
        <f>電力量!K485-電力量!K484</f>
        <v>2.1999999999970896</v>
      </c>
      <c r="L484">
        <f>電力量!L485-電力量!L484</f>
        <v>16</v>
      </c>
      <c r="M484">
        <f>電力量!M485-電力量!M484</f>
        <v>7.8999999999941792</v>
      </c>
      <c r="N484">
        <f>電力量!N485-電力量!N484</f>
        <v>53.299999999999272</v>
      </c>
      <c r="O484">
        <f>電力量!O485-電力量!O484</f>
        <v>16.300000000000182</v>
      </c>
      <c r="P484">
        <f>電力量!P485-電力量!P484</f>
        <v>0</v>
      </c>
      <c r="Q484">
        <f>電力量!Q485-電力量!Q484</f>
        <v>0</v>
      </c>
      <c r="R484">
        <f>電力量!R485-電力量!R484</f>
        <v>0</v>
      </c>
    </row>
    <row r="485" spans="1:18">
      <c r="A485" s="4">
        <f t="shared" si="163"/>
        <v>45920.125</v>
      </c>
      <c r="B485">
        <f>電力量!B486-電力量!B485</f>
        <v>511</v>
      </c>
      <c r="C485">
        <f>電力量!C486-電力量!C485</f>
        <v>128</v>
      </c>
      <c r="D485">
        <f>電力量!D486-電力量!D485</f>
        <v>9.8000000000029104</v>
      </c>
      <c r="E485">
        <f>電力量!E486-電力量!E485</f>
        <v>0</v>
      </c>
      <c r="F485">
        <f>電力量!F486-電力量!F485</f>
        <v>15</v>
      </c>
      <c r="G485">
        <f>電力量!G486-電力量!G485</f>
        <v>43</v>
      </c>
      <c r="H485">
        <f>電力量!H486-電力量!H485</f>
        <v>11</v>
      </c>
      <c r="I485">
        <f>電力量!I486-電力量!I485</f>
        <v>161</v>
      </c>
      <c r="J485">
        <f>電力量!J486-電力量!J485</f>
        <v>6.7999999999956344</v>
      </c>
      <c r="K485">
        <f>電力量!K486-電力量!K485</f>
        <v>2.6000000000058208</v>
      </c>
      <c r="L485">
        <f>電力量!L486-電力量!L485</f>
        <v>15.600000000000364</v>
      </c>
      <c r="M485">
        <f>電力量!M486-電力量!M485</f>
        <v>7.9000000000087311</v>
      </c>
      <c r="N485">
        <f>電力量!N486-電力量!N485</f>
        <v>53.300000000001091</v>
      </c>
      <c r="O485">
        <f>電力量!O486-電力量!O485</f>
        <v>16.599999999999909</v>
      </c>
      <c r="P485">
        <f>電力量!P486-電力量!P485</f>
        <v>0</v>
      </c>
      <c r="Q485">
        <f>電力量!Q486-電力量!Q485</f>
        <v>0</v>
      </c>
      <c r="R485">
        <f>電力量!R486-電力量!R485</f>
        <v>0</v>
      </c>
    </row>
    <row r="486" spans="1:18">
      <c r="A486" s="4">
        <f t="shared" si="164"/>
        <v>45920.166666666664</v>
      </c>
      <c r="B486">
        <f>電力量!B487-電力量!B486</f>
        <v>513</v>
      </c>
      <c r="C486">
        <f>電力量!C487-電力量!C486</f>
        <v>125</v>
      </c>
      <c r="D486">
        <f>電力量!D487-電力量!D486</f>
        <v>8.8999999999941792</v>
      </c>
      <c r="E486">
        <f>電力量!E487-電力量!E486</f>
        <v>0</v>
      </c>
      <c r="F486">
        <f>電力量!F487-電力量!F486</f>
        <v>16</v>
      </c>
      <c r="G486">
        <f>電力量!G487-電力量!G486</f>
        <v>42.30000000000291</v>
      </c>
      <c r="H486">
        <f>電力量!H487-電力量!H486</f>
        <v>10</v>
      </c>
      <c r="I486">
        <f>電力量!I487-電力量!I486</f>
        <v>170</v>
      </c>
      <c r="J486">
        <f>電力量!J487-電力量!J486</f>
        <v>6.5999999999985448</v>
      </c>
      <c r="K486">
        <f>電力量!K487-電力量!K486</f>
        <v>2.1000000000058208</v>
      </c>
      <c r="L486">
        <f>電力量!L487-電力量!L486</f>
        <v>15.299999999999272</v>
      </c>
      <c r="M486">
        <f>電力量!M487-電力量!M486</f>
        <v>7.3999999999941792</v>
      </c>
      <c r="N486">
        <f>電力量!N487-電力量!N486</f>
        <v>53.199999999998909</v>
      </c>
      <c r="O486">
        <f>電力量!O487-電力量!O486</f>
        <v>17.300000000000182</v>
      </c>
      <c r="P486">
        <f>電力量!P487-電力量!P486</f>
        <v>0</v>
      </c>
      <c r="Q486">
        <f>電力量!Q487-電力量!Q486</f>
        <v>0</v>
      </c>
      <c r="R486">
        <f>電力量!R487-電力量!R486</f>
        <v>0</v>
      </c>
    </row>
    <row r="487" spans="1:18">
      <c r="A487" s="4">
        <f t="shared" si="165"/>
        <v>45920.208333333336</v>
      </c>
      <c r="B487">
        <f>電力量!B488-電力量!B487</f>
        <v>512</v>
      </c>
      <c r="C487">
        <f>電力量!C488-電力量!C487</f>
        <v>126</v>
      </c>
      <c r="D487">
        <f>電力量!D488-電力量!D487</f>
        <v>11.100000000005821</v>
      </c>
      <c r="E487">
        <f>電力量!E488-電力量!E487</f>
        <v>0</v>
      </c>
      <c r="F487">
        <f>電力量!F488-電力量!F487</f>
        <v>15</v>
      </c>
      <c r="G487">
        <f>電力量!G488-電力量!G487</f>
        <v>42.599999999991269</v>
      </c>
      <c r="H487">
        <f>電力量!H488-電力量!H487</f>
        <v>11</v>
      </c>
      <c r="I487">
        <f>電力量!I488-電力量!I487</f>
        <v>168</v>
      </c>
      <c r="J487">
        <f>電力量!J488-電力量!J487</f>
        <v>6.6000000000058208</v>
      </c>
      <c r="K487">
        <f>電力量!K488-電力量!K487</f>
        <v>2.0999999999912689</v>
      </c>
      <c r="L487">
        <f>電力量!L488-電力量!L487</f>
        <v>14</v>
      </c>
      <c r="M487">
        <f>電力量!M488-電力量!M487</f>
        <v>7.5</v>
      </c>
      <c r="N487">
        <f>電力量!N488-電力量!N487</f>
        <v>52.900000000001455</v>
      </c>
      <c r="O487">
        <f>電力量!O488-電力量!O487</f>
        <v>16.299999999999727</v>
      </c>
      <c r="P487">
        <f>電力量!P488-電力量!P487</f>
        <v>0</v>
      </c>
      <c r="Q487">
        <f>電力量!Q488-電力量!Q487</f>
        <v>0</v>
      </c>
      <c r="R487">
        <f>電力量!R488-電力量!R487</f>
        <v>0</v>
      </c>
    </row>
    <row r="488" spans="1:18">
      <c r="A488" s="4">
        <f t="shared" si="166"/>
        <v>45920.25</v>
      </c>
      <c r="B488">
        <f>電力量!B489-電力量!B488</f>
        <v>508</v>
      </c>
      <c r="C488">
        <f>電力量!C489-電力量!C488</f>
        <v>127</v>
      </c>
      <c r="D488">
        <f>電力量!D489-電力量!D488</f>
        <v>9.6999999999970896</v>
      </c>
      <c r="E488">
        <f>電力量!E489-電力量!E488</f>
        <v>0</v>
      </c>
      <c r="F488">
        <f>電力量!F489-電力量!F488</f>
        <v>16</v>
      </c>
      <c r="G488">
        <f>電力量!G489-電力量!G488</f>
        <v>42.200000000011642</v>
      </c>
      <c r="H488">
        <f>電力量!H489-電力量!H488</f>
        <v>11</v>
      </c>
      <c r="I488">
        <f>電力量!I489-電力量!I488</f>
        <v>165</v>
      </c>
      <c r="J488">
        <f>電力量!J489-電力量!J488</f>
        <v>6.6999999999970896</v>
      </c>
      <c r="K488">
        <f>電力量!K489-電力量!K488</f>
        <v>2</v>
      </c>
      <c r="L488">
        <f>電力量!L489-電力量!L488</f>
        <v>14.100000000000364</v>
      </c>
      <c r="M488">
        <f>電力量!M489-電力量!M488</f>
        <v>7.5</v>
      </c>
      <c r="N488">
        <f>電力量!N489-電力量!N488</f>
        <v>52.699999999998909</v>
      </c>
      <c r="O488">
        <f>電力量!O489-電力量!O488</f>
        <v>14.400000000000091</v>
      </c>
      <c r="P488">
        <f>電力量!P489-電力量!P488</f>
        <v>0</v>
      </c>
      <c r="Q488">
        <f>電力量!Q489-電力量!Q488</f>
        <v>0</v>
      </c>
      <c r="R488">
        <f>電力量!R489-電力量!R488</f>
        <v>0</v>
      </c>
    </row>
    <row r="489" spans="1:18">
      <c r="A489" s="4">
        <f t="shared" si="167"/>
        <v>45920.291666666664</v>
      </c>
      <c r="B489">
        <f>電力量!B490-電力量!B489</f>
        <v>515</v>
      </c>
      <c r="C489">
        <f>電力量!C490-電力量!C489</f>
        <v>128</v>
      </c>
      <c r="D489">
        <f>電力量!D490-電力量!D489</f>
        <v>9.5999999999985448</v>
      </c>
      <c r="E489">
        <f>電力量!E490-電力量!E489</f>
        <v>0</v>
      </c>
      <c r="F489">
        <f>電力量!F490-電力量!F489</f>
        <v>17</v>
      </c>
      <c r="G489">
        <f>電力量!G490-電力量!G489</f>
        <v>42.69999999999709</v>
      </c>
      <c r="H489">
        <f>電力量!H490-電力量!H489</f>
        <v>11</v>
      </c>
      <c r="I489">
        <f>電力量!I490-電力量!I489</f>
        <v>167</v>
      </c>
      <c r="J489">
        <f>電力量!J490-電力量!J489</f>
        <v>6.9000000000014552</v>
      </c>
      <c r="K489">
        <f>電力量!K490-電力量!K489</f>
        <v>2</v>
      </c>
      <c r="L489">
        <f>電力量!L490-電力量!L489</f>
        <v>15.700000000000728</v>
      </c>
      <c r="M489">
        <f>電力量!M490-電力量!M489</f>
        <v>7.3000000000029104</v>
      </c>
      <c r="N489">
        <f>電力量!N490-電力量!N489</f>
        <v>53</v>
      </c>
      <c r="O489">
        <f>電力量!O490-電力量!O489</f>
        <v>16.800000000000182</v>
      </c>
      <c r="P489">
        <f>電力量!P490-電力量!P489</f>
        <v>0</v>
      </c>
      <c r="Q489">
        <f>電力量!Q490-電力量!Q489</f>
        <v>0</v>
      </c>
      <c r="R489">
        <f>電力量!R490-電力量!R489</f>
        <v>0</v>
      </c>
    </row>
    <row r="490" spans="1:18">
      <c r="A490" s="4">
        <f t="shared" si="168"/>
        <v>45920.333333333336</v>
      </c>
      <c r="B490">
        <f>電力量!B491-電力量!B490</f>
        <v>522</v>
      </c>
      <c r="C490">
        <f>電力量!C491-電力量!C490</f>
        <v>130</v>
      </c>
      <c r="D490">
        <f>電力量!D491-電力量!D490</f>
        <v>9.4000000000014552</v>
      </c>
      <c r="E490">
        <f>電力量!E491-電力量!E490</f>
        <v>0</v>
      </c>
      <c r="F490">
        <f>電力量!F491-電力量!F490</f>
        <v>21</v>
      </c>
      <c r="G490">
        <f>電力量!G491-電力量!G490</f>
        <v>41.899999999994179</v>
      </c>
      <c r="H490">
        <f>電力量!H491-電力量!H490</f>
        <v>12</v>
      </c>
      <c r="I490">
        <f>電力量!I491-電力量!I490</f>
        <v>168</v>
      </c>
      <c r="J490">
        <f>電力量!J491-電力量!J490</f>
        <v>7</v>
      </c>
      <c r="K490">
        <f>電力量!K491-電力量!K490</f>
        <v>2.1000000000058208</v>
      </c>
      <c r="L490">
        <f>電力量!L491-電力量!L490</f>
        <v>14.5</v>
      </c>
      <c r="M490">
        <f>電力量!M491-電力量!M490</f>
        <v>7.0999999999912689</v>
      </c>
      <c r="N490">
        <f>電力量!N491-電力量!N490</f>
        <v>53.100000000000364</v>
      </c>
      <c r="O490">
        <f>電力量!O491-電力量!O490</f>
        <v>17.5</v>
      </c>
      <c r="P490">
        <f>電力量!P491-電力量!P490</f>
        <v>0</v>
      </c>
      <c r="Q490">
        <f>電力量!Q491-電力量!Q490</f>
        <v>0</v>
      </c>
      <c r="R490">
        <f>電力量!R491-電力量!R490</f>
        <v>0</v>
      </c>
    </row>
    <row r="491" spans="1:18">
      <c r="A491" s="4">
        <f t="shared" si="169"/>
        <v>45920.375</v>
      </c>
      <c r="B491">
        <f>電力量!B492-電力量!B491</f>
        <v>539</v>
      </c>
      <c r="C491">
        <f>電力量!C492-電力量!C491</f>
        <v>131</v>
      </c>
      <c r="D491">
        <f>電力量!D492-電力量!D491</f>
        <v>11.69999999999709</v>
      </c>
      <c r="E491">
        <f>電力量!E492-電力量!E491</f>
        <v>0</v>
      </c>
      <c r="F491">
        <f>電力量!F492-電力量!F491</f>
        <v>22</v>
      </c>
      <c r="G491">
        <f>電力量!G492-電力量!G491</f>
        <v>41.400000000008731</v>
      </c>
      <c r="H491">
        <f>電力量!H492-電力量!H491</f>
        <v>12</v>
      </c>
      <c r="I491">
        <f>電力量!I492-電力量!I491</f>
        <v>181</v>
      </c>
      <c r="J491">
        <f>電力量!J492-電力量!J491</f>
        <v>7.2999999999956344</v>
      </c>
      <c r="K491">
        <f>電力量!K492-電力量!K491</f>
        <v>1.8999999999941792</v>
      </c>
      <c r="L491">
        <f>電力量!L492-電力量!L491</f>
        <v>13</v>
      </c>
      <c r="M491">
        <f>電力量!M492-電力量!M491</f>
        <v>7.3000000000029104</v>
      </c>
      <c r="N491">
        <f>電力量!N492-電力量!N491</f>
        <v>53.5</v>
      </c>
      <c r="O491">
        <f>電力量!O492-電力量!O491</f>
        <v>17.199999999999818</v>
      </c>
      <c r="P491">
        <f>電力量!P492-電力量!P491</f>
        <v>0</v>
      </c>
      <c r="Q491">
        <f>電力量!Q492-電力量!Q491</f>
        <v>0</v>
      </c>
      <c r="R491">
        <f>電力量!R492-電力量!R491</f>
        <v>0</v>
      </c>
    </row>
    <row r="492" spans="1:18">
      <c r="A492" s="4">
        <f t="shared" si="170"/>
        <v>45920.416666666664</v>
      </c>
      <c r="B492">
        <f>電力量!B493-電力量!B492</f>
        <v>568</v>
      </c>
      <c r="C492">
        <f>電力量!C493-電力量!C492</f>
        <v>142</v>
      </c>
      <c r="D492">
        <f>電力量!D493-電力量!D492</f>
        <v>11.5</v>
      </c>
      <c r="E492">
        <f>電力量!E493-電力量!E492</f>
        <v>0</v>
      </c>
      <c r="F492">
        <f>電力量!F493-電力量!F492</f>
        <v>24</v>
      </c>
      <c r="G492">
        <f>電力量!G493-電力量!G492</f>
        <v>47.399999999994179</v>
      </c>
      <c r="H492">
        <f>電力量!H493-電力量!H492</f>
        <v>11</v>
      </c>
      <c r="I492">
        <f>電力量!I493-電力量!I492</f>
        <v>190</v>
      </c>
      <c r="J492">
        <f>電力量!J493-電力量!J492</f>
        <v>7.6000000000058208</v>
      </c>
      <c r="K492">
        <f>電力量!K493-電力量!K492</f>
        <v>2.1000000000058208</v>
      </c>
      <c r="L492">
        <f>電力量!L493-電力量!L492</f>
        <v>13.199999999998909</v>
      </c>
      <c r="M492">
        <f>電力量!M493-電力量!M492</f>
        <v>8</v>
      </c>
      <c r="N492">
        <f>電力量!N493-電力量!N492</f>
        <v>54</v>
      </c>
      <c r="O492">
        <f>電力量!O493-電力量!O492</f>
        <v>18.300000000000182</v>
      </c>
      <c r="P492">
        <f>電力量!P493-電力量!P492</f>
        <v>0</v>
      </c>
      <c r="Q492">
        <f>電力量!Q493-電力量!Q492</f>
        <v>0</v>
      </c>
      <c r="R492">
        <f>電力量!R493-電力量!R492</f>
        <v>0</v>
      </c>
    </row>
    <row r="493" spans="1:18">
      <c r="A493" s="4">
        <f t="shared" si="171"/>
        <v>45920.458333333336</v>
      </c>
      <c r="B493">
        <f>電力量!B494-電力量!B493</f>
        <v>586</v>
      </c>
      <c r="C493">
        <f>電力量!C494-電力量!C493</f>
        <v>149</v>
      </c>
      <c r="D493">
        <f>電力量!D494-電力量!D493</f>
        <v>11.100000000005821</v>
      </c>
      <c r="E493">
        <f>電力量!E494-電力量!E493</f>
        <v>0</v>
      </c>
      <c r="F493">
        <f>電力量!F494-電力量!F493</f>
        <v>21</v>
      </c>
      <c r="G493">
        <f>電力量!G494-電力量!G493</f>
        <v>46.19999999999709</v>
      </c>
      <c r="H493">
        <f>電力量!H494-電力量!H493</f>
        <v>10</v>
      </c>
      <c r="I493">
        <f>電力量!I494-電力量!I493</f>
        <v>200</v>
      </c>
      <c r="J493">
        <f>電力量!J494-電力量!J493</f>
        <v>7.5</v>
      </c>
      <c r="K493">
        <f>電力量!K494-電力量!K493</f>
        <v>5.5999999999912689</v>
      </c>
      <c r="L493">
        <f>電力量!L494-電力量!L493</f>
        <v>12.600000000000364</v>
      </c>
      <c r="M493">
        <f>電力量!M494-電力量!M493</f>
        <v>9</v>
      </c>
      <c r="N493">
        <f>電力量!N494-電力量!N493</f>
        <v>53.700000000000728</v>
      </c>
      <c r="O493">
        <f>電力量!O494-電力量!O493</f>
        <v>17.900000000000091</v>
      </c>
      <c r="P493">
        <f>電力量!P494-電力量!P493</f>
        <v>0</v>
      </c>
      <c r="Q493">
        <f>電力量!Q494-電力量!Q493</f>
        <v>0</v>
      </c>
      <c r="R493">
        <f>電力量!R494-電力量!R493</f>
        <v>0</v>
      </c>
    </row>
    <row r="494" spans="1:18">
      <c r="A494" s="4">
        <f t="shared" si="172"/>
        <v>45920.5</v>
      </c>
      <c r="B494">
        <f>電力量!B495-電力量!B494</f>
        <v>566</v>
      </c>
      <c r="C494">
        <f>電力量!C495-電力量!C494</f>
        <v>139</v>
      </c>
      <c r="D494">
        <f>電力量!D495-電力量!D494</f>
        <v>10.5</v>
      </c>
      <c r="E494">
        <f>電力量!E495-電力量!E494</f>
        <v>0</v>
      </c>
      <c r="F494">
        <f>電力量!F495-電力量!F494</f>
        <v>25</v>
      </c>
      <c r="G494">
        <f>電力量!G495-電力量!G494</f>
        <v>43.30000000000291</v>
      </c>
      <c r="H494">
        <f>電力量!H495-電力量!H494</f>
        <v>11</v>
      </c>
      <c r="I494">
        <f>電力量!I495-電力量!I494</f>
        <v>193</v>
      </c>
      <c r="J494">
        <f>電力量!J495-電力量!J494</f>
        <v>7.0999999999985448</v>
      </c>
      <c r="K494">
        <f>電力量!K495-電力量!K494</f>
        <v>5.9000000000087311</v>
      </c>
      <c r="L494">
        <f>電力量!L495-電力量!L494</f>
        <v>15.700000000000728</v>
      </c>
      <c r="M494">
        <f>電力量!M495-電力量!M494</f>
        <v>6.8000000000029104</v>
      </c>
      <c r="N494">
        <f>電力量!N495-電力量!N494</f>
        <v>53.199999999998909</v>
      </c>
      <c r="O494">
        <f>電力量!O495-電力量!O494</f>
        <v>16.799999999999727</v>
      </c>
      <c r="P494">
        <f>電力量!P495-電力量!P494</f>
        <v>0</v>
      </c>
      <c r="Q494">
        <f>電力量!Q495-電力量!Q494</f>
        <v>0</v>
      </c>
      <c r="R494">
        <f>電力量!R495-電力量!R494</f>
        <v>0</v>
      </c>
    </row>
    <row r="495" spans="1:18">
      <c r="A495" s="4">
        <f t="shared" si="173"/>
        <v>45920.541666666664</v>
      </c>
      <c r="B495">
        <f>電力量!B496-電力量!B495</f>
        <v>563</v>
      </c>
      <c r="C495">
        <f>電力量!C496-電力量!C495</f>
        <v>143</v>
      </c>
      <c r="D495">
        <f>電力量!D496-電力量!D495</f>
        <v>10.5</v>
      </c>
      <c r="E495">
        <f>電力量!E496-電力量!E495</f>
        <v>0</v>
      </c>
      <c r="F495">
        <f>電力量!F496-電力量!F495</f>
        <v>25</v>
      </c>
      <c r="G495">
        <f>電力量!G496-電力量!G495</f>
        <v>42.69999999999709</v>
      </c>
      <c r="H495">
        <f>電力量!H496-電力量!H495</f>
        <v>11</v>
      </c>
      <c r="I495">
        <f>電力量!I496-電力量!I495</f>
        <v>188</v>
      </c>
      <c r="J495">
        <f>電力量!J496-電力量!J495</f>
        <v>6.5999999999985448</v>
      </c>
      <c r="K495">
        <f>電力量!K496-電力量!K495</f>
        <v>6.0999999999912689</v>
      </c>
      <c r="L495">
        <f>電力量!L496-電力量!L495</f>
        <v>15.5</v>
      </c>
      <c r="M495">
        <f>電力量!M496-電力量!M495</f>
        <v>6.8999999999941792</v>
      </c>
      <c r="N495">
        <f>電力量!N496-電力量!N495</f>
        <v>52.700000000000728</v>
      </c>
      <c r="O495">
        <f>電力量!O496-電力量!O495</f>
        <v>17</v>
      </c>
      <c r="P495">
        <f>電力量!P496-電力量!P495</f>
        <v>0</v>
      </c>
      <c r="Q495">
        <f>電力量!Q496-電力量!Q495</f>
        <v>0</v>
      </c>
      <c r="R495">
        <f>電力量!R496-電力量!R495</f>
        <v>0</v>
      </c>
    </row>
    <row r="496" spans="1:18">
      <c r="A496" s="4">
        <f t="shared" si="174"/>
        <v>45920.583333333336</v>
      </c>
      <c r="B496">
        <f>電力量!B497-電力量!B496</f>
        <v>579</v>
      </c>
      <c r="C496">
        <f>電力量!C497-電力量!C496</f>
        <v>136</v>
      </c>
      <c r="D496">
        <f>電力量!D497-電力量!D496</f>
        <v>11</v>
      </c>
      <c r="E496">
        <f>電力量!E497-電力量!E496</f>
        <v>0</v>
      </c>
      <c r="F496">
        <f>電力量!F497-電力量!F496</f>
        <v>22</v>
      </c>
      <c r="G496">
        <f>電力量!G497-電力量!G496</f>
        <v>38.900000000008731</v>
      </c>
      <c r="H496">
        <f>電力量!H497-電力量!H496</f>
        <v>11</v>
      </c>
      <c r="I496">
        <f>電力量!I497-電力量!I496</f>
        <v>216</v>
      </c>
      <c r="J496">
        <f>電力量!J497-電力量!J496</f>
        <v>6.6999999999970896</v>
      </c>
      <c r="K496">
        <f>電力量!K497-電力量!K496</f>
        <v>5.7000000000116415</v>
      </c>
      <c r="L496">
        <f>電力量!L497-電力量!L496</f>
        <v>13.699999999998909</v>
      </c>
      <c r="M496">
        <f>電力量!M497-電力量!M496</f>
        <v>7</v>
      </c>
      <c r="N496">
        <f>電力量!N497-電力量!N496</f>
        <v>52.199999999998909</v>
      </c>
      <c r="O496">
        <f>電力量!O497-電力量!O496</f>
        <v>17.200000000000273</v>
      </c>
      <c r="P496">
        <f>電力量!P497-電力量!P496</f>
        <v>0</v>
      </c>
      <c r="Q496">
        <f>電力量!Q497-電力量!Q496</f>
        <v>0</v>
      </c>
      <c r="R496">
        <f>電力量!R497-電力量!R496</f>
        <v>0</v>
      </c>
    </row>
    <row r="497" spans="1:18">
      <c r="A497" s="4">
        <f t="shared" si="175"/>
        <v>45920.625</v>
      </c>
      <c r="B497">
        <f>電力量!B498-電力量!B497</f>
        <v>613</v>
      </c>
      <c r="C497">
        <f>電力量!C498-電力量!C497</f>
        <v>156</v>
      </c>
      <c r="D497">
        <f>電力量!D498-電力量!D497</f>
        <v>12</v>
      </c>
      <c r="E497">
        <f>電力量!E498-電力量!E497</f>
        <v>0</v>
      </c>
      <c r="F497">
        <f>電力量!F498-電力量!F497</f>
        <v>23</v>
      </c>
      <c r="G497">
        <f>電力量!G498-電力量!G497</f>
        <v>37</v>
      </c>
      <c r="H497">
        <f>電力量!H498-電力量!H497</f>
        <v>11</v>
      </c>
      <c r="I497">
        <f>電力量!I498-電力量!I497</f>
        <v>223</v>
      </c>
      <c r="J497">
        <f>電力量!J498-電力量!J497</f>
        <v>7.6000000000058208</v>
      </c>
      <c r="K497">
        <f>電力量!K498-電力量!K497</f>
        <v>5.8999999999941792</v>
      </c>
      <c r="L497">
        <f>電力量!L498-電力量!L497</f>
        <v>15.300000000001091</v>
      </c>
      <c r="M497">
        <f>電力量!M498-電力量!M497</f>
        <v>7.7000000000116415</v>
      </c>
      <c r="N497">
        <f>電力量!N498-電力量!N497</f>
        <v>53.5</v>
      </c>
      <c r="O497">
        <f>電力量!O498-電力量!O497</f>
        <v>17.599999999999909</v>
      </c>
      <c r="P497">
        <f>電力量!P498-電力量!P497</f>
        <v>0</v>
      </c>
      <c r="Q497">
        <f>電力量!Q498-電力量!Q497</f>
        <v>0</v>
      </c>
      <c r="R497">
        <f>電力量!R498-電力量!R497</f>
        <v>0</v>
      </c>
    </row>
    <row r="498" spans="1:18">
      <c r="A498" s="4">
        <f t="shared" si="176"/>
        <v>45920.666666666664</v>
      </c>
      <c r="B498">
        <f>電力量!B499-電力量!B498</f>
        <v>610</v>
      </c>
      <c r="C498">
        <f>電力量!C499-電力量!C498</f>
        <v>157</v>
      </c>
      <c r="D498">
        <f>電力量!D499-電力量!D498</f>
        <v>11.099999999998545</v>
      </c>
      <c r="E498">
        <f>電力量!E499-電力量!E498</f>
        <v>0</v>
      </c>
      <c r="F498">
        <f>電力量!F499-電力量!F498</f>
        <v>23</v>
      </c>
      <c r="G498">
        <f>電力量!G499-電力量!G498</f>
        <v>38.19999999999709</v>
      </c>
      <c r="H498">
        <f>電力量!H499-電力量!H498</f>
        <v>11</v>
      </c>
      <c r="I498">
        <f>電力量!I499-電力量!I498</f>
        <v>219</v>
      </c>
      <c r="J498">
        <f>電力量!J499-電力量!J498</f>
        <v>7.2999999999956344</v>
      </c>
      <c r="K498">
        <f>電力量!K499-電力量!K498</f>
        <v>6.3000000000029104</v>
      </c>
      <c r="L498">
        <f>電力量!L499-電力量!L498</f>
        <v>13.699999999998909</v>
      </c>
      <c r="M498">
        <f>電力量!M499-電力量!M498</f>
        <v>7.6999999999970896</v>
      </c>
      <c r="N498">
        <f>電力量!N499-電力量!N498</f>
        <v>53.400000000001455</v>
      </c>
      <c r="O498">
        <f>電力量!O499-電力量!O498</f>
        <v>18.199999999999818</v>
      </c>
      <c r="P498">
        <f>電力量!P499-電力量!P498</f>
        <v>0</v>
      </c>
      <c r="Q498">
        <f>電力量!Q499-電力量!Q498</f>
        <v>0</v>
      </c>
      <c r="R498">
        <f>電力量!R499-電力量!R498</f>
        <v>0</v>
      </c>
    </row>
    <row r="499" spans="1:18">
      <c r="A499" s="4">
        <f t="shared" si="177"/>
        <v>45920.708333333336</v>
      </c>
      <c r="B499">
        <f>電力量!B500-電力量!B499</f>
        <v>572</v>
      </c>
      <c r="C499">
        <f>電力量!C500-電力量!C499</f>
        <v>142</v>
      </c>
      <c r="D499">
        <f>電力量!D500-電力量!D499</f>
        <v>10.5</v>
      </c>
      <c r="E499">
        <f>電力量!E500-電力量!E499</f>
        <v>0</v>
      </c>
      <c r="F499">
        <f>電力量!F500-電力量!F499</f>
        <v>19</v>
      </c>
      <c r="G499">
        <f>電力量!G500-電力量!G499</f>
        <v>37</v>
      </c>
      <c r="H499">
        <f>電力量!H500-電力量!H499</f>
        <v>12</v>
      </c>
      <c r="I499">
        <f>電力量!I500-電力量!I499</f>
        <v>209</v>
      </c>
      <c r="J499">
        <f>電力量!J500-電力量!J499</f>
        <v>6.9000000000014552</v>
      </c>
      <c r="K499">
        <f>電力量!K500-電力量!K499</f>
        <v>2.8999999999941792</v>
      </c>
      <c r="L499">
        <f>電力量!L500-電力量!L499</f>
        <v>12.800000000001091</v>
      </c>
      <c r="M499">
        <f>電力量!M500-電力量!M499</f>
        <v>7.3999999999941792</v>
      </c>
      <c r="N499">
        <f>電力量!N500-電力量!N499</f>
        <v>52.899999999999636</v>
      </c>
      <c r="O499">
        <f>電力量!O500-電力量!O499</f>
        <v>19.099999999999909</v>
      </c>
      <c r="P499">
        <f>電力量!P500-電力量!P499</f>
        <v>0</v>
      </c>
      <c r="Q499">
        <f>電力量!Q500-電力量!Q499</f>
        <v>0</v>
      </c>
      <c r="R499">
        <f>電力量!R500-電力量!R499</f>
        <v>0</v>
      </c>
    </row>
    <row r="500" spans="1:18">
      <c r="A500" s="4">
        <f t="shared" si="178"/>
        <v>45920.75</v>
      </c>
      <c r="B500">
        <f>電力量!B501-電力量!B500</f>
        <v>544</v>
      </c>
      <c r="C500">
        <f>電力量!C501-電力量!C500</f>
        <v>123</v>
      </c>
      <c r="D500">
        <f>電力量!D501-電力量!D500</f>
        <v>9.1999999999970896</v>
      </c>
      <c r="E500">
        <f>電力量!E501-電力量!E500</f>
        <v>0</v>
      </c>
      <c r="F500">
        <f>電力量!F501-電力量!F500</f>
        <v>19</v>
      </c>
      <c r="G500">
        <f>電力量!G501-電力量!G500</f>
        <v>38.30000000000291</v>
      </c>
      <c r="H500">
        <f>電力量!H501-電力量!H500</f>
        <v>11</v>
      </c>
      <c r="I500">
        <f>電力量!I501-電力量!I500</f>
        <v>200</v>
      </c>
      <c r="J500">
        <f>電力量!J501-電力量!J500</f>
        <v>6.6999999999970896</v>
      </c>
      <c r="K500">
        <f>電力量!K501-電力量!K500</f>
        <v>2.1999999999970896</v>
      </c>
      <c r="L500">
        <f>電力量!L501-電力量!L500</f>
        <v>13.799999999999272</v>
      </c>
      <c r="M500">
        <f>電力量!M501-電力量!M500</f>
        <v>7.5</v>
      </c>
      <c r="N500">
        <f>電力量!N501-電力量!N500</f>
        <v>52.799999999999272</v>
      </c>
      <c r="O500">
        <f>電力量!O501-電力量!O500</f>
        <v>17.800000000000182</v>
      </c>
      <c r="P500">
        <f>電力量!P501-電力量!P500</f>
        <v>0</v>
      </c>
      <c r="Q500">
        <f>電力量!Q501-電力量!Q500</f>
        <v>0</v>
      </c>
      <c r="R500">
        <f>電力量!R501-電力量!R500</f>
        <v>0</v>
      </c>
    </row>
    <row r="501" spans="1:18">
      <c r="A501" s="4">
        <f t="shared" si="179"/>
        <v>45920.791666666664</v>
      </c>
      <c r="B501">
        <f>電力量!B502-電力量!B501</f>
        <v>531</v>
      </c>
      <c r="C501">
        <f>電力量!C502-電力量!C501</f>
        <v>113</v>
      </c>
      <c r="D501">
        <f>電力量!D502-電力量!D501</f>
        <v>9.2000000000043656</v>
      </c>
      <c r="E501">
        <f>電力量!E502-電力量!E501</f>
        <v>0</v>
      </c>
      <c r="F501">
        <f>電力量!F502-電力量!F501</f>
        <v>19</v>
      </c>
      <c r="G501">
        <f>電力量!G502-電力量!G501</f>
        <v>41.599999999991269</v>
      </c>
      <c r="H501">
        <f>電力量!H502-電力量!H501</f>
        <v>12</v>
      </c>
      <c r="I501">
        <f>電力量!I502-電力量!I501</f>
        <v>196</v>
      </c>
      <c r="J501">
        <f>電力量!J502-電力量!J501</f>
        <v>7.1000000000058208</v>
      </c>
      <c r="K501">
        <f>電力量!K502-電力量!K501</f>
        <v>2.2000000000116415</v>
      </c>
      <c r="L501">
        <f>電力量!L502-電力量!L501</f>
        <v>17.5</v>
      </c>
      <c r="M501">
        <f>電力量!M502-電力量!M501</f>
        <v>7.8000000000029104</v>
      </c>
      <c r="N501">
        <f>電力量!N502-電力量!N501</f>
        <v>52.200000000000728</v>
      </c>
      <c r="O501">
        <f>電力量!O502-電力量!O501</f>
        <v>17.800000000000182</v>
      </c>
      <c r="P501">
        <f>電力量!P502-電力量!P501</f>
        <v>0</v>
      </c>
      <c r="Q501">
        <f>電力量!Q502-電力量!Q501</f>
        <v>0</v>
      </c>
      <c r="R501">
        <f>電力量!R502-電力量!R501</f>
        <v>0</v>
      </c>
    </row>
    <row r="502" spans="1:18">
      <c r="A502" s="4">
        <f t="shared" si="180"/>
        <v>45920.833333333336</v>
      </c>
      <c r="B502">
        <f>電力量!B503-電力量!B502</f>
        <v>513</v>
      </c>
      <c r="C502">
        <f>電力量!C503-電力量!C502</f>
        <v>106</v>
      </c>
      <c r="D502">
        <f>電力量!D503-電力量!D502</f>
        <v>8.2999999999956344</v>
      </c>
      <c r="E502">
        <f>電力量!E503-電力量!E502</f>
        <v>0</v>
      </c>
      <c r="F502">
        <f>電力量!F503-電力量!F502</f>
        <v>17</v>
      </c>
      <c r="G502">
        <f>電力量!G503-電力量!G502</f>
        <v>39.100000000005821</v>
      </c>
      <c r="H502">
        <f>電力量!H503-電力量!H502</f>
        <v>11</v>
      </c>
      <c r="I502">
        <f>電力量!I503-電力量!I502</f>
        <v>193</v>
      </c>
      <c r="J502">
        <f>電力量!J503-電力量!J502</f>
        <v>6.6999999999970896</v>
      </c>
      <c r="K502">
        <f>電力量!K503-電力量!K502</f>
        <v>2.1999999999970896</v>
      </c>
      <c r="L502">
        <f>電力量!L503-電力量!L502</f>
        <v>16.399999999999636</v>
      </c>
      <c r="M502">
        <f>電力量!M503-電力量!M502</f>
        <v>7.3999999999941792</v>
      </c>
      <c r="N502">
        <f>電力量!N503-電力量!N502</f>
        <v>50.600000000000364</v>
      </c>
      <c r="O502">
        <f>電力量!O503-電力量!O502</f>
        <v>19.599999999999909</v>
      </c>
      <c r="P502">
        <f>電力量!P503-電力量!P502</f>
        <v>0</v>
      </c>
      <c r="Q502">
        <f>電力量!Q503-電力量!Q502</f>
        <v>0</v>
      </c>
      <c r="R502">
        <f>電力量!R503-電力量!R502</f>
        <v>0</v>
      </c>
    </row>
    <row r="503" spans="1:18">
      <c r="A503" s="4">
        <f t="shared" si="181"/>
        <v>45920.875</v>
      </c>
      <c r="B503">
        <f>電力量!B504-電力量!B503</f>
        <v>505</v>
      </c>
      <c r="C503">
        <f>電力量!C504-電力量!C503</f>
        <v>105</v>
      </c>
      <c r="D503">
        <f>電力量!D504-電力量!D503</f>
        <v>9.5</v>
      </c>
      <c r="E503">
        <f>電力量!E504-電力量!E503</f>
        <v>0</v>
      </c>
      <c r="F503">
        <f>電力量!F504-電力量!F503</f>
        <v>14</v>
      </c>
      <c r="G503">
        <f>電力量!G504-電力量!G503</f>
        <v>37.599999999991269</v>
      </c>
      <c r="H503">
        <f>電力量!H504-電力量!H503</f>
        <v>11</v>
      </c>
      <c r="I503">
        <f>電力量!I504-電力量!I503</f>
        <v>190</v>
      </c>
      <c r="J503">
        <f>電力量!J504-電力量!J503</f>
        <v>6.6999999999970896</v>
      </c>
      <c r="K503">
        <f>電力量!K504-電力量!K503</f>
        <v>2.0999999999912689</v>
      </c>
      <c r="L503">
        <f>電力量!L504-電力量!L503</f>
        <v>16.899999999999636</v>
      </c>
      <c r="M503">
        <f>電力量!M504-電力量!M503</f>
        <v>7.7000000000116415</v>
      </c>
      <c r="N503">
        <f>電力量!N504-電力量!N503</f>
        <v>50.599999999998545</v>
      </c>
      <c r="O503">
        <f>電力量!O504-電力量!O503</f>
        <v>18.400000000000091</v>
      </c>
      <c r="P503">
        <f>電力量!P504-電力量!P503</f>
        <v>0</v>
      </c>
      <c r="Q503">
        <f>電力量!Q504-電力量!Q503</f>
        <v>0</v>
      </c>
      <c r="R503">
        <f>電力量!R504-電力量!R503</f>
        <v>0</v>
      </c>
    </row>
    <row r="504" spans="1:18">
      <c r="A504" s="4">
        <f t="shared" si="182"/>
        <v>45920.916666666664</v>
      </c>
      <c r="B504">
        <f>電力量!B505-電力量!B504</f>
        <v>493</v>
      </c>
      <c r="C504">
        <f>電力量!C505-電力量!C504</f>
        <v>102</v>
      </c>
      <c r="D504">
        <f>電力量!D505-電力量!D504</f>
        <v>9.4000000000014552</v>
      </c>
      <c r="E504">
        <f>電力量!E505-電力量!E504</f>
        <v>0</v>
      </c>
      <c r="F504">
        <f>電力量!F505-電力量!F504</f>
        <v>14</v>
      </c>
      <c r="G504">
        <f>電力量!G505-電力量!G504</f>
        <v>37.100000000005821</v>
      </c>
      <c r="H504">
        <f>電力量!H505-電力量!H504</f>
        <v>11</v>
      </c>
      <c r="I504">
        <f>電力量!I505-電力量!I504</f>
        <v>186</v>
      </c>
      <c r="J504">
        <f>電力量!J505-電力量!J504</f>
        <v>6.7000000000043656</v>
      </c>
      <c r="K504">
        <f>電力量!K505-電力量!K504</f>
        <v>2.3000000000029104</v>
      </c>
      <c r="L504">
        <f>電力量!L505-電力量!L504</f>
        <v>14.800000000001091</v>
      </c>
      <c r="M504">
        <f>電力量!M505-電力量!M504</f>
        <v>8</v>
      </c>
      <c r="N504">
        <f>電力量!N505-電力量!N504</f>
        <v>50.400000000001455</v>
      </c>
      <c r="O504">
        <f>電力量!O505-電力量!O504</f>
        <v>17</v>
      </c>
      <c r="P504">
        <f>電力量!P505-電力量!P504</f>
        <v>0</v>
      </c>
      <c r="Q504">
        <f>電力量!Q505-電力量!Q504</f>
        <v>0</v>
      </c>
      <c r="R504">
        <f>電力量!R505-電力量!R504</f>
        <v>0</v>
      </c>
    </row>
    <row r="505" spans="1:18">
      <c r="A505" s="4">
        <f t="shared" si="183"/>
        <v>45920.958333333336</v>
      </c>
      <c r="B505">
        <f>電力量!B506-電力量!B505</f>
        <v>480</v>
      </c>
      <c r="C505">
        <f>電力量!C506-電力量!C505</f>
        <v>99</v>
      </c>
      <c r="D505">
        <f>電力量!D506-電力量!D505</f>
        <v>8.5</v>
      </c>
      <c r="E505">
        <f>電力量!E506-電力量!E505</f>
        <v>0</v>
      </c>
      <c r="F505">
        <f>電力量!F506-電力量!F505</f>
        <v>12</v>
      </c>
      <c r="G505">
        <f>電力量!G506-電力量!G505</f>
        <v>36.80000000000291</v>
      </c>
      <c r="H505">
        <f>電力量!H506-電力量!H505</f>
        <v>11</v>
      </c>
      <c r="I505">
        <f>電力量!I506-電力量!I505</f>
        <v>180</v>
      </c>
      <c r="J505">
        <f>電力量!J506-電力量!J505</f>
        <v>5.2999999999956344</v>
      </c>
      <c r="K505">
        <f>電力量!K506-電力量!K505</f>
        <v>2.1000000000058208</v>
      </c>
      <c r="L505">
        <f>電力量!L506-電力量!L505</f>
        <v>13.199999999998909</v>
      </c>
      <c r="M505">
        <f>電力量!M506-電力量!M505</f>
        <v>7.6999999999970896</v>
      </c>
      <c r="N505">
        <f>電力量!N506-電力量!N505</f>
        <v>50.399999999999636</v>
      </c>
      <c r="O505">
        <f>電力量!O506-電力量!O505</f>
        <v>16.799999999999727</v>
      </c>
      <c r="P505">
        <f>電力量!P506-電力量!P505</f>
        <v>0</v>
      </c>
      <c r="Q505">
        <f>電力量!Q506-電力量!Q505</f>
        <v>0</v>
      </c>
      <c r="R505">
        <f>電力量!R506-電力量!R505</f>
        <v>0</v>
      </c>
    </row>
    <row r="506" spans="1:18">
      <c r="A506" s="4">
        <v>45921</v>
      </c>
      <c r="B506">
        <f>電力量!B507-電力量!B506</f>
        <v>458</v>
      </c>
      <c r="C506">
        <f>電力量!C507-電力量!C506</f>
        <v>97</v>
      </c>
      <c r="D506">
        <f>電力量!D507-電力量!D506</f>
        <v>7.9000000000014552</v>
      </c>
      <c r="E506">
        <f>電力量!E507-電力量!E506</f>
        <v>0</v>
      </c>
      <c r="F506">
        <f>電力量!F507-電力量!F506</f>
        <v>13</v>
      </c>
      <c r="G506">
        <f>電力量!G507-電力量!G506</f>
        <v>36.099999999991269</v>
      </c>
      <c r="H506">
        <f>電力量!H507-電力量!H506</f>
        <v>11</v>
      </c>
      <c r="I506">
        <f>電力量!I507-電力量!I506</f>
        <v>171</v>
      </c>
      <c r="J506">
        <f>電力量!J507-電力量!J506</f>
        <v>3.1000000000058208</v>
      </c>
      <c r="K506">
        <f>電力量!K507-電力量!K506</f>
        <v>2.1999999999970896</v>
      </c>
      <c r="L506">
        <f>電力量!L507-電力量!L506</f>
        <v>12.800000000001091</v>
      </c>
      <c r="M506">
        <f>電力量!M507-電力量!M506</f>
        <v>7.3999999999941792</v>
      </c>
      <c r="N506">
        <f>電力量!N507-電力量!N506</f>
        <v>49.699999999998909</v>
      </c>
      <c r="O506">
        <f>電力量!O507-電力量!O506</f>
        <v>15.599999999999909</v>
      </c>
      <c r="P506">
        <f>電力量!P507-電力量!P506</f>
        <v>0</v>
      </c>
      <c r="Q506">
        <f>電力量!Q507-電力量!Q506</f>
        <v>0</v>
      </c>
      <c r="R506">
        <f>電力量!R507-電力量!R506</f>
        <v>0</v>
      </c>
    </row>
    <row r="507" spans="1:18">
      <c r="A507" s="4">
        <f t="shared" si="161"/>
        <v>45921.041666666664</v>
      </c>
      <c r="B507">
        <f>電力量!B508-電力量!B507</f>
        <v>450</v>
      </c>
      <c r="C507">
        <f>電力量!C508-電力量!C507</f>
        <v>94</v>
      </c>
      <c r="D507">
        <f>電力量!D508-電力量!D507</f>
        <v>9.4000000000014552</v>
      </c>
      <c r="E507">
        <f>電力量!E508-電力量!E507</f>
        <v>0</v>
      </c>
      <c r="F507">
        <f>電力量!F508-電力量!F507</f>
        <v>12</v>
      </c>
      <c r="G507">
        <f>電力量!G508-電力量!G507</f>
        <v>37.100000000005821</v>
      </c>
      <c r="H507">
        <f>電力量!H508-電力量!H507</f>
        <v>11</v>
      </c>
      <c r="I507">
        <f>電力量!I508-電力量!I507</f>
        <v>160</v>
      </c>
      <c r="J507">
        <f>電力量!J508-電力量!J507</f>
        <v>3.2999999999956344</v>
      </c>
      <c r="K507">
        <f>電力量!K508-電力量!K507</f>
        <v>2.1999999999970896</v>
      </c>
      <c r="L507">
        <f>電力量!L508-電力量!L507</f>
        <v>13.199999999998909</v>
      </c>
      <c r="M507">
        <f>電力量!M508-電力量!M507</f>
        <v>7.8000000000029104</v>
      </c>
      <c r="N507">
        <f>電力量!N508-電力量!N507</f>
        <v>49.400000000001455</v>
      </c>
      <c r="O507">
        <f>電力量!O508-電力量!O507</f>
        <v>16.5</v>
      </c>
      <c r="P507">
        <f>電力量!P508-電力量!P507</f>
        <v>0</v>
      </c>
      <c r="Q507">
        <f>電力量!Q508-電力量!Q507</f>
        <v>0</v>
      </c>
      <c r="R507">
        <f>電力量!R508-電力量!R507</f>
        <v>0</v>
      </c>
    </row>
    <row r="508" spans="1:18">
      <c r="A508" s="4">
        <f t="shared" si="162"/>
        <v>45921.083333333336</v>
      </c>
      <c r="B508">
        <f>電力量!B509-電力量!B508</f>
        <v>446</v>
      </c>
      <c r="C508">
        <f>電力量!C509-電力量!C508</f>
        <v>94</v>
      </c>
      <c r="D508">
        <f>電力量!D509-電力量!D508</f>
        <v>9.5999999999985448</v>
      </c>
      <c r="E508">
        <f>電力量!E509-電力量!E508</f>
        <v>0</v>
      </c>
      <c r="F508">
        <f>電力量!F509-電力量!F508</f>
        <v>13</v>
      </c>
      <c r="G508">
        <f>電力量!G509-電力量!G508</f>
        <v>37</v>
      </c>
      <c r="H508">
        <f>電力量!H509-電力量!H508</f>
        <v>11</v>
      </c>
      <c r="I508">
        <f>電力量!I509-電力量!I508</f>
        <v>159</v>
      </c>
      <c r="J508">
        <f>電力量!J509-電力量!J508</f>
        <v>3.3000000000029104</v>
      </c>
      <c r="K508">
        <f>電力量!K509-電力量!K508</f>
        <v>2.3000000000029104</v>
      </c>
      <c r="L508">
        <f>電力量!L509-電力量!L508</f>
        <v>13.900000000001455</v>
      </c>
      <c r="M508">
        <f>電力量!M509-電力量!M508</f>
        <v>7.6999999999970896</v>
      </c>
      <c r="N508">
        <f>電力量!N509-電力量!N508</f>
        <v>49.399999999999636</v>
      </c>
      <c r="O508">
        <f>電力量!O509-電力量!O508</f>
        <v>16.300000000000182</v>
      </c>
      <c r="P508">
        <f>電力量!P509-電力量!P508</f>
        <v>0</v>
      </c>
      <c r="Q508">
        <f>電力量!Q509-電力量!Q508</f>
        <v>0</v>
      </c>
      <c r="R508">
        <f>電力量!R509-電力量!R508</f>
        <v>0</v>
      </c>
    </row>
    <row r="509" spans="1:18">
      <c r="A509" s="4">
        <f t="shared" si="163"/>
        <v>45921.125</v>
      </c>
      <c r="B509">
        <f>電力量!B510-電力量!B509</f>
        <v>443</v>
      </c>
      <c r="C509">
        <f>電力量!C510-電力量!C509</f>
        <v>96</v>
      </c>
      <c r="D509">
        <f>電力量!D510-電力量!D509</f>
        <v>8.7999999999956344</v>
      </c>
      <c r="E509">
        <f>電力量!E510-電力量!E509</f>
        <v>0</v>
      </c>
      <c r="F509">
        <f>電力量!F510-電力量!F509</f>
        <v>13</v>
      </c>
      <c r="G509">
        <f>電力量!G510-電力量!G509</f>
        <v>35.5</v>
      </c>
      <c r="H509">
        <f>電力量!H510-電力量!H509</f>
        <v>10</v>
      </c>
      <c r="I509">
        <f>電力量!I510-電力量!I509</f>
        <v>157</v>
      </c>
      <c r="J509">
        <f>電力量!J510-電力量!J509</f>
        <v>3.1999999999970896</v>
      </c>
      <c r="K509">
        <f>電力量!K510-電力量!K509</f>
        <v>2.1000000000058208</v>
      </c>
      <c r="L509">
        <f>電力量!L510-電力量!L509</f>
        <v>14.399999999999636</v>
      </c>
      <c r="M509">
        <f>電力量!M510-電力量!M509</f>
        <v>7.6999999999970896</v>
      </c>
      <c r="N509">
        <f>電力量!N510-電力量!N509</f>
        <v>49.799999999999272</v>
      </c>
      <c r="O509">
        <f>電力量!O510-電力量!O509</f>
        <v>16.5</v>
      </c>
      <c r="P509">
        <f>電力量!P510-電力量!P509</f>
        <v>0</v>
      </c>
      <c r="Q509">
        <f>電力量!Q510-電力量!Q509</f>
        <v>0</v>
      </c>
      <c r="R509">
        <f>電力量!R510-電力量!R509</f>
        <v>0</v>
      </c>
    </row>
    <row r="510" spans="1:18">
      <c r="A510" s="4">
        <f t="shared" si="164"/>
        <v>45921.166666666664</v>
      </c>
      <c r="B510">
        <f>電力量!B511-電力量!B510</f>
        <v>429</v>
      </c>
      <c r="C510">
        <f>電力量!C511-電力量!C510</f>
        <v>93</v>
      </c>
      <c r="D510">
        <f>電力量!D511-電力量!D510</f>
        <v>8.5</v>
      </c>
      <c r="E510">
        <f>電力量!E511-電力量!E510</f>
        <v>0</v>
      </c>
      <c r="F510">
        <f>電力量!F511-電力量!F510</f>
        <v>11</v>
      </c>
      <c r="G510">
        <f>電力量!G511-電力量!G510</f>
        <v>35.5</v>
      </c>
      <c r="H510">
        <f>電力量!H511-電力量!H510</f>
        <v>11</v>
      </c>
      <c r="I510">
        <f>電力量!I511-電力量!I510</f>
        <v>150</v>
      </c>
      <c r="J510">
        <f>電力量!J511-電力量!J510</f>
        <v>3.2000000000043656</v>
      </c>
      <c r="K510">
        <f>電力量!K511-電力量!K510</f>
        <v>2.2999999999883585</v>
      </c>
      <c r="L510">
        <f>電力量!L511-電力量!L510</f>
        <v>12.799999999999272</v>
      </c>
      <c r="M510">
        <f>電力量!M511-電力量!M510</f>
        <v>7.4000000000087311</v>
      </c>
      <c r="N510">
        <f>電力量!N511-電力量!N510</f>
        <v>49.300000000001091</v>
      </c>
      <c r="O510">
        <f>電力量!O511-電力量!O510</f>
        <v>16.800000000000182</v>
      </c>
      <c r="P510">
        <f>電力量!P511-電力量!P510</f>
        <v>0</v>
      </c>
      <c r="Q510">
        <f>電力量!Q511-電力量!Q510</f>
        <v>0</v>
      </c>
      <c r="R510">
        <f>電力量!R511-電力量!R510</f>
        <v>0</v>
      </c>
    </row>
    <row r="511" spans="1:18">
      <c r="A511" s="4">
        <f t="shared" si="165"/>
        <v>45921.208333333336</v>
      </c>
      <c r="B511">
        <f>電力量!B512-電力量!B511</f>
        <v>433</v>
      </c>
      <c r="C511">
        <f>電力量!C512-電力量!C511</f>
        <v>93</v>
      </c>
      <c r="D511">
        <f>電力量!D512-電力量!D511</f>
        <v>8.9000000000014552</v>
      </c>
      <c r="E511">
        <f>電力量!E512-電力量!E511</f>
        <v>0</v>
      </c>
      <c r="F511">
        <f>電力量!F512-電力量!F511</f>
        <v>13</v>
      </c>
      <c r="G511">
        <f>電力量!G512-電力量!G511</f>
        <v>35.5</v>
      </c>
      <c r="H511">
        <f>電力量!H512-電力量!H511</f>
        <v>10</v>
      </c>
      <c r="I511">
        <f>電力量!I512-電力量!I511</f>
        <v>151</v>
      </c>
      <c r="J511">
        <f>電力量!J512-電力量!J511</f>
        <v>3</v>
      </c>
      <c r="K511">
        <f>電力量!K512-電力量!K511</f>
        <v>2.2000000000116415</v>
      </c>
      <c r="L511">
        <f>電力量!L512-電力量!L511</f>
        <v>12.800000000001091</v>
      </c>
      <c r="M511">
        <f>電力量!M512-電力量!M511</f>
        <v>8</v>
      </c>
      <c r="N511">
        <f>電力量!N512-電力量!N511</f>
        <v>49.399999999999636</v>
      </c>
      <c r="O511">
        <f>電力量!O512-電力量!O511</f>
        <v>16.799999999999727</v>
      </c>
      <c r="P511">
        <f>電力量!P512-電力量!P511</f>
        <v>0</v>
      </c>
      <c r="Q511">
        <f>電力量!Q512-電力量!Q511</f>
        <v>0</v>
      </c>
      <c r="R511">
        <f>電力量!R512-電力量!R511</f>
        <v>0</v>
      </c>
    </row>
    <row r="512" spans="1:18">
      <c r="A512" s="4">
        <f t="shared" si="166"/>
        <v>45921.25</v>
      </c>
      <c r="B512">
        <f>電力量!B513-電力量!B512</f>
        <v>437</v>
      </c>
      <c r="C512">
        <f>電力量!C513-電力量!C512</f>
        <v>92</v>
      </c>
      <c r="D512">
        <f>電力量!D513-電力量!D512</f>
        <v>8.8000000000029104</v>
      </c>
      <c r="E512">
        <f>電力量!E513-電力量!E512</f>
        <v>0</v>
      </c>
      <c r="F512">
        <f>電力量!F513-電力量!F512</f>
        <v>13</v>
      </c>
      <c r="G512">
        <f>電力量!G513-電力量!G512</f>
        <v>34.399999999994179</v>
      </c>
      <c r="H512">
        <f>電力量!H513-電力量!H512</f>
        <v>11</v>
      </c>
      <c r="I512">
        <f>電力量!I513-電力量!I512</f>
        <v>157</v>
      </c>
      <c r="J512">
        <f>電力量!J513-電力量!J512</f>
        <v>3.0999999999985448</v>
      </c>
      <c r="K512">
        <f>電力量!K513-電力量!K512</f>
        <v>2.2999999999883585</v>
      </c>
      <c r="L512">
        <f>電力量!L513-電力量!L512</f>
        <v>13.199999999998909</v>
      </c>
      <c r="M512">
        <f>電力量!M513-電力量!M512</f>
        <v>8.1999999999970896</v>
      </c>
      <c r="N512">
        <f>電力量!N513-電力量!N512</f>
        <v>49.699999999998909</v>
      </c>
      <c r="O512">
        <f>電力量!O513-電力量!O512</f>
        <v>14.800000000000182</v>
      </c>
      <c r="P512">
        <f>電力量!P513-電力量!P512</f>
        <v>0</v>
      </c>
      <c r="Q512">
        <f>電力量!Q513-電力量!Q512</f>
        <v>0</v>
      </c>
      <c r="R512">
        <f>電力量!R513-電力量!R512</f>
        <v>0</v>
      </c>
    </row>
    <row r="513" spans="1:18">
      <c r="A513" s="4">
        <f t="shared" si="167"/>
        <v>45921.291666666664</v>
      </c>
      <c r="B513">
        <f>電力量!B514-電力量!B513</f>
        <v>432</v>
      </c>
      <c r="C513">
        <f>電力量!C514-電力量!C513</f>
        <v>94</v>
      </c>
      <c r="D513">
        <f>電力量!D514-電力量!D513</f>
        <v>9.4000000000014552</v>
      </c>
      <c r="E513">
        <f>電力量!E514-電力量!E513</f>
        <v>0</v>
      </c>
      <c r="F513">
        <f>電力量!F514-電力量!F513</f>
        <v>13</v>
      </c>
      <c r="G513">
        <f>電力量!G514-電力量!G513</f>
        <v>34.600000000005821</v>
      </c>
      <c r="H513">
        <f>電力量!H514-電力量!H513</f>
        <v>10</v>
      </c>
      <c r="I513">
        <f>電力量!I514-電力量!I513</f>
        <v>151</v>
      </c>
      <c r="J513">
        <f>電力量!J514-電力量!J513</f>
        <v>3.2999999999956344</v>
      </c>
      <c r="K513">
        <f>電力量!K514-電力量!K513</f>
        <v>2.1000000000058208</v>
      </c>
      <c r="L513">
        <f>電力量!L514-電力量!L513</f>
        <v>13</v>
      </c>
      <c r="M513">
        <f>電力量!M514-電力量!M513</f>
        <v>7.6999999999970896</v>
      </c>
      <c r="N513">
        <f>電力量!N514-電力量!N513</f>
        <v>49.600000000000364</v>
      </c>
      <c r="O513">
        <f>電力量!O514-電力量!O513</f>
        <v>16.199999999999818</v>
      </c>
      <c r="P513">
        <f>電力量!P514-電力量!P513</f>
        <v>0</v>
      </c>
      <c r="Q513">
        <f>電力量!Q514-電力量!Q513</f>
        <v>0</v>
      </c>
      <c r="R513">
        <f>電力量!R514-電力量!R513</f>
        <v>0</v>
      </c>
    </row>
    <row r="514" spans="1:18">
      <c r="A514" s="4">
        <f t="shared" si="168"/>
        <v>45921.333333333336</v>
      </c>
      <c r="B514">
        <f>電力量!B515-電力量!B514</f>
        <v>428</v>
      </c>
      <c r="C514">
        <f>電力量!C515-電力量!C514</f>
        <v>89</v>
      </c>
      <c r="D514">
        <f>電力量!D515-電力量!D514</f>
        <v>8.6999999999970896</v>
      </c>
      <c r="E514">
        <f>電力量!E515-電力量!E514</f>
        <v>0</v>
      </c>
      <c r="F514">
        <f>電力量!F515-電力量!F514</f>
        <v>10</v>
      </c>
      <c r="G514">
        <f>電力量!G515-電力量!G514</f>
        <v>31</v>
      </c>
      <c r="H514">
        <f>電力量!H515-電力量!H514</f>
        <v>11</v>
      </c>
      <c r="I514">
        <f>電力量!I515-電力量!I514</f>
        <v>162</v>
      </c>
      <c r="J514">
        <f>電力量!J515-電力量!J514</f>
        <v>3.4000000000014552</v>
      </c>
      <c r="K514">
        <f>電力量!K515-電力量!K514</f>
        <v>2</v>
      </c>
      <c r="L514">
        <f>電力量!L515-電力量!L514</f>
        <v>13.200000000000728</v>
      </c>
      <c r="M514">
        <f>電力量!M515-電力量!M514</f>
        <v>7.6000000000058208</v>
      </c>
      <c r="N514">
        <f>電力量!N515-電力量!N514</f>
        <v>51.300000000001091</v>
      </c>
      <c r="O514">
        <f>電力量!O515-電力量!O514</f>
        <v>9.8000000000001819</v>
      </c>
      <c r="P514">
        <f>電力量!P515-電力量!P514</f>
        <v>0</v>
      </c>
      <c r="Q514">
        <f>電力量!Q515-電力量!Q514</f>
        <v>0</v>
      </c>
      <c r="R514">
        <f>電力量!R515-電力量!R514</f>
        <v>0</v>
      </c>
    </row>
    <row r="515" spans="1:18">
      <c r="A515" s="4">
        <f t="shared" si="169"/>
        <v>45921.375</v>
      </c>
      <c r="B515" t="e">
        <f>電力量!#REF!-電力量!B515</f>
        <v>#REF!</v>
      </c>
      <c r="C515" t="e">
        <f>電力量!#REF!-電力量!C515</f>
        <v>#REF!</v>
      </c>
      <c r="D515" t="e">
        <f>電力量!#REF!-電力量!D515</f>
        <v>#REF!</v>
      </c>
      <c r="E515" t="e">
        <f>電力量!#REF!-電力量!E515</f>
        <v>#REF!</v>
      </c>
      <c r="F515" t="e">
        <f>電力量!#REF!-電力量!F515</f>
        <v>#REF!</v>
      </c>
      <c r="G515" t="e">
        <f>電力量!#REF!-電力量!G515</f>
        <v>#REF!</v>
      </c>
      <c r="H515" t="e">
        <f>電力量!#REF!-電力量!H515</f>
        <v>#REF!</v>
      </c>
      <c r="I515" t="e">
        <f>電力量!#REF!-電力量!I515</f>
        <v>#REF!</v>
      </c>
      <c r="J515" t="e">
        <f>電力量!#REF!-電力量!J515</f>
        <v>#REF!</v>
      </c>
      <c r="K515" t="e">
        <f>電力量!#REF!-電力量!K515</f>
        <v>#REF!</v>
      </c>
      <c r="L515" t="e">
        <f>電力量!#REF!-電力量!L515</f>
        <v>#REF!</v>
      </c>
      <c r="M515" t="e">
        <f>電力量!#REF!-電力量!M515</f>
        <v>#REF!</v>
      </c>
      <c r="N515" t="e">
        <f>電力量!#REF!-電力量!N515</f>
        <v>#REF!</v>
      </c>
      <c r="O515" t="e">
        <f>電力量!#REF!-電力量!O515</f>
        <v>#REF!</v>
      </c>
      <c r="P515" t="e">
        <f>電力量!#REF!-電力量!P515</f>
        <v>#REF!</v>
      </c>
      <c r="Q515" t="e">
        <f>電力量!#REF!-電力量!Q515</f>
        <v>#REF!</v>
      </c>
      <c r="R515" t="e">
        <f>電力量!#REF!-電力量!R515</f>
        <v>#REF!</v>
      </c>
    </row>
    <row r="516" spans="1:18">
      <c r="A516" s="4">
        <f t="shared" si="170"/>
        <v>45921.416666666664</v>
      </c>
      <c r="B516" t="e">
        <f>電力量!#REF!-電力量!#REF!</f>
        <v>#REF!</v>
      </c>
      <c r="C516" t="e">
        <f>電力量!#REF!-電力量!#REF!</f>
        <v>#REF!</v>
      </c>
      <c r="D516" t="e">
        <f>電力量!#REF!-電力量!#REF!</f>
        <v>#REF!</v>
      </c>
      <c r="E516" t="e">
        <f>電力量!#REF!-電力量!#REF!</f>
        <v>#REF!</v>
      </c>
      <c r="F516" t="e">
        <f>電力量!#REF!-電力量!#REF!</f>
        <v>#REF!</v>
      </c>
      <c r="G516" t="e">
        <f>電力量!#REF!-電力量!#REF!</f>
        <v>#REF!</v>
      </c>
      <c r="H516" t="e">
        <f>電力量!#REF!-電力量!#REF!</f>
        <v>#REF!</v>
      </c>
      <c r="I516" t="e">
        <f>電力量!#REF!-電力量!#REF!</f>
        <v>#REF!</v>
      </c>
      <c r="J516" t="e">
        <f>電力量!#REF!-電力量!#REF!</f>
        <v>#REF!</v>
      </c>
      <c r="K516" t="e">
        <f>電力量!#REF!-電力量!#REF!</f>
        <v>#REF!</v>
      </c>
      <c r="L516" t="e">
        <f>電力量!#REF!-電力量!#REF!</f>
        <v>#REF!</v>
      </c>
      <c r="M516" t="e">
        <f>電力量!#REF!-電力量!#REF!</f>
        <v>#REF!</v>
      </c>
      <c r="N516" t="e">
        <f>電力量!#REF!-電力量!#REF!</f>
        <v>#REF!</v>
      </c>
      <c r="O516" t="e">
        <f>電力量!#REF!-電力量!#REF!</f>
        <v>#REF!</v>
      </c>
      <c r="P516" t="e">
        <f>電力量!#REF!-電力量!#REF!</f>
        <v>#REF!</v>
      </c>
      <c r="Q516" t="e">
        <f>電力量!#REF!-電力量!#REF!</f>
        <v>#REF!</v>
      </c>
      <c r="R516" t="e">
        <f>電力量!#REF!-電力量!#REF!</f>
        <v>#REF!</v>
      </c>
    </row>
    <row r="517" spans="1:18">
      <c r="A517" s="4">
        <f t="shared" si="171"/>
        <v>45921.458333333336</v>
      </c>
      <c r="B517" t="e">
        <f>電力量!#REF!-電力量!#REF!</f>
        <v>#REF!</v>
      </c>
      <c r="C517" t="e">
        <f>電力量!#REF!-電力量!#REF!</f>
        <v>#REF!</v>
      </c>
      <c r="D517" t="e">
        <f>電力量!#REF!-電力量!#REF!</f>
        <v>#REF!</v>
      </c>
      <c r="E517" t="e">
        <f>電力量!#REF!-電力量!#REF!</f>
        <v>#REF!</v>
      </c>
      <c r="F517" t="e">
        <f>電力量!#REF!-電力量!#REF!</f>
        <v>#REF!</v>
      </c>
      <c r="G517" t="e">
        <f>電力量!#REF!-電力量!#REF!</f>
        <v>#REF!</v>
      </c>
      <c r="H517" t="e">
        <f>電力量!#REF!-電力量!#REF!</f>
        <v>#REF!</v>
      </c>
      <c r="I517" t="e">
        <f>電力量!#REF!-電力量!#REF!</f>
        <v>#REF!</v>
      </c>
      <c r="J517" t="e">
        <f>電力量!#REF!-電力量!#REF!</f>
        <v>#REF!</v>
      </c>
      <c r="K517" t="e">
        <f>電力量!#REF!-電力量!#REF!</f>
        <v>#REF!</v>
      </c>
      <c r="L517" t="e">
        <f>電力量!#REF!-電力量!#REF!</f>
        <v>#REF!</v>
      </c>
      <c r="M517" t="e">
        <f>電力量!#REF!-電力量!#REF!</f>
        <v>#REF!</v>
      </c>
      <c r="N517" t="e">
        <f>電力量!#REF!-電力量!#REF!</f>
        <v>#REF!</v>
      </c>
      <c r="O517" t="e">
        <f>電力量!#REF!-電力量!#REF!</f>
        <v>#REF!</v>
      </c>
      <c r="P517" t="e">
        <f>電力量!#REF!-電力量!#REF!</f>
        <v>#REF!</v>
      </c>
      <c r="Q517" t="e">
        <f>電力量!#REF!-電力量!#REF!</f>
        <v>#REF!</v>
      </c>
      <c r="R517" t="e">
        <f>電力量!#REF!-電力量!#REF!</f>
        <v>#REF!</v>
      </c>
    </row>
    <row r="518" spans="1:18">
      <c r="A518" s="4">
        <f t="shared" si="172"/>
        <v>45921.5</v>
      </c>
      <c r="B518" t="e">
        <f>電力量!#REF!-電力量!#REF!</f>
        <v>#REF!</v>
      </c>
      <c r="C518" t="e">
        <f>電力量!#REF!-電力量!#REF!</f>
        <v>#REF!</v>
      </c>
      <c r="D518" t="e">
        <f>電力量!#REF!-電力量!#REF!</f>
        <v>#REF!</v>
      </c>
      <c r="E518" t="e">
        <f>電力量!#REF!-電力量!#REF!</f>
        <v>#REF!</v>
      </c>
      <c r="F518" t="e">
        <f>電力量!#REF!-電力量!#REF!</f>
        <v>#REF!</v>
      </c>
      <c r="G518" t="e">
        <f>電力量!#REF!-電力量!#REF!</f>
        <v>#REF!</v>
      </c>
      <c r="H518" t="e">
        <f>電力量!#REF!-電力量!#REF!</f>
        <v>#REF!</v>
      </c>
      <c r="I518" t="e">
        <f>電力量!#REF!-電力量!#REF!</f>
        <v>#REF!</v>
      </c>
      <c r="J518" t="e">
        <f>電力量!#REF!-電力量!#REF!</f>
        <v>#REF!</v>
      </c>
      <c r="K518" t="e">
        <f>電力量!#REF!-電力量!#REF!</f>
        <v>#REF!</v>
      </c>
      <c r="L518" t="e">
        <f>電力量!#REF!-電力量!#REF!</f>
        <v>#REF!</v>
      </c>
      <c r="M518" t="e">
        <f>電力量!#REF!-電力量!#REF!</f>
        <v>#REF!</v>
      </c>
      <c r="N518" t="e">
        <f>電力量!#REF!-電力量!#REF!</f>
        <v>#REF!</v>
      </c>
      <c r="O518" t="e">
        <f>電力量!#REF!-電力量!#REF!</f>
        <v>#REF!</v>
      </c>
      <c r="P518" t="e">
        <f>電力量!#REF!-電力量!#REF!</f>
        <v>#REF!</v>
      </c>
      <c r="Q518" t="e">
        <f>電力量!#REF!-電力量!#REF!</f>
        <v>#REF!</v>
      </c>
      <c r="R518" t="e">
        <f>電力量!#REF!-電力量!#REF!</f>
        <v>#REF!</v>
      </c>
    </row>
    <row r="519" spans="1:18">
      <c r="A519" s="4">
        <f t="shared" si="173"/>
        <v>45921.541666666664</v>
      </c>
      <c r="B519" t="e">
        <f>電力量!#REF!-電力量!#REF!</f>
        <v>#REF!</v>
      </c>
      <c r="C519" t="e">
        <f>電力量!#REF!-電力量!#REF!</f>
        <v>#REF!</v>
      </c>
      <c r="D519" t="e">
        <f>電力量!#REF!-電力量!#REF!</f>
        <v>#REF!</v>
      </c>
      <c r="E519" t="e">
        <f>電力量!#REF!-電力量!#REF!</f>
        <v>#REF!</v>
      </c>
      <c r="F519" t="e">
        <f>電力量!#REF!-電力量!#REF!</f>
        <v>#REF!</v>
      </c>
      <c r="G519" t="e">
        <f>電力量!#REF!-電力量!#REF!</f>
        <v>#REF!</v>
      </c>
      <c r="H519" t="e">
        <f>電力量!#REF!-電力量!#REF!</f>
        <v>#REF!</v>
      </c>
      <c r="I519" t="e">
        <f>電力量!#REF!-電力量!#REF!</f>
        <v>#REF!</v>
      </c>
      <c r="J519" t="e">
        <f>電力量!#REF!-電力量!#REF!</f>
        <v>#REF!</v>
      </c>
      <c r="K519" t="e">
        <f>電力量!#REF!-電力量!#REF!</f>
        <v>#REF!</v>
      </c>
      <c r="L519" t="e">
        <f>電力量!#REF!-電力量!#REF!</f>
        <v>#REF!</v>
      </c>
      <c r="M519" t="e">
        <f>電力量!#REF!-電力量!#REF!</f>
        <v>#REF!</v>
      </c>
      <c r="N519" t="e">
        <f>電力量!#REF!-電力量!#REF!</f>
        <v>#REF!</v>
      </c>
      <c r="O519" t="e">
        <f>電力量!#REF!-電力量!#REF!</f>
        <v>#REF!</v>
      </c>
      <c r="P519" t="e">
        <f>電力量!#REF!-電力量!#REF!</f>
        <v>#REF!</v>
      </c>
      <c r="Q519" t="e">
        <f>電力量!#REF!-電力量!#REF!</f>
        <v>#REF!</v>
      </c>
      <c r="R519" t="e">
        <f>電力量!#REF!-電力量!#REF!</f>
        <v>#REF!</v>
      </c>
    </row>
    <row r="520" spans="1:18">
      <c r="A520" s="4">
        <f t="shared" si="174"/>
        <v>45921.583333333336</v>
      </c>
      <c r="B520" t="e">
        <f>電力量!#REF!-電力量!#REF!</f>
        <v>#REF!</v>
      </c>
      <c r="C520" t="e">
        <f>電力量!#REF!-電力量!#REF!</f>
        <v>#REF!</v>
      </c>
      <c r="D520" t="e">
        <f>電力量!#REF!-電力量!#REF!</f>
        <v>#REF!</v>
      </c>
      <c r="E520" t="e">
        <f>電力量!#REF!-電力量!#REF!</f>
        <v>#REF!</v>
      </c>
      <c r="F520" t="e">
        <f>電力量!#REF!-電力量!#REF!</f>
        <v>#REF!</v>
      </c>
      <c r="G520" t="e">
        <f>電力量!#REF!-電力量!#REF!</f>
        <v>#REF!</v>
      </c>
      <c r="H520" t="e">
        <f>電力量!#REF!-電力量!#REF!</f>
        <v>#REF!</v>
      </c>
      <c r="I520" t="e">
        <f>電力量!#REF!-電力量!#REF!</f>
        <v>#REF!</v>
      </c>
      <c r="J520" t="e">
        <f>電力量!#REF!-電力量!#REF!</f>
        <v>#REF!</v>
      </c>
      <c r="K520" t="e">
        <f>電力量!#REF!-電力量!#REF!</f>
        <v>#REF!</v>
      </c>
      <c r="L520" t="e">
        <f>電力量!#REF!-電力量!#REF!</f>
        <v>#REF!</v>
      </c>
      <c r="M520" t="e">
        <f>電力量!#REF!-電力量!#REF!</f>
        <v>#REF!</v>
      </c>
      <c r="N520" t="e">
        <f>電力量!#REF!-電力量!#REF!</f>
        <v>#REF!</v>
      </c>
      <c r="O520" t="e">
        <f>電力量!#REF!-電力量!#REF!</f>
        <v>#REF!</v>
      </c>
      <c r="P520" t="e">
        <f>電力量!#REF!-電力量!#REF!</f>
        <v>#REF!</v>
      </c>
      <c r="Q520" t="e">
        <f>電力量!#REF!-電力量!#REF!</f>
        <v>#REF!</v>
      </c>
      <c r="R520" t="e">
        <f>電力量!#REF!-電力量!#REF!</f>
        <v>#REF!</v>
      </c>
    </row>
    <row r="521" spans="1:18">
      <c r="A521" s="4">
        <f t="shared" si="175"/>
        <v>45921.625</v>
      </c>
      <c r="B521" t="e">
        <f>電力量!#REF!-電力量!#REF!</f>
        <v>#REF!</v>
      </c>
      <c r="C521" t="e">
        <f>電力量!#REF!-電力量!#REF!</f>
        <v>#REF!</v>
      </c>
      <c r="D521" t="e">
        <f>電力量!#REF!-電力量!#REF!</f>
        <v>#REF!</v>
      </c>
      <c r="E521" t="e">
        <f>電力量!#REF!-電力量!#REF!</f>
        <v>#REF!</v>
      </c>
      <c r="F521" t="e">
        <f>電力量!#REF!-電力量!#REF!</f>
        <v>#REF!</v>
      </c>
      <c r="G521" t="e">
        <f>電力量!#REF!-電力量!#REF!</f>
        <v>#REF!</v>
      </c>
      <c r="H521" t="e">
        <f>電力量!#REF!-電力量!#REF!</f>
        <v>#REF!</v>
      </c>
      <c r="I521" t="e">
        <f>電力量!#REF!-電力量!#REF!</f>
        <v>#REF!</v>
      </c>
      <c r="J521" t="e">
        <f>電力量!#REF!-電力量!#REF!</f>
        <v>#REF!</v>
      </c>
      <c r="K521" t="e">
        <f>電力量!#REF!-電力量!#REF!</f>
        <v>#REF!</v>
      </c>
      <c r="L521" t="e">
        <f>電力量!#REF!-電力量!#REF!</f>
        <v>#REF!</v>
      </c>
      <c r="M521" t="e">
        <f>電力量!#REF!-電力量!#REF!</f>
        <v>#REF!</v>
      </c>
      <c r="N521" t="e">
        <f>電力量!#REF!-電力量!#REF!</f>
        <v>#REF!</v>
      </c>
      <c r="O521" t="e">
        <f>電力量!#REF!-電力量!#REF!</f>
        <v>#REF!</v>
      </c>
      <c r="P521" t="e">
        <f>電力量!#REF!-電力量!#REF!</f>
        <v>#REF!</v>
      </c>
      <c r="Q521" t="e">
        <f>電力量!#REF!-電力量!#REF!</f>
        <v>#REF!</v>
      </c>
      <c r="R521" t="e">
        <f>電力量!#REF!-電力量!#REF!</f>
        <v>#REF!</v>
      </c>
    </row>
    <row r="522" spans="1:18">
      <c r="A522" s="4">
        <f t="shared" si="176"/>
        <v>45921.666666666664</v>
      </c>
      <c r="B522" t="e">
        <f>電力量!#REF!-電力量!#REF!</f>
        <v>#REF!</v>
      </c>
      <c r="C522" t="e">
        <f>電力量!#REF!-電力量!#REF!</f>
        <v>#REF!</v>
      </c>
      <c r="D522" t="e">
        <f>電力量!#REF!-電力量!#REF!</f>
        <v>#REF!</v>
      </c>
      <c r="E522" t="e">
        <f>電力量!#REF!-電力量!#REF!</f>
        <v>#REF!</v>
      </c>
      <c r="F522" t="e">
        <f>電力量!#REF!-電力量!#REF!</f>
        <v>#REF!</v>
      </c>
      <c r="G522" t="e">
        <f>電力量!#REF!-電力量!#REF!</f>
        <v>#REF!</v>
      </c>
      <c r="H522" t="e">
        <f>電力量!#REF!-電力量!#REF!</f>
        <v>#REF!</v>
      </c>
      <c r="I522" t="e">
        <f>電力量!#REF!-電力量!#REF!</f>
        <v>#REF!</v>
      </c>
      <c r="J522" t="e">
        <f>電力量!#REF!-電力量!#REF!</f>
        <v>#REF!</v>
      </c>
      <c r="K522" t="e">
        <f>電力量!#REF!-電力量!#REF!</f>
        <v>#REF!</v>
      </c>
      <c r="L522" t="e">
        <f>電力量!#REF!-電力量!#REF!</f>
        <v>#REF!</v>
      </c>
      <c r="M522" t="e">
        <f>電力量!#REF!-電力量!#REF!</f>
        <v>#REF!</v>
      </c>
      <c r="N522" t="e">
        <f>電力量!#REF!-電力量!#REF!</f>
        <v>#REF!</v>
      </c>
      <c r="O522" t="e">
        <f>電力量!#REF!-電力量!#REF!</f>
        <v>#REF!</v>
      </c>
      <c r="P522" t="e">
        <f>電力量!#REF!-電力量!#REF!</f>
        <v>#REF!</v>
      </c>
      <c r="Q522" t="e">
        <f>電力量!#REF!-電力量!#REF!</f>
        <v>#REF!</v>
      </c>
      <c r="R522" t="e">
        <f>電力量!#REF!-電力量!#REF!</f>
        <v>#REF!</v>
      </c>
    </row>
    <row r="523" spans="1:18">
      <c r="A523" s="4">
        <f t="shared" si="177"/>
        <v>45921.708333333336</v>
      </c>
      <c r="B523" t="e">
        <f>電力量!#REF!-電力量!#REF!</f>
        <v>#REF!</v>
      </c>
      <c r="C523" t="e">
        <f>電力量!#REF!-電力量!#REF!</f>
        <v>#REF!</v>
      </c>
      <c r="D523" t="e">
        <f>電力量!#REF!-電力量!#REF!</f>
        <v>#REF!</v>
      </c>
      <c r="E523" t="e">
        <f>電力量!#REF!-電力量!#REF!</f>
        <v>#REF!</v>
      </c>
      <c r="F523" t="e">
        <f>電力量!#REF!-電力量!#REF!</f>
        <v>#REF!</v>
      </c>
      <c r="G523" t="e">
        <f>電力量!#REF!-電力量!#REF!</f>
        <v>#REF!</v>
      </c>
      <c r="H523" t="e">
        <f>電力量!#REF!-電力量!#REF!</f>
        <v>#REF!</v>
      </c>
      <c r="I523" t="e">
        <f>電力量!#REF!-電力量!#REF!</f>
        <v>#REF!</v>
      </c>
      <c r="J523" t="e">
        <f>電力量!#REF!-電力量!#REF!</f>
        <v>#REF!</v>
      </c>
      <c r="K523" t="e">
        <f>電力量!#REF!-電力量!#REF!</f>
        <v>#REF!</v>
      </c>
      <c r="L523" t="e">
        <f>電力量!#REF!-電力量!#REF!</f>
        <v>#REF!</v>
      </c>
      <c r="M523" t="e">
        <f>電力量!#REF!-電力量!#REF!</f>
        <v>#REF!</v>
      </c>
      <c r="N523" t="e">
        <f>電力量!#REF!-電力量!#REF!</f>
        <v>#REF!</v>
      </c>
      <c r="O523" t="e">
        <f>電力量!#REF!-電力量!#REF!</f>
        <v>#REF!</v>
      </c>
      <c r="P523" t="e">
        <f>電力量!#REF!-電力量!#REF!</f>
        <v>#REF!</v>
      </c>
      <c r="Q523" t="e">
        <f>電力量!#REF!-電力量!#REF!</f>
        <v>#REF!</v>
      </c>
      <c r="R523" t="e">
        <f>電力量!#REF!-電力量!#REF!</f>
        <v>#REF!</v>
      </c>
    </row>
    <row r="524" spans="1:18">
      <c r="A524" s="4">
        <f t="shared" si="178"/>
        <v>45921.75</v>
      </c>
      <c r="B524" t="e">
        <f>電力量!#REF!-電力量!#REF!</f>
        <v>#REF!</v>
      </c>
      <c r="C524" t="e">
        <f>電力量!#REF!-電力量!#REF!</f>
        <v>#REF!</v>
      </c>
      <c r="D524" t="e">
        <f>電力量!#REF!-電力量!#REF!</f>
        <v>#REF!</v>
      </c>
      <c r="E524" t="e">
        <f>電力量!#REF!-電力量!#REF!</f>
        <v>#REF!</v>
      </c>
      <c r="F524" t="e">
        <f>電力量!#REF!-電力量!#REF!</f>
        <v>#REF!</v>
      </c>
      <c r="G524" t="e">
        <f>電力量!#REF!-電力量!#REF!</f>
        <v>#REF!</v>
      </c>
      <c r="H524" t="e">
        <f>電力量!#REF!-電力量!#REF!</f>
        <v>#REF!</v>
      </c>
      <c r="I524" t="e">
        <f>電力量!#REF!-電力量!#REF!</f>
        <v>#REF!</v>
      </c>
      <c r="J524" t="e">
        <f>電力量!#REF!-電力量!#REF!</f>
        <v>#REF!</v>
      </c>
      <c r="K524" t="e">
        <f>電力量!#REF!-電力量!#REF!</f>
        <v>#REF!</v>
      </c>
      <c r="L524" t="e">
        <f>電力量!#REF!-電力量!#REF!</f>
        <v>#REF!</v>
      </c>
      <c r="M524" t="e">
        <f>電力量!#REF!-電力量!#REF!</f>
        <v>#REF!</v>
      </c>
      <c r="N524" t="e">
        <f>電力量!#REF!-電力量!#REF!</f>
        <v>#REF!</v>
      </c>
      <c r="O524" t="e">
        <f>電力量!#REF!-電力量!#REF!</f>
        <v>#REF!</v>
      </c>
      <c r="P524" t="e">
        <f>電力量!#REF!-電力量!#REF!</f>
        <v>#REF!</v>
      </c>
      <c r="Q524" t="e">
        <f>電力量!#REF!-電力量!#REF!</f>
        <v>#REF!</v>
      </c>
      <c r="R524" t="e">
        <f>電力量!#REF!-電力量!#REF!</f>
        <v>#REF!</v>
      </c>
    </row>
    <row r="525" spans="1:18">
      <c r="A525" s="4">
        <f t="shared" si="179"/>
        <v>45921.791666666664</v>
      </c>
      <c r="B525" t="e">
        <f>電力量!#REF!-電力量!#REF!</f>
        <v>#REF!</v>
      </c>
      <c r="C525" t="e">
        <f>電力量!#REF!-電力量!#REF!</f>
        <v>#REF!</v>
      </c>
      <c r="D525" t="e">
        <f>電力量!#REF!-電力量!#REF!</f>
        <v>#REF!</v>
      </c>
      <c r="E525" t="e">
        <f>電力量!#REF!-電力量!#REF!</f>
        <v>#REF!</v>
      </c>
      <c r="F525" t="e">
        <f>電力量!#REF!-電力量!#REF!</f>
        <v>#REF!</v>
      </c>
      <c r="G525" t="e">
        <f>電力量!#REF!-電力量!#REF!</f>
        <v>#REF!</v>
      </c>
      <c r="H525" t="e">
        <f>電力量!#REF!-電力量!#REF!</f>
        <v>#REF!</v>
      </c>
      <c r="I525" t="e">
        <f>電力量!#REF!-電力量!#REF!</f>
        <v>#REF!</v>
      </c>
      <c r="J525" t="e">
        <f>電力量!#REF!-電力量!#REF!</f>
        <v>#REF!</v>
      </c>
      <c r="K525" t="e">
        <f>電力量!#REF!-電力量!#REF!</f>
        <v>#REF!</v>
      </c>
      <c r="L525" t="e">
        <f>電力量!#REF!-電力量!#REF!</f>
        <v>#REF!</v>
      </c>
      <c r="M525" t="e">
        <f>電力量!#REF!-電力量!#REF!</f>
        <v>#REF!</v>
      </c>
      <c r="N525" t="e">
        <f>電力量!#REF!-電力量!#REF!</f>
        <v>#REF!</v>
      </c>
      <c r="O525" t="e">
        <f>電力量!#REF!-電力量!#REF!</f>
        <v>#REF!</v>
      </c>
      <c r="P525" t="e">
        <f>電力量!#REF!-電力量!#REF!</f>
        <v>#REF!</v>
      </c>
      <c r="Q525" t="e">
        <f>電力量!#REF!-電力量!#REF!</f>
        <v>#REF!</v>
      </c>
      <c r="R525" t="e">
        <f>電力量!#REF!-電力量!#REF!</f>
        <v>#REF!</v>
      </c>
    </row>
    <row r="526" spans="1:18">
      <c r="A526" s="4">
        <f t="shared" si="180"/>
        <v>45921.833333333336</v>
      </c>
      <c r="B526" t="e">
        <f>電力量!#REF!-電力量!#REF!</f>
        <v>#REF!</v>
      </c>
      <c r="C526" t="e">
        <f>電力量!#REF!-電力量!#REF!</f>
        <v>#REF!</v>
      </c>
      <c r="D526" t="e">
        <f>電力量!#REF!-電力量!#REF!</f>
        <v>#REF!</v>
      </c>
      <c r="E526" t="e">
        <f>電力量!#REF!-電力量!#REF!</f>
        <v>#REF!</v>
      </c>
      <c r="F526" t="e">
        <f>電力量!#REF!-電力量!#REF!</f>
        <v>#REF!</v>
      </c>
      <c r="G526" t="e">
        <f>電力量!#REF!-電力量!#REF!</f>
        <v>#REF!</v>
      </c>
      <c r="H526" t="e">
        <f>電力量!#REF!-電力量!#REF!</f>
        <v>#REF!</v>
      </c>
      <c r="I526" t="e">
        <f>電力量!#REF!-電力量!#REF!</f>
        <v>#REF!</v>
      </c>
      <c r="J526" t="e">
        <f>電力量!#REF!-電力量!#REF!</f>
        <v>#REF!</v>
      </c>
      <c r="K526" t="e">
        <f>電力量!#REF!-電力量!#REF!</f>
        <v>#REF!</v>
      </c>
      <c r="L526" t="e">
        <f>電力量!#REF!-電力量!#REF!</f>
        <v>#REF!</v>
      </c>
      <c r="M526" t="e">
        <f>電力量!#REF!-電力量!#REF!</f>
        <v>#REF!</v>
      </c>
      <c r="N526" t="e">
        <f>電力量!#REF!-電力量!#REF!</f>
        <v>#REF!</v>
      </c>
      <c r="O526" t="e">
        <f>電力量!#REF!-電力量!#REF!</f>
        <v>#REF!</v>
      </c>
      <c r="P526" t="e">
        <f>電力量!#REF!-電力量!#REF!</f>
        <v>#REF!</v>
      </c>
      <c r="Q526" t="e">
        <f>電力量!#REF!-電力量!#REF!</f>
        <v>#REF!</v>
      </c>
      <c r="R526" t="e">
        <f>電力量!#REF!-電力量!#REF!</f>
        <v>#REF!</v>
      </c>
    </row>
    <row r="527" spans="1:18">
      <c r="A527" s="4">
        <f t="shared" si="181"/>
        <v>45921.875</v>
      </c>
      <c r="B527" t="e">
        <f>電力量!#REF!-電力量!#REF!</f>
        <v>#REF!</v>
      </c>
      <c r="C527" t="e">
        <f>電力量!#REF!-電力量!#REF!</f>
        <v>#REF!</v>
      </c>
      <c r="D527" t="e">
        <f>電力量!#REF!-電力量!#REF!</f>
        <v>#REF!</v>
      </c>
      <c r="E527" t="e">
        <f>電力量!#REF!-電力量!#REF!</f>
        <v>#REF!</v>
      </c>
      <c r="F527" t="e">
        <f>電力量!#REF!-電力量!#REF!</f>
        <v>#REF!</v>
      </c>
      <c r="G527" t="e">
        <f>電力量!#REF!-電力量!#REF!</f>
        <v>#REF!</v>
      </c>
      <c r="H527" t="e">
        <f>電力量!#REF!-電力量!#REF!</f>
        <v>#REF!</v>
      </c>
      <c r="I527" t="e">
        <f>電力量!#REF!-電力量!#REF!</f>
        <v>#REF!</v>
      </c>
      <c r="J527" t="e">
        <f>電力量!#REF!-電力量!#REF!</f>
        <v>#REF!</v>
      </c>
      <c r="K527" t="e">
        <f>電力量!#REF!-電力量!#REF!</f>
        <v>#REF!</v>
      </c>
      <c r="L527" t="e">
        <f>電力量!#REF!-電力量!#REF!</f>
        <v>#REF!</v>
      </c>
      <c r="M527" t="e">
        <f>電力量!#REF!-電力量!#REF!</f>
        <v>#REF!</v>
      </c>
      <c r="N527" t="e">
        <f>電力量!#REF!-電力量!#REF!</f>
        <v>#REF!</v>
      </c>
      <c r="O527" t="e">
        <f>電力量!#REF!-電力量!#REF!</f>
        <v>#REF!</v>
      </c>
      <c r="P527" t="e">
        <f>電力量!#REF!-電力量!#REF!</f>
        <v>#REF!</v>
      </c>
      <c r="Q527" t="e">
        <f>電力量!#REF!-電力量!#REF!</f>
        <v>#REF!</v>
      </c>
      <c r="R527" t="e">
        <f>電力量!#REF!-電力量!#REF!</f>
        <v>#REF!</v>
      </c>
    </row>
    <row r="528" spans="1:18">
      <c r="A528" s="4">
        <f t="shared" si="182"/>
        <v>45921.916666666664</v>
      </c>
      <c r="B528" t="e">
        <f>電力量!#REF!-電力量!#REF!</f>
        <v>#REF!</v>
      </c>
      <c r="C528" t="e">
        <f>電力量!#REF!-電力量!#REF!</f>
        <v>#REF!</v>
      </c>
      <c r="D528" t="e">
        <f>電力量!#REF!-電力量!#REF!</f>
        <v>#REF!</v>
      </c>
      <c r="E528" t="e">
        <f>電力量!#REF!-電力量!#REF!</f>
        <v>#REF!</v>
      </c>
      <c r="F528" t="e">
        <f>電力量!#REF!-電力量!#REF!</f>
        <v>#REF!</v>
      </c>
      <c r="G528" t="e">
        <f>電力量!#REF!-電力量!#REF!</f>
        <v>#REF!</v>
      </c>
      <c r="H528" t="e">
        <f>電力量!#REF!-電力量!#REF!</f>
        <v>#REF!</v>
      </c>
      <c r="I528" t="e">
        <f>電力量!#REF!-電力量!#REF!</f>
        <v>#REF!</v>
      </c>
      <c r="J528" t="e">
        <f>電力量!#REF!-電力量!#REF!</f>
        <v>#REF!</v>
      </c>
      <c r="K528" t="e">
        <f>電力量!#REF!-電力量!#REF!</f>
        <v>#REF!</v>
      </c>
      <c r="L528" t="e">
        <f>電力量!#REF!-電力量!#REF!</f>
        <v>#REF!</v>
      </c>
      <c r="M528" t="e">
        <f>電力量!#REF!-電力量!#REF!</f>
        <v>#REF!</v>
      </c>
      <c r="N528" t="e">
        <f>電力量!#REF!-電力量!#REF!</f>
        <v>#REF!</v>
      </c>
      <c r="O528" t="e">
        <f>電力量!#REF!-電力量!#REF!</f>
        <v>#REF!</v>
      </c>
      <c r="P528" t="e">
        <f>電力量!#REF!-電力量!#REF!</f>
        <v>#REF!</v>
      </c>
      <c r="Q528" t="e">
        <f>電力量!#REF!-電力量!#REF!</f>
        <v>#REF!</v>
      </c>
      <c r="R528" t="e">
        <f>電力量!#REF!-電力量!#REF!</f>
        <v>#REF!</v>
      </c>
    </row>
    <row r="529" spans="1:18">
      <c r="A529" s="4">
        <f t="shared" si="183"/>
        <v>45921.958333333336</v>
      </c>
      <c r="B529" t="e">
        <f>電力量!#REF!-電力量!#REF!</f>
        <v>#REF!</v>
      </c>
      <c r="C529" t="e">
        <f>電力量!#REF!-電力量!#REF!</f>
        <v>#REF!</v>
      </c>
      <c r="D529" t="e">
        <f>電力量!#REF!-電力量!#REF!</f>
        <v>#REF!</v>
      </c>
      <c r="E529" t="e">
        <f>電力量!#REF!-電力量!#REF!</f>
        <v>#REF!</v>
      </c>
      <c r="F529" t="e">
        <f>電力量!#REF!-電力量!#REF!</f>
        <v>#REF!</v>
      </c>
      <c r="G529" t="e">
        <f>電力量!#REF!-電力量!#REF!</f>
        <v>#REF!</v>
      </c>
      <c r="H529" t="e">
        <f>電力量!#REF!-電力量!#REF!</f>
        <v>#REF!</v>
      </c>
      <c r="I529" t="e">
        <f>電力量!#REF!-電力量!#REF!</f>
        <v>#REF!</v>
      </c>
      <c r="J529" t="e">
        <f>電力量!#REF!-電力量!#REF!</f>
        <v>#REF!</v>
      </c>
      <c r="K529" t="e">
        <f>電力量!#REF!-電力量!#REF!</f>
        <v>#REF!</v>
      </c>
      <c r="L529" t="e">
        <f>電力量!#REF!-電力量!#REF!</f>
        <v>#REF!</v>
      </c>
      <c r="M529" t="e">
        <f>電力量!#REF!-電力量!#REF!</f>
        <v>#REF!</v>
      </c>
      <c r="N529" t="e">
        <f>電力量!#REF!-電力量!#REF!</f>
        <v>#REF!</v>
      </c>
      <c r="O529" t="e">
        <f>電力量!#REF!-電力量!#REF!</f>
        <v>#REF!</v>
      </c>
      <c r="P529" t="e">
        <f>電力量!#REF!-電力量!#REF!</f>
        <v>#REF!</v>
      </c>
      <c r="Q529" t="e">
        <f>電力量!#REF!-電力量!#REF!</f>
        <v>#REF!</v>
      </c>
      <c r="R529" t="e">
        <f>電力量!#REF!-電力量!#REF!</f>
        <v>#REF!</v>
      </c>
    </row>
    <row r="530" spans="1:18">
      <c r="A530" s="4">
        <v>45922</v>
      </c>
      <c r="B530" t="e">
        <f>電力量!#REF!-電力量!#REF!</f>
        <v>#REF!</v>
      </c>
      <c r="C530" t="e">
        <f>電力量!#REF!-電力量!#REF!</f>
        <v>#REF!</v>
      </c>
      <c r="D530" t="e">
        <f>電力量!#REF!-電力量!#REF!</f>
        <v>#REF!</v>
      </c>
      <c r="E530" t="e">
        <f>電力量!#REF!-電力量!#REF!</f>
        <v>#REF!</v>
      </c>
      <c r="F530" t="e">
        <f>電力量!#REF!-電力量!#REF!</f>
        <v>#REF!</v>
      </c>
      <c r="G530" t="e">
        <f>電力量!#REF!-電力量!#REF!</f>
        <v>#REF!</v>
      </c>
      <c r="H530" t="e">
        <f>電力量!#REF!-電力量!#REF!</f>
        <v>#REF!</v>
      </c>
      <c r="I530" t="e">
        <f>電力量!#REF!-電力量!#REF!</f>
        <v>#REF!</v>
      </c>
      <c r="J530" t="e">
        <f>電力量!#REF!-電力量!#REF!</f>
        <v>#REF!</v>
      </c>
      <c r="K530" t="e">
        <f>電力量!#REF!-電力量!#REF!</f>
        <v>#REF!</v>
      </c>
      <c r="L530" t="e">
        <f>電力量!#REF!-電力量!#REF!</f>
        <v>#REF!</v>
      </c>
      <c r="M530" t="e">
        <f>電力量!#REF!-電力量!#REF!</f>
        <v>#REF!</v>
      </c>
      <c r="N530" t="e">
        <f>電力量!#REF!-電力量!#REF!</f>
        <v>#REF!</v>
      </c>
      <c r="O530" t="e">
        <f>電力量!#REF!-電力量!#REF!</f>
        <v>#REF!</v>
      </c>
      <c r="P530" t="e">
        <f>電力量!#REF!-電力量!#REF!</f>
        <v>#REF!</v>
      </c>
      <c r="Q530" t="e">
        <f>電力量!#REF!-電力量!#REF!</f>
        <v>#REF!</v>
      </c>
      <c r="R530" t="e">
        <f>電力量!#REF!-電力量!#REF!</f>
        <v>#REF!</v>
      </c>
    </row>
    <row r="531" spans="1:18">
      <c r="A531" s="4">
        <f t="shared" ref="A531:A579" si="184">A530+(1/24)</f>
        <v>45922.041666666664</v>
      </c>
      <c r="B531" t="e">
        <f>電力量!#REF!-電力量!#REF!</f>
        <v>#REF!</v>
      </c>
      <c r="C531" t="e">
        <f>電力量!#REF!-電力量!#REF!</f>
        <v>#REF!</v>
      </c>
      <c r="D531" t="e">
        <f>電力量!#REF!-電力量!#REF!</f>
        <v>#REF!</v>
      </c>
      <c r="E531" t="e">
        <f>電力量!#REF!-電力量!#REF!</f>
        <v>#REF!</v>
      </c>
      <c r="F531" t="e">
        <f>電力量!#REF!-電力量!#REF!</f>
        <v>#REF!</v>
      </c>
      <c r="G531" t="e">
        <f>電力量!#REF!-電力量!#REF!</f>
        <v>#REF!</v>
      </c>
      <c r="H531" t="e">
        <f>電力量!#REF!-電力量!#REF!</f>
        <v>#REF!</v>
      </c>
      <c r="I531" t="e">
        <f>電力量!#REF!-電力量!#REF!</f>
        <v>#REF!</v>
      </c>
      <c r="J531" t="e">
        <f>電力量!#REF!-電力量!#REF!</f>
        <v>#REF!</v>
      </c>
      <c r="K531" t="e">
        <f>電力量!#REF!-電力量!#REF!</f>
        <v>#REF!</v>
      </c>
      <c r="L531" t="e">
        <f>電力量!#REF!-電力量!#REF!</f>
        <v>#REF!</v>
      </c>
      <c r="M531" t="e">
        <f>電力量!#REF!-電力量!#REF!</f>
        <v>#REF!</v>
      </c>
      <c r="N531" t="e">
        <f>電力量!#REF!-電力量!#REF!</f>
        <v>#REF!</v>
      </c>
      <c r="O531" t="e">
        <f>電力量!#REF!-電力量!#REF!</f>
        <v>#REF!</v>
      </c>
      <c r="P531" t="e">
        <f>電力量!#REF!-電力量!#REF!</f>
        <v>#REF!</v>
      </c>
      <c r="Q531" t="e">
        <f>電力量!#REF!-電力量!#REF!</f>
        <v>#REF!</v>
      </c>
      <c r="R531" t="e">
        <f>電力量!#REF!-電力量!#REF!</f>
        <v>#REF!</v>
      </c>
    </row>
    <row r="532" spans="1:18">
      <c r="A532" s="4">
        <f t="shared" ref="A532:A580" si="185">A530+(2/24)</f>
        <v>45922.083333333336</v>
      </c>
      <c r="B532" t="e">
        <f>電力量!#REF!-電力量!#REF!</f>
        <v>#REF!</v>
      </c>
      <c r="C532" t="e">
        <f>電力量!#REF!-電力量!#REF!</f>
        <v>#REF!</v>
      </c>
      <c r="D532" t="e">
        <f>電力量!#REF!-電力量!#REF!</f>
        <v>#REF!</v>
      </c>
      <c r="E532" t="e">
        <f>電力量!#REF!-電力量!#REF!</f>
        <v>#REF!</v>
      </c>
      <c r="F532" t="e">
        <f>電力量!#REF!-電力量!#REF!</f>
        <v>#REF!</v>
      </c>
      <c r="G532" t="e">
        <f>電力量!#REF!-電力量!#REF!</f>
        <v>#REF!</v>
      </c>
      <c r="H532" t="e">
        <f>電力量!#REF!-電力量!#REF!</f>
        <v>#REF!</v>
      </c>
      <c r="I532" t="e">
        <f>電力量!#REF!-電力量!#REF!</f>
        <v>#REF!</v>
      </c>
      <c r="J532" t="e">
        <f>電力量!#REF!-電力量!#REF!</f>
        <v>#REF!</v>
      </c>
      <c r="K532" t="e">
        <f>電力量!#REF!-電力量!#REF!</f>
        <v>#REF!</v>
      </c>
      <c r="L532" t="e">
        <f>電力量!#REF!-電力量!#REF!</f>
        <v>#REF!</v>
      </c>
      <c r="M532" t="e">
        <f>電力量!#REF!-電力量!#REF!</f>
        <v>#REF!</v>
      </c>
      <c r="N532" t="e">
        <f>電力量!#REF!-電力量!#REF!</f>
        <v>#REF!</v>
      </c>
      <c r="O532" t="e">
        <f>電力量!#REF!-電力量!#REF!</f>
        <v>#REF!</v>
      </c>
      <c r="P532" t="e">
        <f>電力量!#REF!-電力量!#REF!</f>
        <v>#REF!</v>
      </c>
      <c r="Q532" t="e">
        <f>電力量!#REF!-電力量!#REF!</f>
        <v>#REF!</v>
      </c>
      <c r="R532" t="e">
        <f>電力量!#REF!-電力量!#REF!</f>
        <v>#REF!</v>
      </c>
    </row>
    <row r="533" spans="1:18">
      <c r="A533" s="4">
        <f t="shared" ref="A533:A581" si="186">A530+(3/24)</f>
        <v>45922.125</v>
      </c>
      <c r="B533" t="e">
        <f>電力量!#REF!-電力量!#REF!</f>
        <v>#REF!</v>
      </c>
      <c r="C533" t="e">
        <f>電力量!#REF!-電力量!#REF!</f>
        <v>#REF!</v>
      </c>
      <c r="D533" t="e">
        <f>電力量!#REF!-電力量!#REF!</f>
        <v>#REF!</v>
      </c>
      <c r="E533" t="e">
        <f>電力量!#REF!-電力量!#REF!</f>
        <v>#REF!</v>
      </c>
      <c r="F533" t="e">
        <f>電力量!#REF!-電力量!#REF!</f>
        <v>#REF!</v>
      </c>
      <c r="G533" t="e">
        <f>電力量!#REF!-電力量!#REF!</f>
        <v>#REF!</v>
      </c>
      <c r="H533" t="e">
        <f>電力量!#REF!-電力量!#REF!</f>
        <v>#REF!</v>
      </c>
      <c r="I533" t="e">
        <f>電力量!#REF!-電力量!#REF!</f>
        <v>#REF!</v>
      </c>
      <c r="J533" t="e">
        <f>電力量!#REF!-電力量!#REF!</f>
        <v>#REF!</v>
      </c>
      <c r="K533" t="e">
        <f>電力量!#REF!-電力量!#REF!</f>
        <v>#REF!</v>
      </c>
      <c r="L533" t="e">
        <f>電力量!#REF!-電力量!#REF!</f>
        <v>#REF!</v>
      </c>
      <c r="M533" t="e">
        <f>電力量!#REF!-電力量!#REF!</f>
        <v>#REF!</v>
      </c>
      <c r="N533" t="e">
        <f>電力量!#REF!-電力量!#REF!</f>
        <v>#REF!</v>
      </c>
      <c r="O533" t="e">
        <f>電力量!#REF!-電力量!#REF!</f>
        <v>#REF!</v>
      </c>
      <c r="P533" t="e">
        <f>電力量!#REF!-電力量!#REF!</f>
        <v>#REF!</v>
      </c>
      <c r="Q533" t="e">
        <f>電力量!#REF!-電力量!#REF!</f>
        <v>#REF!</v>
      </c>
      <c r="R533" t="e">
        <f>電力量!#REF!-電力量!#REF!</f>
        <v>#REF!</v>
      </c>
    </row>
    <row r="534" spans="1:18">
      <c r="A534" s="4">
        <f t="shared" ref="A534:A582" si="187">A530+(4/24)</f>
        <v>45922.166666666664</v>
      </c>
      <c r="B534" t="e">
        <f>電力量!#REF!-電力量!#REF!</f>
        <v>#REF!</v>
      </c>
      <c r="C534" t="e">
        <f>電力量!#REF!-電力量!#REF!</f>
        <v>#REF!</v>
      </c>
      <c r="D534" t="e">
        <f>電力量!#REF!-電力量!#REF!</f>
        <v>#REF!</v>
      </c>
      <c r="E534" t="e">
        <f>電力量!#REF!-電力量!#REF!</f>
        <v>#REF!</v>
      </c>
      <c r="F534" t="e">
        <f>電力量!#REF!-電力量!#REF!</f>
        <v>#REF!</v>
      </c>
      <c r="G534" t="e">
        <f>電力量!#REF!-電力量!#REF!</f>
        <v>#REF!</v>
      </c>
      <c r="H534" t="e">
        <f>電力量!#REF!-電力量!#REF!</f>
        <v>#REF!</v>
      </c>
      <c r="I534" t="e">
        <f>電力量!#REF!-電力量!#REF!</f>
        <v>#REF!</v>
      </c>
      <c r="J534" t="e">
        <f>電力量!#REF!-電力量!#REF!</f>
        <v>#REF!</v>
      </c>
      <c r="K534" t="e">
        <f>電力量!#REF!-電力量!#REF!</f>
        <v>#REF!</v>
      </c>
      <c r="L534" t="e">
        <f>電力量!#REF!-電力量!#REF!</f>
        <v>#REF!</v>
      </c>
      <c r="M534" t="e">
        <f>電力量!#REF!-電力量!#REF!</f>
        <v>#REF!</v>
      </c>
      <c r="N534" t="e">
        <f>電力量!#REF!-電力量!#REF!</f>
        <v>#REF!</v>
      </c>
      <c r="O534" t="e">
        <f>電力量!#REF!-電力量!#REF!</f>
        <v>#REF!</v>
      </c>
      <c r="P534" t="e">
        <f>電力量!#REF!-電力量!#REF!</f>
        <v>#REF!</v>
      </c>
      <c r="Q534" t="e">
        <f>電力量!#REF!-電力量!#REF!</f>
        <v>#REF!</v>
      </c>
      <c r="R534" t="e">
        <f>電力量!#REF!-電力量!#REF!</f>
        <v>#REF!</v>
      </c>
    </row>
    <row r="535" spans="1:18">
      <c r="A535" s="4">
        <f t="shared" ref="A535:A583" si="188">A530+(5/24)</f>
        <v>45922.208333333336</v>
      </c>
      <c r="B535" t="e">
        <f>電力量!#REF!-電力量!#REF!</f>
        <v>#REF!</v>
      </c>
      <c r="C535" t="e">
        <f>電力量!#REF!-電力量!#REF!</f>
        <v>#REF!</v>
      </c>
      <c r="D535" t="e">
        <f>電力量!#REF!-電力量!#REF!</f>
        <v>#REF!</v>
      </c>
      <c r="E535" t="e">
        <f>電力量!#REF!-電力量!#REF!</f>
        <v>#REF!</v>
      </c>
      <c r="F535" t="e">
        <f>電力量!#REF!-電力量!#REF!</f>
        <v>#REF!</v>
      </c>
      <c r="G535" t="e">
        <f>電力量!#REF!-電力量!#REF!</f>
        <v>#REF!</v>
      </c>
      <c r="H535" t="e">
        <f>電力量!#REF!-電力量!#REF!</f>
        <v>#REF!</v>
      </c>
      <c r="I535" t="e">
        <f>電力量!#REF!-電力量!#REF!</f>
        <v>#REF!</v>
      </c>
      <c r="J535" t="e">
        <f>電力量!#REF!-電力量!#REF!</f>
        <v>#REF!</v>
      </c>
      <c r="K535" t="e">
        <f>電力量!#REF!-電力量!#REF!</f>
        <v>#REF!</v>
      </c>
      <c r="L535" t="e">
        <f>電力量!#REF!-電力量!#REF!</f>
        <v>#REF!</v>
      </c>
      <c r="M535" t="e">
        <f>電力量!#REF!-電力量!#REF!</f>
        <v>#REF!</v>
      </c>
      <c r="N535" t="e">
        <f>電力量!#REF!-電力量!#REF!</f>
        <v>#REF!</v>
      </c>
      <c r="O535" t="e">
        <f>電力量!#REF!-電力量!#REF!</f>
        <v>#REF!</v>
      </c>
      <c r="P535" t="e">
        <f>電力量!#REF!-電力量!#REF!</f>
        <v>#REF!</v>
      </c>
      <c r="Q535" t="e">
        <f>電力量!#REF!-電力量!#REF!</f>
        <v>#REF!</v>
      </c>
      <c r="R535" t="e">
        <f>電力量!#REF!-電力量!#REF!</f>
        <v>#REF!</v>
      </c>
    </row>
    <row r="536" spans="1:18">
      <c r="A536" s="4">
        <f t="shared" ref="A536:A584" si="189">A530+(6/24)</f>
        <v>45922.25</v>
      </c>
      <c r="B536" t="e">
        <f>電力量!#REF!-電力量!#REF!</f>
        <v>#REF!</v>
      </c>
      <c r="C536" t="e">
        <f>電力量!#REF!-電力量!#REF!</f>
        <v>#REF!</v>
      </c>
      <c r="D536" t="e">
        <f>電力量!#REF!-電力量!#REF!</f>
        <v>#REF!</v>
      </c>
      <c r="E536" t="e">
        <f>電力量!#REF!-電力量!#REF!</f>
        <v>#REF!</v>
      </c>
      <c r="F536" t="e">
        <f>電力量!#REF!-電力量!#REF!</f>
        <v>#REF!</v>
      </c>
      <c r="G536" t="e">
        <f>電力量!#REF!-電力量!#REF!</f>
        <v>#REF!</v>
      </c>
      <c r="H536" t="e">
        <f>電力量!#REF!-電力量!#REF!</f>
        <v>#REF!</v>
      </c>
      <c r="I536" t="e">
        <f>電力量!#REF!-電力量!#REF!</f>
        <v>#REF!</v>
      </c>
      <c r="J536" t="e">
        <f>電力量!#REF!-電力量!#REF!</f>
        <v>#REF!</v>
      </c>
      <c r="K536" t="e">
        <f>電力量!#REF!-電力量!#REF!</f>
        <v>#REF!</v>
      </c>
      <c r="L536" t="e">
        <f>電力量!#REF!-電力量!#REF!</f>
        <v>#REF!</v>
      </c>
      <c r="M536" t="e">
        <f>電力量!#REF!-電力量!#REF!</f>
        <v>#REF!</v>
      </c>
      <c r="N536" t="e">
        <f>電力量!#REF!-電力量!#REF!</f>
        <v>#REF!</v>
      </c>
      <c r="O536" t="e">
        <f>電力量!#REF!-電力量!#REF!</f>
        <v>#REF!</v>
      </c>
      <c r="P536" t="e">
        <f>電力量!#REF!-電力量!#REF!</f>
        <v>#REF!</v>
      </c>
      <c r="Q536" t="e">
        <f>電力量!#REF!-電力量!#REF!</f>
        <v>#REF!</v>
      </c>
      <c r="R536" t="e">
        <f>電力量!#REF!-電力量!#REF!</f>
        <v>#REF!</v>
      </c>
    </row>
    <row r="537" spans="1:18">
      <c r="A537" s="4">
        <f t="shared" ref="A537:A585" si="190">A530+(7/24)</f>
        <v>45922.291666666664</v>
      </c>
      <c r="B537" t="e">
        <f>電力量!#REF!-電力量!#REF!</f>
        <v>#REF!</v>
      </c>
      <c r="C537" t="e">
        <f>電力量!#REF!-電力量!#REF!</f>
        <v>#REF!</v>
      </c>
      <c r="D537" t="e">
        <f>電力量!#REF!-電力量!#REF!</f>
        <v>#REF!</v>
      </c>
      <c r="E537" t="e">
        <f>電力量!#REF!-電力量!#REF!</f>
        <v>#REF!</v>
      </c>
      <c r="F537" t="e">
        <f>電力量!#REF!-電力量!#REF!</f>
        <v>#REF!</v>
      </c>
      <c r="G537" t="e">
        <f>電力量!#REF!-電力量!#REF!</f>
        <v>#REF!</v>
      </c>
      <c r="H537" t="e">
        <f>電力量!#REF!-電力量!#REF!</f>
        <v>#REF!</v>
      </c>
      <c r="I537" t="e">
        <f>電力量!#REF!-電力量!#REF!</f>
        <v>#REF!</v>
      </c>
      <c r="J537" t="e">
        <f>電力量!#REF!-電力量!#REF!</f>
        <v>#REF!</v>
      </c>
      <c r="K537" t="e">
        <f>電力量!#REF!-電力量!#REF!</f>
        <v>#REF!</v>
      </c>
      <c r="L537" t="e">
        <f>電力量!#REF!-電力量!#REF!</f>
        <v>#REF!</v>
      </c>
      <c r="M537" t="e">
        <f>電力量!#REF!-電力量!#REF!</f>
        <v>#REF!</v>
      </c>
      <c r="N537" t="e">
        <f>電力量!#REF!-電力量!#REF!</f>
        <v>#REF!</v>
      </c>
      <c r="O537" t="e">
        <f>電力量!#REF!-電力量!#REF!</f>
        <v>#REF!</v>
      </c>
      <c r="P537" t="e">
        <f>電力量!#REF!-電力量!#REF!</f>
        <v>#REF!</v>
      </c>
      <c r="Q537" t="e">
        <f>電力量!#REF!-電力量!#REF!</f>
        <v>#REF!</v>
      </c>
      <c r="R537" t="e">
        <f>電力量!#REF!-電力量!#REF!</f>
        <v>#REF!</v>
      </c>
    </row>
    <row r="538" spans="1:18">
      <c r="A538" s="4">
        <f t="shared" ref="A538:A586" si="191">A530+(8/24)</f>
        <v>45922.333333333336</v>
      </c>
      <c r="B538" t="e">
        <f>電力量!#REF!-電力量!#REF!</f>
        <v>#REF!</v>
      </c>
      <c r="C538" t="e">
        <f>電力量!#REF!-電力量!#REF!</f>
        <v>#REF!</v>
      </c>
      <c r="D538" t="e">
        <f>電力量!#REF!-電力量!#REF!</f>
        <v>#REF!</v>
      </c>
      <c r="E538" t="e">
        <f>電力量!#REF!-電力量!#REF!</f>
        <v>#REF!</v>
      </c>
      <c r="F538" t="e">
        <f>電力量!#REF!-電力量!#REF!</f>
        <v>#REF!</v>
      </c>
      <c r="G538" t="e">
        <f>電力量!#REF!-電力量!#REF!</f>
        <v>#REF!</v>
      </c>
      <c r="H538" t="e">
        <f>電力量!#REF!-電力量!#REF!</f>
        <v>#REF!</v>
      </c>
      <c r="I538" t="e">
        <f>電力量!#REF!-電力量!#REF!</f>
        <v>#REF!</v>
      </c>
      <c r="J538" t="e">
        <f>電力量!#REF!-電力量!#REF!</f>
        <v>#REF!</v>
      </c>
      <c r="K538" t="e">
        <f>電力量!#REF!-電力量!#REF!</f>
        <v>#REF!</v>
      </c>
      <c r="L538" t="e">
        <f>電力量!#REF!-電力量!#REF!</f>
        <v>#REF!</v>
      </c>
      <c r="M538" t="e">
        <f>電力量!#REF!-電力量!#REF!</f>
        <v>#REF!</v>
      </c>
      <c r="N538" t="e">
        <f>電力量!#REF!-電力量!#REF!</f>
        <v>#REF!</v>
      </c>
      <c r="O538" t="e">
        <f>電力量!#REF!-電力量!#REF!</f>
        <v>#REF!</v>
      </c>
      <c r="P538" t="e">
        <f>電力量!#REF!-電力量!#REF!</f>
        <v>#REF!</v>
      </c>
      <c r="Q538" t="e">
        <f>電力量!#REF!-電力量!#REF!</f>
        <v>#REF!</v>
      </c>
      <c r="R538" t="e">
        <f>電力量!#REF!-電力量!#REF!</f>
        <v>#REF!</v>
      </c>
    </row>
    <row r="539" spans="1:18">
      <c r="A539" s="4">
        <f t="shared" ref="A539:A587" si="192">A530+(9/24)</f>
        <v>45922.375</v>
      </c>
      <c r="B539" t="e">
        <f>電力量!#REF!-電力量!#REF!</f>
        <v>#REF!</v>
      </c>
      <c r="C539" t="e">
        <f>電力量!#REF!-電力量!#REF!</f>
        <v>#REF!</v>
      </c>
      <c r="D539" t="e">
        <f>電力量!#REF!-電力量!#REF!</f>
        <v>#REF!</v>
      </c>
      <c r="E539" t="e">
        <f>電力量!#REF!-電力量!#REF!</f>
        <v>#REF!</v>
      </c>
      <c r="F539" t="e">
        <f>電力量!#REF!-電力量!#REF!</f>
        <v>#REF!</v>
      </c>
      <c r="G539" t="e">
        <f>電力量!#REF!-電力量!#REF!</f>
        <v>#REF!</v>
      </c>
      <c r="H539" t="e">
        <f>電力量!#REF!-電力量!#REF!</f>
        <v>#REF!</v>
      </c>
      <c r="I539" t="e">
        <f>電力量!#REF!-電力量!#REF!</f>
        <v>#REF!</v>
      </c>
      <c r="J539" t="e">
        <f>電力量!#REF!-電力量!#REF!</f>
        <v>#REF!</v>
      </c>
      <c r="K539" t="e">
        <f>電力量!#REF!-電力量!#REF!</f>
        <v>#REF!</v>
      </c>
      <c r="L539" t="e">
        <f>電力量!#REF!-電力量!#REF!</f>
        <v>#REF!</v>
      </c>
      <c r="M539" t="e">
        <f>電力量!#REF!-電力量!#REF!</f>
        <v>#REF!</v>
      </c>
      <c r="N539" t="e">
        <f>電力量!#REF!-電力量!#REF!</f>
        <v>#REF!</v>
      </c>
      <c r="O539" t="e">
        <f>電力量!#REF!-電力量!#REF!</f>
        <v>#REF!</v>
      </c>
      <c r="P539" t="e">
        <f>電力量!#REF!-電力量!#REF!</f>
        <v>#REF!</v>
      </c>
      <c r="Q539" t="e">
        <f>電力量!#REF!-電力量!#REF!</f>
        <v>#REF!</v>
      </c>
      <c r="R539" t="e">
        <f>電力量!#REF!-電力量!#REF!</f>
        <v>#REF!</v>
      </c>
    </row>
    <row r="540" spans="1:18">
      <c r="A540" s="4">
        <f t="shared" ref="A540:A588" si="193">A530+(10/24)</f>
        <v>45922.416666666664</v>
      </c>
      <c r="B540" t="e">
        <f>電力量!#REF!-電力量!#REF!</f>
        <v>#REF!</v>
      </c>
      <c r="C540" t="e">
        <f>電力量!#REF!-電力量!#REF!</f>
        <v>#REF!</v>
      </c>
      <c r="D540" t="e">
        <f>電力量!#REF!-電力量!#REF!</f>
        <v>#REF!</v>
      </c>
      <c r="E540" t="e">
        <f>電力量!#REF!-電力量!#REF!</f>
        <v>#REF!</v>
      </c>
      <c r="F540" t="e">
        <f>電力量!#REF!-電力量!#REF!</f>
        <v>#REF!</v>
      </c>
      <c r="G540" t="e">
        <f>電力量!#REF!-電力量!#REF!</f>
        <v>#REF!</v>
      </c>
      <c r="H540" t="e">
        <f>電力量!#REF!-電力量!#REF!</f>
        <v>#REF!</v>
      </c>
      <c r="I540" t="e">
        <f>電力量!#REF!-電力量!#REF!</f>
        <v>#REF!</v>
      </c>
      <c r="J540" t="e">
        <f>電力量!#REF!-電力量!#REF!</f>
        <v>#REF!</v>
      </c>
      <c r="K540" t="e">
        <f>電力量!#REF!-電力量!#REF!</f>
        <v>#REF!</v>
      </c>
      <c r="L540" t="e">
        <f>電力量!#REF!-電力量!#REF!</f>
        <v>#REF!</v>
      </c>
      <c r="M540" t="e">
        <f>電力量!#REF!-電力量!#REF!</f>
        <v>#REF!</v>
      </c>
      <c r="N540" t="e">
        <f>電力量!#REF!-電力量!#REF!</f>
        <v>#REF!</v>
      </c>
      <c r="O540" t="e">
        <f>電力量!#REF!-電力量!#REF!</f>
        <v>#REF!</v>
      </c>
      <c r="P540" t="e">
        <f>電力量!#REF!-電力量!#REF!</f>
        <v>#REF!</v>
      </c>
      <c r="Q540" t="e">
        <f>電力量!#REF!-電力量!#REF!</f>
        <v>#REF!</v>
      </c>
      <c r="R540" t="e">
        <f>電力量!#REF!-電力量!#REF!</f>
        <v>#REF!</v>
      </c>
    </row>
    <row r="541" spans="1:18">
      <c r="A541" s="4">
        <f t="shared" ref="A541:A589" si="194">A530+(11/24)</f>
        <v>45922.458333333336</v>
      </c>
      <c r="B541" t="e">
        <f>電力量!#REF!-電力量!#REF!</f>
        <v>#REF!</v>
      </c>
      <c r="C541" t="e">
        <f>電力量!#REF!-電力量!#REF!</f>
        <v>#REF!</v>
      </c>
      <c r="D541" t="e">
        <f>電力量!#REF!-電力量!#REF!</f>
        <v>#REF!</v>
      </c>
      <c r="E541" t="e">
        <f>電力量!#REF!-電力量!#REF!</f>
        <v>#REF!</v>
      </c>
      <c r="F541" t="e">
        <f>電力量!#REF!-電力量!#REF!</f>
        <v>#REF!</v>
      </c>
      <c r="G541" t="e">
        <f>電力量!#REF!-電力量!#REF!</f>
        <v>#REF!</v>
      </c>
      <c r="H541" t="e">
        <f>電力量!#REF!-電力量!#REF!</f>
        <v>#REF!</v>
      </c>
      <c r="I541" t="e">
        <f>電力量!#REF!-電力量!#REF!</f>
        <v>#REF!</v>
      </c>
      <c r="J541" t="e">
        <f>電力量!#REF!-電力量!#REF!</f>
        <v>#REF!</v>
      </c>
      <c r="K541" t="e">
        <f>電力量!#REF!-電力量!#REF!</f>
        <v>#REF!</v>
      </c>
      <c r="L541" t="e">
        <f>電力量!#REF!-電力量!#REF!</f>
        <v>#REF!</v>
      </c>
      <c r="M541" t="e">
        <f>電力量!#REF!-電力量!#REF!</f>
        <v>#REF!</v>
      </c>
      <c r="N541" t="e">
        <f>電力量!#REF!-電力量!#REF!</f>
        <v>#REF!</v>
      </c>
      <c r="O541" t="e">
        <f>電力量!#REF!-電力量!#REF!</f>
        <v>#REF!</v>
      </c>
      <c r="P541" t="e">
        <f>電力量!#REF!-電力量!#REF!</f>
        <v>#REF!</v>
      </c>
      <c r="Q541" t="e">
        <f>電力量!#REF!-電力量!#REF!</f>
        <v>#REF!</v>
      </c>
      <c r="R541" t="e">
        <f>電力量!#REF!-電力量!#REF!</f>
        <v>#REF!</v>
      </c>
    </row>
    <row r="542" spans="1:18">
      <c r="A542" s="4">
        <f t="shared" ref="A542:A590" si="195">A530+(12/24)</f>
        <v>45922.5</v>
      </c>
      <c r="B542" t="e">
        <f>電力量!#REF!-電力量!#REF!</f>
        <v>#REF!</v>
      </c>
      <c r="C542" t="e">
        <f>電力量!#REF!-電力量!#REF!</f>
        <v>#REF!</v>
      </c>
      <c r="D542" t="e">
        <f>電力量!#REF!-電力量!#REF!</f>
        <v>#REF!</v>
      </c>
      <c r="E542" t="e">
        <f>電力量!#REF!-電力量!#REF!</f>
        <v>#REF!</v>
      </c>
      <c r="F542" t="e">
        <f>電力量!#REF!-電力量!#REF!</f>
        <v>#REF!</v>
      </c>
      <c r="G542" t="e">
        <f>電力量!#REF!-電力量!#REF!</f>
        <v>#REF!</v>
      </c>
      <c r="H542" t="e">
        <f>電力量!#REF!-電力量!#REF!</f>
        <v>#REF!</v>
      </c>
      <c r="I542" t="e">
        <f>電力量!#REF!-電力量!#REF!</f>
        <v>#REF!</v>
      </c>
      <c r="J542" t="e">
        <f>電力量!#REF!-電力量!#REF!</f>
        <v>#REF!</v>
      </c>
      <c r="K542" t="e">
        <f>電力量!#REF!-電力量!#REF!</f>
        <v>#REF!</v>
      </c>
      <c r="L542" t="e">
        <f>電力量!#REF!-電力量!#REF!</f>
        <v>#REF!</v>
      </c>
      <c r="M542" t="e">
        <f>電力量!#REF!-電力量!#REF!</f>
        <v>#REF!</v>
      </c>
      <c r="N542" t="e">
        <f>電力量!#REF!-電力量!#REF!</f>
        <v>#REF!</v>
      </c>
      <c r="O542" t="e">
        <f>電力量!#REF!-電力量!#REF!</f>
        <v>#REF!</v>
      </c>
      <c r="P542" t="e">
        <f>電力量!#REF!-電力量!#REF!</f>
        <v>#REF!</v>
      </c>
      <c r="Q542" t="e">
        <f>電力量!#REF!-電力量!#REF!</f>
        <v>#REF!</v>
      </c>
      <c r="R542" t="e">
        <f>電力量!#REF!-電力量!#REF!</f>
        <v>#REF!</v>
      </c>
    </row>
    <row r="543" spans="1:18">
      <c r="A543" s="4">
        <f t="shared" ref="A543:A591" si="196">A530+(13/24)</f>
        <v>45922.541666666664</v>
      </c>
      <c r="B543" t="e">
        <f>電力量!#REF!-電力量!#REF!</f>
        <v>#REF!</v>
      </c>
      <c r="C543" t="e">
        <f>電力量!#REF!-電力量!#REF!</f>
        <v>#REF!</v>
      </c>
      <c r="D543" t="e">
        <f>電力量!#REF!-電力量!#REF!</f>
        <v>#REF!</v>
      </c>
      <c r="E543" t="e">
        <f>電力量!#REF!-電力量!#REF!</f>
        <v>#REF!</v>
      </c>
      <c r="F543" t="e">
        <f>電力量!#REF!-電力量!#REF!</f>
        <v>#REF!</v>
      </c>
      <c r="G543" t="e">
        <f>電力量!#REF!-電力量!#REF!</f>
        <v>#REF!</v>
      </c>
      <c r="H543" t="e">
        <f>電力量!#REF!-電力量!#REF!</f>
        <v>#REF!</v>
      </c>
      <c r="I543" t="e">
        <f>電力量!#REF!-電力量!#REF!</f>
        <v>#REF!</v>
      </c>
      <c r="J543" t="e">
        <f>電力量!#REF!-電力量!#REF!</f>
        <v>#REF!</v>
      </c>
      <c r="K543" t="e">
        <f>電力量!#REF!-電力量!#REF!</f>
        <v>#REF!</v>
      </c>
      <c r="L543" t="e">
        <f>電力量!#REF!-電力量!#REF!</f>
        <v>#REF!</v>
      </c>
      <c r="M543" t="e">
        <f>電力量!#REF!-電力量!#REF!</f>
        <v>#REF!</v>
      </c>
      <c r="N543" t="e">
        <f>電力量!#REF!-電力量!#REF!</f>
        <v>#REF!</v>
      </c>
      <c r="O543" t="e">
        <f>電力量!#REF!-電力量!#REF!</f>
        <v>#REF!</v>
      </c>
      <c r="P543" t="e">
        <f>電力量!#REF!-電力量!#REF!</f>
        <v>#REF!</v>
      </c>
      <c r="Q543" t="e">
        <f>電力量!#REF!-電力量!#REF!</f>
        <v>#REF!</v>
      </c>
      <c r="R543" t="e">
        <f>電力量!#REF!-電力量!#REF!</f>
        <v>#REF!</v>
      </c>
    </row>
    <row r="544" spans="1:18">
      <c r="A544" s="4">
        <f t="shared" ref="A544:A592" si="197">A530+(14/24)</f>
        <v>45922.583333333336</v>
      </c>
      <c r="B544" t="e">
        <f>電力量!#REF!-電力量!#REF!</f>
        <v>#REF!</v>
      </c>
      <c r="C544" t="e">
        <f>電力量!#REF!-電力量!#REF!</f>
        <v>#REF!</v>
      </c>
      <c r="D544" t="e">
        <f>電力量!#REF!-電力量!#REF!</f>
        <v>#REF!</v>
      </c>
      <c r="E544" t="e">
        <f>電力量!#REF!-電力量!#REF!</f>
        <v>#REF!</v>
      </c>
      <c r="F544" t="e">
        <f>電力量!#REF!-電力量!#REF!</f>
        <v>#REF!</v>
      </c>
      <c r="G544" t="e">
        <f>電力量!#REF!-電力量!#REF!</f>
        <v>#REF!</v>
      </c>
      <c r="H544" t="e">
        <f>電力量!#REF!-電力量!#REF!</f>
        <v>#REF!</v>
      </c>
      <c r="I544" t="e">
        <f>電力量!#REF!-電力量!#REF!</f>
        <v>#REF!</v>
      </c>
      <c r="J544" t="e">
        <f>電力量!#REF!-電力量!#REF!</f>
        <v>#REF!</v>
      </c>
      <c r="K544" t="e">
        <f>電力量!#REF!-電力量!#REF!</f>
        <v>#REF!</v>
      </c>
      <c r="L544" t="e">
        <f>電力量!#REF!-電力量!#REF!</f>
        <v>#REF!</v>
      </c>
      <c r="M544" t="e">
        <f>電力量!#REF!-電力量!#REF!</f>
        <v>#REF!</v>
      </c>
      <c r="N544" t="e">
        <f>電力量!#REF!-電力量!#REF!</f>
        <v>#REF!</v>
      </c>
      <c r="O544" t="e">
        <f>電力量!#REF!-電力量!#REF!</f>
        <v>#REF!</v>
      </c>
      <c r="P544" t="e">
        <f>電力量!#REF!-電力量!#REF!</f>
        <v>#REF!</v>
      </c>
      <c r="Q544" t="e">
        <f>電力量!#REF!-電力量!#REF!</f>
        <v>#REF!</v>
      </c>
      <c r="R544" t="e">
        <f>電力量!#REF!-電力量!#REF!</f>
        <v>#REF!</v>
      </c>
    </row>
    <row r="545" spans="1:18">
      <c r="A545" s="4">
        <f t="shared" ref="A545:A593" si="198">A530+(15/24)</f>
        <v>45922.625</v>
      </c>
      <c r="B545" t="e">
        <f>電力量!#REF!-電力量!#REF!</f>
        <v>#REF!</v>
      </c>
      <c r="C545" t="e">
        <f>電力量!#REF!-電力量!#REF!</f>
        <v>#REF!</v>
      </c>
      <c r="D545" t="e">
        <f>電力量!#REF!-電力量!#REF!</f>
        <v>#REF!</v>
      </c>
      <c r="E545" t="e">
        <f>電力量!#REF!-電力量!#REF!</f>
        <v>#REF!</v>
      </c>
      <c r="F545" t="e">
        <f>電力量!#REF!-電力量!#REF!</f>
        <v>#REF!</v>
      </c>
      <c r="G545" t="e">
        <f>電力量!#REF!-電力量!#REF!</f>
        <v>#REF!</v>
      </c>
      <c r="H545" t="e">
        <f>電力量!#REF!-電力量!#REF!</f>
        <v>#REF!</v>
      </c>
      <c r="I545" t="e">
        <f>電力量!#REF!-電力量!#REF!</f>
        <v>#REF!</v>
      </c>
      <c r="J545" t="e">
        <f>電力量!#REF!-電力量!#REF!</f>
        <v>#REF!</v>
      </c>
      <c r="K545" t="e">
        <f>電力量!#REF!-電力量!#REF!</f>
        <v>#REF!</v>
      </c>
      <c r="L545" t="e">
        <f>電力量!#REF!-電力量!#REF!</f>
        <v>#REF!</v>
      </c>
      <c r="M545" t="e">
        <f>電力量!#REF!-電力量!#REF!</f>
        <v>#REF!</v>
      </c>
      <c r="N545" t="e">
        <f>電力量!#REF!-電力量!#REF!</f>
        <v>#REF!</v>
      </c>
      <c r="O545" t="e">
        <f>電力量!#REF!-電力量!#REF!</f>
        <v>#REF!</v>
      </c>
      <c r="P545" t="e">
        <f>電力量!#REF!-電力量!#REF!</f>
        <v>#REF!</v>
      </c>
      <c r="Q545" t="e">
        <f>電力量!#REF!-電力量!#REF!</f>
        <v>#REF!</v>
      </c>
      <c r="R545" t="e">
        <f>電力量!#REF!-電力量!#REF!</f>
        <v>#REF!</v>
      </c>
    </row>
    <row r="546" spans="1:18">
      <c r="A546" s="4">
        <f t="shared" ref="A546:A594" si="199">A530+(16/24)</f>
        <v>45922.666666666664</v>
      </c>
      <c r="B546" t="e">
        <f>電力量!#REF!-電力量!#REF!</f>
        <v>#REF!</v>
      </c>
      <c r="C546" t="e">
        <f>電力量!#REF!-電力量!#REF!</f>
        <v>#REF!</v>
      </c>
      <c r="D546" t="e">
        <f>電力量!#REF!-電力量!#REF!</f>
        <v>#REF!</v>
      </c>
      <c r="E546" t="e">
        <f>電力量!#REF!-電力量!#REF!</f>
        <v>#REF!</v>
      </c>
      <c r="F546" t="e">
        <f>電力量!#REF!-電力量!#REF!</f>
        <v>#REF!</v>
      </c>
      <c r="G546" t="e">
        <f>電力量!#REF!-電力量!#REF!</f>
        <v>#REF!</v>
      </c>
      <c r="H546" t="e">
        <f>電力量!#REF!-電力量!#REF!</f>
        <v>#REF!</v>
      </c>
      <c r="I546" t="e">
        <f>電力量!#REF!-電力量!#REF!</f>
        <v>#REF!</v>
      </c>
      <c r="J546" t="e">
        <f>電力量!#REF!-電力量!#REF!</f>
        <v>#REF!</v>
      </c>
      <c r="K546" t="e">
        <f>電力量!#REF!-電力量!#REF!</f>
        <v>#REF!</v>
      </c>
      <c r="L546" t="e">
        <f>電力量!#REF!-電力量!#REF!</f>
        <v>#REF!</v>
      </c>
      <c r="M546" t="e">
        <f>電力量!#REF!-電力量!#REF!</f>
        <v>#REF!</v>
      </c>
      <c r="N546" t="e">
        <f>電力量!#REF!-電力量!#REF!</f>
        <v>#REF!</v>
      </c>
      <c r="O546" t="e">
        <f>電力量!#REF!-電力量!#REF!</f>
        <v>#REF!</v>
      </c>
      <c r="P546" t="e">
        <f>電力量!#REF!-電力量!#REF!</f>
        <v>#REF!</v>
      </c>
      <c r="Q546" t="e">
        <f>電力量!#REF!-電力量!#REF!</f>
        <v>#REF!</v>
      </c>
      <c r="R546" t="e">
        <f>電力量!#REF!-電力量!#REF!</f>
        <v>#REF!</v>
      </c>
    </row>
    <row r="547" spans="1:18">
      <c r="A547" s="4">
        <f t="shared" ref="A547:A595" si="200">A530+(17/24)</f>
        <v>45922.708333333336</v>
      </c>
      <c r="B547" t="e">
        <f>電力量!#REF!-電力量!#REF!</f>
        <v>#REF!</v>
      </c>
      <c r="C547" t="e">
        <f>電力量!#REF!-電力量!#REF!</f>
        <v>#REF!</v>
      </c>
      <c r="D547" t="e">
        <f>電力量!#REF!-電力量!#REF!</f>
        <v>#REF!</v>
      </c>
      <c r="E547" t="e">
        <f>電力量!#REF!-電力量!#REF!</f>
        <v>#REF!</v>
      </c>
      <c r="F547" t="e">
        <f>電力量!#REF!-電力量!#REF!</f>
        <v>#REF!</v>
      </c>
      <c r="G547" t="e">
        <f>電力量!#REF!-電力量!#REF!</f>
        <v>#REF!</v>
      </c>
      <c r="H547" t="e">
        <f>電力量!#REF!-電力量!#REF!</f>
        <v>#REF!</v>
      </c>
      <c r="I547" t="e">
        <f>電力量!#REF!-電力量!#REF!</f>
        <v>#REF!</v>
      </c>
      <c r="J547" t="e">
        <f>電力量!#REF!-電力量!#REF!</f>
        <v>#REF!</v>
      </c>
      <c r="K547" t="e">
        <f>電力量!#REF!-電力量!#REF!</f>
        <v>#REF!</v>
      </c>
      <c r="L547" t="e">
        <f>電力量!#REF!-電力量!#REF!</f>
        <v>#REF!</v>
      </c>
      <c r="M547" t="e">
        <f>電力量!#REF!-電力量!#REF!</f>
        <v>#REF!</v>
      </c>
      <c r="N547" t="e">
        <f>電力量!#REF!-電力量!#REF!</f>
        <v>#REF!</v>
      </c>
      <c r="O547" t="e">
        <f>電力量!#REF!-電力量!#REF!</f>
        <v>#REF!</v>
      </c>
      <c r="P547" t="e">
        <f>電力量!#REF!-電力量!#REF!</f>
        <v>#REF!</v>
      </c>
      <c r="Q547" t="e">
        <f>電力量!#REF!-電力量!#REF!</f>
        <v>#REF!</v>
      </c>
      <c r="R547" t="e">
        <f>電力量!#REF!-電力量!#REF!</f>
        <v>#REF!</v>
      </c>
    </row>
    <row r="548" spans="1:18">
      <c r="A548" s="4">
        <f t="shared" ref="A548:A596" si="201">A530+(18/24)</f>
        <v>45922.75</v>
      </c>
      <c r="B548" t="e">
        <f>電力量!#REF!-電力量!#REF!</f>
        <v>#REF!</v>
      </c>
      <c r="C548" t="e">
        <f>電力量!#REF!-電力量!#REF!</f>
        <v>#REF!</v>
      </c>
      <c r="D548" t="e">
        <f>電力量!#REF!-電力量!#REF!</f>
        <v>#REF!</v>
      </c>
      <c r="E548" t="e">
        <f>電力量!#REF!-電力量!#REF!</f>
        <v>#REF!</v>
      </c>
      <c r="F548" t="e">
        <f>電力量!#REF!-電力量!#REF!</f>
        <v>#REF!</v>
      </c>
      <c r="G548" t="e">
        <f>電力量!#REF!-電力量!#REF!</f>
        <v>#REF!</v>
      </c>
      <c r="H548" t="e">
        <f>電力量!#REF!-電力量!#REF!</f>
        <v>#REF!</v>
      </c>
      <c r="I548" t="e">
        <f>電力量!#REF!-電力量!#REF!</f>
        <v>#REF!</v>
      </c>
      <c r="J548" t="e">
        <f>電力量!#REF!-電力量!#REF!</f>
        <v>#REF!</v>
      </c>
      <c r="K548" t="e">
        <f>電力量!#REF!-電力量!#REF!</f>
        <v>#REF!</v>
      </c>
      <c r="L548" t="e">
        <f>電力量!#REF!-電力量!#REF!</f>
        <v>#REF!</v>
      </c>
      <c r="M548" t="e">
        <f>電力量!#REF!-電力量!#REF!</f>
        <v>#REF!</v>
      </c>
      <c r="N548" t="e">
        <f>電力量!#REF!-電力量!#REF!</f>
        <v>#REF!</v>
      </c>
      <c r="O548" t="e">
        <f>電力量!#REF!-電力量!#REF!</f>
        <v>#REF!</v>
      </c>
      <c r="P548" t="e">
        <f>電力量!#REF!-電力量!#REF!</f>
        <v>#REF!</v>
      </c>
      <c r="Q548" t="e">
        <f>電力量!#REF!-電力量!#REF!</f>
        <v>#REF!</v>
      </c>
      <c r="R548" t="e">
        <f>電力量!#REF!-電力量!#REF!</f>
        <v>#REF!</v>
      </c>
    </row>
    <row r="549" spans="1:18">
      <c r="A549" s="4">
        <f t="shared" ref="A549:A597" si="202">A530+(19/24)</f>
        <v>45922.791666666664</v>
      </c>
      <c r="B549" t="e">
        <f>電力量!#REF!-電力量!#REF!</f>
        <v>#REF!</v>
      </c>
      <c r="C549" t="e">
        <f>電力量!#REF!-電力量!#REF!</f>
        <v>#REF!</v>
      </c>
      <c r="D549" t="e">
        <f>電力量!#REF!-電力量!#REF!</f>
        <v>#REF!</v>
      </c>
      <c r="E549" t="e">
        <f>電力量!#REF!-電力量!#REF!</f>
        <v>#REF!</v>
      </c>
      <c r="F549" t="e">
        <f>電力量!#REF!-電力量!#REF!</f>
        <v>#REF!</v>
      </c>
      <c r="G549" t="e">
        <f>電力量!#REF!-電力量!#REF!</f>
        <v>#REF!</v>
      </c>
      <c r="H549" t="e">
        <f>電力量!#REF!-電力量!#REF!</f>
        <v>#REF!</v>
      </c>
      <c r="I549" t="e">
        <f>電力量!#REF!-電力量!#REF!</f>
        <v>#REF!</v>
      </c>
      <c r="J549" t="e">
        <f>電力量!#REF!-電力量!#REF!</f>
        <v>#REF!</v>
      </c>
      <c r="K549" t="e">
        <f>電力量!#REF!-電力量!#REF!</f>
        <v>#REF!</v>
      </c>
      <c r="L549" t="e">
        <f>電力量!#REF!-電力量!#REF!</f>
        <v>#REF!</v>
      </c>
      <c r="M549" t="e">
        <f>電力量!#REF!-電力量!#REF!</f>
        <v>#REF!</v>
      </c>
      <c r="N549" t="e">
        <f>電力量!#REF!-電力量!#REF!</f>
        <v>#REF!</v>
      </c>
      <c r="O549" t="e">
        <f>電力量!#REF!-電力量!#REF!</f>
        <v>#REF!</v>
      </c>
      <c r="P549" t="e">
        <f>電力量!#REF!-電力量!#REF!</f>
        <v>#REF!</v>
      </c>
      <c r="Q549" t="e">
        <f>電力量!#REF!-電力量!#REF!</f>
        <v>#REF!</v>
      </c>
      <c r="R549" t="e">
        <f>電力量!#REF!-電力量!#REF!</f>
        <v>#REF!</v>
      </c>
    </row>
    <row r="550" spans="1:18">
      <c r="A550" s="4">
        <f t="shared" ref="A550:A598" si="203">A530+(20/24)</f>
        <v>45922.833333333336</v>
      </c>
      <c r="B550" t="e">
        <f>電力量!#REF!-電力量!#REF!</f>
        <v>#REF!</v>
      </c>
      <c r="C550" t="e">
        <f>電力量!#REF!-電力量!#REF!</f>
        <v>#REF!</v>
      </c>
      <c r="D550" t="e">
        <f>電力量!#REF!-電力量!#REF!</f>
        <v>#REF!</v>
      </c>
      <c r="E550" t="e">
        <f>電力量!#REF!-電力量!#REF!</f>
        <v>#REF!</v>
      </c>
      <c r="F550" t="e">
        <f>電力量!#REF!-電力量!#REF!</f>
        <v>#REF!</v>
      </c>
      <c r="G550" t="e">
        <f>電力量!#REF!-電力量!#REF!</f>
        <v>#REF!</v>
      </c>
      <c r="H550" t="e">
        <f>電力量!#REF!-電力量!#REF!</f>
        <v>#REF!</v>
      </c>
      <c r="I550" t="e">
        <f>電力量!#REF!-電力量!#REF!</f>
        <v>#REF!</v>
      </c>
      <c r="J550" t="e">
        <f>電力量!#REF!-電力量!#REF!</f>
        <v>#REF!</v>
      </c>
      <c r="K550" t="e">
        <f>電力量!#REF!-電力量!#REF!</f>
        <v>#REF!</v>
      </c>
      <c r="L550" t="e">
        <f>電力量!#REF!-電力量!#REF!</f>
        <v>#REF!</v>
      </c>
      <c r="M550" t="e">
        <f>電力量!#REF!-電力量!#REF!</f>
        <v>#REF!</v>
      </c>
      <c r="N550" t="e">
        <f>電力量!#REF!-電力量!#REF!</f>
        <v>#REF!</v>
      </c>
      <c r="O550" t="e">
        <f>電力量!#REF!-電力量!#REF!</f>
        <v>#REF!</v>
      </c>
      <c r="P550" t="e">
        <f>電力量!#REF!-電力量!#REF!</f>
        <v>#REF!</v>
      </c>
      <c r="Q550" t="e">
        <f>電力量!#REF!-電力量!#REF!</f>
        <v>#REF!</v>
      </c>
      <c r="R550" t="e">
        <f>電力量!#REF!-電力量!#REF!</f>
        <v>#REF!</v>
      </c>
    </row>
    <row r="551" spans="1:18">
      <c r="A551" s="4">
        <f t="shared" ref="A551:A599" si="204">A530+(21/24)</f>
        <v>45922.875</v>
      </c>
      <c r="B551" t="e">
        <f>電力量!#REF!-電力量!#REF!</f>
        <v>#REF!</v>
      </c>
      <c r="C551" t="e">
        <f>電力量!#REF!-電力量!#REF!</f>
        <v>#REF!</v>
      </c>
      <c r="D551" t="e">
        <f>電力量!#REF!-電力量!#REF!</f>
        <v>#REF!</v>
      </c>
      <c r="E551" t="e">
        <f>電力量!#REF!-電力量!#REF!</f>
        <v>#REF!</v>
      </c>
      <c r="F551" t="e">
        <f>電力量!#REF!-電力量!#REF!</f>
        <v>#REF!</v>
      </c>
      <c r="G551" t="e">
        <f>電力量!#REF!-電力量!#REF!</f>
        <v>#REF!</v>
      </c>
      <c r="H551" t="e">
        <f>電力量!#REF!-電力量!#REF!</f>
        <v>#REF!</v>
      </c>
      <c r="I551" t="e">
        <f>電力量!#REF!-電力量!#REF!</f>
        <v>#REF!</v>
      </c>
      <c r="J551" t="e">
        <f>電力量!#REF!-電力量!#REF!</f>
        <v>#REF!</v>
      </c>
      <c r="K551" t="e">
        <f>電力量!#REF!-電力量!#REF!</f>
        <v>#REF!</v>
      </c>
      <c r="L551" t="e">
        <f>電力量!#REF!-電力量!#REF!</f>
        <v>#REF!</v>
      </c>
      <c r="M551" t="e">
        <f>電力量!#REF!-電力量!#REF!</f>
        <v>#REF!</v>
      </c>
      <c r="N551" t="e">
        <f>電力量!#REF!-電力量!#REF!</f>
        <v>#REF!</v>
      </c>
      <c r="O551" t="e">
        <f>電力量!#REF!-電力量!#REF!</f>
        <v>#REF!</v>
      </c>
      <c r="P551" t="e">
        <f>電力量!#REF!-電力量!#REF!</f>
        <v>#REF!</v>
      </c>
      <c r="Q551" t="e">
        <f>電力量!#REF!-電力量!#REF!</f>
        <v>#REF!</v>
      </c>
      <c r="R551" t="e">
        <f>電力量!#REF!-電力量!#REF!</f>
        <v>#REF!</v>
      </c>
    </row>
    <row r="552" spans="1:18">
      <c r="A552" s="4">
        <f t="shared" ref="A552:A600" si="205">A530+(22/24)</f>
        <v>45922.916666666664</v>
      </c>
      <c r="B552" t="e">
        <f>電力量!#REF!-電力量!#REF!</f>
        <v>#REF!</v>
      </c>
      <c r="C552" t="e">
        <f>電力量!#REF!-電力量!#REF!</f>
        <v>#REF!</v>
      </c>
      <c r="D552" t="e">
        <f>電力量!#REF!-電力量!#REF!</f>
        <v>#REF!</v>
      </c>
      <c r="E552" t="e">
        <f>電力量!#REF!-電力量!#REF!</f>
        <v>#REF!</v>
      </c>
      <c r="F552" t="e">
        <f>電力量!#REF!-電力量!#REF!</f>
        <v>#REF!</v>
      </c>
      <c r="G552" t="e">
        <f>電力量!#REF!-電力量!#REF!</f>
        <v>#REF!</v>
      </c>
      <c r="H552" t="e">
        <f>電力量!#REF!-電力量!#REF!</f>
        <v>#REF!</v>
      </c>
      <c r="I552" t="e">
        <f>電力量!#REF!-電力量!#REF!</f>
        <v>#REF!</v>
      </c>
      <c r="J552" t="e">
        <f>電力量!#REF!-電力量!#REF!</f>
        <v>#REF!</v>
      </c>
      <c r="K552" t="e">
        <f>電力量!#REF!-電力量!#REF!</f>
        <v>#REF!</v>
      </c>
      <c r="L552" t="e">
        <f>電力量!#REF!-電力量!#REF!</f>
        <v>#REF!</v>
      </c>
      <c r="M552" t="e">
        <f>電力量!#REF!-電力量!#REF!</f>
        <v>#REF!</v>
      </c>
      <c r="N552" t="e">
        <f>電力量!#REF!-電力量!#REF!</f>
        <v>#REF!</v>
      </c>
      <c r="O552" t="e">
        <f>電力量!#REF!-電力量!#REF!</f>
        <v>#REF!</v>
      </c>
      <c r="P552" t="e">
        <f>電力量!#REF!-電力量!#REF!</f>
        <v>#REF!</v>
      </c>
      <c r="Q552" t="e">
        <f>電力量!#REF!-電力量!#REF!</f>
        <v>#REF!</v>
      </c>
      <c r="R552" t="e">
        <f>電力量!#REF!-電力量!#REF!</f>
        <v>#REF!</v>
      </c>
    </row>
    <row r="553" spans="1:18">
      <c r="A553" s="4">
        <f t="shared" ref="A553:A601" si="206">A530+(23/24)</f>
        <v>45922.958333333336</v>
      </c>
      <c r="B553" t="e">
        <f>電力量!#REF!-電力量!#REF!</f>
        <v>#REF!</v>
      </c>
      <c r="C553" t="e">
        <f>電力量!#REF!-電力量!#REF!</f>
        <v>#REF!</v>
      </c>
      <c r="D553" t="e">
        <f>電力量!#REF!-電力量!#REF!</f>
        <v>#REF!</v>
      </c>
      <c r="E553" t="e">
        <f>電力量!#REF!-電力量!#REF!</f>
        <v>#REF!</v>
      </c>
      <c r="F553" t="e">
        <f>電力量!#REF!-電力量!#REF!</f>
        <v>#REF!</v>
      </c>
      <c r="G553" t="e">
        <f>電力量!#REF!-電力量!#REF!</f>
        <v>#REF!</v>
      </c>
      <c r="H553" t="e">
        <f>電力量!#REF!-電力量!#REF!</f>
        <v>#REF!</v>
      </c>
      <c r="I553" t="e">
        <f>電力量!#REF!-電力量!#REF!</f>
        <v>#REF!</v>
      </c>
      <c r="J553" t="e">
        <f>電力量!#REF!-電力量!#REF!</f>
        <v>#REF!</v>
      </c>
      <c r="K553" t="e">
        <f>電力量!#REF!-電力量!#REF!</f>
        <v>#REF!</v>
      </c>
      <c r="L553" t="e">
        <f>電力量!#REF!-電力量!#REF!</f>
        <v>#REF!</v>
      </c>
      <c r="M553" t="e">
        <f>電力量!#REF!-電力量!#REF!</f>
        <v>#REF!</v>
      </c>
      <c r="N553" t="e">
        <f>電力量!#REF!-電力量!#REF!</f>
        <v>#REF!</v>
      </c>
      <c r="O553" t="e">
        <f>電力量!#REF!-電力量!#REF!</f>
        <v>#REF!</v>
      </c>
      <c r="P553" t="e">
        <f>電力量!#REF!-電力量!#REF!</f>
        <v>#REF!</v>
      </c>
      <c r="Q553" t="e">
        <f>電力量!#REF!-電力量!#REF!</f>
        <v>#REF!</v>
      </c>
      <c r="R553" t="e">
        <f>電力量!#REF!-電力量!#REF!</f>
        <v>#REF!</v>
      </c>
    </row>
    <row r="554" spans="1:18">
      <c r="A554" s="4">
        <v>45923</v>
      </c>
      <c r="B554" t="e">
        <f>電力量!#REF!-電力量!#REF!</f>
        <v>#REF!</v>
      </c>
      <c r="C554" t="e">
        <f>電力量!#REF!-電力量!#REF!</f>
        <v>#REF!</v>
      </c>
      <c r="D554" t="e">
        <f>電力量!#REF!-電力量!#REF!</f>
        <v>#REF!</v>
      </c>
      <c r="E554" t="e">
        <f>電力量!#REF!-電力量!#REF!</f>
        <v>#REF!</v>
      </c>
      <c r="F554" t="e">
        <f>電力量!#REF!-電力量!#REF!</f>
        <v>#REF!</v>
      </c>
      <c r="G554" t="e">
        <f>電力量!#REF!-電力量!#REF!</f>
        <v>#REF!</v>
      </c>
      <c r="H554" t="e">
        <f>電力量!#REF!-電力量!#REF!</f>
        <v>#REF!</v>
      </c>
      <c r="I554" t="e">
        <f>電力量!#REF!-電力量!#REF!</f>
        <v>#REF!</v>
      </c>
      <c r="J554" t="e">
        <f>電力量!#REF!-電力量!#REF!</f>
        <v>#REF!</v>
      </c>
      <c r="K554" t="e">
        <f>電力量!#REF!-電力量!#REF!</f>
        <v>#REF!</v>
      </c>
      <c r="L554" t="e">
        <f>電力量!#REF!-電力量!#REF!</f>
        <v>#REF!</v>
      </c>
      <c r="M554" t="e">
        <f>電力量!#REF!-電力量!#REF!</f>
        <v>#REF!</v>
      </c>
      <c r="N554" t="e">
        <f>電力量!#REF!-電力量!#REF!</f>
        <v>#REF!</v>
      </c>
      <c r="O554" t="e">
        <f>電力量!#REF!-電力量!#REF!</f>
        <v>#REF!</v>
      </c>
      <c r="P554" t="e">
        <f>電力量!#REF!-電力量!#REF!</f>
        <v>#REF!</v>
      </c>
      <c r="Q554" t="e">
        <f>電力量!#REF!-電力量!#REF!</f>
        <v>#REF!</v>
      </c>
      <c r="R554" t="e">
        <f>電力量!#REF!-電力量!#REF!</f>
        <v>#REF!</v>
      </c>
    </row>
    <row r="555" spans="1:18">
      <c r="A555" s="4">
        <f t="shared" si="184"/>
        <v>45923.041666666664</v>
      </c>
      <c r="B555" t="e">
        <f>電力量!#REF!-電力量!#REF!</f>
        <v>#REF!</v>
      </c>
      <c r="C555" t="e">
        <f>電力量!#REF!-電力量!#REF!</f>
        <v>#REF!</v>
      </c>
      <c r="D555" t="e">
        <f>電力量!#REF!-電力量!#REF!</f>
        <v>#REF!</v>
      </c>
      <c r="E555" t="e">
        <f>電力量!#REF!-電力量!#REF!</f>
        <v>#REF!</v>
      </c>
      <c r="F555" t="e">
        <f>電力量!#REF!-電力量!#REF!</f>
        <v>#REF!</v>
      </c>
      <c r="G555" t="e">
        <f>電力量!#REF!-電力量!#REF!</f>
        <v>#REF!</v>
      </c>
      <c r="H555" t="e">
        <f>電力量!#REF!-電力量!#REF!</f>
        <v>#REF!</v>
      </c>
      <c r="I555" t="e">
        <f>電力量!#REF!-電力量!#REF!</f>
        <v>#REF!</v>
      </c>
      <c r="J555" t="e">
        <f>電力量!#REF!-電力量!#REF!</f>
        <v>#REF!</v>
      </c>
      <c r="K555" t="e">
        <f>電力量!#REF!-電力量!#REF!</f>
        <v>#REF!</v>
      </c>
      <c r="L555" t="e">
        <f>電力量!#REF!-電力量!#REF!</f>
        <v>#REF!</v>
      </c>
      <c r="M555" t="e">
        <f>電力量!#REF!-電力量!#REF!</f>
        <v>#REF!</v>
      </c>
      <c r="N555" t="e">
        <f>電力量!#REF!-電力量!#REF!</f>
        <v>#REF!</v>
      </c>
      <c r="O555" t="e">
        <f>電力量!#REF!-電力量!#REF!</f>
        <v>#REF!</v>
      </c>
      <c r="P555" t="e">
        <f>電力量!#REF!-電力量!#REF!</f>
        <v>#REF!</v>
      </c>
      <c r="Q555" t="e">
        <f>電力量!#REF!-電力量!#REF!</f>
        <v>#REF!</v>
      </c>
      <c r="R555" t="e">
        <f>電力量!#REF!-電力量!#REF!</f>
        <v>#REF!</v>
      </c>
    </row>
    <row r="556" spans="1:18">
      <c r="A556" s="4">
        <f t="shared" si="185"/>
        <v>45923.083333333336</v>
      </c>
      <c r="B556" t="e">
        <f>電力量!#REF!-電力量!#REF!</f>
        <v>#REF!</v>
      </c>
      <c r="C556" t="e">
        <f>電力量!#REF!-電力量!#REF!</f>
        <v>#REF!</v>
      </c>
      <c r="D556" t="e">
        <f>電力量!#REF!-電力量!#REF!</f>
        <v>#REF!</v>
      </c>
      <c r="E556" t="e">
        <f>電力量!#REF!-電力量!#REF!</f>
        <v>#REF!</v>
      </c>
      <c r="F556" t="e">
        <f>電力量!#REF!-電力量!#REF!</f>
        <v>#REF!</v>
      </c>
      <c r="G556" t="e">
        <f>電力量!#REF!-電力量!#REF!</f>
        <v>#REF!</v>
      </c>
      <c r="H556" t="e">
        <f>電力量!#REF!-電力量!#REF!</f>
        <v>#REF!</v>
      </c>
      <c r="I556" t="e">
        <f>電力量!#REF!-電力量!#REF!</f>
        <v>#REF!</v>
      </c>
      <c r="J556" t="e">
        <f>電力量!#REF!-電力量!#REF!</f>
        <v>#REF!</v>
      </c>
      <c r="K556" t="e">
        <f>電力量!#REF!-電力量!#REF!</f>
        <v>#REF!</v>
      </c>
      <c r="L556" t="e">
        <f>電力量!#REF!-電力量!#REF!</f>
        <v>#REF!</v>
      </c>
      <c r="M556" t="e">
        <f>電力量!#REF!-電力量!#REF!</f>
        <v>#REF!</v>
      </c>
      <c r="N556" t="e">
        <f>電力量!#REF!-電力量!#REF!</f>
        <v>#REF!</v>
      </c>
      <c r="O556" t="e">
        <f>電力量!#REF!-電力量!#REF!</f>
        <v>#REF!</v>
      </c>
      <c r="P556" t="e">
        <f>電力量!#REF!-電力量!#REF!</f>
        <v>#REF!</v>
      </c>
      <c r="Q556" t="e">
        <f>電力量!#REF!-電力量!#REF!</f>
        <v>#REF!</v>
      </c>
      <c r="R556" t="e">
        <f>電力量!#REF!-電力量!#REF!</f>
        <v>#REF!</v>
      </c>
    </row>
    <row r="557" spans="1:18">
      <c r="A557" s="4">
        <f t="shared" si="186"/>
        <v>45923.125</v>
      </c>
      <c r="B557" t="e">
        <f>電力量!#REF!-電力量!#REF!</f>
        <v>#REF!</v>
      </c>
      <c r="C557" t="e">
        <f>電力量!#REF!-電力量!#REF!</f>
        <v>#REF!</v>
      </c>
      <c r="D557" t="e">
        <f>電力量!#REF!-電力量!#REF!</f>
        <v>#REF!</v>
      </c>
      <c r="E557" t="e">
        <f>電力量!#REF!-電力量!#REF!</f>
        <v>#REF!</v>
      </c>
      <c r="F557" t="e">
        <f>電力量!#REF!-電力量!#REF!</f>
        <v>#REF!</v>
      </c>
      <c r="G557" t="e">
        <f>電力量!#REF!-電力量!#REF!</f>
        <v>#REF!</v>
      </c>
      <c r="H557" t="e">
        <f>電力量!#REF!-電力量!#REF!</f>
        <v>#REF!</v>
      </c>
      <c r="I557" t="e">
        <f>電力量!#REF!-電力量!#REF!</f>
        <v>#REF!</v>
      </c>
      <c r="J557" t="e">
        <f>電力量!#REF!-電力量!#REF!</f>
        <v>#REF!</v>
      </c>
      <c r="K557" t="e">
        <f>電力量!#REF!-電力量!#REF!</f>
        <v>#REF!</v>
      </c>
      <c r="L557" t="e">
        <f>電力量!#REF!-電力量!#REF!</f>
        <v>#REF!</v>
      </c>
      <c r="M557" t="e">
        <f>電力量!#REF!-電力量!#REF!</f>
        <v>#REF!</v>
      </c>
      <c r="N557" t="e">
        <f>電力量!#REF!-電力量!#REF!</f>
        <v>#REF!</v>
      </c>
      <c r="O557" t="e">
        <f>電力量!#REF!-電力量!#REF!</f>
        <v>#REF!</v>
      </c>
      <c r="P557" t="e">
        <f>電力量!#REF!-電力量!#REF!</f>
        <v>#REF!</v>
      </c>
      <c r="Q557" t="e">
        <f>電力量!#REF!-電力量!#REF!</f>
        <v>#REF!</v>
      </c>
      <c r="R557" t="e">
        <f>電力量!#REF!-電力量!#REF!</f>
        <v>#REF!</v>
      </c>
    </row>
    <row r="558" spans="1:18">
      <c r="A558" s="4">
        <f t="shared" si="187"/>
        <v>45923.166666666664</v>
      </c>
      <c r="B558" t="e">
        <f>電力量!#REF!-電力量!#REF!</f>
        <v>#REF!</v>
      </c>
      <c r="C558" t="e">
        <f>電力量!#REF!-電力量!#REF!</f>
        <v>#REF!</v>
      </c>
      <c r="D558" t="e">
        <f>電力量!#REF!-電力量!#REF!</f>
        <v>#REF!</v>
      </c>
      <c r="E558" t="e">
        <f>電力量!#REF!-電力量!#REF!</f>
        <v>#REF!</v>
      </c>
      <c r="F558" t="e">
        <f>電力量!#REF!-電力量!#REF!</f>
        <v>#REF!</v>
      </c>
      <c r="G558" t="e">
        <f>電力量!#REF!-電力量!#REF!</f>
        <v>#REF!</v>
      </c>
      <c r="H558" t="e">
        <f>電力量!#REF!-電力量!#REF!</f>
        <v>#REF!</v>
      </c>
      <c r="I558" t="e">
        <f>電力量!#REF!-電力量!#REF!</f>
        <v>#REF!</v>
      </c>
      <c r="J558" t="e">
        <f>電力量!#REF!-電力量!#REF!</f>
        <v>#REF!</v>
      </c>
      <c r="K558" t="e">
        <f>電力量!#REF!-電力量!#REF!</f>
        <v>#REF!</v>
      </c>
      <c r="L558" t="e">
        <f>電力量!#REF!-電力量!#REF!</f>
        <v>#REF!</v>
      </c>
      <c r="M558" t="e">
        <f>電力量!#REF!-電力量!#REF!</f>
        <v>#REF!</v>
      </c>
      <c r="N558" t="e">
        <f>電力量!#REF!-電力量!#REF!</f>
        <v>#REF!</v>
      </c>
      <c r="O558" t="e">
        <f>電力量!#REF!-電力量!#REF!</f>
        <v>#REF!</v>
      </c>
      <c r="P558" t="e">
        <f>電力量!#REF!-電力量!#REF!</f>
        <v>#REF!</v>
      </c>
      <c r="Q558" t="e">
        <f>電力量!#REF!-電力量!#REF!</f>
        <v>#REF!</v>
      </c>
      <c r="R558" t="e">
        <f>電力量!#REF!-電力量!#REF!</f>
        <v>#REF!</v>
      </c>
    </row>
    <row r="559" spans="1:18">
      <c r="A559" s="4">
        <f t="shared" si="188"/>
        <v>45923.208333333336</v>
      </c>
      <c r="B559" t="e">
        <f>電力量!#REF!-電力量!#REF!</f>
        <v>#REF!</v>
      </c>
      <c r="C559" t="e">
        <f>電力量!#REF!-電力量!#REF!</f>
        <v>#REF!</v>
      </c>
      <c r="D559" t="e">
        <f>電力量!#REF!-電力量!#REF!</f>
        <v>#REF!</v>
      </c>
      <c r="E559" t="e">
        <f>電力量!#REF!-電力量!#REF!</f>
        <v>#REF!</v>
      </c>
      <c r="F559" t="e">
        <f>電力量!#REF!-電力量!#REF!</f>
        <v>#REF!</v>
      </c>
      <c r="G559" t="e">
        <f>電力量!#REF!-電力量!#REF!</f>
        <v>#REF!</v>
      </c>
      <c r="H559" t="e">
        <f>電力量!#REF!-電力量!#REF!</f>
        <v>#REF!</v>
      </c>
      <c r="I559" t="e">
        <f>電力量!#REF!-電力量!#REF!</f>
        <v>#REF!</v>
      </c>
      <c r="J559" t="e">
        <f>電力量!#REF!-電力量!#REF!</f>
        <v>#REF!</v>
      </c>
      <c r="K559" t="e">
        <f>電力量!#REF!-電力量!#REF!</f>
        <v>#REF!</v>
      </c>
      <c r="L559" t="e">
        <f>電力量!#REF!-電力量!#REF!</f>
        <v>#REF!</v>
      </c>
      <c r="M559" t="e">
        <f>電力量!#REF!-電力量!#REF!</f>
        <v>#REF!</v>
      </c>
      <c r="N559" t="e">
        <f>電力量!#REF!-電力量!#REF!</f>
        <v>#REF!</v>
      </c>
      <c r="O559" t="e">
        <f>電力量!#REF!-電力量!#REF!</f>
        <v>#REF!</v>
      </c>
      <c r="P559" t="e">
        <f>電力量!#REF!-電力量!#REF!</f>
        <v>#REF!</v>
      </c>
      <c r="Q559" t="e">
        <f>電力量!#REF!-電力量!#REF!</f>
        <v>#REF!</v>
      </c>
      <c r="R559" t="e">
        <f>電力量!#REF!-電力量!#REF!</f>
        <v>#REF!</v>
      </c>
    </row>
    <row r="560" spans="1:18">
      <c r="A560" s="4">
        <f t="shared" si="189"/>
        <v>45923.25</v>
      </c>
      <c r="B560" t="e">
        <f>電力量!#REF!-電力量!#REF!</f>
        <v>#REF!</v>
      </c>
      <c r="C560" t="e">
        <f>電力量!#REF!-電力量!#REF!</f>
        <v>#REF!</v>
      </c>
      <c r="D560" t="e">
        <f>電力量!#REF!-電力量!#REF!</f>
        <v>#REF!</v>
      </c>
      <c r="E560" t="e">
        <f>電力量!#REF!-電力量!#REF!</f>
        <v>#REF!</v>
      </c>
      <c r="F560" t="e">
        <f>電力量!#REF!-電力量!#REF!</f>
        <v>#REF!</v>
      </c>
      <c r="G560" t="e">
        <f>電力量!#REF!-電力量!#REF!</f>
        <v>#REF!</v>
      </c>
      <c r="H560" t="e">
        <f>電力量!#REF!-電力量!#REF!</f>
        <v>#REF!</v>
      </c>
      <c r="I560" t="e">
        <f>電力量!#REF!-電力量!#REF!</f>
        <v>#REF!</v>
      </c>
      <c r="J560" t="e">
        <f>電力量!#REF!-電力量!#REF!</f>
        <v>#REF!</v>
      </c>
      <c r="K560" t="e">
        <f>電力量!#REF!-電力量!#REF!</f>
        <v>#REF!</v>
      </c>
      <c r="L560" t="e">
        <f>電力量!#REF!-電力量!#REF!</f>
        <v>#REF!</v>
      </c>
      <c r="M560" t="e">
        <f>電力量!#REF!-電力量!#REF!</f>
        <v>#REF!</v>
      </c>
      <c r="N560" t="e">
        <f>電力量!#REF!-電力量!#REF!</f>
        <v>#REF!</v>
      </c>
      <c r="O560" t="e">
        <f>電力量!#REF!-電力量!#REF!</f>
        <v>#REF!</v>
      </c>
      <c r="P560" t="e">
        <f>電力量!#REF!-電力量!#REF!</f>
        <v>#REF!</v>
      </c>
      <c r="Q560" t="e">
        <f>電力量!#REF!-電力量!#REF!</f>
        <v>#REF!</v>
      </c>
      <c r="R560" t="e">
        <f>電力量!#REF!-電力量!#REF!</f>
        <v>#REF!</v>
      </c>
    </row>
    <row r="561" spans="1:18">
      <c r="A561" s="4">
        <f t="shared" si="190"/>
        <v>45923.291666666664</v>
      </c>
      <c r="B561" t="e">
        <f>電力量!#REF!-電力量!#REF!</f>
        <v>#REF!</v>
      </c>
      <c r="C561" t="e">
        <f>電力量!#REF!-電力量!#REF!</f>
        <v>#REF!</v>
      </c>
      <c r="D561" t="e">
        <f>電力量!#REF!-電力量!#REF!</f>
        <v>#REF!</v>
      </c>
      <c r="E561" t="e">
        <f>電力量!#REF!-電力量!#REF!</f>
        <v>#REF!</v>
      </c>
      <c r="F561" t="e">
        <f>電力量!#REF!-電力量!#REF!</f>
        <v>#REF!</v>
      </c>
      <c r="G561" t="e">
        <f>電力量!#REF!-電力量!#REF!</f>
        <v>#REF!</v>
      </c>
      <c r="H561" t="e">
        <f>電力量!#REF!-電力量!#REF!</f>
        <v>#REF!</v>
      </c>
      <c r="I561" t="e">
        <f>電力量!#REF!-電力量!#REF!</f>
        <v>#REF!</v>
      </c>
      <c r="J561" t="e">
        <f>電力量!#REF!-電力量!#REF!</f>
        <v>#REF!</v>
      </c>
      <c r="K561" t="e">
        <f>電力量!#REF!-電力量!#REF!</f>
        <v>#REF!</v>
      </c>
      <c r="L561" t="e">
        <f>電力量!#REF!-電力量!#REF!</f>
        <v>#REF!</v>
      </c>
      <c r="M561" t="e">
        <f>電力量!#REF!-電力量!#REF!</f>
        <v>#REF!</v>
      </c>
      <c r="N561" t="e">
        <f>電力量!#REF!-電力量!#REF!</f>
        <v>#REF!</v>
      </c>
      <c r="O561" t="e">
        <f>電力量!#REF!-電力量!#REF!</f>
        <v>#REF!</v>
      </c>
      <c r="P561" t="e">
        <f>電力量!#REF!-電力量!#REF!</f>
        <v>#REF!</v>
      </c>
      <c r="Q561" t="e">
        <f>電力量!#REF!-電力量!#REF!</f>
        <v>#REF!</v>
      </c>
      <c r="R561" t="e">
        <f>電力量!#REF!-電力量!#REF!</f>
        <v>#REF!</v>
      </c>
    </row>
    <row r="562" spans="1:18">
      <c r="A562" s="4">
        <f t="shared" si="191"/>
        <v>45923.333333333336</v>
      </c>
      <c r="B562" t="e">
        <f>電力量!#REF!-電力量!#REF!</f>
        <v>#REF!</v>
      </c>
      <c r="C562" t="e">
        <f>電力量!#REF!-電力量!#REF!</f>
        <v>#REF!</v>
      </c>
      <c r="D562" t="e">
        <f>電力量!#REF!-電力量!#REF!</f>
        <v>#REF!</v>
      </c>
      <c r="E562" t="e">
        <f>電力量!#REF!-電力量!#REF!</f>
        <v>#REF!</v>
      </c>
      <c r="F562" t="e">
        <f>電力量!#REF!-電力量!#REF!</f>
        <v>#REF!</v>
      </c>
      <c r="G562" t="e">
        <f>電力量!#REF!-電力量!#REF!</f>
        <v>#REF!</v>
      </c>
      <c r="H562" t="e">
        <f>電力量!#REF!-電力量!#REF!</f>
        <v>#REF!</v>
      </c>
      <c r="I562" t="e">
        <f>電力量!#REF!-電力量!#REF!</f>
        <v>#REF!</v>
      </c>
      <c r="J562" t="e">
        <f>電力量!#REF!-電力量!#REF!</f>
        <v>#REF!</v>
      </c>
      <c r="K562" t="e">
        <f>電力量!#REF!-電力量!#REF!</f>
        <v>#REF!</v>
      </c>
      <c r="L562" t="e">
        <f>電力量!#REF!-電力量!#REF!</f>
        <v>#REF!</v>
      </c>
      <c r="M562" t="e">
        <f>電力量!#REF!-電力量!#REF!</f>
        <v>#REF!</v>
      </c>
      <c r="N562" t="e">
        <f>電力量!#REF!-電力量!#REF!</f>
        <v>#REF!</v>
      </c>
      <c r="O562" t="e">
        <f>電力量!#REF!-電力量!#REF!</f>
        <v>#REF!</v>
      </c>
      <c r="P562" t="e">
        <f>電力量!#REF!-電力量!#REF!</f>
        <v>#REF!</v>
      </c>
      <c r="Q562" t="e">
        <f>電力量!#REF!-電力量!#REF!</f>
        <v>#REF!</v>
      </c>
      <c r="R562" t="e">
        <f>電力量!#REF!-電力量!#REF!</f>
        <v>#REF!</v>
      </c>
    </row>
    <row r="563" spans="1:18">
      <c r="A563" s="4">
        <f t="shared" si="192"/>
        <v>45923.375</v>
      </c>
      <c r="B563" t="e">
        <f>電力量!#REF!-電力量!#REF!</f>
        <v>#REF!</v>
      </c>
      <c r="C563" t="e">
        <f>電力量!#REF!-電力量!#REF!</f>
        <v>#REF!</v>
      </c>
      <c r="D563" t="e">
        <f>電力量!#REF!-電力量!#REF!</f>
        <v>#REF!</v>
      </c>
      <c r="E563" t="e">
        <f>電力量!#REF!-電力量!#REF!</f>
        <v>#REF!</v>
      </c>
      <c r="F563" t="e">
        <f>電力量!#REF!-電力量!#REF!</f>
        <v>#REF!</v>
      </c>
      <c r="G563" t="e">
        <f>電力量!#REF!-電力量!#REF!</f>
        <v>#REF!</v>
      </c>
      <c r="H563" t="e">
        <f>電力量!#REF!-電力量!#REF!</f>
        <v>#REF!</v>
      </c>
      <c r="I563" t="e">
        <f>電力量!#REF!-電力量!#REF!</f>
        <v>#REF!</v>
      </c>
      <c r="J563" t="e">
        <f>電力量!#REF!-電力量!#REF!</f>
        <v>#REF!</v>
      </c>
      <c r="K563" t="e">
        <f>電力量!#REF!-電力量!#REF!</f>
        <v>#REF!</v>
      </c>
      <c r="L563" t="e">
        <f>電力量!#REF!-電力量!#REF!</f>
        <v>#REF!</v>
      </c>
      <c r="M563" t="e">
        <f>電力量!#REF!-電力量!#REF!</f>
        <v>#REF!</v>
      </c>
      <c r="N563" t="e">
        <f>電力量!#REF!-電力量!#REF!</f>
        <v>#REF!</v>
      </c>
      <c r="O563" t="e">
        <f>電力量!#REF!-電力量!#REF!</f>
        <v>#REF!</v>
      </c>
      <c r="P563" t="e">
        <f>電力量!#REF!-電力量!#REF!</f>
        <v>#REF!</v>
      </c>
      <c r="Q563" t="e">
        <f>電力量!#REF!-電力量!#REF!</f>
        <v>#REF!</v>
      </c>
      <c r="R563" t="e">
        <f>電力量!#REF!-電力量!#REF!</f>
        <v>#REF!</v>
      </c>
    </row>
    <row r="564" spans="1:18">
      <c r="A564" s="4">
        <f t="shared" si="193"/>
        <v>45923.416666666664</v>
      </c>
      <c r="B564" t="e">
        <f>電力量!#REF!-電力量!#REF!</f>
        <v>#REF!</v>
      </c>
      <c r="C564" t="e">
        <f>電力量!#REF!-電力量!#REF!</f>
        <v>#REF!</v>
      </c>
      <c r="D564" t="e">
        <f>電力量!#REF!-電力量!#REF!</f>
        <v>#REF!</v>
      </c>
      <c r="E564" t="e">
        <f>電力量!#REF!-電力量!#REF!</f>
        <v>#REF!</v>
      </c>
      <c r="F564" t="e">
        <f>電力量!#REF!-電力量!#REF!</f>
        <v>#REF!</v>
      </c>
      <c r="G564" t="e">
        <f>電力量!#REF!-電力量!#REF!</f>
        <v>#REF!</v>
      </c>
      <c r="H564" t="e">
        <f>電力量!#REF!-電力量!#REF!</f>
        <v>#REF!</v>
      </c>
      <c r="I564" t="e">
        <f>電力量!#REF!-電力量!#REF!</f>
        <v>#REF!</v>
      </c>
      <c r="J564" t="e">
        <f>電力量!#REF!-電力量!#REF!</f>
        <v>#REF!</v>
      </c>
      <c r="K564" t="e">
        <f>電力量!#REF!-電力量!#REF!</f>
        <v>#REF!</v>
      </c>
      <c r="L564" t="e">
        <f>電力量!#REF!-電力量!#REF!</f>
        <v>#REF!</v>
      </c>
      <c r="M564" t="e">
        <f>電力量!#REF!-電力量!#REF!</f>
        <v>#REF!</v>
      </c>
      <c r="N564" t="e">
        <f>電力量!#REF!-電力量!#REF!</f>
        <v>#REF!</v>
      </c>
      <c r="O564" t="e">
        <f>電力量!#REF!-電力量!#REF!</f>
        <v>#REF!</v>
      </c>
      <c r="P564" t="e">
        <f>電力量!#REF!-電力量!#REF!</f>
        <v>#REF!</v>
      </c>
      <c r="Q564" t="e">
        <f>電力量!#REF!-電力量!#REF!</f>
        <v>#REF!</v>
      </c>
      <c r="R564" t="e">
        <f>電力量!#REF!-電力量!#REF!</f>
        <v>#REF!</v>
      </c>
    </row>
    <row r="565" spans="1:18">
      <c r="A565" s="4">
        <f t="shared" si="194"/>
        <v>45923.458333333336</v>
      </c>
      <c r="B565" t="e">
        <f>電力量!#REF!-電力量!#REF!</f>
        <v>#REF!</v>
      </c>
      <c r="C565" t="e">
        <f>電力量!#REF!-電力量!#REF!</f>
        <v>#REF!</v>
      </c>
      <c r="D565" t="e">
        <f>電力量!#REF!-電力量!#REF!</f>
        <v>#REF!</v>
      </c>
      <c r="E565" t="e">
        <f>電力量!#REF!-電力量!#REF!</f>
        <v>#REF!</v>
      </c>
      <c r="F565" t="e">
        <f>電力量!#REF!-電力量!#REF!</f>
        <v>#REF!</v>
      </c>
      <c r="G565" t="e">
        <f>電力量!#REF!-電力量!#REF!</f>
        <v>#REF!</v>
      </c>
      <c r="H565" t="e">
        <f>電力量!#REF!-電力量!#REF!</f>
        <v>#REF!</v>
      </c>
      <c r="I565" t="e">
        <f>電力量!#REF!-電力量!#REF!</f>
        <v>#REF!</v>
      </c>
      <c r="J565" t="e">
        <f>電力量!#REF!-電力量!#REF!</f>
        <v>#REF!</v>
      </c>
      <c r="K565" t="e">
        <f>電力量!#REF!-電力量!#REF!</f>
        <v>#REF!</v>
      </c>
      <c r="L565" t="e">
        <f>電力量!#REF!-電力量!#REF!</f>
        <v>#REF!</v>
      </c>
      <c r="M565" t="e">
        <f>電力量!#REF!-電力量!#REF!</f>
        <v>#REF!</v>
      </c>
      <c r="N565" t="e">
        <f>電力量!#REF!-電力量!#REF!</f>
        <v>#REF!</v>
      </c>
      <c r="O565" t="e">
        <f>電力量!#REF!-電力量!#REF!</f>
        <v>#REF!</v>
      </c>
      <c r="P565" t="e">
        <f>電力量!#REF!-電力量!#REF!</f>
        <v>#REF!</v>
      </c>
      <c r="Q565" t="e">
        <f>電力量!#REF!-電力量!#REF!</f>
        <v>#REF!</v>
      </c>
      <c r="R565" t="e">
        <f>電力量!#REF!-電力量!#REF!</f>
        <v>#REF!</v>
      </c>
    </row>
    <row r="566" spans="1:18">
      <c r="A566" s="4">
        <f t="shared" si="195"/>
        <v>45923.5</v>
      </c>
      <c r="B566" t="e">
        <f>電力量!#REF!-電力量!#REF!</f>
        <v>#REF!</v>
      </c>
      <c r="C566" t="e">
        <f>電力量!#REF!-電力量!#REF!</f>
        <v>#REF!</v>
      </c>
      <c r="D566" t="e">
        <f>電力量!#REF!-電力量!#REF!</f>
        <v>#REF!</v>
      </c>
      <c r="E566" t="e">
        <f>電力量!#REF!-電力量!#REF!</f>
        <v>#REF!</v>
      </c>
      <c r="F566" t="e">
        <f>電力量!#REF!-電力量!#REF!</f>
        <v>#REF!</v>
      </c>
      <c r="G566" t="e">
        <f>電力量!#REF!-電力量!#REF!</f>
        <v>#REF!</v>
      </c>
      <c r="H566" t="e">
        <f>電力量!#REF!-電力量!#REF!</f>
        <v>#REF!</v>
      </c>
      <c r="I566" t="e">
        <f>電力量!#REF!-電力量!#REF!</f>
        <v>#REF!</v>
      </c>
      <c r="J566" t="e">
        <f>電力量!#REF!-電力量!#REF!</f>
        <v>#REF!</v>
      </c>
      <c r="K566" t="e">
        <f>電力量!#REF!-電力量!#REF!</f>
        <v>#REF!</v>
      </c>
      <c r="L566" t="e">
        <f>電力量!#REF!-電力量!#REF!</f>
        <v>#REF!</v>
      </c>
      <c r="M566" t="e">
        <f>電力量!#REF!-電力量!#REF!</f>
        <v>#REF!</v>
      </c>
      <c r="N566" t="e">
        <f>電力量!#REF!-電力量!#REF!</f>
        <v>#REF!</v>
      </c>
      <c r="O566" t="e">
        <f>電力量!#REF!-電力量!#REF!</f>
        <v>#REF!</v>
      </c>
      <c r="P566" t="e">
        <f>電力量!#REF!-電力量!#REF!</f>
        <v>#REF!</v>
      </c>
      <c r="Q566" t="e">
        <f>電力量!#REF!-電力量!#REF!</f>
        <v>#REF!</v>
      </c>
      <c r="R566" t="e">
        <f>電力量!#REF!-電力量!#REF!</f>
        <v>#REF!</v>
      </c>
    </row>
    <row r="567" spans="1:18">
      <c r="A567" s="4">
        <f t="shared" si="196"/>
        <v>45923.541666666664</v>
      </c>
      <c r="B567" t="e">
        <f>電力量!#REF!-電力量!#REF!</f>
        <v>#REF!</v>
      </c>
      <c r="C567" t="e">
        <f>電力量!#REF!-電力量!#REF!</f>
        <v>#REF!</v>
      </c>
      <c r="D567" t="e">
        <f>電力量!#REF!-電力量!#REF!</f>
        <v>#REF!</v>
      </c>
      <c r="E567" t="e">
        <f>電力量!#REF!-電力量!#REF!</f>
        <v>#REF!</v>
      </c>
      <c r="F567" t="e">
        <f>電力量!#REF!-電力量!#REF!</f>
        <v>#REF!</v>
      </c>
      <c r="G567" t="e">
        <f>電力量!#REF!-電力量!#REF!</f>
        <v>#REF!</v>
      </c>
      <c r="H567" t="e">
        <f>電力量!#REF!-電力量!#REF!</f>
        <v>#REF!</v>
      </c>
      <c r="I567" t="e">
        <f>電力量!#REF!-電力量!#REF!</f>
        <v>#REF!</v>
      </c>
      <c r="J567" t="e">
        <f>電力量!#REF!-電力量!#REF!</f>
        <v>#REF!</v>
      </c>
      <c r="K567" t="e">
        <f>電力量!#REF!-電力量!#REF!</f>
        <v>#REF!</v>
      </c>
      <c r="L567" t="e">
        <f>電力量!#REF!-電力量!#REF!</f>
        <v>#REF!</v>
      </c>
      <c r="M567" t="e">
        <f>電力量!#REF!-電力量!#REF!</f>
        <v>#REF!</v>
      </c>
      <c r="N567" t="e">
        <f>電力量!#REF!-電力量!#REF!</f>
        <v>#REF!</v>
      </c>
      <c r="O567" t="e">
        <f>電力量!#REF!-電力量!#REF!</f>
        <v>#REF!</v>
      </c>
      <c r="P567" t="e">
        <f>電力量!#REF!-電力量!#REF!</f>
        <v>#REF!</v>
      </c>
      <c r="Q567" t="e">
        <f>電力量!#REF!-電力量!#REF!</f>
        <v>#REF!</v>
      </c>
      <c r="R567" t="e">
        <f>電力量!#REF!-電力量!#REF!</f>
        <v>#REF!</v>
      </c>
    </row>
    <row r="568" spans="1:18">
      <c r="A568" s="4">
        <f t="shared" si="197"/>
        <v>45923.583333333336</v>
      </c>
      <c r="B568" t="e">
        <f>電力量!#REF!-電力量!#REF!</f>
        <v>#REF!</v>
      </c>
      <c r="C568" t="e">
        <f>電力量!#REF!-電力量!#REF!</f>
        <v>#REF!</v>
      </c>
      <c r="D568" t="e">
        <f>電力量!#REF!-電力量!#REF!</f>
        <v>#REF!</v>
      </c>
      <c r="E568" t="e">
        <f>電力量!#REF!-電力量!#REF!</f>
        <v>#REF!</v>
      </c>
      <c r="F568" t="e">
        <f>電力量!#REF!-電力量!#REF!</f>
        <v>#REF!</v>
      </c>
      <c r="G568" t="e">
        <f>電力量!#REF!-電力量!#REF!</f>
        <v>#REF!</v>
      </c>
      <c r="H568" t="e">
        <f>電力量!#REF!-電力量!#REF!</f>
        <v>#REF!</v>
      </c>
      <c r="I568" t="e">
        <f>電力量!#REF!-電力量!#REF!</f>
        <v>#REF!</v>
      </c>
      <c r="J568" t="e">
        <f>電力量!#REF!-電力量!#REF!</f>
        <v>#REF!</v>
      </c>
      <c r="K568" t="e">
        <f>電力量!#REF!-電力量!#REF!</f>
        <v>#REF!</v>
      </c>
      <c r="L568" t="e">
        <f>電力量!#REF!-電力量!#REF!</f>
        <v>#REF!</v>
      </c>
      <c r="M568" t="e">
        <f>電力量!#REF!-電力量!#REF!</f>
        <v>#REF!</v>
      </c>
      <c r="N568" t="e">
        <f>電力量!#REF!-電力量!#REF!</f>
        <v>#REF!</v>
      </c>
      <c r="O568" t="e">
        <f>電力量!#REF!-電力量!#REF!</f>
        <v>#REF!</v>
      </c>
      <c r="P568" t="e">
        <f>電力量!#REF!-電力量!#REF!</f>
        <v>#REF!</v>
      </c>
      <c r="Q568" t="e">
        <f>電力量!#REF!-電力量!#REF!</f>
        <v>#REF!</v>
      </c>
      <c r="R568" t="e">
        <f>電力量!#REF!-電力量!#REF!</f>
        <v>#REF!</v>
      </c>
    </row>
    <row r="569" spans="1:18">
      <c r="A569" s="4">
        <f t="shared" si="198"/>
        <v>45923.625</v>
      </c>
      <c r="B569" t="e">
        <f>電力量!#REF!-電力量!#REF!</f>
        <v>#REF!</v>
      </c>
      <c r="C569" t="e">
        <f>電力量!#REF!-電力量!#REF!</f>
        <v>#REF!</v>
      </c>
      <c r="D569" t="e">
        <f>電力量!#REF!-電力量!#REF!</f>
        <v>#REF!</v>
      </c>
      <c r="E569" t="e">
        <f>電力量!#REF!-電力量!#REF!</f>
        <v>#REF!</v>
      </c>
      <c r="F569" t="e">
        <f>電力量!#REF!-電力量!#REF!</f>
        <v>#REF!</v>
      </c>
      <c r="G569" t="e">
        <f>電力量!#REF!-電力量!#REF!</f>
        <v>#REF!</v>
      </c>
      <c r="H569" t="e">
        <f>電力量!#REF!-電力量!#REF!</f>
        <v>#REF!</v>
      </c>
      <c r="I569" t="e">
        <f>電力量!#REF!-電力量!#REF!</f>
        <v>#REF!</v>
      </c>
      <c r="J569" t="e">
        <f>電力量!#REF!-電力量!#REF!</f>
        <v>#REF!</v>
      </c>
      <c r="K569" t="e">
        <f>電力量!#REF!-電力量!#REF!</f>
        <v>#REF!</v>
      </c>
      <c r="L569" t="e">
        <f>電力量!#REF!-電力量!#REF!</f>
        <v>#REF!</v>
      </c>
      <c r="M569" t="e">
        <f>電力量!#REF!-電力量!#REF!</f>
        <v>#REF!</v>
      </c>
      <c r="N569" t="e">
        <f>電力量!#REF!-電力量!#REF!</f>
        <v>#REF!</v>
      </c>
      <c r="O569" t="e">
        <f>電力量!#REF!-電力量!#REF!</f>
        <v>#REF!</v>
      </c>
      <c r="P569" t="e">
        <f>電力量!#REF!-電力量!#REF!</f>
        <v>#REF!</v>
      </c>
      <c r="Q569" t="e">
        <f>電力量!#REF!-電力量!#REF!</f>
        <v>#REF!</v>
      </c>
      <c r="R569" t="e">
        <f>電力量!#REF!-電力量!#REF!</f>
        <v>#REF!</v>
      </c>
    </row>
    <row r="570" spans="1:18">
      <c r="A570" s="4">
        <f t="shared" si="199"/>
        <v>45923.666666666664</v>
      </c>
      <c r="B570" t="e">
        <f>電力量!#REF!-電力量!#REF!</f>
        <v>#REF!</v>
      </c>
      <c r="C570" t="e">
        <f>電力量!#REF!-電力量!#REF!</f>
        <v>#REF!</v>
      </c>
      <c r="D570" t="e">
        <f>電力量!#REF!-電力量!#REF!</f>
        <v>#REF!</v>
      </c>
      <c r="E570" t="e">
        <f>電力量!#REF!-電力量!#REF!</f>
        <v>#REF!</v>
      </c>
      <c r="F570" t="e">
        <f>電力量!#REF!-電力量!#REF!</f>
        <v>#REF!</v>
      </c>
      <c r="G570" t="e">
        <f>電力量!#REF!-電力量!#REF!</f>
        <v>#REF!</v>
      </c>
      <c r="H570" t="e">
        <f>電力量!#REF!-電力量!#REF!</f>
        <v>#REF!</v>
      </c>
      <c r="I570" t="e">
        <f>電力量!#REF!-電力量!#REF!</f>
        <v>#REF!</v>
      </c>
      <c r="J570" t="e">
        <f>電力量!#REF!-電力量!#REF!</f>
        <v>#REF!</v>
      </c>
      <c r="K570" t="e">
        <f>電力量!#REF!-電力量!#REF!</f>
        <v>#REF!</v>
      </c>
      <c r="L570" t="e">
        <f>電力量!#REF!-電力量!#REF!</f>
        <v>#REF!</v>
      </c>
      <c r="M570" t="e">
        <f>電力量!#REF!-電力量!#REF!</f>
        <v>#REF!</v>
      </c>
      <c r="N570" t="e">
        <f>電力量!#REF!-電力量!#REF!</f>
        <v>#REF!</v>
      </c>
      <c r="O570" t="e">
        <f>電力量!#REF!-電力量!#REF!</f>
        <v>#REF!</v>
      </c>
      <c r="P570" t="e">
        <f>電力量!#REF!-電力量!#REF!</f>
        <v>#REF!</v>
      </c>
      <c r="Q570" t="e">
        <f>電力量!#REF!-電力量!#REF!</f>
        <v>#REF!</v>
      </c>
      <c r="R570" t="e">
        <f>電力量!#REF!-電力量!#REF!</f>
        <v>#REF!</v>
      </c>
    </row>
    <row r="571" spans="1:18">
      <c r="A571" s="4">
        <f t="shared" si="200"/>
        <v>45923.708333333336</v>
      </c>
      <c r="B571" t="e">
        <f>電力量!#REF!-電力量!#REF!</f>
        <v>#REF!</v>
      </c>
      <c r="C571" t="e">
        <f>電力量!#REF!-電力量!#REF!</f>
        <v>#REF!</v>
      </c>
      <c r="D571" t="e">
        <f>電力量!#REF!-電力量!#REF!</f>
        <v>#REF!</v>
      </c>
      <c r="E571" t="e">
        <f>電力量!#REF!-電力量!#REF!</f>
        <v>#REF!</v>
      </c>
      <c r="F571" t="e">
        <f>電力量!#REF!-電力量!#REF!</f>
        <v>#REF!</v>
      </c>
      <c r="G571" t="e">
        <f>電力量!#REF!-電力量!#REF!</f>
        <v>#REF!</v>
      </c>
      <c r="H571" t="e">
        <f>電力量!#REF!-電力量!#REF!</f>
        <v>#REF!</v>
      </c>
      <c r="I571" t="e">
        <f>電力量!#REF!-電力量!#REF!</f>
        <v>#REF!</v>
      </c>
      <c r="J571" t="e">
        <f>電力量!#REF!-電力量!#REF!</f>
        <v>#REF!</v>
      </c>
      <c r="K571" t="e">
        <f>電力量!#REF!-電力量!#REF!</f>
        <v>#REF!</v>
      </c>
      <c r="L571" t="e">
        <f>電力量!#REF!-電力量!#REF!</f>
        <v>#REF!</v>
      </c>
      <c r="M571" t="e">
        <f>電力量!#REF!-電力量!#REF!</f>
        <v>#REF!</v>
      </c>
      <c r="N571" t="e">
        <f>電力量!#REF!-電力量!#REF!</f>
        <v>#REF!</v>
      </c>
      <c r="O571" t="e">
        <f>電力量!#REF!-電力量!#REF!</f>
        <v>#REF!</v>
      </c>
      <c r="P571" t="e">
        <f>電力量!#REF!-電力量!#REF!</f>
        <v>#REF!</v>
      </c>
      <c r="Q571" t="e">
        <f>電力量!#REF!-電力量!#REF!</f>
        <v>#REF!</v>
      </c>
      <c r="R571" t="e">
        <f>電力量!#REF!-電力量!#REF!</f>
        <v>#REF!</v>
      </c>
    </row>
    <row r="572" spans="1:18">
      <c r="A572" s="4">
        <f t="shared" si="201"/>
        <v>45923.75</v>
      </c>
      <c r="B572" t="e">
        <f>電力量!#REF!-電力量!#REF!</f>
        <v>#REF!</v>
      </c>
      <c r="C572" t="e">
        <f>電力量!#REF!-電力量!#REF!</f>
        <v>#REF!</v>
      </c>
      <c r="D572" t="e">
        <f>電力量!#REF!-電力量!#REF!</f>
        <v>#REF!</v>
      </c>
      <c r="E572" t="e">
        <f>電力量!#REF!-電力量!#REF!</f>
        <v>#REF!</v>
      </c>
      <c r="F572" t="e">
        <f>電力量!#REF!-電力量!#REF!</f>
        <v>#REF!</v>
      </c>
      <c r="G572" t="e">
        <f>電力量!#REF!-電力量!#REF!</f>
        <v>#REF!</v>
      </c>
      <c r="H572" t="e">
        <f>電力量!#REF!-電力量!#REF!</f>
        <v>#REF!</v>
      </c>
      <c r="I572" t="e">
        <f>電力量!#REF!-電力量!#REF!</f>
        <v>#REF!</v>
      </c>
      <c r="J572" t="e">
        <f>電力量!#REF!-電力量!#REF!</f>
        <v>#REF!</v>
      </c>
      <c r="K572" t="e">
        <f>電力量!#REF!-電力量!#REF!</f>
        <v>#REF!</v>
      </c>
      <c r="L572" t="e">
        <f>電力量!#REF!-電力量!#REF!</f>
        <v>#REF!</v>
      </c>
      <c r="M572" t="e">
        <f>電力量!#REF!-電力量!#REF!</f>
        <v>#REF!</v>
      </c>
      <c r="N572" t="e">
        <f>電力量!#REF!-電力量!#REF!</f>
        <v>#REF!</v>
      </c>
      <c r="O572" t="e">
        <f>電力量!#REF!-電力量!#REF!</f>
        <v>#REF!</v>
      </c>
      <c r="P572" t="e">
        <f>電力量!#REF!-電力量!#REF!</f>
        <v>#REF!</v>
      </c>
      <c r="Q572" t="e">
        <f>電力量!#REF!-電力量!#REF!</f>
        <v>#REF!</v>
      </c>
      <c r="R572" t="e">
        <f>電力量!#REF!-電力量!#REF!</f>
        <v>#REF!</v>
      </c>
    </row>
    <row r="573" spans="1:18">
      <c r="A573" s="4">
        <f t="shared" si="202"/>
        <v>45923.791666666664</v>
      </c>
      <c r="B573" t="e">
        <f>電力量!#REF!-電力量!#REF!</f>
        <v>#REF!</v>
      </c>
      <c r="C573" t="e">
        <f>電力量!#REF!-電力量!#REF!</f>
        <v>#REF!</v>
      </c>
      <c r="D573" t="e">
        <f>電力量!#REF!-電力量!#REF!</f>
        <v>#REF!</v>
      </c>
      <c r="E573" t="e">
        <f>電力量!#REF!-電力量!#REF!</f>
        <v>#REF!</v>
      </c>
      <c r="F573" t="e">
        <f>電力量!#REF!-電力量!#REF!</f>
        <v>#REF!</v>
      </c>
      <c r="G573" t="e">
        <f>電力量!#REF!-電力量!#REF!</f>
        <v>#REF!</v>
      </c>
      <c r="H573" t="e">
        <f>電力量!#REF!-電力量!#REF!</f>
        <v>#REF!</v>
      </c>
      <c r="I573" t="e">
        <f>電力量!#REF!-電力量!#REF!</f>
        <v>#REF!</v>
      </c>
      <c r="J573" t="e">
        <f>電力量!#REF!-電力量!#REF!</f>
        <v>#REF!</v>
      </c>
      <c r="K573" t="e">
        <f>電力量!#REF!-電力量!#REF!</f>
        <v>#REF!</v>
      </c>
      <c r="L573" t="e">
        <f>電力量!#REF!-電力量!#REF!</f>
        <v>#REF!</v>
      </c>
      <c r="M573" t="e">
        <f>電力量!#REF!-電力量!#REF!</f>
        <v>#REF!</v>
      </c>
      <c r="N573" t="e">
        <f>電力量!#REF!-電力量!#REF!</f>
        <v>#REF!</v>
      </c>
      <c r="O573" t="e">
        <f>電力量!#REF!-電力量!#REF!</f>
        <v>#REF!</v>
      </c>
      <c r="P573" t="e">
        <f>電力量!#REF!-電力量!#REF!</f>
        <v>#REF!</v>
      </c>
      <c r="Q573" t="e">
        <f>電力量!#REF!-電力量!#REF!</f>
        <v>#REF!</v>
      </c>
      <c r="R573" t="e">
        <f>電力量!#REF!-電力量!#REF!</f>
        <v>#REF!</v>
      </c>
    </row>
    <row r="574" spans="1:18">
      <c r="A574" s="4">
        <f t="shared" si="203"/>
        <v>45923.833333333336</v>
      </c>
      <c r="B574" t="e">
        <f>電力量!#REF!-電力量!#REF!</f>
        <v>#REF!</v>
      </c>
      <c r="C574" t="e">
        <f>電力量!#REF!-電力量!#REF!</f>
        <v>#REF!</v>
      </c>
      <c r="D574" t="e">
        <f>電力量!#REF!-電力量!#REF!</f>
        <v>#REF!</v>
      </c>
      <c r="E574" t="e">
        <f>電力量!#REF!-電力量!#REF!</f>
        <v>#REF!</v>
      </c>
      <c r="F574" t="e">
        <f>電力量!#REF!-電力量!#REF!</f>
        <v>#REF!</v>
      </c>
      <c r="G574" t="e">
        <f>電力量!#REF!-電力量!#REF!</f>
        <v>#REF!</v>
      </c>
      <c r="H574" t="e">
        <f>電力量!#REF!-電力量!#REF!</f>
        <v>#REF!</v>
      </c>
      <c r="I574" t="e">
        <f>電力量!#REF!-電力量!#REF!</f>
        <v>#REF!</v>
      </c>
      <c r="J574" t="e">
        <f>電力量!#REF!-電力量!#REF!</f>
        <v>#REF!</v>
      </c>
      <c r="K574" t="e">
        <f>電力量!#REF!-電力量!#REF!</f>
        <v>#REF!</v>
      </c>
      <c r="L574" t="e">
        <f>電力量!#REF!-電力量!#REF!</f>
        <v>#REF!</v>
      </c>
      <c r="M574" t="e">
        <f>電力量!#REF!-電力量!#REF!</f>
        <v>#REF!</v>
      </c>
      <c r="N574" t="e">
        <f>電力量!#REF!-電力量!#REF!</f>
        <v>#REF!</v>
      </c>
      <c r="O574" t="e">
        <f>電力量!#REF!-電力量!#REF!</f>
        <v>#REF!</v>
      </c>
      <c r="P574" t="e">
        <f>電力量!#REF!-電力量!#REF!</f>
        <v>#REF!</v>
      </c>
      <c r="Q574" t="e">
        <f>電力量!#REF!-電力量!#REF!</f>
        <v>#REF!</v>
      </c>
      <c r="R574" t="e">
        <f>電力量!#REF!-電力量!#REF!</f>
        <v>#REF!</v>
      </c>
    </row>
    <row r="575" spans="1:18">
      <c r="A575" s="4">
        <f t="shared" si="204"/>
        <v>45923.875</v>
      </c>
      <c r="B575" t="e">
        <f>電力量!#REF!-電力量!#REF!</f>
        <v>#REF!</v>
      </c>
      <c r="C575" t="e">
        <f>電力量!#REF!-電力量!#REF!</f>
        <v>#REF!</v>
      </c>
      <c r="D575" t="e">
        <f>電力量!#REF!-電力量!#REF!</f>
        <v>#REF!</v>
      </c>
      <c r="E575" t="e">
        <f>電力量!#REF!-電力量!#REF!</f>
        <v>#REF!</v>
      </c>
      <c r="F575" t="e">
        <f>電力量!#REF!-電力量!#REF!</f>
        <v>#REF!</v>
      </c>
      <c r="G575" t="e">
        <f>電力量!#REF!-電力量!#REF!</f>
        <v>#REF!</v>
      </c>
      <c r="H575" t="e">
        <f>電力量!#REF!-電力量!#REF!</f>
        <v>#REF!</v>
      </c>
      <c r="I575" t="e">
        <f>電力量!#REF!-電力量!#REF!</f>
        <v>#REF!</v>
      </c>
      <c r="J575" t="e">
        <f>電力量!#REF!-電力量!#REF!</f>
        <v>#REF!</v>
      </c>
      <c r="K575" t="e">
        <f>電力量!#REF!-電力量!#REF!</f>
        <v>#REF!</v>
      </c>
      <c r="L575" t="e">
        <f>電力量!#REF!-電力量!#REF!</f>
        <v>#REF!</v>
      </c>
      <c r="M575" t="e">
        <f>電力量!#REF!-電力量!#REF!</f>
        <v>#REF!</v>
      </c>
      <c r="N575" t="e">
        <f>電力量!#REF!-電力量!#REF!</f>
        <v>#REF!</v>
      </c>
      <c r="O575" t="e">
        <f>電力量!#REF!-電力量!#REF!</f>
        <v>#REF!</v>
      </c>
      <c r="P575" t="e">
        <f>電力量!#REF!-電力量!#REF!</f>
        <v>#REF!</v>
      </c>
      <c r="Q575" t="e">
        <f>電力量!#REF!-電力量!#REF!</f>
        <v>#REF!</v>
      </c>
      <c r="R575" t="e">
        <f>電力量!#REF!-電力量!#REF!</f>
        <v>#REF!</v>
      </c>
    </row>
    <row r="576" spans="1:18">
      <c r="A576" s="4">
        <f t="shared" si="205"/>
        <v>45923.916666666664</v>
      </c>
      <c r="B576" t="e">
        <f>電力量!#REF!-電力量!#REF!</f>
        <v>#REF!</v>
      </c>
      <c r="C576" t="e">
        <f>電力量!#REF!-電力量!#REF!</f>
        <v>#REF!</v>
      </c>
      <c r="D576" t="e">
        <f>電力量!#REF!-電力量!#REF!</f>
        <v>#REF!</v>
      </c>
      <c r="E576" t="e">
        <f>電力量!#REF!-電力量!#REF!</f>
        <v>#REF!</v>
      </c>
      <c r="F576" t="e">
        <f>電力量!#REF!-電力量!#REF!</f>
        <v>#REF!</v>
      </c>
      <c r="G576" t="e">
        <f>電力量!#REF!-電力量!#REF!</f>
        <v>#REF!</v>
      </c>
      <c r="H576" t="e">
        <f>電力量!#REF!-電力量!#REF!</f>
        <v>#REF!</v>
      </c>
      <c r="I576" t="e">
        <f>電力量!#REF!-電力量!#REF!</f>
        <v>#REF!</v>
      </c>
      <c r="J576" t="e">
        <f>電力量!#REF!-電力量!#REF!</f>
        <v>#REF!</v>
      </c>
      <c r="K576" t="e">
        <f>電力量!#REF!-電力量!#REF!</f>
        <v>#REF!</v>
      </c>
      <c r="L576" t="e">
        <f>電力量!#REF!-電力量!#REF!</f>
        <v>#REF!</v>
      </c>
      <c r="M576" t="e">
        <f>電力量!#REF!-電力量!#REF!</f>
        <v>#REF!</v>
      </c>
      <c r="N576" t="e">
        <f>電力量!#REF!-電力量!#REF!</f>
        <v>#REF!</v>
      </c>
      <c r="O576" t="e">
        <f>電力量!#REF!-電力量!#REF!</f>
        <v>#REF!</v>
      </c>
      <c r="P576" t="e">
        <f>電力量!#REF!-電力量!#REF!</f>
        <v>#REF!</v>
      </c>
      <c r="Q576" t="e">
        <f>電力量!#REF!-電力量!#REF!</f>
        <v>#REF!</v>
      </c>
      <c r="R576" t="e">
        <f>電力量!#REF!-電力量!#REF!</f>
        <v>#REF!</v>
      </c>
    </row>
    <row r="577" spans="1:18">
      <c r="A577" s="4">
        <f t="shared" si="206"/>
        <v>45923.958333333336</v>
      </c>
      <c r="B577" t="e">
        <f>電力量!#REF!-電力量!#REF!</f>
        <v>#REF!</v>
      </c>
      <c r="C577" t="e">
        <f>電力量!#REF!-電力量!#REF!</f>
        <v>#REF!</v>
      </c>
      <c r="D577" t="e">
        <f>電力量!#REF!-電力量!#REF!</f>
        <v>#REF!</v>
      </c>
      <c r="E577" t="e">
        <f>電力量!#REF!-電力量!#REF!</f>
        <v>#REF!</v>
      </c>
      <c r="F577" t="e">
        <f>電力量!#REF!-電力量!#REF!</f>
        <v>#REF!</v>
      </c>
      <c r="G577" t="e">
        <f>電力量!#REF!-電力量!#REF!</f>
        <v>#REF!</v>
      </c>
      <c r="H577" t="e">
        <f>電力量!#REF!-電力量!#REF!</f>
        <v>#REF!</v>
      </c>
      <c r="I577" t="e">
        <f>電力量!#REF!-電力量!#REF!</f>
        <v>#REF!</v>
      </c>
      <c r="J577" t="e">
        <f>電力量!#REF!-電力量!#REF!</f>
        <v>#REF!</v>
      </c>
      <c r="K577" t="e">
        <f>電力量!#REF!-電力量!#REF!</f>
        <v>#REF!</v>
      </c>
      <c r="L577" t="e">
        <f>電力量!#REF!-電力量!#REF!</f>
        <v>#REF!</v>
      </c>
      <c r="M577" t="e">
        <f>電力量!#REF!-電力量!#REF!</f>
        <v>#REF!</v>
      </c>
      <c r="N577" t="e">
        <f>電力量!#REF!-電力量!#REF!</f>
        <v>#REF!</v>
      </c>
      <c r="O577" t="e">
        <f>電力量!#REF!-電力量!#REF!</f>
        <v>#REF!</v>
      </c>
      <c r="P577" t="e">
        <f>電力量!#REF!-電力量!#REF!</f>
        <v>#REF!</v>
      </c>
      <c r="Q577" t="e">
        <f>電力量!#REF!-電力量!#REF!</f>
        <v>#REF!</v>
      </c>
      <c r="R577" t="e">
        <f>電力量!#REF!-電力量!#REF!</f>
        <v>#REF!</v>
      </c>
    </row>
    <row r="578" spans="1:18">
      <c r="A578" s="4">
        <v>45924</v>
      </c>
      <c r="B578" t="e">
        <f>電力量!#REF!-電力量!#REF!</f>
        <v>#REF!</v>
      </c>
      <c r="C578" t="e">
        <f>電力量!#REF!-電力量!#REF!</f>
        <v>#REF!</v>
      </c>
      <c r="D578" t="e">
        <f>電力量!#REF!-電力量!#REF!</f>
        <v>#REF!</v>
      </c>
      <c r="E578" t="e">
        <f>電力量!#REF!-電力量!#REF!</f>
        <v>#REF!</v>
      </c>
      <c r="F578" t="e">
        <f>電力量!#REF!-電力量!#REF!</f>
        <v>#REF!</v>
      </c>
      <c r="G578" t="e">
        <f>電力量!#REF!-電力量!#REF!</f>
        <v>#REF!</v>
      </c>
      <c r="H578" t="e">
        <f>電力量!#REF!-電力量!#REF!</f>
        <v>#REF!</v>
      </c>
      <c r="I578" t="e">
        <f>電力量!#REF!-電力量!#REF!</f>
        <v>#REF!</v>
      </c>
      <c r="J578" t="e">
        <f>電力量!#REF!-電力量!#REF!</f>
        <v>#REF!</v>
      </c>
      <c r="K578" t="e">
        <f>電力量!#REF!-電力量!#REF!</f>
        <v>#REF!</v>
      </c>
      <c r="L578" t="e">
        <f>電力量!#REF!-電力量!#REF!</f>
        <v>#REF!</v>
      </c>
      <c r="M578" t="e">
        <f>電力量!#REF!-電力量!#REF!</f>
        <v>#REF!</v>
      </c>
      <c r="N578" t="e">
        <f>電力量!#REF!-電力量!#REF!</f>
        <v>#REF!</v>
      </c>
      <c r="O578" t="e">
        <f>電力量!#REF!-電力量!#REF!</f>
        <v>#REF!</v>
      </c>
      <c r="P578" t="e">
        <f>電力量!#REF!-電力量!#REF!</f>
        <v>#REF!</v>
      </c>
      <c r="Q578" t="e">
        <f>電力量!#REF!-電力量!#REF!</f>
        <v>#REF!</v>
      </c>
      <c r="R578" t="e">
        <f>電力量!#REF!-電力量!#REF!</f>
        <v>#REF!</v>
      </c>
    </row>
    <row r="579" spans="1:18">
      <c r="A579" s="4">
        <f t="shared" si="184"/>
        <v>45924.041666666664</v>
      </c>
      <c r="B579" t="e">
        <f>電力量!#REF!-電力量!#REF!</f>
        <v>#REF!</v>
      </c>
      <c r="C579" t="e">
        <f>電力量!#REF!-電力量!#REF!</f>
        <v>#REF!</v>
      </c>
      <c r="D579" t="e">
        <f>電力量!#REF!-電力量!#REF!</f>
        <v>#REF!</v>
      </c>
      <c r="E579" t="e">
        <f>電力量!#REF!-電力量!#REF!</f>
        <v>#REF!</v>
      </c>
      <c r="F579" t="e">
        <f>電力量!#REF!-電力量!#REF!</f>
        <v>#REF!</v>
      </c>
      <c r="G579" t="e">
        <f>電力量!#REF!-電力量!#REF!</f>
        <v>#REF!</v>
      </c>
      <c r="H579" t="e">
        <f>電力量!#REF!-電力量!#REF!</f>
        <v>#REF!</v>
      </c>
      <c r="I579" t="e">
        <f>電力量!#REF!-電力量!#REF!</f>
        <v>#REF!</v>
      </c>
      <c r="J579" t="e">
        <f>電力量!#REF!-電力量!#REF!</f>
        <v>#REF!</v>
      </c>
      <c r="K579" t="e">
        <f>電力量!#REF!-電力量!#REF!</f>
        <v>#REF!</v>
      </c>
      <c r="L579" t="e">
        <f>電力量!#REF!-電力量!#REF!</f>
        <v>#REF!</v>
      </c>
      <c r="M579" t="e">
        <f>電力量!#REF!-電力量!#REF!</f>
        <v>#REF!</v>
      </c>
      <c r="N579" t="e">
        <f>電力量!#REF!-電力量!#REF!</f>
        <v>#REF!</v>
      </c>
      <c r="O579" t="e">
        <f>電力量!#REF!-電力量!#REF!</f>
        <v>#REF!</v>
      </c>
      <c r="P579" t="e">
        <f>電力量!#REF!-電力量!#REF!</f>
        <v>#REF!</v>
      </c>
      <c r="Q579" t="e">
        <f>電力量!#REF!-電力量!#REF!</f>
        <v>#REF!</v>
      </c>
      <c r="R579" t="e">
        <f>電力量!#REF!-電力量!#REF!</f>
        <v>#REF!</v>
      </c>
    </row>
    <row r="580" spans="1:18">
      <c r="A580" s="4">
        <f t="shared" si="185"/>
        <v>45924.083333333336</v>
      </c>
      <c r="B580" t="e">
        <f>電力量!#REF!-電力量!#REF!</f>
        <v>#REF!</v>
      </c>
      <c r="C580" t="e">
        <f>電力量!#REF!-電力量!#REF!</f>
        <v>#REF!</v>
      </c>
      <c r="D580" t="e">
        <f>電力量!#REF!-電力量!#REF!</f>
        <v>#REF!</v>
      </c>
      <c r="E580" t="e">
        <f>電力量!#REF!-電力量!#REF!</f>
        <v>#REF!</v>
      </c>
      <c r="F580" t="e">
        <f>電力量!#REF!-電力量!#REF!</f>
        <v>#REF!</v>
      </c>
      <c r="G580" t="e">
        <f>電力量!#REF!-電力量!#REF!</f>
        <v>#REF!</v>
      </c>
      <c r="H580" t="e">
        <f>電力量!#REF!-電力量!#REF!</f>
        <v>#REF!</v>
      </c>
      <c r="I580" t="e">
        <f>電力量!#REF!-電力量!#REF!</f>
        <v>#REF!</v>
      </c>
      <c r="J580" t="e">
        <f>電力量!#REF!-電力量!#REF!</f>
        <v>#REF!</v>
      </c>
      <c r="K580" t="e">
        <f>電力量!#REF!-電力量!#REF!</f>
        <v>#REF!</v>
      </c>
      <c r="L580" t="e">
        <f>電力量!#REF!-電力量!#REF!</f>
        <v>#REF!</v>
      </c>
      <c r="M580" t="e">
        <f>電力量!#REF!-電力量!#REF!</f>
        <v>#REF!</v>
      </c>
      <c r="N580" t="e">
        <f>電力量!#REF!-電力量!#REF!</f>
        <v>#REF!</v>
      </c>
      <c r="O580" t="e">
        <f>電力量!#REF!-電力量!#REF!</f>
        <v>#REF!</v>
      </c>
      <c r="P580" t="e">
        <f>電力量!#REF!-電力量!#REF!</f>
        <v>#REF!</v>
      </c>
      <c r="Q580" t="e">
        <f>電力量!#REF!-電力量!#REF!</f>
        <v>#REF!</v>
      </c>
      <c r="R580" t="e">
        <f>電力量!#REF!-電力量!#REF!</f>
        <v>#REF!</v>
      </c>
    </row>
    <row r="581" spans="1:18">
      <c r="A581" s="4">
        <f t="shared" si="186"/>
        <v>45924.125</v>
      </c>
      <c r="B581" t="e">
        <f>電力量!#REF!-電力量!#REF!</f>
        <v>#REF!</v>
      </c>
      <c r="C581" t="e">
        <f>電力量!#REF!-電力量!#REF!</f>
        <v>#REF!</v>
      </c>
      <c r="D581" t="e">
        <f>電力量!#REF!-電力量!#REF!</f>
        <v>#REF!</v>
      </c>
      <c r="E581" t="e">
        <f>電力量!#REF!-電力量!#REF!</f>
        <v>#REF!</v>
      </c>
      <c r="F581" t="e">
        <f>電力量!#REF!-電力量!#REF!</f>
        <v>#REF!</v>
      </c>
      <c r="G581" t="e">
        <f>電力量!#REF!-電力量!#REF!</f>
        <v>#REF!</v>
      </c>
      <c r="H581" t="e">
        <f>電力量!#REF!-電力量!#REF!</f>
        <v>#REF!</v>
      </c>
      <c r="I581" t="e">
        <f>電力量!#REF!-電力量!#REF!</f>
        <v>#REF!</v>
      </c>
      <c r="J581" t="e">
        <f>電力量!#REF!-電力量!#REF!</f>
        <v>#REF!</v>
      </c>
      <c r="K581" t="e">
        <f>電力量!#REF!-電力量!#REF!</f>
        <v>#REF!</v>
      </c>
      <c r="L581" t="e">
        <f>電力量!#REF!-電力量!#REF!</f>
        <v>#REF!</v>
      </c>
      <c r="M581" t="e">
        <f>電力量!#REF!-電力量!#REF!</f>
        <v>#REF!</v>
      </c>
      <c r="N581" t="e">
        <f>電力量!#REF!-電力量!#REF!</f>
        <v>#REF!</v>
      </c>
      <c r="O581" t="e">
        <f>電力量!#REF!-電力量!#REF!</f>
        <v>#REF!</v>
      </c>
      <c r="P581" t="e">
        <f>電力量!#REF!-電力量!#REF!</f>
        <v>#REF!</v>
      </c>
      <c r="Q581" t="e">
        <f>電力量!#REF!-電力量!#REF!</f>
        <v>#REF!</v>
      </c>
      <c r="R581" t="e">
        <f>電力量!#REF!-電力量!#REF!</f>
        <v>#REF!</v>
      </c>
    </row>
    <row r="582" spans="1:18">
      <c r="A582" s="4">
        <f t="shared" si="187"/>
        <v>45924.166666666664</v>
      </c>
      <c r="B582" t="e">
        <f>電力量!#REF!-電力量!#REF!</f>
        <v>#REF!</v>
      </c>
      <c r="C582" t="e">
        <f>電力量!#REF!-電力量!#REF!</f>
        <v>#REF!</v>
      </c>
      <c r="D582" t="e">
        <f>電力量!#REF!-電力量!#REF!</f>
        <v>#REF!</v>
      </c>
      <c r="E582" t="e">
        <f>電力量!#REF!-電力量!#REF!</f>
        <v>#REF!</v>
      </c>
      <c r="F582" t="e">
        <f>電力量!#REF!-電力量!#REF!</f>
        <v>#REF!</v>
      </c>
      <c r="G582" t="e">
        <f>電力量!#REF!-電力量!#REF!</f>
        <v>#REF!</v>
      </c>
      <c r="H582" t="e">
        <f>電力量!#REF!-電力量!#REF!</f>
        <v>#REF!</v>
      </c>
      <c r="I582" t="e">
        <f>電力量!#REF!-電力量!#REF!</f>
        <v>#REF!</v>
      </c>
      <c r="J582" t="e">
        <f>電力量!#REF!-電力量!#REF!</f>
        <v>#REF!</v>
      </c>
      <c r="K582" t="e">
        <f>電力量!#REF!-電力量!#REF!</f>
        <v>#REF!</v>
      </c>
      <c r="L582" t="e">
        <f>電力量!#REF!-電力量!#REF!</f>
        <v>#REF!</v>
      </c>
      <c r="M582" t="e">
        <f>電力量!#REF!-電力量!#REF!</f>
        <v>#REF!</v>
      </c>
      <c r="N582" t="e">
        <f>電力量!#REF!-電力量!#REF!</f>
        <v>#REF!</v>
      </c>
      <c r="O582" t="e">
        <f>電力量!#REF!-電力量!#REF!</f>
        <v>#REF!</v>
      </c>
      <c r="P582" t="e">
        <f>電力量!#REF!-電力量!#REF!</f>
        <v>#REF!</v>
      </c>
      <c r="Q582" t="e">
        <f>電力量!#REF!-電力量!#REF!</f>
        <v>#REF!</v>
      </c>
      <c r="R582" t="e">
        <f>電力量!#REF!-電力量!#REF!</f>
        <v>#REF!</v>
      </c>
    </row>
    <row r="583" spans="1:18">
      <c r="A583" s="4">
        <f t="shared" si="188"/>
        <v>45924.208333333336</v>
      </c>
      <c r="B583" t="e">
        <f>電力量!#REF!-電力量!#REF!</f>
        <v>#REF!</v>
      </c>
      <c r="C583" t="e">
        <f>電力量!#REF!-電力量!#REF!</f>
        <v>#REF!</v>
      </c>
      <c r="D583" t="e">
        <f>電力量!#REF!-電力量!#REF!</f>
        <v>#REF!</v>
      </c>
      <c r="E583" t="e">
        <f>電力量!#REF!-電力量!#REF!</f>
        <v>#REF!</v>
      </c>
      <c r="F583" t="e">
        <f>電力量!#REF!-電力量!#REF!</f>
        <v>#REF!</v>
      </c>
      <c r="G583" t="e">
        <f>電力量!#REF!-電力量!#REF!</f>
        <v>#REF!</v>
      </c>
      <c r="H583" t="e">
        <f>電力量!#REF!-電力量!#REF!</f>
        <v>#REF!</v>
      </c>
      <c r="I583" t="e">
        <f>電力量!#REF!-電力量!#REF!</f>
        <v>#REF!</v>
      </c>
      <c r="J583" t="e">
        <f>電力量!#REF!-電力量!#REF!</f>
        <v>#REF!</v>
      </c>
      <c r="K583" t="e">
        <f>電力量!#REF!-電力量!#REF!</f>
        <v>#REF!</v>
      </c>
      <c r="L583" t="e">
        <f>電力量!#REF!-電力量!#REF!</f>
        <v>#REF!</v>
      </c>
      <c r="M583" t="e">
        <f>電力量!#REF!-電力量!#REF!</f>
        <v>#REF!</v>
      </c>
      <c r="N583" t="e">
        <f>電力量!#REF!-電力量!#REF!</f>
        <v>#REF!</v>
      </c>
      <c r="O583" t="e">
        <f>電力量!#REF!-電力量!#REF!</f>
        <v>#REF!</v>
      </c>
      <c r="P583" t="e">
        <f>電力量!#REF!-電力量!#REF!</f>
        <v>#REF!</v>
      </c>
      <c r="Q583" t="e">
        <f>電力量!#REF!-電力量!#REF!</f>
        <v>#REF!</v>
      </c>
      <c r="R583" t="e">
        <f>電力量!#REF!-電力量!#REF!</f>
        <v>#REF!</v>
      </c>
    </row>
    <row r="584" spans="1:18">
      <c r="A584" s="4">
        <f t="shared" si="189"/>
        <v>45924.25</v>
      </c>
      <c r="B584" t="e">
        <f>電力量!#REF!-電力量!#REF!</f>
        <v>#REF!</v>
      </c>
      <c r="C584" t="e">
        <f>電力量!#REF!-電力量!#REF!</f>
        <v>#REF!</v>
      </c>
      <c r="D584" t="e">
        <f>電力量!#REF!-電力量!#REF!</f>
        <v>#REF!</v>
      </c>
      <c r="E584" t="e">
        <f>電力量!#REF!-電力量!#REF!</f>
        <v>#REF!</v>
      </c>
      <c r="F584" t="e">
        <f>電力量!#REF!-電力量!#REF!</f>
        <v>#REF!</v>
      </c>
      <c r="G584" t="e">
        <f>電力量!#REF!-電力量!#REF!</f>
        <v>#REF!</v>
      </c>
      <c r="H584" t="e">
        <f>電力量!#REF!-電力量!#REF!</f>
        <v>#REF!</v>
      </c>
      <c r="I584" t="e">
        <f>電力量!#REF!-電力量!#REF!</f>
        <v>#REF!</v>
      </c>
      <c r="J584" t="e">
        <f>電力量!#REF!-電力量!#REF!</f>
        <v>#REF!</v>
      </c>
      <c r="K584" t="e">
        <f>電力量!#REF!-電力量!#REF!</f>
        <v>#REF!</v>
      </c>
      <c r="L584" t="e">
        <f>電力量!#REF!-電力量!#REF!</f>
        <v>#REF!</v>
      </c>
      <c r="M584" t="e">
        <f>電力量!#REF!-電力量!#REF!</f>
        <v>#REF!</v>
      </c>
      <c r="N584" t="e">
        <f>電力量!#REF!-電力量!#REF!</f>
        <v>#REF!</v>
      </c>
      <c r="O584" t="e">
        <f>電力量!#REF!-電力量!#REF!</f>
        <v>#REF!</v>
      </c>
      <c r="P584" t="e">
        <f>電力量!#REF!-電力量!#REF!</f>
        <v>#REF!</v>
      </c>
      <c r="Q584" t="e">
        <f>電力量!#REF!-電力量!#REF!</f>
        <v>#REF!</v>
      </c>
      <c r="R584" t="e">
        <f>電力量!#REF!-電力量!#REF!</f>
        <v>#REF!</v>
      </c>
    </row>
    <row r="585" spans="1:18">
      <c r="A585" s="4">
        <f t="shared" si="190"/>
        <v>45924.291666666664</v>
      </c>
      <c r="B585" t="e">
        <f>電力量!#REF!-電力量!#REF!</f>
        <v>#REF!</v>
      </c>
      <c r="C585" t="e">
        <f>電力量!#REF!-電力量!#REF!</f>
        <v>#REF!</v>
      </c>
      <c r="D585" t="e">
        <f>電力量!#REF!-電力量!#REF!</f>
        <v>#REF!</v>
      </c>
      <c r="E585" t="e">
        <f>電力量!#REF!-電力量!#REF!</f>
        <v>#REF!</v>
      </c>
      <c r="F585" t="e">
        <f>電力量!#REF!-電力量!#REF!</f>
        <v>#REF!</v>
      </c>
      <c r="G585" t="e">
        <f>電力量!#REF!-電力量!#REF!</f>
        <v>#REF!</v>
      </c>
      <c r="H585" t="e">
        <f>電力量!#REF!-電力量!#REF!</f>
        <v>#REF!</v>
      </c>
      <c r="I585" t="e">
        <f>電力量!#REF!-電力量!#REF!</f>
        <v>#REF!</v>
      </c>
      <c r="J585" t="e">
        <f>電力量!#REF!-電力量!#REF!</f>
        <v>#REF!</v>
      </c>
      <c r="K585" t="e">
        <f>電力量!#REF!-電力量!#REF!</f>
        <v>#REF!</v>
      </c>
      <c r="L585" t="e">
        <f>電力量!#REF!-電力量!#REF!</f>
        <v>#REF!</v>
      </c>
      <c r="M585" t="e">
        <f>電力量!#REF!-電力量!#REF!</f>
        <v>#REF!</v>
      </c>
      <c r="N585" t="e">
        <f>電力量!#REF!-電力量!#REF!</f>
        <v>#REF!</v>
      </c>
      <c r="O585" t="e">
        <f>電力量!#REF!-電力量!#REF!</f>
        <v>#REF!</v>
      </c>
      <c r="P585" t="e">
        <f>電力量!#REF!-電力量!#REF!</f>
        <v>#REF!</v>
      </c>
      <c r="Q585" t="e">
        <f>電力量!#REF!-電力量!#REF!</f>
        <v>#REF!</v>
      </c>
      <c r="R585" t="e">
        <f>電力量!#REF!-電力量!#REF!</f>
        <v>#REF!</v>
      </c>
    </row>
    <row r="586" spans="1:18">
      <c r="A586" s="4">
        <f t="shared" si="191"/>
        <v>45924.333333333336</v>
      </c>
      <c r="B586" t="e">
        <f>電力量!#REF!-電力量!#REF!</f>
        <v>#REF!</v>
      </c>
      <c r="C586" t="e">
        <f>電力量!#REF!-電力量!#REF!</f>
        <v>#REF!</v>
      </c>
      <c r="D586" t="e">
        <f>電力量!#REF!-電力量!#REF!</f>
        <v>#REF!</v>
      </c>
      <c r="E586" t="e">
        <f>電力量!#REF!-電力量!#REF!</f>
        <v>#REF!</v>
      </c>
      <c r="F586" t="e">
        <f>電力量!#REF!-電力量!#REF!</f>
        <v>#REF!</v>
      </c>
      <c r="G586" t="e">
        <f>電力量!#REF!-電力量!#REF!</f>
        <v>#REF!</v>
      </c>
      <c r="H586" t="e">
        <f>電力量!#REF!-電力量!#REF!</f>
        <v>#REF!</v>
      </c>
      <c r="I586" t="e">
        <f>電力量!#REF!-電力量!#REF!</f>
        <v>#REF!</v>
      </c>
      <c r="J586" t="e">
        <f>電力量!#REF!-電力量!#REF!</f>
        <v>#REF!</v>
      </c>
      <c r="K586" t="e">
        <f>電力量!#REF!-電力量!#REF!</f>
        <v>#REF!</v>
      </c>
      <c r="L586" t="e">
        <f>電力量!#REF!-電力量!#REF!</f>
        <v>#REF!</v>
      </c>
      <c r="M586" t="e">
        <f>電力量!#REF!-電力量!#REF!</f>
        <v>#REF!</v>
      </c>
      <c r="N586" t="e">
        <f>電力量!#REF!-電力量!#REF!</f>
        <v>#REF!</v>
      </c>
      <c r="O586" t="e">
        <f>電力量!#REF!-電力量!#REF!</f>
        <v>#REF!</v>
      </c>
      <c r="P586" t="e">
        <f>電力量!#REF!-電力量!#REF!</f>
        <v>#REF!</v>
      </c>
      <c r="Q586" t="e">
        <f>電力量!#REF!-電力量!#REF!</f>
        <v>#REF!</v>
      </c>
      <c r="R586" t="e">
        <f>電力量!#REF!-電力量!#REF!</f>
        <v>#REF!</v>
      </c>
    </row>
    <row r="587" spans="1:18">
      <c r="A587" s="4">
        <f t="shared" si="192"/>
        <v>45924.375</v>
      </c>
      <c r="B587" t="e">
        <f>電力量!#REF!-電力量!#REF!</f>
        <v>#REF!</v>
      </c>
      <c r="C587" t="e">
        <f>電力量!#REF!-電力量!#REF!</f>
        <v>#REF!</v>
      </c>
      <c r="D587" t="e">
        <f>電力量!#REF!-電力量!#REF!</f>
        <v>#REF!</v>
      </c>
      <c r="E587" t="e">
        <f>電力量!#REF!-電力量!#REF!</f>
        <v>#REF!</v>
      </c>
      <c r="F587" t="e">
        <f>電力量!#REF!-電力量!#REF!</f>
        <v>#REF!</v>
      </c>
      <c r="G587" t="e">
        <f>電力量!#REF!-電力量!#REF!</f>
        <v>#REF!</v>
      </c>
      <c r="H587" t="e">
        <f>電力量!#REF!-電力量!#REF!</f>
        <v>#REF!</v>
      </c>
      <c r="I587" t="e">
        <f>電力量!#REF!-電力量!#REF!</f>
        <v>#REF!</v>
      </c>
      <c r="J587" t="e">
        <f>電力量!#REF!-電力量!#REF!</f>
        <v>#REF!</v>
      </c>
      <c r="K587" t="e">
        <f>電力量!#REF!-電力量!#REF!</f>
        <v>#REF!</v>
      </c>
      <c r="L587" t="e">
        <f>電力量!#REF!-電力量!#REF!</f>
        <v>#REF!</v>
      </c>
      <c r="M587" t="e">
        <f>電力量!#REF!-電力量!#REF!</f>
        <v>#REF!</v>
      </c>
      <c r="N587" t="e">
        <f>電力量!#REF!-電力量!#REF!</f>
        <v>#REF!</v>
      </c>
      <c r="O587" t="e">
        <f>電力量!#REF!-電力量!#REF!</f>
        <v>#REF!</v>
      </c>
      <c r="P587" t="e">
        <f>電力量!#REF!-電力量!#REF!</f>
        <v>#REF!</v>
      </c>
      <c r="Q587" t="e">
        <f>電力量!#REF!-電力量!#REF!</f>
        <v>#REF!</v>
      </c>
      <c r="R587" t="e">
        <f>電力量!#REF!-電力量!#REF!</f>
        <v>#REF!</v>
      </c>
    </row>
    <row r="588" spans="1:18">
      <c r="A588" s="4">
        <f t="shared" si="193"/>
        <v>45924.416666666664</v>
      </c>
      <c r="B588" t="e">
        <f>電力量!#REF!-電力量!#REF!</f>
        <v>#REF!</v>
      </c>
      <c r="C588" t="e">
        <f>電力量!#REF!-電力量!#REF!</f>
        <v>#REF!</v>
      </c>
      <c r="D588" t="e">
        <f>電力量!#REF!-電力量!#REF!</f>
        <v>#REF!</v>
      </c>
      <c r="E588" t="e">
        <f>電力量!#REF!-電力量!#REF!</f>
        <v>#REF!</v>
      </c>
      <c r="F588" t="e">
        <f>電力量!#REF!-電力量!#REF!</f>
        <v>#REF!</v>
      </c>
      <c r="G588" t="e">
        <f>電力量!#REF!-電力量!#REF!</f>
        <v>#REF!</v>
      </c>
      <c r="H588" t="e">
        <f>電力量!#REF!-電力量!#REF!</f>
        <v>#REF!</v>
      </c>
      <c r="I588" t="e">
        <f>電力量!#REF!-電力量!#REF!</f>
        <v>#REF!</v>
      </c>
      <c r="J588" t="e">
        <f>電力量!#REF!-電力量!#REF!</f>
        <v>#REF!</v>
      </c>
      <c r="K588" t="e">
        <f>電力量!#REF!-電力量!#REF!</f>
        <v>#REF!</v>
      </c>
      <c r="L588" t="e">
        <f>電力量!#REF!-電力量!#REF!</f>
        <v>#REF!</v>
      </c>
      <c r="M588" t="e">
        <f>電力量!#REF!-電力量!#REF!</f>
        <v>#REF!</v>
      </c>
      <c r="N588" t="e">
        <f>電力量!#REF!-電力量!#REF!</f>
        <v>#REF!</v>
      </c>
      <c r="O588" t="e">
        <f>電力量!#REF!-電力量!#REF!</f>
        <v>#REF!</v>
      </c>
      <c r="P588" t="e">
        <f>電力量!#REF!-電力量!#REF!</f>
        <v>#REF!</v>
      </c>
      <c r="Q588" t="e">
        <f>電力量!#REF!-電力量!#REF!</f>
        <v>#REF!</v>
      </c>
      <c r="R588" t="e">
        <f>電力量!#REF!-電力量!#REF!</f>
        <v>#REF!</v>
      </c>
    </row>
    <row r="589" spans="1:18">
      <c r="A589" s="4">
        <f t="shared" si="194"/>
        <v>45924.458333333336</v>
      </c>
      <c r="B589" t="e">
        <f>電力量!#REF!-電力量!#REF!</f>
        <v>#REF!</v>
      </c>
      <c r="C589" t="e">
        <f>電力量!#REF!-電力量!#REF!</f>
        <v>#REF!</v>
      </c>
      <c r="D589" t="e">
        <f>電力量!#REF!-電力量!#REF!</f>
        <v>#REF!</v>
      </c>
      <c r="E589" t="e">
        <f>電力量!#REF!-電力量!#REF!</f>
        <v>#REF!</v>
      </c>
      <c r="F589" t="e">
        <f>電力量!#REF!-電力量!#REF!</f>
        <v>#REF!</v>
      </c>
      <c r="G589" t="e">
        <f>電力量!#REF!-電力量!#REF!</f>
        <v>#REF!</v>
      </c>
      <c r="H589" t="e">
        <f>電力量!#REF!-電力量!#REF!</f>
        <v>#REF!</v>
      </c>
      <c r="I589" t="e">
        <f>電力量!#REF!-電力量!#REF!</f>
        <v>#REF!</v>
      </c>
      <c r="J589" t="e">
        <f>電力量!#REF!-電力量!#REF!</f>
        <v>#REF!</v>
      </c>
      <c r="K589" t="e">
        <f>電力量!#REF!-電力量!#REF!</f>
        <v>#REF!</v>
      </c>
      <c r="L589" t="e">
        <f>電力量!#REF!-電力量!#REF!</f>
        <v>#REF!</v>
      </c>
      <c r="M589" t="e">
        <f>電力量!#REF!-電力量!#REF!</f>
        <v>#REF!</v>
      </c>
      <c r="N589" t="e">
        <f>電力量!#REF!-電力量!#REF!</f>
        <v>#REF!</v>
      </c>
      <c r="O589" t="e">
        <f>電力量!#REF!-電力量!#REF!</f>
        <v>#REF!</v>
      </c>
      <c r="P589" t="e">
        <f>電力量!#REF!-電力量!#REF!</f>
        <v>#REF!</v>
      </c>
      <c r="Q589" t="e">
        <f>電力量!#REF!-電力量!#REF!</f>
        <v>#REF!</v>
      </c>
      <c r="R589" t="e">
        <f>電力量!#REF!-電力量!#REF!</f>
        <v>#REF!</v>
      </c>
    </row>
    <row r="590" spans="1:18">
      <c r="A590" s="4">
        <f t="shared" si="195"/>
        <v>45924.5</v>
      </c>
      <c r="B590" t="e">
        <f>電力量!#REF!-電力量!#REF!</f>
        <v>#REF!</v>
      </c>
      <c r="C590" t="e">
        <f>電力量!#REF!-電力量!#REF!</f>
        <v>#REF!</v>
      </c>
      <c r="D590" t="e">
        <f>電力量!#REF!-電力量!#REF!</f>
        <v>#REF!</v>
      </c>
      <c r="E590" t="e">
        <f>電力量!#REF!-電力量!#REF!</f>
        <v>#REF!</v>
      </c>
      <c r="F590" t="e">
        <f>電力量!#REF!-電力量!#REF!</f>
        <v>#REF!</v>
      </c>
      <c r="G590" t="e">
        <f>電力量!#REF!-電力量!#REF!</f>
        <v>#REF!</v>
      </c>
      <c r="H590" t="e">
        <f>電力量!#REF!-電力量!#REF!</f>
        <v>#REF!</v>
      </c>
      <c r="I590" t="e">
        <f>電力量!#REF!-電力量!#REF!</f>
        <v>#REF!</v>
      </c>
      <c r="J590" t="e">
        <f>電力量!#REF!-電力量!#REF!</f>
        <v>#REF!</v>
      </c>
      <c r="K590" t="e">
        <f>電力量!#REF!-電力量!#REF!</f>
        <v>#REF!</v>
      </c>
      <c r="L590" t="e">
        <f>電力量!#REF!-電力量!#REF!</f>
        <v>#REF!</v>
      </c>
      <c r="M590" t="e">
        <f>電力量!#REF!-電力量!#REF!</f>
        <v>#REF!</v>
      </c>
      <c r="N590" t="e">
        <f>電力量!#REF!-電力量!#REF!</f>
        <v>#REF!</v>
      </c>
      <c r="O590" t="e">
        <f>電力量!#REF!-電力量!#REF!</f>
        <v>#REF!</v>
      </c>
      <c r="P590" t="e">
        <f>電力量!#REF!-電力量!#REF!</f>
        <v>#REF!</v>
      </c>
      <c r="Q590" t="e">
        <f>電力量!#REF!-電力量!#REF!</f>
        <v>#REF!</v>
      </c>
      <c r="R590" t="e">
        <f>電力量!#REF!-電力量!#REF!</f>
        <v>#REF!</v>
      </c>
    </row>
    <row r="591" spans="1:18">
      <c r="A591" s="4">
        <f t="shared" si="196"/>
        <v>45924.541666666664</v>
      </c>
      <c r="B591" t="e">
        <f>電力量!#REF!-電力量!#REF!</f>
        <v>#REF!</v>
      </c>
      <c r="C591" t="e">
        <f>電力量!#REF!-電力量!#REF!</f>
        <v>#REF!</v>
      </c>
      <c r="D591" t="e">
        <f>電力量!#REF!-電力量!#REF!</f>
        <v>#REF!</v>
      </c>
      <c r="E591" t="e">
        <f>電力量!#REF!-電力量!#REF!</f>
        <v>#REF!</v>
      </c>
      <c r="F591" t="e">
        <f>電力量!#REF!-電力量!#REF!</f>
        <v>#REF!</v>
      </c>
      <c r="G591" t="e">
        <f>電力量!#REF!-電力量!#REF!</f>
        <v>#REF!</v>
      </c>
      <c r="H591" t="e">
        <f>電力量!#REF!-電力量!#REF!</f>
        <v>#REF!</v>
      </c>
      <c r="I591" t="e">
        <f>電力量!#REF!-電力量!#REF!</f>
        <v>#REF!</v>
      </c>
      <c r="J591" t="e">
        <f>電力量!#REF!-電力量!#REF!</f>
        <v>#REF!</v>
      </c>
      <c r="K591" t="e">
        <f>電力量!#REF!-電力量!#REF!</f>
        <v>#REF!</v>
      </c>
      <c r="L591" t="e">
        <f>電力量!#REF!-電力量!#REF!</f>
        <v>#REF!</v>
      </c>
      <c r="M591" t="e">
        <f>電力量!#REF!-電力量!#REF!</f>
        <v>#REF!</v>
      </c>
      <c r="N591" t="e">
        <f>電力量!#REF!-電力量!#REF!</f>
        <v>#REF!</v>
      </c>
      <c r="O591" t="e">
        <f>電力量!#REF!-電力量!#REF!</f>
        <v>#REF!</v>
      </c>
      <c r="P591" t="e">
        <f>電力量!#REF!-電力量!#REF!</f>
        <v>#REF!</v>
      </c>
      <c r="Q591" t="e">
        <f>電力量!#REF!-電力量!#REF!</f>
        <v>#REF!</v>
      </c>
      <c r="R591" t="e">
        <f>電力量!#REF!-電力量!#REF!</f>
        <v>#REF!</v>
      </c>
    </row>
    <row r="592" spans="1:18">
      <c r="A592" s="4">
        <f t="shared" si="197"/>
        <v>45924.583333333336</v>
      </c>
      <c r="B592" t="e">
        <f>電力量!#REF!-電力量!#REF!</f>
        <v>#REF!</v>
      </c>
      <c r="C592" t="e">
        <f>電力量!#REF!-電力量!#REF!</f>
        <v>#REF!</v>
      </c>
      <c r="D592" t="e">
        <f>電力量!#REF!-電力量!#REF!</f>
        <v>#REF!</v>
      </c>
      <c r="E592" t="e">
        <f>電力量!#REF!-電力量!#REF!</f>
        <v>#REF!</v>
      </c>
      <c r="F592" t="e">
        <f>電力量!#REF!-電力量!#REF!</f>
        <v>#REF!</v>
      </c>
      <c r="G592" t="e">
        <f>電力量!#REF!-電力量!#REF!</f>
        <v>#REF!</v>
      </c>
      <c r="H592" t="e">
        <f>電力量!#REF!-電力量!#REF!</f>
        <v>#REF!</v>
      </c>
      <c r="I592" t="e">
        <f>電力量!#REF!-電力量!#REF!</f>
        <v>#REF!</v>
      </c>
      <c r="J592" t="e">
        <f>電力量!#REF!-電力量!#REF!</f>
        <v>#REF!</v>
      </c>
      <c r="K592" t="e">
        <f>電力量!#REF!-電力量!#REF!</f>
        <v>#REF!</v>
      </c>
      <c r="L592" t="e">
        <f>電力量!#REF!-電力量!#REF!</f>
        <v>#REF!</v>
      </c>
      <c r="M592" t="e">
        <f>電力量!#REF!-電力量!#REF!</f>
        <v>#REF!</v>
      </c>
      <c r="N592" t="e">
        <f>電力量!#REF!-電力量!#REF!</f>
        <v>#REF!</v>
      </c>
      <c r="O592" t="e">
        <f>電力量!#REF!-電力量!#REF!</f>
        <v>#REF!</v>
      </c>
      <c r="P592" t="e">
        <f>電力量!#REF!-電力量!#REF!</f>
        <v>#REF!</v>
      </c>
      <c r="Q592" t="e">
        <f>電力量!#REF!-電力量!#REF!</f>
        <v>#REF!</v>
      </c>
      <c r="R592" t="e">
        <f>電力量!#REF!-電力量!#REF!</f>
        <v>#REF!</v>
      </c>
    </row>
    <row r="593" spans="1:18">
      <c r="A593" s="4">
        <f t="shared" si="198"/>
        <v>45924.625</v>
      </c>
      <c r="B593" t="e">
        <f>電力量!#REF!-電力量!#REF!</f>
        <v>#REF!</v>
      </c>
      <c r="C593" t="e">
        <f>電力量!#REF!-電力量!#REF!</f>
        <v>#REF!</v>
      </c>
      <c r="D593" t="e">
        <f>電力量!#REF!-電力量!#REF!</f>
        <v>#REF!</v>
      </c>
      <c r="E593" t="e">
        <f>電力量!#REF!-電力量!#REF!</f>
        <v>#REF!</v>
      </c>
      <c r="F593" t="e">
        <f>電力量!#REF!-電力量!#REF!</f>
        <v>#REF!</v>
      </c>
      <c r="G593" t="e">
        <f>電力量!#REF!-電力量!#REF!</f>
        <v>#REF!</v>
      </c>
      <c r="H593" t="e">
        <f>電力量!#REF!-電力量!#REF!</f>
        <v>#REF!</v>
      </c>
      <c r="I593" t="e">
        <f>電力量!#REF!-電力量!#REF!</f>
        <v>#REF!</v>
      </c>
      <c r="J593" t="e">
        <f>電力量!#REF!-電力量!#REF!</f>
        <v>#REF!</v>
      </c>
      <c r="K593" t="e">
        <f>電力量!#REF!-電力量!#REF!</f>
        <v>#REF!</v>
      </c>
      <c r="L593" t="e">
        <f>電力量!#REF!-電力量!#REF!</f>
        <v>#REF!</v>
      </c>
      <c r="M593" t="e">
        <f>電力量!#REF!-電力量!#REF!</f>
        <v>#REF!</v>
      </c>
      <c r="N593" t="e">
        <f>電力量!#REF!-電力量!#REF!</f>
        <v>#REF!</v>
      </c>
      <c r="O593" t="e">
        <f>電力量!#REF!-電力量!#REF!</f>
        <v>#REF!</v>
      </c>
      <c r="P593" t="e">
        <f>電力量!#REF!-電力量!#REF!</f>
        <v>#REF!</v>
      </c>
      <c r="Q593" t="e">
        <f>電力量!#REF!-電力量!#REF!</f>
        <v>#REF!</v>
      </c>
      <c r="R593" t="e">
        <f>電力量!#REF!-電力量!#REF!</f>
        <v>#REF!</v>
      </c>
    </row>
    <row r="594" spans="1:18">
      <c r="A594" s="4">
        <f t="shared" si="199"/>
        <v>45924.666666666664</v>
      </c>
      <c r="B594" t="e">
        <f>電力量!#REF!-電力量!#REF!</f>
        <v>#REF!</v>
      </c>
      <c r="C594" t="e">
        <f>電力量!#REF!-電力量!#REF!</f>
        <v>#REF!</v>
      </c>
      <c r="D594" t="e">
        <f>電力量!#REF!-電力量!#REF!</f>
        <v>#REF!</v>
      </c>
      <c r="E594" t="e">
        <f>電力量!#REF!-電力量!#REF!</f>
        <v>#REF!</v>
      </c>
      <c r="F594" t="e">
        <f>電力量!#REF!-電力量!#REF!</f>
        <v>#REF!</v>
      </c>
      <c r="G594" t="e">
        <f>電力量!#REF!-電力量!#REF!</f>
        <v>#REF!</v>
      </c>
      <c r="H594" t="e">
        <f>電力量!#REF!-電力量!#REF!</f>
        <v>#REF!</v>
      </c>
      <c r="I594" t="e">
        <f>電力量!#REF!-電力量!#REF!</f>
        <v>#REF!</v>
      </c>
      <c r="J594" t="e">
        <f>電力量!#REF!-電力量!#REF!</f>
        <v>#REF!</v>
      </c>
      <c r="K594" t="e">
        <f>電力量!#REF!-電力量!#REF!</f>
        <v>#REF!</v>
      </c>
      <c r="L594" t="e">
        <f>電力量!#REF!-電力量!#REF!</f>
        <v>#REF!</v>
      </c>
      <c r="M594" t="e">
        <f>電力量!#REF!-電力量!#REF!</f>
        <v>#REF!</v>
      </c>
      <c r="N594" t="e">
        <f>電力量!#REF!-電力量!#REF!</f>
        <v>#REF!</v>
      </c>
      <c r="O594" t="e">
        <f>電力量!#REF!-電力量!#REF!</f>
        <v>#REF!</v>
      </c>
      <c r="P594" t="e">
        <f>電力量!#REF!-電力量!#REF!</f>
        <v>#REF!</v>
      </c>
      <c r="Q594" t="e">
        <f>電力量!#REF!-電力量!#REF!</f>
        <v>#REF!</v>
      </c>
      <c r="R594" t="e">
        <f>電力量!#REF!-電力量!#REF!</f>
        <v>#REF!</v>
      </c>
    </row>
    <row r="595" spans="1:18">
      <c r="A595" s="4">
        <f t="shared" si="200"/>
        <v>45924.708333333336</v>
      </c>
      <c r="B595" t="e">
        <f>電力量!#REF!-電力量!#REF!</f>
        <v>#REF!</v>
      </c>
      <c r="C595" t="e">
        <f>電力量!#REF!-電力量!#REF!</f>
        <v>#REF!</v>
      </c>
      <c r="D595" t="e">
        <f>電力量!#REF!-電力量!#REF!</f>
        <v>#REF!</v>
      </c>
      <c r="E595" t="e">
        <f>電力量!#REF!-電力量!#REF!</f>
        <v>#REF!</v>
      </c>
      <c r="F595" t="e">
        <f>電力量!#REF!-電力量!#REF!</f>
        <v>#REF!</v>
      </c>
      <c r="G595" t="e">
        <f>電力量!#REF!-電力量!#REF!</f>
        <v>#REF!</v>
      </c>
      <c r="H595" t="e">
        <f>電力量!#REF!-電力量!#REF!</f>
        <v>#REF!</v>
      </c>
      <c r="I595" t="e">
        <f>電力量!#REF!-電力量!#REF!</f>
        <v>#REF!</v>
      </c>
      <c r="J595" t="e">
        <f>電力量!#REF!-電力量!#REF!</f>
        <v>#REF!</v>
      </c>
      <c r="K595" t="e">
        <f>電力量!#REF!-電力量!#REF!</f>
        <v>#REF!</v>
      </c>
      <c r="L595" t="e">
        <f>電力量!#REF!-電力量!#REF!</f>
        <v>#REF!</v>
      </c>
      <c r="M595" t="e">
        <f>電力量!#REF!-電力量!#REF!</f>
        <v>#REF!</v>
      </c>
      <c r="N595" t="e">
        <f>電力量!#REF!-電力量!#REF!</f>
        <v>#REF!</v>
      </c>
      <c r="O595" t="e">
        <f>電力量!#REF!-電力量!#REF!</f>
        <v>#REF!</v>
      </c>
      <c r="P595" t="e">
        <f>電力量!#REF!-電力量!#REF!</f>
        <v>#REF!</v>
      </c>
      <c r="Q595" t="e">
        <f>電力量!#REF!-電力量!#REF!</f>
        <v>#REF!</v>
      </c>
      <c r="R595" t="e">
        <f>電力量!#REF!-電力量!#REF!</f>
        <v>#REF!</v>
      </c>
    </row>
    <row r="596" spans="1:18">
      <c r="A596" s="4">
        <f t="shared" si="201"/>
        <v>45924.75</v>
      </c>
      <c r="B596" t="e">
        <f>電力量!#REF!-電力量!#REF!</f>
        <v>#REF!</v>
      </c>
      <c r="C596" t="e">
        <f>電力量!#REF!-電力量!#REF!</f>
        <v>#REF!</v>
      </c>
      <c r="D596" t="e">
        <f>電力量!#REF!-電力量!#REF!</f>
        <v>#REF!</v>
      </c>
      <c r="E596" t="e">
        <f>電力量!#REF!-電力量!#REF!</f>
        <v>#REF!</v>
      </c>
      <c r="F596" t="e">
        <f>電力量!#REF!-電力量!#REF!</f>
        <v>#REF!</v>
      </c>
      <c r="G596" t="e">
        <f>電力量!#REF!-電力量!#REF!</f>
        <v>#REF!</v>
      </c>
      <c r="H596" t="e">
        <f>電力量!#REF!-電力量!#REF!</f>
        <v>#REF!</v>
      </c>
      <c r="I596" t="e">
        <f>電力量!#REF!-電力量!#REF!</f>
        <v>#REF!</v>
      </c>
      <c r="J596" t="e">
        <f>電力量!#REF!-電力量!#REF!</f>
        <v>#REF!</v>
      </c>
      <c r="K596" t="e">
        <f>電力量!#REF!-電力量!#REF!</f>
        <v>#REF!</v>
      </c>
      <c r="L596" t="e">
        <f>電力量!#REF!-電力量!#REF!</f>
        <v>#REF!</v>
      </c>
      <c r="M596" t="e">
        <f>電力量!#REF!-電力量!#REF!</f>
        <v>#REF!</v>
      </c>
      <c r="N596" t="e">
        <f>電力量!#REF!-電力量!#REF!</f>
        <v>#REF!</v>
      </c>
      <c r="O596" t="e">
        <f>電力量!#REF!-電力量!#REF!</f>
        <v>#REF!</v>
      </c>
      <c r="P596" t="e">
        <f>電力量!#REF!-電力量!#REF!</f>
        <v>#REF!</v>
      </c>
      <c r="Q596" t="e">
        <f>電力量!#REF!-電力量!#REF!</f>
        <v>#REF!</v>
      </c>
      <c r="R596" t="e">
        <f>電力量!#REF!-電力量!#REF!</f>
        <v>#REF!</v>
      </c>
    </row>
    <row r="597" spans="1:18">
      <c r="A597" s="4">
        <f t="shared" si="202"/>
        <v>45924.791666666664</v>
      </c>
      <c r="B597" t="e">
        <f>電力量!#REF!-電力量!#REF!</f>
        <v>#REF!</v>
      </c>
      <c r="C597" t="e">
        <f>電力量!#REF!-電力量!#REF!</f>
        <v>#REF!</v>
      </c>
      <c r="D597" t="e">
        <f>電力量!#REF!-電力量!#REF!</f>
        <v>#REF!</v>
      </c>
      <c r="E597" t="e">
        <f>電力量!#REF!-電力量!#REF!</f>
        <v>#REF!</v>
      </c>
      <c r="F597" t="e">
        <f>電力量!#REF!-電力量!#REF!</f>
        <v>#REF!</v>
      </c>
      <c r="G597" t="e">
        <f>電力量!#REF!-電力量!#REF!</f>
        <v>#REF!</v>
      </c>
      <c r="H597" t="e">
        <f>電力量!#REF!-電力量!#REF!</f>
        <v>#REF!</v>
      </c>
      <c r="I597" t="e">
        <f>電力量!#REF!-電力量!#REF!</f>
        <v>#REF!</v>
      </c>
      <c r="J597" t="e">
        <f>電力量!#REF!-電力量!#REF!</f>
        <v>#REF!</v>
      </c>
      <c r="K597" t="e">
        <f>電力量!#REF!-電力量!#REF!</f>
        <v>#REF!</v>
      </c>
      <c r="L597" t="e">
        <f>電力量!#REF!-電力量!#REF!</f>
        <v>#REF!</v>
      </c>
      <c r="M597" t="e">
        <f>電力量!#REF!-電力量!#REF!</f>
        <v>#REF!</v>
      </c>
      <c r="N597" t="e">
        <f>電力量!#REF!-電力量!#REF!</f>
        <v>#REF!</v>
      </c>
      <c r="O597" t="e">
        <f>電力量!#REF!-電力量!#REF!</f>
        <v>#REF!</v>
      </c>
      <c r="P597" t="e">
        <f>電力量!#REF!-電力量!#REF!</f>
        <v>#REF!</v>
      </c>
      <c r="Q597" t="e">
        <f>電力量!#REF!-電力量!#REF!</f>
        <v>#REF!</v>
      </c>
      <c r="R597" t="e">
        <f>電力量!#REF!-電力量!#REF!</f>
        <v>#REF!</v>
      </c>
    </row>
    <row r="598" spans="1:18">
      <c r="A598" s="4">
        <f t="shared" si="203"/>
        <v>45924.833333333336</v>
      </c>
      <c r="B598" t="e">
        <f>電力量!#REF!-電力量!#REF!</f>
        <v>#REF!</v>
      </c>
      <c r="C598" t="e">
        <f>電力量!#REF!-電力量!#REF!</f>
        <v>#REF!</v>
      </c>
      <c r="D598" t="e">
        <f>電力量!#REF!-電力量!#REF!</f>
        <v>#REF!</v>
      </c>
      <c r="E598" t="e">
        <f>電力量!#REF!-電力量!#REF!</f>
        <v>#REF!</v>
      </c>
      <c r="F598" t="e">
        <f>電力量!#REF!-電力量!#REF!</f>
        <v>#REF!</v>
      </c>
      <c r="G598" t="e">
        <f>電力量!#REF!-電力量!#REF!</f>
        <v>#REF!</v>
      </c>
      <c r="H598" t="e">
        <f>電力量!#REF!-電力量!#REF!</f>
        <v>#REF!</v>
      </c>
      <c r="I598" t="e">
        <f>電力量!#REF!-電力量!#REF!</f>
        <v>#REF!</v>
      </c>
      <c r="J598" t="e">
        <f>電力量!#REF!-電力量!#REF!</f>
        <v>#REF!</v>
      </c>
      <c r="K598" t="e">
        <f>電力量!#REF!-電力量!#REF!</f>
        <v>#REF!</v>
      </c>
      <c r="L598" t="e">
        <f>電力量!#REF!-電力量!#REF!</f>
        <v>#REF!</v>
      </c>
      <c r="M598" t="e">
        <f>電力量!#REF!-電力量!#REF!</f>
        <v>#REF!</v>
      </c>
      <c r="N598" t="e">
        <f>電力量!#REF!-電力量!#REF!</f>
        <v>#REF!</v>
      </c>
      <c r="O598" t="e">
        <f>電力量!#REF!-電力量!#REF!</f>
        <v>#REF!</v>
      </c>
      <c r="P598" t="e">
        <f>電力量!#REF!-電力量!#REF!</f>
        <v>#REF!</v>
      </c>
      <c r="Q598" t="e">
        <f>電力量!#REF!-電力量!#REF!</f>
        <v>#REF!</v>
      </c>
      <c r="R598" t="e">
        <f>電力量!#REF!-電力量!#REF!</f>
        <v>#REF!</v>
      </c>
    </row>
    <row r="599" spans="1:18">
      <c r="A599" s="4">
        <f t="shared" si="204"/>
        <v>45924.875</v>
      </c>
      <c r="B599" t="e">
        <f>電力量!#REF!-電力量!#REF!</f>
        <v>#REF!</v>
      </c>
      <c r="C599" t="e">
        <f>電力量!#REF!-電力量!#REF!</f>
        <v>#REF!</v>
      </c>
      <c r="D599" t="e">
        <f>電力量!#REF!-電力量!#REF!</f>
        <v>#REF!</v>
      </c>
      <c r="E599" t="e">
        <f>電力量!#REF!-電力量!#REF!</f>
        <v>#REF!</v>
      </c>
      <c r="F599" t="e">
        <f>電力量!#REF!-電力量!#REF!</f>
        <v>#REF!</v>
      </c>
      <c r="G599" t="e">
        <f>電力量!#REF!-電力量!#REF!</f>
        <v>#REF!</v>
      </c>
      <c r="H599" t="e">
        <f>電力量!#REF!-電力量!#REF!</f>
        <v>#REF!</v>
      </c>
      <c r="I599" t="e">
        <f>電力量!#REF!-電力量!#REF!</f>
        <v>#REF!</v>
      </c>
      <c r="J599" t="e">
        <f>電力量!#REF!-電力量!#REF!</f>
        <v>#REF!</v>
      </c>
      <c r="K599" t="e">
        <f>電力量!#REF!-電力量!#REF!</f>
        <v>#REF!</v>
      </c>
      <c r="L599" t="e">
        <f>電力量!#REF!-電力量!#REF!</f>
        <v>#REF!</v>
      </c>
      <c r="M599" t="e">
        <f>電力量!#REF!-電力量!#REF!</f>
        <v>#REF!</v>
      </c>
      <c r="N599" t="e">
        <f>電力量!#REF!-電力量!#REF!</f>
        <v>#REF!</v>
      </c>
      <c r="O599" t="e">
        <f>電力量!#REF!-電力量!#REF!</f>
        <v>#REF!</v>
      </c>
      <c r="P599" t="e">
        <f>電力量!#REF!-電力量!#REF!</f>
        <v>#REF!</v>
      </c>
      <c r="Q599" t="e">
        <f>電力量!#REF!-電力量!#REF!</f>
        <v>#REF!</v>
      </c>
      <c r="R599" t="e">
        <f>電力量!#REF!-電力量!#REF!</f>
        <v>#REF!</v>
      </c>
    </row>
    <row r="600" spans="1:18">
      <c r="A600" s="4">
        <f t="shared" si="205"/>
        <v>45924.916666666664</v>
      </c>
      <c r="B600" t="e">
        <f>電力量!#REF!-電力量!#REF!</f>
        <v>#REF!</v>
      </c>
      <c r="C600" t="e">
        <f>電力量!#REF!-電力量!#REF!</f>
        <v>#REF!</v>
      </c>
      <c r="D600" t="e">
        <f>電力量!#REF!-電力量!#REF!</f>
        <v>#REF!</v>
      </c>
      <c r="E600" t="e">
        <f>電力量!#REF!-電力量!#REF!</f>
        <v>#REF!</v>
      </c>
      <c r="F600" t="e">
        <f>電力量!#REF!-電力量!#REF!</f>
        <v>#REF!</v>
      </c>
      <c r="G600" t="e">
        <f>電力量!#REF!-電力量!#REF!</f>
        <v>#REF!</v>
      </c>
      <c r="H600" t="e">
        <f>電力量!#REF!-電力量!#REF!</f>
        <v>#REF!</v>
      </c>
      <c r="I600" t="e">
        <f>電力量!#REF!-電力量!#REF!</f>
        <v>#REF!</v>
      </c>
      <c r="J600" t="e">
        <f>電力量!#REF!-電力量!#REF!</f>
        <v>#REF!</v>
      </c>
      <c r="K600" t="e">
        <f>電力量!#REF!-電力量!#REF!</f>
        <v>#REF!</v>
      </c>
      <c r="L600" t="e">
        <f>電力量!#REF!-電力量!#REF!</f>
        <v>#REF!</v>
      </c>
      <c r="M600" t="e">
        <f>電力量!#REF!-電力量!#REF!</f>
        <v>#REF!</v>
      </c>
      <c r="N600" t="e">
        <f>電力量!#REF!-電力量!#REF!</f>
        <v>#REF!</v>
      </c>
      <c r="O600" t="e">
        <f>電力量!#REF!-電力量!#REF!</f>
        <v>#REF!</v>
      </c>
      <c r="P600" t="e">
        <f>電力量!#REF!-電力量!#REF!</f>
        <v>#REF!</v>
      </c>
      <c r="Q600" t="e">
        <f>電力量!#REF!-電力量!#REF!</f>
        <v>#REF!</v>
      </c>
      <c r="R600" t="e">
        <f>電力量!#REF!-電力量!#REF!</f>
        <v>#REF!</v>
      </c>
    </row>
    <row r="601" spans="1:18">
      <c r="A601" s="4">
        <f t="shared" si="206"/>
        <v>45924.958333333336</v>
      </c>
      <c r="B601" t="e">
        <f>電力量!#REF!-電力量!#REF!</f>
        <v>#REF!</v>
      </c>
      <c r="C601" t="e">
        <f>電力量!#REF!-電力量!#REF!</f>
        <v>#REF!</v>
      </c>
      <c r="D601" t="e">
        <f>電力量!#REF!-電力量!#REF!</f>
        <v>#REF!</v>
      </c>
      <c r="E601" t="e">
        <f>電力量!#REF!-電力量!#REF!</f>
        <v>#REF!</v>
      </c>
      <c r="F601" t="e">
        <f>電力量!#REF!-電力量!#REF!</f>
        <v>#REF!</v>
      </c>
      <c r="G601" t="e">
        <f>電力量!#REF!-電力量!#REF!</f>
        <v>#REF!</v>
      </c>
      <c r="H601" t="e">
        <f>電力量!#REF!-電力量!#REF!</f>
        <v>#REF!</v>
      </c>
      <c r="I601" t="e">
        <f>電力量!#REF!-電力量!#REF!</f>
        <v>#REF!</v>
      </c>
      <c r="J601" t="e">
        <f>電力量!#REF!-電力量!#REF!</f>
        <v>#REF!</v>
      </c>
      <c r="K601" t="e">
        <f>電力量!#REF!-電力量!#REF!</f>
        <v>#REF!</v>
      </c>
      <c r="L601" t="e">
        <f>電力量!#REF!-電力量!#REF!</f>
        <v>#REF!</v>
      </c>
      <c r="M601" t="e">
        <f>電力量!#REF!-電力量!#REF!</f>
        <v>#REF!</v>
      </c>
      <c r="N601" t="e">
        <f>電力量!#REF!-電力量!#REF!</f>
        <v>#REF!</v>
      </c>
      <c r="O601" t="e">
        <f>電力量!#REF!-電力量!#REF!</f>
        <v>#REF!</v>
      </c>
      <c r="P601" t="e">
        <f>電力量!#REF!-電力量!#REF!</f>
        <v>#REF!</v>
      </c>
      <c r="Q601" t="e">
        <f>電力量!#REF!-電力量!#REF!</f>
        <v>#REF!</v>
      </c>
      <c r="R601" t="e">
        <f>電力量!#REF!-電力量!#REF!</f>
        <v>#REF!</v>
      </c>
    </row>
    <row r="602" spans="1:18">
      <c r="A602" s="4">
        <v>45925</v>
      </c>
      <c r="B602" t="e">
        <f>電力量!#REF!-電力量!#REF!</f>
        <v>#REF!</v>
      </c>
      <c r="C602" t="e">
        <f>電力量!#REF!-電力量!#REF!</f>
        <v>#REF!</v>
      </c>
      <c r="D602" t="e">
        <f>電力量!#REF!-電力量!#REF!</f>
        <v>#REF!</v>
      </c>
      <c r="E602" t="e">
        <f>電力量!#REF!-電力量!#REF!</f>
        <v>#REF!</v>
      </c>
      <c r="F602" t="e">
        <f>電力量!#REF!-電力量!#REF!</f>
        <v>#REF!</v>
      </c>
      <c r="G602" t="e">
        <f>電力量!#REF!-電力量!#REF!</f>
        <v>#REF!</v>
      </c>
      <c r="H602" t="e">
        <f>電力量!#REF!-電力量!#REF!</f>
        <v>#REF!</v>
      </c>
      <c r="I602" t="e">
        <f>電力量!#REF!-電力量!#REF!</f>
        <v>#REF!</v>
      </c>
      <c r="J602" t="e">
        <f>電力量!#REF!-電力量!#REF!</f>
        <v>#REF!</v>
      </c>
      <c r="K602" t="e">
        <f>電力量!#REF!-電力量!#REF!</f>
        <v>#REF!</v>
      </c>
      <c r="L602" t="e">
        <f>電力量!#REF!-電力量!#REF!</f>
        <v>#REF!</v>
      </c>
      <c r="M602" t="e">
        <f>電力量!#REF!-電力量!#REF!</f>
        <v>#REF!</v>
      </c>
      <c r="N602" t="e">
        <f>電力量!#REF!-電力量!#REF!</f>
        <v>#REF!</v>
      </c>
      <c r="O602" t="e">
        <f>電力量!#REF!-電力量!#REF!</f>
        <v>#REF!</v>
      </c>
      <c r="P602" t="e">
        <f>電力量!#REF!-電力量!#REF!</f>
        <v>#REF!</v>
      </c>
      <c r="Q602" t="e">
        <f>電力量!#REF!-電力量!#REF!</f>
        <v>#REF!</v>
      </c>
      <c r="R602" t="e">
        <f>電力量!#REF!-電力量!#REF!</f>
        <v>#REF!</v>
      </c>
    </row>
    <row r="603" spans="1:18">
      <c r="A603" s="4">
        <f t="shared" ref="A603:A651" si="207">A602+(1/24)</f>
        <v>45925.041666666664</v>
      </c>
      <c r="B603" t="e">
        <f>電力量!#REF!-電力量!#REF!</f>
        <v>#REF!</v>
      </c>
      <c r="C603" t="e">
        <f>電力量!#REF!-電力量!#REF!</f>
        <v>#REF!</v>
      </c>
      <c r="D603" t="e">
        <f>電力量!#REF!-電力量!#REF!</f>
        <v>#REF!</v>
      </c>
      <c r="E603" t="e">
        <f>電力量!#REF!-電力量!#REF!</f>
        <v>#REF!</v>
      </c>
      <c r="F603" t="e">
        <f>電力量!#REF!-電力量!#REF!</f>
        <v>#REF!</v>
      </c>
      <c r="G603" t="e">
        <f>電力量!#REF!-電力量!#REF!</f>
        <v>#REF!</v>
      </c>
      <c r="H603" t="e">
        <f>電力量!#REF!-電力量!#REF!</f>
        <v>#REF!</v>
      </c>
      <c r="I603" t="e">
        <f>電力量!#REF!-電力量!#REF!</f>
        <v>#REF!</v>
      </c>
      <c r="J603" t="e">
        <f>電力量!#REF!-電力量!#REF!</f>
        <v>#REF!</v>
      </c>
      <c r="K603" t="e">
        <f>電力量!#REF!-電力量!#REF!</f>
        <v>#REF!</v>
      </c>
      <c r="L603" t="e">
        <f>電力量!#REF!-電力量!#REF!</f>
        <v>#REF!</v>
      </c>
      <c r="M603" t="e">
        <f>電力量!#REF!-電力量!#REF!</f>
        <v>#REF!</v>
      </c>
      <c r="N603" t="e">
        <f>電力量!#REF!-電力量!#REF!</f>
        <v>#REF!</v>
      </c>
      <c r="O603" t="e">
        <f>電力量!#REF!-電力量!#REF!</f>
        <v>#REF!</v>
      </c>
      <c r="P603" t="e">
        <f>電力量!#REF!-電力量!#REF!</f>
        <v>#REF!</v>
      </c>
      <c r="Q603" t="e">
        <f>電力量!#REF!-電力量!#REF!</f>
        <v>#REF!</v>
      </c>
      <c r="R603" t="e">
        <f>電力量!#REF!-電力量!#REF!</f>
        <v>#REF!</v>
      </c>
    </row>
    <row r="604" spans="1:18">
      <c r="A604" s="4">
        <f t="shared" ref="A604:A652" si="208">A602+(2/24)</f>
        <v>45925.083333333336</v>
      </c>
      <c r="B604" t="e">
        <f>電力量!#REF!-電力量!#REF!</f>
        <v>#REF!</v>
      </c>
      <c r="C604" t="e">
        <f>電力量!#REF!-電力量!#REF!</f>
        <v>#REF!</v>
      </c>
      <c r="D604" t="e">
        <f>電力量!#REF!-電力量!#REF!</f>
        <v>#REF!</v>
      </c>
      <c r="E604" t="e">
        <f>電力量!#REF!-電力量!#REF!</f>
        <v>#REF!</v>
      </c>
      <c r="F604" t="e">
        <f>電力量!#REF!-電力量!#REF!</f>
        <v>#REF!</v>
      </c>
      <c r="G604" t="e">
        <f>電力量!#REF!-電力量!#REF!</f>
        <v>#REF!</v>
      </c>
      <c r="H604" t="e">
        <f>電力量!#REF!-電力量!#REF!</f>
        <v>#REF!</v>
      </c>
      <c r="I604" t="e">
        <f>電力量!#REF!-電力量!#REF!</f>
        <v>#REF!</v>
      </c>
      <c r="J604" t="e">
        <f>電力量!#REF!-電力量!#REF!</f>
        <v>#REF!</v>
      </c>
      <c r="K604" t="e">
        <f>電力量!#REF!-電力量!#REF!</f>
        <v>#REF!</v>
      </c>
      <c r="L604" t="e">
        <f>電力量!#REF!-電力量!#REF!</f>
        <v>#REF!</v>
      </c>
      <c r="M604" t="e">
        <f>電力量!#REF!-電力量!#REF!</f>
        <v>#REF!</v>
      </c>
      <c r="N604" t="e">
        <f>電力量!#REF!-電力量!#REF!</f>
        <v>#REF!</v>
      </c>
      <c r="O604" t="e">
        <f>電力量!#REF!-電力量!#REF!</f>
        <v>#REF!</v>
      </c>
      <c r="P604" t="e">
        <f>電力量!#REF!-電力量!#REF!</f>
        <v>#REF!</v>
      </c>
      <c r="Q604" t="e">
        <f>電力量!#REF!-電力量!#REF!</f>
        <v>#REF!</v>
      </c>
      <c r="R604" t="e">
        <f>電力量!#REF!-電力量!#REF!</f>
        <v>#REF!</v>
      </c>
    </row>
    <row r="605" spans="1:18">
      <c r="A605" s="4">
        <f t="shared" ref="A605:A653" si="209">A602+(3/24)</f>
        <v>45925.125</v>
      </c>
      <c r="B605" t="e">
        <f>電力量!#REF!-電力量!#REF!</f>
        <v>#REF!</v>
      </c>
      <c r="C605" t="e">
        <f>電力量!#REF!-電力量!#REF!</f>
        <v>#REF!</v>
      </c>
      <c r="D605" t="e">
        <f>電力量!#REF!-電力量!#REF!</f>
        <v>#REF!</v>
      </c>
      <c r="E605" t="e">
        <f>電力量!#REF!-電力量!#REF!</f>
        <v>#REF!</v>
      </c>
      <c r="F605" t="e">
        <f>電力量!#REF!-電力量!#REF!</f>
        <v>#REF!</v>
      </c>
      <c r="G605" t="e">
        <f>電力量!#REF!-電力量!#REF!</f>
        <v>#REF!</v>
      </c>
      <c r="H605" t="e">
        <f>電力量!#REF!-電力量!#REF!</f>
        <v>#REF!</v>
      </c>
      <c r="I605" t="e">
        <f>電力量!#REF!-電力量!#REF!</f>
        <v>#REF!</v>
      </c>
      <c r="J605" t="e">
        <f>電力量!#REF!-電力量!#REF!</f>
        <v>#REF!</v>
      </c>
      <c r="K605" t="e">
        <f>電力量!#REF!-電力量!#REF!</f>
        <v>#REF!</v>
      </c>
      <c r="L605" t="e">
        <f>電力量!#REF!-電力量!#REF!</f>
        <v>#REF!</v>
      </c>
      <c r="M605" t="e">
        <f>電力量!#REF!-電力量!#REF!</f>
        <v>#REF!</v>
      </c>
      <c r="N605" t="e">
        <f>電力量!#REF!-電力量!#REF!</f>
        <v>#REF!</v>
      </c>
      <c r="O605" t="e">
        <f>電力量!#REF!-電力量!#REF!</f>
        <v>#REF!</v>
      </c>
      <c r="P605" t="e">
        <f>電力量!#REF!-電力量!#REF!</f>
        <v>#REF!</v>
      </c>
      <c r="Q605" t="e">
        <f>電力量!#REF!-電力量!#REF!</f>
        <v>#REF!</v>
      </c>
      <c r="R605" t="e">
        <f>電力量!#REF!-電力量!#REF!</f>
        <v>#REF!</v>
      </c>
    </row>
    <row r="606" spans="1:18">
      <c r="A606" s="4">
        <f t="shared" ref="A606:A654" si="210">A602+(4/24)</f>
        <v>45925.166666666664</v>
      </c>
      <c r="B606" t="e">
        <f>電力量!#REF!-電力量!#REF!</f>
        <v>#REF!</v>
      </c>
      <c r="C606" t="e">
        <f>電力量!#REF!-電力量!#REF!</f>
        <v>#REF!</v>
      </c>
      <c r="D606" t="e">
        <f>電力量!#REF!-電力量!#REF!</f>
        <v>#REF!</v>
      </c>
      <c r="E606" t="e">
        <f>電力量!#REF!-電力量!#REF!</f>
        <v>#REF!</v>
      </c>
      <c r="F606" t="e">
        <f>電力量!#REF!-電力量!#REF!</f>
        <v>#REF!</v>
      </c>
      <c r="G606" t="e">
        <f>電力量!#REF!-電力量!#REF!</f>
        <v>#REF!</v>
      </c>
      <c r="H606" t="e">
        <f>電力量!#REF!-電力量!#REF!</f>
        <v>#REF!</v>
      </c>
      <c r="I606" t="e">
        <f>電力量!#REF!-電力量!#REF!</f>
        <v>#REF!</v>
      </c>
      <c r="J606" t="e">
        <f>電力量!#REF!-電力量!#REF!</f>
        <v>#REF!</v>
      </c>
      <c r="K606" t="e">
        <f>電力量!#REF!-電力量!#REF!</f>
        <v>#REF!</v>
      </c>
      <c r="L606" t="e">
        <f>電力量!#REF!-電力量!#REF!</f>
        <v>#REF!</v>
      </c>
      <c r="M606" t="e">
        <f>電力量!#REF!-電力量!#REF!</f>
        <v>#REF!</v>
      </c>
      <c r="N606" t="e">
        <f>電力量!#REF!-電力量!#REF!</f>
        <v>#REF!</v>
      </c>
      <c r="O606" t="e">
        <f>電力量!#REF!-電力量!#REF!</f>
        <v>#REF!</v>
      </c>
      <c r="P606" t="e">
        <f>電力量!#REF!-電力量!#REF!</f>
        <v>#REF!</v>
      </c>
      <c r="Q606" t="e">
        <f>電力量!#REF!-電力量!#REF!</f>
        <v>#REF!</v>
      </c>
      <c r="R606" t="e">
        <f>電力量!#REF!-電力量!#REF!</f>
        <v>#REF!</v>
      </c>
    </row>
    <row r="607" spans="1:18">
      <c r="A607" s="4">
        <f t="shared" ref="A607:A655" si="211">A602+(5/24)</f>
        <v>45925.208333333336</v>
      </c>
      <c r="B607" t="e">
        <f>電力量!#REF!-電力量!#REF!</f>
        <v>#REF!</v>
      </c>
      <c r="C607" t="e">
        <f>電力量!#REF!-電力量!#REF!</f>
        <v>#REF!</v>
      </c>
      <c r="D607" t="e">
        <f>電力量!#REF!-電力量!#REF!</f>
        <v>#REF!</v>
      </c>
      <c r="E607" t="e">
        <f>電力量!#REF!-電力量!#REF!</f>
        <v>#REF!</v>
      </c>
      <c r="F607" t="e">
        <f>電力量!#REF!-電力量!#REF!</f>
        <v>#REF!</v>
      </c>
      <c r="G607" t="e">
        <f>電力量!#REF!-電力量!#REF!</f>
        <v>#REF!</v>
      </c>
      <c r="H607" t="e">
        <f>電力量!#REF!-電力量!#REF!</f>
        <v>#REF!</v>
      </c>
      <c r="I607" t="e">
        <f>電力量!#REF!-電力量!#REF!</f>
        <v>#REF!</v>
      </c>
      <c r="J607" t="e">
        <f>電力量!#REF!-電力量!#REF!</f>
        <v>#REF!</v>
      </c>
      <c r="K607" t="e">
        <f>電力量!#REF!-電力量!#REF!</f>
        <v>#REF!</v>
      </c>
      <c r="L607" t="e">
        <f>電力量!#REF!-電力量!#REF!</f>
        <v>#REF!</v>
      </c>
      <c r="M607" t="e">
        <f>電力量!#REF!-電力量!#REF!</f>
        <v>#REF!</v>
      </c>
      <c r="N607" t="e">
        <f>電力量!#REF!-電力量!#REF!</f>
        <v>#REF!</v>
      </c>
      <c r="O607" t="e">
        <f>電力量!#REF!-電力量!#REF!</f>
        <v>#REF!</v>
      </c>
      <c r="P607" t="e">
        <f>電力量!#REF!-電力量!#REF!</f>
        <v>#REF!</v>
      </c>
      <c r="Q607" t="e">
        <f>電力量!#REF!-電力量!#REF!</f>
        <v>#REF!</v>
      </c>
      <c r="R607" t="e">
        <f>電力量!#REF!-電力量!#REF!</f>
        <v>#REF!</v>
      </c>
    </row>
    <row r="608" spans="1:18">
      <c r="A608" s="4">
        <f t="shared" ref="A608:A656" si="212">A602+(6/24)</f>
        <v>45925.25</v>
      </c>
      <c r="B608" t="e">
        <f>電力量!#REF!-電力量!#REF!</f>
        <v>#REF!</v>
      </c>
      <c r="C608" t="e">
        <f>電力量!#REF!-電力量!#REF!</f>
        <v>#REF!</v>
      </c>
      <c r="D608" t="e">
        <f>電力量!#REF!-電力量!#REF!</f>
        <v>#REF!</v>
      </c>
      <c r="E608" t="e">
        <f>電力量!#REF!-電力量!#REF!</f>
        <v>#REF!</v>
      </c>
      <c r="F608" t="e">
        <f>電力量!#REF!-電力量!#REF!</f>
        <v>#REF!</v>
      </c>
      <c r="G608" t="e">
        <f>電力量!#REF!-電力量!#REF!</f>
        <v>#REF!</v>
      </c>
      <c r="H608" t="e">
        <f>電力量!#REF!-電力量!#REF!</f>
        <v>#REF!</v>
      </c>
      <c r="I608" t="e">
        <f>電力量!#REF!-電力量!#REF!</f>
        <v>#REF!</v>
      </c>
      <c r="J608" t="e">
        <f>電力量!#REF!-電力量!#REF!</f>
        <v>#REF!</v>
      </c>
      <c r="K608" t="e">
        <f>電力量!#REF!-電力量!#REF!</f>
        <v>#REF!</v>
      </c>
      <c r="L608" t="e">
        <f>電力量!#REF!-電力量!#REF!</f>
        <v>#REF!</v>
      </c>
      <c r="M608" t="e">
        <f>電力量!#REF!-電力量!#REF!</f>
        <v>#REF!</v>
      </c>
      <c r="N608" t="e">
        <f>電力量!#REF!-電力量!#REF!</f>
        <v>#REF!</v>
      </c>
      <c r="O608" t="e">
        <f>電力量!#REF!-電力量!#REF!</f>
        <v>#REF!</v>
      </c>
      <c r="P608" t="e">
        <f>電力量!#REF!-電力量!#REF!</f>
        <v>#REF!</v>
      </c>
      <c r="Q608" t="e">
        <f>電力量!#REF!-電力量!#REF!</f>
        <v>#REF!</v>
      </c>
      <c r="R608" t="e">
        <f>電力量!#REF!-電力量!#REF!</f>
        <v>#REF!</v>
      </c>
    </row>
    <row r="609" spans="1:18">
      <c r="A609" s="4">
        <f t="shared" ref="A609:A657" si="213">A602+(7/24)</f>
        <v>45925.291666666664</v>
      </c>
      <c r="B609" t="e">
        <f>電力量!#REF!-電力量!#REF!</f>
        <v>#REF!</v>
      </c>
      <c r="C609" t="e">
        <f>電力量!#REF!-電力量!#REF!</f>
        <v>#REF!</v>
      </c>
      <c r="D609" t="e">
        <f>電力量!#REF!-電力量!#REF!</f>
        <v>#REF!</v>
      </c>
      <c r="E609" t="e">
        <f>電力量!#REF!-電力量!#REF!</f>
        <v>#REF!</v>
      </c>
      <c r="F609" t="e">
        <f>電力量!#REF!-電力量!#REF!</f>
        <v>#REF!</v>
      </c>
      <c r="G609" t="e">
        <f>電力量!#REF!-電力量!#REF!</f>
        <v>#REF!</v>
      </c>
      <c r="H609" t="e">
        <f>電力量!#REF!-電力量!#REF!</f>
        <v>#REF!</v>
      </c>
      <c r="I609" t="e">
        <f>電力量!#REF!-電力量!#REF!</f>
        <v>#REF!</v>
      </c>
      <c r="J609" t="e">
        <f>電力量!#REF!-電力量!#REF!</f>
        <v>#REF!</v>
      </c>
      <c r="K609" t="e">
        <f>電力量!#REF!-電力量!#REF!</f>
        <v>#REF!</v>
      </c>
      <c r="L609" t="e">
        <f>電力量!#REF!-電力量!#REF!</f>
        <v>#REF!</v>
      </c>
      <c r="M609" t="e">
        <f>電力量!#REF!-電力量!#REF!</f>
        <v>#REF!</v>
      </c>
      <c r="N609" t="e">
        <f>電力量!#REF!-電力量!#REF!</f>
        <v>#REF!</v>
      </c>
      <c r="O609" t="e">
        <f>電力量!#REF!-電力量!#REF!</f>
        <v>#REF!</v>
      </c>
      <c r="P609" t="e">
        <f>電力量!#REF!-電力量!#REF!</f>
        <v>#REF!</v>
      </c>
      <c r="Q609" t="e">
        <f>電力量!#REF!-電力量!#REF!</f>
        <v>#REF!</v>
      </c>
      <c r="R609" t="e">
        <f>電力量!#REF!-電力量!#REF!</f>
        <v>#REF!</v>
      </c>
    </row>
    <row r="610" spans="1:18">
      <c r="A610" s="4">
        <f t="shared" ref="A610:A658" si="214">A602+(8/24)</f>
        <v>45925.333333333336</v>
      </c>
      <c r="B610" t="e">
        <f>電力量!#REF!-電力量!#REF!</f>
        <v>#REF!</v>
      </c>
      <c r="C610" t="e">
        <f>電力量!#REF!-電力量!#REF!</f>
        <v>#REF!</v>
      </c>
      <c r="D610" t="e">
        <f>電力量!#REF!-電力量!#REF!</f>
        <v>#REF!</v>
      </c>
      <c r="E610" t="e">
        <f>電力量!#REF!-電力量!#REF!</f>
        <v>#REF!</v>
      </c>
      <c r="F610" t="e">
        <f>電力量!#REF!-電力量!#REF!</f>
        <v>#REF!</v>
      </c>
      <c r="G610" t="e">
        <f>電力量!#REF!-電力量!#REF!</f>
        <v>#REF!</v>
      </c>
      <c r="H610" t="e">
        <f>電力量!#REF!-電力量!#REF!</f>
        <v>#REF!</v>
      </c>
      <c r="I610" t="e">
        <f>電力量!#REF!-電力量!#REF!</f>
        <v>#REF!</v>
      </c>
      <c r="J610" t="e">
        <f>電力量!#REF!-電力量!#REF!</f>
        <v>#REF!</v>
      </c>
      <c r="K610" t="e">
        <f>電力量!#REF!-電力量!#REF!</f>
        <v>#REF!</v>
      </c>
      <c r="L610" t="e">
        <f>電力量!#REF!-電力量!#REF!</f>
        <v>#REF!</v>
      </c>
      <c r="M610" t="e">
        <f>電力量!#REF!-電力量!#REF!</f>
        <v>#REF!</v>
      </c>
      <c r="N610" t="e">
        <f>電力量!#REF!-電力量!#REF!</f>
        <v>#REF!</v>
      </c>
      <c r="O610" t="e">
        <f>電力量!#REF!-電力量!#REF!</f>
        <v>#REF!</v>
      </c>
      <c r="P610" t="e">
        <f>電力量!#REF!-電力量!#REF!</f>
        <v>#REF!</v>
      </c>
      <c r="Q610" t="e">
        <f>電力量!#REF!-電力量!#REF!</f>
        <v>#REF!</v>
      </c>
      <c r="R610" t="e">
        <f>電力量!#REF!-電力量!#REF!</f>
        <v>#REF!</v>
      </c>
    </row>
    <row r="611" spans="1:18">
      <c r="A611" s="4">
        <f t="shared" ref="A611:A659" si="215">A602+(9/24)</f>
        <v>45925.375</v>
      </c>
      <c r="B611" t="e">
        <f>電力量!#REF!-電力量!#REF!</f>
        <v>#REF!</v>
      </c>
      <c r="C611" t="e">
        <f>電力量!#REF!-電力量!#REF!</f>
        <v>#REF!</v>
      </c>
      <c r="D611" t="e">
        <f>電力量!#REF!-電力量!#REF!</f>
        <v>#REF!</v>
      </c>
      <c r="E611" t="e">
        <f>電力量!#REF!-電力量!#REF!</f>
        <v>#REF!</v>
      </c>
      <c r="F611" t="e">
        <f>電力量!#REF!-電力量!#REF!</f>
        <v>#REF!</v>
      </c>
      <c r="G611" t="e">
        <f>電力量!#REF!-電力量!#REF!</f>
        <v>#REF!</v>
      </c>
      <c r="H611" t="e">
        <f>電力量!#REF!-電力量!#REF!</f>
        <v>#REF!</v>
      </c>
      <c r="I611" t="e">
        <f>電力量!#REF!-電力量!#REF!</f>
        <v>#REF!</v>
      </c>
      <c r="J611" t="e">
        <f>電力量!#REF!-電力量!#REF!</f>
        <v>#REF!</v>
      </c>
      <c r="K611" t="e">
        <f>電力量!#REF!-電力量!#REF!</f>
        <v>#REF!</v>
      </c>
      <c r="L611" t="e">
        <f>電力量!#REF!-電力量!#REF!</f>
        <v>#REF!</v>
      </c>
      <c r="M611" t="e">
        <f>電力量!#REF!-電力量!#REF!</f>
        <v>#REF!</v>
      </c>
      <c r="N611" t="e">
        <f>電力量!#REF!-電力量!#REF!</f>
        <v>#REF!</v>
      </c>
      <c r="O611" t="e">
        <f>電力量!#REF!-電力量!#REF!</f>
        <v>#REF!</v>
      </c>
      <c r="P611" t="e">
        <f>電力量!#REF!-電力量!#REF!</f>
        <v>#REF!</v>
      </c>
      <c r="Q611" t="e">
        <f>電力量!#REF!-電力量!#REF!</f>
        <v>#REF!</v>
      </c>
      <c r="R611" t="e">
        <f>電力量!#REF!-電力量!#REF!</f>
        <v>#REF!</v>
      </c>
    </row>
    <row r="612" spans="1:18">
      <c r="A612" s="4">
        <f t="shared" ref="A612:A660" si="216">A602+(10/24)</f>
        <v>45925.416666666664</v>
      </c>
      <c r="B612" t="e">
        <f>電力量!#REF!-電力量!#REF!</f>
        <v>#REF!</v>
      </c>
      <c r="C612" t="e">
        <f>電力量!#REF!-電力量!#REF!</f>
        <v>#REF!</v>
      </c>
      <c r="D612" t="e">
        <f>電力量!#REF!-電力量!#REF!</f>
        <v>#REF!</v>
      </c>
      <c r="E612" t="e">
        <f>電力量!#REF!-電力量!#REF!</f>
        <v>#REF!</v>
      </c>
      <c r="F612" t="e">
        <f>電力量!#REF!-電力量!#REF!</f>
        <v>#REF!</v>
      </c>
      <c r="G612" t="e">
        <f>電力量!#REF!-電力量!#REF!</f>
        <v>#REF!</v>
      </c>
      <c r="H612" t="e">
        <f>電力量!#REF!-電力量!#REF!</f>
        <v>#REF!</v>
      </c>
      <c r="I612" t="e">
        <f>電力量!#REF!-電力量!#REF!</f>
        <v>#REF!</v>
      </c>
      <c r="J612" t="e">
        <f>電力量!#REF!-電力量!#REF!</f>
        <v>#REF!</v>
      </c>
      <c r="K612" t="e">
        <f>電力量!#REF!-電力量!#REF!</f>
        <v>#REF!</v>
      </c>
      <c r="L612" t="e">
        <f>電力量!#REF!-電力量!#REF!</f>
        <v>#REF!</v>
      </c>
      <c r="M612" t="e">
        <f>電力量!#REF!-電力量!#REF!</f>
        <v>#REF!</v>
      </c>
      <c r="N612" t="e">
        <f>電力量!#REF!-電力量!#REF!</f>
        <v>#REF!</v>
      </c>
      <c r="O612" t="e">
        <f>電力量!#REF!-電力量!#REF!</f>
        <v>#REF!</v>
      </c>
      <c r="P612" t="e">
        <f>電力量!#REF!-電力量!#REF!</f>
        <v>#REF!</v>
      </c>
      <c r="Q612" t="e">
        <f>電力量!#REF!-電力量!#REF!</f>
        <v>#REF!</v>
      </c>
      <c r="R612" t="e">
        <f>電力量!#REF!-電力量!#REF!</f>
        <v>#REF!</v>
      </c>
    </row>
    <row r="613" spans="1:18">
      <c r="A613" s="4">
        <f t="shared" ref="A613:A661" si="217">A602+(11/24)</f>
        <v>45925.458333333336</v>
      </c>
      <c r="B613" t="e">
        <f>電力量!#REF!-電力量!#REF!</f>
        <v>#REF!</v>
      </c>
      <c r="C613" t="e">
        <f>電力量!#REF!-電力量!#REF!</f>
        <v>#REF!</v>
      </c>
      <c r="D613" t="e">
        <f>電力量!#REF!-電力量!#REF!</f>
        <v>#REF!</v>
      </c>
      <c r="E613" t="e">
        <f>電力量!#REF!-電力量!#REF!</f>
        <v>#REF!</v>
      </c>
      <c r="F613" t="e">
        <f>電力量!#REF!-電力量!#REF!</f>
        <v>#REF!</v>
      </c>
      <c r="G613" t="e">
        <f>電力量!#REF!-電力量!#REF!</f>
        <v>#REF!</v>
      </c>
      <c r="H613" t="e">
        <f>電力量!#REF!-電力量!#REF!</f>
        <v>#REF!</v>
      </c>
      <c r="I613" t="e">
        <f>電力量!#REF!-電力量!#REF!</f>
        <v>#REF!</v>
      </c>
      <c r="J613" t="e">
        <f>電力量!#REF!-電力量!#REF!</f>
        <v>#REF!</v>
      </c>
      <c r="K613" t="e">
        <f>電力量!#REF!-電力量!#REF!</f>
        <v>#REF!</v>
      </c>
      <c r="L613" t="e">
        <f>電力量!#REF!-電力量!#REF!</f>
        <v>#REF!</v>
      </c>
      <c r="M613" t="e">
        <f>電力量!#REF!-電力量!#REF!</f>
        <v>#REF!</v>
      </c>
      <c r="N613" t="e">
        <f>電力量!#REF!-電力量!#REF!</f>
        <v>#REF!</v>
      </c>
      <c r="O613" t="e">
        <f>電力量!#REF!-電力量!#REF!</f>
        <v>#REF!</v>
      </c>
      <c r="P613" t="e">
        <f>電力量!#REF!-電力量!#REF!</f>
        <v>#REF!</v>
      </c>
      <c r="Q613" t="e">
        <f>電力量!#REF!-電力量!#REF!</f>
        <v>#REF!</v>
      </c>
      <c r="R613" t="e">
        <f>電力量!#REF!-電力量!#REF!</f>
        <v>#REF!</v>
      </c>
    </row>
    <row r="614" spans="1:18">
      <c r="A614" s="4">
        <f t="shared" ref="A614:A662" si="218">A602+(12/24)</f>
        <v>45925.5</v>
      </c>
      <c r="B614" t="e">
        <f>電力量!#REF!-電力量!#REF!</f>
        <v>#REF!</v>
      </c>
      <c r="C614" t="e">
        <f>電力量!#REF!-電力量!#REF!</f>
        <v>#REF!</v>
      </c>
      <c r="D614" t="e">
        <f>電力量!#REF!-電力量!#REF!</f>
        <v>#REF!</v>
      </c>
      <c r="E614" t="e">
        <f>電力量!#REF!-電力量!#REF!</f>
        <v>#REF!</v>
      </c>
      <c r="F614" t="e">
        <f>電力量!#REF!-電力量!#REF!</f>
        <v>#REF!</v>
      </c>
      <c r="G614" t="e">
        <f>電力量!#REF!-電力量!#REF!</f>
        <v>#REF!</v>
      </c>
      <c r="H614" t="e">
        <f>電力量!#REF!-電力量!#REF!</f>
        <v>#REF!</v>
      </c>
      <c r="I614" t="e">
        <f>電力量!#REF!-電力量!#REF!</f>
        <v>#REF!</v>
      </c>
      <c r="J614" t="e">
        <f>電力量!#REF!-電力量!#REF!</f>
        <v>#REF!</v>
      </c>
      <c r="K614" t="e">
        <f>電力量!#REF!-電力量!#REF!</f>
        <v>#REF!</v>
      </c>
      <c r="L614" t="e">
        <f>電力量!#REF!-電力量!#REF!</f>
        <v>#REF!</v>
      </c>
      <c r="M614" t="e">
        <f>電力量!#REF!-電力量!#REF!</f>
        <v>#REF!</v>
      </c>
      <c r="N614" t="e">
        <f>電力量!#REF!-電力量!#REF!</f>
        <v>#REF!</v>
      </c>
      <c r="O614" t="e">
        <f>電力量!#REF!-電力量!#REF!</f>
        <v>#REF!</v>
      </c>
      <c r="P614" t="e">
        <f>電力量!#REF!-電力量!#REF!</f>
        <v>#REF!</v>
      </c>
      <c r="Q614" t="e">
        <f>電力量!#REF!-電力量!#REF!</f>
        <v>#REF!</v>
      </c>
      <c r="R614" t="e">
        <f>電力量!#REF!-電力量!#REF!</f>
        <v>#REF!</v>
      </c>
    </row>
    <row r="615" spans="1:18">
      <c r="A615" s="4">
        <f t="shared" ref="A615:A663" si="219">A602+(13/24)</f>
        <v>45925.541666666664</v>
      </c>
      <c r="B615" t="e">
        <f>電力量!#REF!-電力量!#REF!</f>
        <v>#REF!</v>
      </c>
      <c r="C615" t="e">
        <f>電力量!#REF!-電力量!#REF!</f>
        <v>#REF!</v>
      </c>
      <c r="D615" t="e">
        <f>電力量!#REF!-電力量!#REF!</f>
        <v>#REF!</v>
      </c>
      <c r="E615" t="e">
        <f>電力量!#REF!-電力量!#REF!</f>
        <v>#REF!</v>
      </c>
      <c r="F615" t="e">
        <f>電力量!#REF!-電力量!#REF!</f>
        <v>#REF!</v>
      </c>
      <c r="G615" t="e">
        <f>電力量!#REF!-電力量!#REF!</f>
        <v>#REF!</v>
      </c>
      <c r="H615" t="e">
        <f>電力量!#REF!-電力量!#REF!</f>
        <v>#REF!</v>
      </c>
      <c r="I615" t="e">
        <f>電力量!#REF!-電力量!#REF!</f>
        <v>#REF!</v>
      </c>
      <c r="J615" t="e">
        <f>電力量!#REF!-電力量!#REF!</f>
        <v>#REF!</v>
      </c>
      <c r="K615" t="e">
        <f>電力量!#REF!-電力量!#REF!</f>
        <v>#REF!</v>
      </c>
      <c r="L615" t="e">
        <f>電力量!#REF!-電力量!#REF!</f>
        <v>#REF!</v>
      </c>
      <c r="M615" t="e">
        <f>電力量!#REF!-電力量!#REF!</f>
        <v>#REF!</v>
      </c>
      <c r="N615" t="e">
        <f>電力量!#REF!-電力量!#REF!</f>
        <v>#REF!</v>
      </c>
      <c r="O615" t="e">
        <f>電力量!#REF!-電力量!#REF!</f>
        <v>#REF!</v>
      </c>
      <c r="P615" t="e">
        <f>電力量!#REF!-電力量!#REF!</f>
        <v>#REF!</v>
      </c>
      <c r="Q615" t="e">
        <f>電力量!#REF!-電力量!#REF!</f>
        <v>#REF!</v>
      </c>
      <c r="R615" t="e">
        <f>電力量!#REF!-電力量!#REF!</f>
        <v>#REF!</v>
      </c>
    </row>
    <row r="616" spans="1:18">
      <c r="A616" s="4">
        <f t="shared" ref="A616:A664" si="220">A602+(14/24)</f>
        <v>45925.583333333336</v>
      </c>
      <c r="B616" t="e">
        <f>電力量!#REF!-電力量!#REF!</f>
        <v>#REF!</v>
      </c>
      <c r="C616" t="e">
        <f>電力量!#REF!-電力量!#REF!</f>
        <v>#REF!</v>
      </c>
      <c r="D616" t="e">
        <f>電力量!#REF!-電力量!#REF!</f>
        <v>#REF!</v>
      </c>
      <c r="E616" t="e">
        <f>電力量!#REF!-電力量!#REF!</f>
        <v>#REF!</v>
      </c>
      <c r="F616" t="e">
        <f>電力量!#REF!-電力量!#REF!</f>
        <v>#REF!</v>
      </c>
      <c r="G616" t="e">
        <f>電力量!#REF!-電力量!#REF!</f>
        <v>#REF!</v>
      </c>
      <c r="H616" t="e">
        <f>電力量!#REF!-電力量!#REF!</f>
        <v>#REF!</v>
      </c>
      <c r="I616" t="e">
        <f>電力量!#REF!-電力量!#REF!</f>
        <v>#REF!</v>
      </c>
      <c r="J616" t="e">
        <f>電力量!#REF!-電力量!#REF!</f>
        <v>#REF!</v>
      </c>
      <c r="K616" t="e">
        <f>電力量!#REF!-電力量!#REF!</f>
        <v>#REF!</v>
      </c>
      <c r="L616" t="e">
        <f>電力量!#REF!-電力量!#REF!</f>
        <v>#REF!</v>
      </c>
      <c r="M616" t="e">
        <f>電力量!#REF!-電力量!#REF!</f>
        <v>#REF!</v>
      </c>
      <c r="N616" t="e">
        <f>電力量!#REF!-電力量!#REF!</f>
        <v>#REF!</v>
      </c>
      <c r="O616" t="e">
        <f>電力量!#REF!-電力量!#REF!</f>
        <v>#REF!</v>
      </c>
      <c r="P616" t="e">
        <f>電力量!#REF!-電力量!#REF!</f>
        <v>#REF!</v>
      </c>
      <c r="Q616" t="e">
        <f>電力量!#REF!-電力量!#REF!</f>
        <v>#REF!</v>
      </c>
      <c r="R616" t="e">
        <f>電力量!#REF!-電力量!#REF!</f>
        <v>#REF!</v>
      </c>
    </row>
    <row r="617" spans="1:18">
      <c r="A617" s="4">
        <f t="shared" ref="A617:A665" si="221">A602+(15/24)</f>
        <v>45925.625</v>
      </c>
      <c r="B617" t="e">
        <f>電力量!#REF!-電力量!#REF!</f>
        <v>#REF!</v>
      </c>
      <c r="C617" t="e">
        <f>電力量!#REF!-電力量!#REF!</f>
        <v>#REF!</v>
      </c>
      <c r="D617" t="e">
        <f>電力量!#REF!-電力量!#REF!</f>
        <v>#REF!</v>
      </c>
      <c r="E617" t="e">
        <f>電力量!#REF!-電力量!#REF!</f>
        <v>#REF!</v>
      </c>
      <c r="F617" t="e">
        <f>電力量!#REF!-電力量!#REF!</f>
        <v>#REF!</v>
      </c>
      <c r="G617" t="e">
        <f>電力量!#REF!-電力量!#REF!</f>
        <v>#REF!</v>
      </c>
      <c r="H617" t="e">
        <f>電力量!#REF!-電力量!#REF!</f>
        <v>#REF!</v>
      </c>
      <c r="I617" t="e">
        <f>電力量!#REF!-電力量!#REF!</f>
        <v>#REF!</v>
      </c>
      <c r="J617" t="e">
        <f>電力量!#REF!-電力量!#REF!</f>
        <v>#REF!</v>
      </c>
      <c r="K617" t="e">
        <f>電力量!#REF!-電力量!#REF!</f>
        <v>#REF!</v>
      </c>
      <c r="L617" t="e">
        <f>電力量!#REF!-電力量!#REF!</f>
        <v>#REF!</v>
      </c>
      <c r="M617" t="e">
        <f>電力量!#REF!-電力量!#REF!</f>
        <v>#REF!</v>
      </c>
      <c r="N617" t="e">
        <f>電力量!#REF!-電力量!#REF!</f>
        <v>#REF!</v>
      </c>
      <c r="O617" t="e">
        <f>電力量!#REF!-電力量!#REF!</f>
        <v>#REF!</v>
      </c>
      <c r="P617" t="e">
        <f>電力量!#REF!-電力量!#REF!</f>
        <v>#REF!</v>
      </c>
      <c r="Q617" t="e">
        <f>電力量!#REF!-電力量!#REF!</f>
        <v>#REF!</v>
      </c>
      <c r="R617" t="e">
        <f>電力量!#REF!-電力量!#REF!</f>
        <v>#REF!</v>
      </c>
    </row>
    <row r="618" spans="1:18">
      <c r="A618" s="4">
        <f t="shared" ref="A618:A666" si="222">A602+(16/24)</f>
        <v>45925.666666666664</v>
      </c>
      <c r="B618" t="e">
        <f>電力量!#REF!-電力量!#REF!</f>
        <v>#REF!</v>
      </c>
      <c r="C618" t="e">
        <f>電力量!#REF!-電力量!#REF!</f>
        <v>#REF!</v>
      </c>
      <c r="D618" t="e">
        <f>電力量!#REF!-電力量!#REF!</f>
        <v>#REF!</v>
      </c>
      <c r="E618" t="e">
        <f>電力量!#REF!-電力量!#REF!</f>
        <v>#REF!</v>
      </c>
      <c r="F618" t="e">
        <f>電力量!#REF!-電力量!#REF!</f>
        <v>#REF!</v>
      </c>
      <c r="G618" t="e">
        <f>電力量!#REF!-電力量!#REF!</f>
        <v>#REF!</v>
      </c>
      <c r="H618" t="e">
        <f>電力量!#REF!-電力量!#REF!</f>
        <v>#REF!</v>
      </c>
      <c r="I618" t="e">
        <f>電力量!#REF!-電力量!#REF!</f>
        <v>#REF!</v>
      </c>
      <c r="J618" t="e">
        <f>電力量!#REF!-電力量!#REF!</f>
        <v>#REF!</v>
      </c>
      <c r="K618" t="e">
        <f>電力量!#REF!-電力量!#REF!</f>
        <v>#REF!</v>
      </c>
      <c r="L618" t="e">
        <f>電力量!#REF!-電力量!#REF!</f>
        <v>#REF!</v>
      </c>
      <c r="M618" t="e">
        <f>電力量!#REF!-電力量!#REF!</f>
        <v>#REF!</v>
      </c>
      <c r="N618" t="e">
        <f>電力量!#REF!-電力量!#REF!</f>
        <v>#REF!</v>
      </c>
      <c r="O618" t="e">
        <f>電力量!#REF!-電力量!#REF!</f>
        <v>#REF!</v>
      </c>
      <c r="P618" t="e">
        <f>電力量!#REF!-電力量!#REF!</f>
        <v>#REF!</v>
      </c>
      <c r="Q618" t="e">
        <f>電力量!#REF!-電力量!#REF!</f>
        <v>#REF!</v>
      </c>
      <c r="R618" t="e">
        <f>電力量!#REF!-電力量!#REF!</f>
        <v>#REF!</v>
      </c>
    </row>
    <row r="619" spans="1:18">
      <c r="A619" s="4">
        <f t="shared" ref="A619:A667" si="223">A602+(17/24)</f>
        <v>45925.708333333336</v>
      </c>
      <c r="B619" t="e">
        <f>電力量!#REF!-電力量!#REF!</f>
        <v>#REF!</v>
      </c>
      <c r="C619" t="e">
        <f>電力量!#REF!-電力量!#REF!</f>
        <v>#REF!</v>
      </c>
      <c r="D619" t="e">
        <f>電力量!#REF!-電力量!#REF!</f>
        <v>#REF!</v>
      </c>
      <c r="E619" t="e">
        <f>電力量!#REF!-電力量!#REF!</f>
        <v>#REF!</v>
      </c>
      <c r="F619" t="e">
        <f>電力量!#REF!-電力量!#REF!</f>
        <v>#REF!</v>
      </c>
      <c r="G619" t="e">
        <f>電力量!#REF!-電力量!#REF!</f>
        <v>#REF!</v>
      </c>
      <c r="H619" t="e">
        <f>電力量!#REF!-電力量!#REF!</f>
        <v>#REF!</v>
      </c>
      <c r="I619" t="e">
        <f>電力量!#REF!-電力量!#REF!</f>
        <v>#REF!</v>
      </c>
      <c r="J619" t="e">
        <f>電力量!#REF!-電力量!#REF!</f>
        <v>#REF!</v>
      </c>
      <c r="K619" t="e">
        <f>電力量!#REF!-電力量!#REF!</f>
        <v>#REF!</v>
      </c>
      <c r="L619" t="e">
        <f>電力量!#REF!-電力量!#REF!</f>
        <v>#REF!</v>
      </c>
      <c r="M619" t="e">
        <f>電力量!#REF!-電力量!#REF!</f>
        <v>#REF!</v>
      </c>
      <c r="N619" t="e">
        <f>電力量!#REF!-電力量!#REF!</f>
        <v>#REF!</v>
      </c>
      <c r="O619" t="e">
        <f>電力量!#REF!-電力量!#REF!</f>
        <v>#REF!</v>
      </c>
      <c r="P619" t="e">
        <f>電力量!#REF!-電力量!#REF!</f>
        <v>#REF!</v>
      </c>
      <c r="Q619" t="e">
        <f>電力量!#REF!-電力量!#REF!</f>
        <v>#REF!</v>
      </c>
      <c r="R619" t="e">
        <f>電力量!#REF!-電力量!#REF!</f>
        <v>#REF!</v>
      </c>
    </row>
    <row r="620" spans="1:18">
      <c r="A620" s="4">
        <f t="shared" ref="A620:A668" si="224">A602+(18/24)</f>
        <v>45925.75</v>
      </c>
      <c r="B620" t="e">
        <f>電力量!#REF!-電力量!#REF!</f>
        <v>#REF!</v>
      </c>
      <c r="C620" t="e">
        <f>電力量!#REF!-電力量!#REF!</f>
        <v>#REF!</v>
      </c>
      <c r="D620" t="e">
        <f>電力量!#REF!-電力量!#REF!</f>
        <v>#REF!</v>
      </c>
      <c r="E620" t="e">
        <f>電力量!#REF!-電力量!#REF!</f>
        <v>#REF!</v>
      </c>
      <c r="F620" t="e">
        <f>電力量!#REF!-電力量!#REF!</f>
        <v>#REF!</v>
      </c>
      <c r="G620" t="e">
        <f>電力量!#REF!-電力量!#REF!</f>
        <v>#REF!</v>
      </c>
      <c r="H620" t="e">
        <f>電力量!#REF!-電力量!#REF!</f>
        <v>#REF!</v>
      </c>
      <c r="I620" t="e">
        <f>電力量!#REF!-電力量!#REF!</f>
        <v>#REF!</v>
      </c>
      <c r="J620" t="e">
        <f>電力量!#REF!-電力量!#REF!</f>
        <v>#REF!</v>
      </c>
      <c r="K620" t="e">
        <f>電力量!#REF!-電力量!#REF!</f>
        <v>#REF!</v>
      </c>
      <c r="L620" t="e">
        <f>電力量!#REF!-電力量!#REF!</f>
        <v>#REF!</v>
      </c>
      <c r="M620" t="e">
        <f>電力量!#REF!-電力量!#REF!</f>
        <v>#REF!</v>
      </c>
      <c r="N620" t="e">
        <f>電力量!#REF!-電力量!#REF!</f>
        <v>#REF!</v>
      </c>
      <c r="O620" t="e">
        <f>電力量!#REF!-電力量!#REF!</f>
        <v>#REF!</v>
      </c>
      <c r="P620" t="e">
        <f>電力量!#REF!-電力量!#REF!</f>
        <v>#REF!</v>
      </c>
      <c r="Q620" t="e">
        <f>電力量!#REF!-電力量!#REF!</f>
        <v>#REF!</v>
      </c>
      <c r="R620" t="e">
        <f>電力量!#REF!-電力量!#REF!</f>
        <v>#REF!</v>
      </c>
    </row>
    <row r="621" spans="1:18">
      <c r="A621" s="4">
        <f t="shared" ref="A621:A669" si="225">A602+(19/24)</f>
        <v>45925.791666666664</v>
      </c>
      <c r="B621" t="e">
        <f>電力量!#REF!-電力量!#REF!</f>
        <v>#REF!</v>
      </c>
      <c r="C621" t="e">
        <f>電力量!#REF!-電力量!#REF!</f>
        <v>#REF!</v>
      </c>
      <c r="D621" t="e">
        <f>電力量!#REF!-電力量!#REF!</f>
        <v>#REF!</v>
      </c>
      <c r="E621" t="e">
        <f>電力量!#REF!-電力量!#REF!</f>
        <v>#REF!</v>
      </c>
      <c r="F621" t="e">
        <f>電力量!#REF!-電力量!#REF!</f>
        <v>#REF!</v>
      </c>
      <c r="G621" t="e">
        <f>電力量!#REF!-電力量!#REF!</f>
        <v>#REF!</v>
      </c>
      <c r="H621" t="e">
        <f>電力量!#REF!-電力量!#REF!</f>
        <v>#REF!</v>
      </c>
      <c r="I621" t="e">
        <f>電力量!#REF!-電力量!#REF!</f>
        <v>#REF!</v>
      </c>
      <c r="J621" t="e">
        <f>電力量!#REF!-電力量!#REF!</f>
        <v>#REF!</v>
      </c>
      <c r="K621" t="e">
        <f>電力量!#REF!-電力量!#REF!</f>
        <v>#REF!</v>
      </c>
      <c r="L621" t="e">
        <f>電力量!#REF!-電力量!#REF!</f>
        <v>#REF!</v>
      </c>
      <c r="M621" t="e">
        <f>電力量!#REF!-電力量!#REF!</f>
        <v>#REF!</v>
      </c>
      <c r="N621" t="e">
        <f>電力量!#REF!-電力量!#REF!</f>
        <v>#REF!</v>
      </c>
      <c r="O621" t="e">
        <f>電力量!#REF!-電力量!#REF!</f>
        <v>#REF!</v>
      </c>
      <c r="P621" t="e">
        <f>電力量!#REF!-電力量!#REF!</f>
        <v>#REF!</v>
      </c>
      <c r="Q621" t="e">
        <f>電力量!#REF!-電力量!#REF!</f>
        <v>#REF!</v>
      </c>
      <c r="R621" t="e">
        <f>電力量!#REF!-電力量!#REF!</f>
        <v>#REF!</v>
      </c>
    </row>
    <row r="622" spans="1:18">
      <c r="A622" s="4">
        <f t="shared" ref="A622:A670" si="226">A602+(20/24)</f>
        <v>45925.833333333336</v>
      </c>
      <c r="B622" t="e">
        <f>電力量!#REF!-電力量!#REF!</f>
        <v>#REF!</v>
      </c>
      <c r="C622" t="e">
        <f>電力量!#REF!-電力量!#REF!</f>
        <v>#REF!</v>
      </c>
      <c r="D622" t="e">
        <f>電力量!#REF!-電力量!#REF!</f>
        <v>#REF!</v>
      </c>
      <c r="E622" t="e">
        <f>電力量!#REF!-電力量!#REF!</f>
        <v>#REF!</v>
      </c>
      <c r="F622" t="e">
        <f>電力量!#REF!-電力量!#REF!</f>
        <v>#REF!</v>
      </c>
      <c r="G622" t="e">
        <f>電力量!#REF!-電力量!#REF!</f>
        <v>#REF!</v>
      </c>
      <c r="H622" t="e">
        <f>電力量!#REF!-電力量!#REF!</f>
        <v>#REF!</v>
      </c>
      <c r="I622" t="e">
        <f>電力量!#REF!-電力量!#REF!</f>
        <v>#REF!</v>
      </c>
      <c r="J622" t="e">
        <f>電力量!#REF!-電力量!#REF!</f>
        <v>#REF!</v>
      </c>
      <c r="K622" t="e">
        <f>電力量!#REF!-電力量!#REF!</f>
        <v>#REF!</v>
      </c>
      <c r="L622" t="e">
        <f>電力量!#REF!-電力量!#REF!</f>
        <v>#REF!</v>
      </c>
      <c r="M622" t="e">
        <f>電力量!#REF!-電力量!#REF!</f>
        <v>#REF!</v>
      </c>
      <c r="N622" t="e">
        <f>電力量!#REF!-電力量!#REF!</f>
        <v>#REF!</v>
      </c>
      <c r="O622" t="e">
        <f>電力量!#REF!-電力量!#REF!</f>
        <v>#REF!</v>
      </c>
      <c r="P622" t="e">
        <f>電力量!#REF!-電力量!#REF!</f>
        <v>#REF!</v>
      </c>
      <c r="Q622" t="e">
        <f>電力量!#REF!-電力量!#REF!</f>
        <v>#REF!</v>
      </c>
      <c r="R622" t="e">
        <f>電力量!#REF!-電力量!#REF!</f>
        <v>#REF!</v>
      </c>
    </row>
    <row r="623" spans="1:18">
      <c r="A623" s="4">
        <f t="shared" ref="A623:A671" si="227">A602+(21/24)</f>
        <v>45925.875</v>
      </c>
      <c r="B623" t="e">
        <f>電力量!#REF!-電力量!#REF!</f>
        <v>#REF!</v>
      </c>
      <c r="C623" t="e">
        <f>電力量!#REF!-電力量!#REF!</f>
        <v>#REF!</v>
      </c>
      <c r="D623" t="e">
        <f>電力量!#REF!-電力量!#REF!</f>
        <v>#REF!</v>
      </c>
      <c r="E623" t="e">
        <f>電力量!#REF!-電力量!#REF!</f>
        <v>#REF!</v>
      </c>
      <c r="F623" t="e">
        <f>電力量!#REF!-電力量!#REF!</f>
        <v>#REF!</v>
      </c>
      <c r="G623" t="e">
        <f>電力量!#REF!-電力量!#REF!</f>
        <v>#REF!</v>
      </c>
      <c r="H623" t="e">
        <f>電力量!#REF!-電力量!#REF!</f>
        <v>#REF!</v>
      </c>
      <c r="I623" t="e">
        <f>電力量!#REF!-電力量!#REF!</f>
        <v>#REF!</v>
      </c>
      <c r="J623" t="e">
        <f>電力量!#REF!-電力量!#REF!</f>
        <v>#REF!</v>
      </c>
      <c r="K623" t="e">
        <f>電力量!#REF!-電力量!#REF!</f>
        <v>#REF!</v>
      </c>
      <c r="L623" t="e">
        <f>電力量!#REF!-電力量!#REF!</f>
        <v>#REF!</v>
      </c>
      <c r="M623" t="e">
        <f>電力量!#REF!-電力量!#REF!</f>
        <v>#REF!</v>
      </c>
      <c r="N623" t="e">
        <f>電力量!#REF!-電力量!#REF!</f>
        <v>#REF!</v>
      </c>
      <c r="O623" t="e">
        <f>電力量!#REF!-電力量!#REF!</f>
        <v>#REF!</v>
      </c>
      <c r="P623" t="e">
        <f>電力量!#REF!-電力量!#REF!</f>
        <v>#REF!</v>
      </c>
      <c r="Q623" t="e">
        <f>電力量!#REF!-電力量!#REF!</f>
        <v>#REF!</v>
      </c>
      <c r="R623" t="e">
        <f>電力量!#REF!-電力量!#REF!</f>
        <v>#REF!</v>
      </c>
    </row>
    <row r="624" spans="1:18">
      <c r="A624" s="4">
        <f t="shared" ref="A624:A672" si="228">A602+(22/24)</f>
        <v>45925.916666666664</v>
      </c>
      <c r="B624" t="e">
        <f>電力量!#REF!-電力量!#REF!</f>
        <v>#REF!</v>
      </c>
      <c r="C624" t="e">
        <f>電力量!#REF!-電力量!#REF!</f>
        <v>#REF!</v>
      </c>
      <c r="D624" t="e">
        <f>電力量!#REF!-電力量!#REF!</f>
        <v>#REF!</v>
      </c>
      <c r="E624" t="e">
        <f>電力量!#REF!-電力量!#REF!</f>
        <v>#REF!</v>
      </c>
      <c r="F624" t="e">
        <f>電力量!#REF!-電力量!#REF!</f>
        <v>#REF!</v>
      </c>
      <c r="G624" t="e">
        <f>電力量!#REF!-電力量!#REF!</f>
        <v>#REF!</v>
      </c>
      <c r="H624" t="e">
        <f>電力量!#REF!-電力量!#REF!</f>
        <v>#REF!</v>
      </c>
      <c r="I624" t="e">
        <f>電力量!#REF!-電力量!#REF!</f>
        <v>#REF!</v>
      </c>
      <c r="J624" t="e">
        <f>電力量!#REF!-電力量!#REF!</f>
        <v>#REF!</v>
      </c>
      <c r="K624" t="e">
        <f>電力量!#REF!-電力量!#REF!</f>
        <v>#REF!</v>
      </c>
      <c r="L624" t="e">
        <f>電力量!#REF!-電力量!#REF!</f>
        <v>#REF!</v>
      </c>
      <c r="M624" t="e">
        <f>電力量!#REF!-電力量!#REF!</f>
        <v>#REF!</v>
      </c>
      <c r="N624" t="e">
        <f>電力量!#REF!-電力量!#REF!</f>
        <v>#REF!</v>
      </c>
      <c r="O624" t="e">
        <f>電力量!#REF!-電力量!#REF!</f>
        <v>#REF!</v>
      </c>
      <c r="P624" t="e">
        <f>電力量!#REF!-電力量!#REF!</f>
        <v>#REF!</v>
      </c>
      <c r="Q624" t="e">
        <f>電力量!#REF!-電力量!#REF!</f>
        <v>#REF!</v>
      </c>
      <c r="R624" t="e">
        <f>電力量!#REF!-電力量!#REF!</f>
        <v>#REF!</v>
      </c>
    </row>
    <row r="625" spans="1:18">
      <c r="A625" s="4">
        <f t="shared" ref="A625:A673" si="229">A602+(23/24)</f>
        <v>45925.958333333336</v>
      </c>
      <c r="B625" t="e">
        <f>電力量!#REF!-電力量!#REF!</f>
        <v>#REF!</v>
      </c>
      <c r="C625" t="e">
        <f>電力量!#REF!-電力量!#REF!</f>
        <v>#REF!</v>
      </c>
      <c r="D625" t="e">
        <f>電力量!#REF!-電力量!#REF!</f>
        <v>#REF!</v>
      </c>
      <c r="E625" t="e">
        <f>電力量!#REF!-電力量!#REF!</f>
        <v>#REF!</v>
      </c>
      <c r="F625" t="e">
        <f>電力量!#REF!-電力量!#REF!</f>
        <v>#REF!</v>
      </c>
      <c r="G625" t="e">
        <f>電力量!#REF!-電力量!#REF!</f>
        <v>#REF!</v>
      </c>
      <c r="H625" t="e">
        <f>電力量!#REF!-電力量!#REF!</f>
        <v>#REF!</v>
      </c>
      <c r="I625" t="e">
        <f>電力量!#REF!-電力量!#REF!</f>
        <v>#REF!</v>
      </c>
      <c r="J625" t="e">
        <f>電力量!#REF!-電力量!#REF!</f>
        <v>#REF!</v>
      </c>
      <c r="K625" t="e">
        <f>電力量!#REF!-電力量!#REF!</f>
        <v>#REF!</v>
      </c>
      <c r="L625" t="e">
        <f>電力量!#REF!-電力量!#REF!</f>
        <v>#REF!</v>
      </c>
      <c r="M625" t="e">
        <f>電力量!#REF!-電力量!#REF!</f>
        <v>#REF!</v>
      </c>
      <c r="N625" t="e">
        <f>電力量!#REF!-電力量!#REF!</f>
        <v>#REF!</v>
      </c>
      <c r="O625" t="e">
        <f>電力量!#REF!-電力量!#REF!</f>
        <v>#REF!</v>
      </c>
      <c r="P625" t="e">
        <f>電力量!#REF!-電力量!#REF!</f>
        <v>#REF!</v>
      </c>
      <c r="Q625" t="e">
        <f>電力量!#REF!-電力量!#REF!</f>
        <v>#REF!</v>
      </c>
      <c r="R625" t="e">
        <f>電力量!#REF!-電力量!#REF!</f>
        <v>#REF!</v>
      </c>
    </row>
    <row r="626" spans="1:18">
      <c r="A626" s="4">
        <v>45926</v>
      </c>
      <c r="B626" t="e">
        <f>電力量!#REF!-電力量!#REF!</f>
        <v>#REF!</v>
      </c>
      <c r="C626" t="e">
        <f>電力量!#REF!-電力量!#REF!</f>
        <v>#REF!</v>
      </c>
      <c r="D626" t="e">
        <f>電力量!#REF!-電力量!#REF!</f>
        <v>#REF!</v>
      </c>
      <c r="E626" t="e">
        <f>電力量!#REF!-電力量!#REF!</f>
        <v>#REF!</v>
      </c>
      <c r="F626" t="e">
        <f>電力量!#REF!-電力量!#REF!</f>
        <v>#REF!</v>
      </c>
      <c r="G626" t="e">
        <f>電力量!#REF!-電力量!#REF!</f>
        <v>#REF!</v>
      </c>
      <c r="H626" t="e">
        <f>電力量!#REF!-電力量!#REF!</f>
        <v>#REF!</v>
      </c>
      <c r="I626" t="e">
        <f>電力量!#REF!-電力量!#REF!</f>
        <v>#REF!</v>
      </c>
      <c r="J626" t="e">
        <f>電力量!#REF!-電力量!#REF!</f>
        <v>#REF!</v>
      </c>
      <c r="K626" t="e">
        <f>電力量!#REF!-電力量!#REF!</f>
        <v>#REF!</v>
      </c>
      <c r="L626" t="e">
        <f>電力量!#REF!-電力量!#REF!</f>
        <v>#REF!</v>
      </c>
      <c r="M626" t="e">
        <f>電力量!#REF!-電力量!#REF!</f>
        <v>#REF!</v>
      </c>
      <c r="N626" t="e">
        <f>電力量!#REF!-電力量!#REF!</f>
        <v>#REF!</v>
      </c>
      <c r="O626" t="e">
        <f>電力量!#REF!-電力量!#REF!</f>
        <v>#REF!</v>
      </c>
      <c r="P626" t="e">
        <f>電力量!#REF!-電力量!#REF!</f>
        <v>#REF!</v>
      </c>
      <c r="Q626" t="e">
        <f>電力量!#REF!-電力量!#REF!</f>
        <v>#REF!</v>
      </c>
      <c r="R626" t="e">
        <f>電力量!#REF!-電力量!#REF!</f>
        <v>#REF!</v>
      </c>
    </row>
    <row r="627" spans="1:18">
      <c r="A627" s="4">
        <f t="shared" si="207"/>
        <v>45926.041666666664</v>
      </c>
      <c r="B627" t="e">
        <f>電力量!#REF!-電力量!#REF!</f>
        <v>#REF!</v>
      </c>
      <c r="C627" t="e">
        <f>電力量!#REF!-電力量!#REF!</f>
        <v>#REF!</v>
      </c>
      <c r="D627" t="e">
        <f>電力量!#REF!-電力量!#REF!</f>
        <v>#REF!</v>
      </c>
      <c r="E627" t="e">
        <f>電力量!#REF!-電力量!#REF!</f>
        <v>#REF!</v>
      </c>
      <c r="F627" t="e">
        <f>電力量!#REF!-電力量!#REF!</f>
        <v>#REF!</v>
      </c>
      <c r="G627" t="e">
        <f>電力量!#REF!-電力量!#REF!</f>
        <v>#REF!</v>
      </c>
      <c r="H627" t="e">
        <f>電力量!#REF!-電力量!#REF!</f>
        <v>#REF!</v>
      </c>
      <c r="I627" t="e">
        <f>電力量!#REF!-電力量!#REF!</f>
        <v>#REF!</v>
      </c>
      <c r="J627" t="e">
        <f>電力量!#REF!-電力量!#REF!</f>
        <v>#REF!</v>
      </c>
      <c r="K627" t="e">
        <f>電力量!#REF!-電力量!#REF!</f>
        <v>#REF!</v>
      </c>
      <c r="L627" t="e">
        <f>電力量!#REF!-電力量!#REF!</f>
        <v>#REF!</v>
      </c>
      <c r="M627" t="e">
        <f>電力量!#REF!-電力量!#REF!</f>
        <v>#REF!</v>
      </c>
      <c r="N627" t="e">
        <f>電力量!#REF!-電力量!#REF!</f>
        <v>#REF!</v>
      </c>
      <c r="O627" t="e">
        <f>電力量!#REF!-電力量!#REF!</f>
        <v>#REF!</v>
      </c>
      <c r="P627" t="e">
        <f>電力量!#REF!-電力量!#REF!</f>
        <v>#REF!</v>
      </c>
      <c r="Q627" t="e">
        <f>電力量!#REF!-電力量!#REF!</f>
        <v>#REF!</v>
      </c>
      <c r="R627" t="e">
        <f>電力量!#REF!-電力量!#REF!</f>
        <v>#REF!</v>
      </c>
    </row>
    <row r="628" spans="1:18">
      <c r="A628" s="4">
        <f t="shared" si="208"/>
        <v>45926.083333333336</v>
      </c>
      <c r="B628" t="e">
        <f>電力量!#REF!-電力量!#REF!</f>
        <v>#REF!</v>
      </c>
      <c r="C628" t="e">
        <f>電力量!#REF!-電力量!#REF!</f>
        <v>#REF!</v>
      </c>
      <c r="D628" t="e">
        <f>電力量!#REF!-電力量!#REF!</f>
        <v>#REF!</v>
      </c>
      <c r="E628" t="e">
        <f>電力量!#REF!-電力量!#REF!</f>
        <v>#REF!</v>
      </c>
      <c r="F628" t="e">
        <f>電力量!#REF!-電力量!#REF!</f>
        <v>#REF!</v>
      </c>
      <c r="G628" t="e">
        <f>電力量!#REF!-電力量!#REF!</f>
        <v>#REF!</v>
      </c>
      <c r="H628" t="e">
        <f>電力量!#REF!-電力量!#REF!</f>
        <v>#REF!</v>
      </c>
      <c r="I628" t="e">
        <f>電力量!#REF!-電力量!#REF!</f>
        <v>#REF!</v>
      </c>
      <c r="J628" t="e">
        <f>電力量!#REF!-電力量!#REF!</f>
        <v>#REF!</v>
      </c>
      <c r="K628" t="e">
        <f>電力量!#REF!-電力量!#REF!</f>
        <v>#REF!</v>
      </c>
      <c r="L628" t="e">
        <f>電力量!#REF!-電力量!#REF!</f>
        <v>#REF!</v>
      </c>
      <c r="M628" t="e">
        <f>電力量!#REF!-電力量!#REF!</f>
        <v>#REF!</v>
      </c>
      <c r="N628" t="e">
        <f>電力量!#REF!-電力量!#REF!</f>
        <v>#REF!</v>
      </c>
      <c r="O628" t="e">
        <f>電力量!#REF!-電力量!#REF!</f>
        <v>#REF!</v>
      </c>
      <c r="P628" t="e">
        <f>電力量!#REF!-電力量!#REF!</f>
        <v>#REF!</v>
      </c>
      <c r="Q628" t="e">
        <f>電力量!#REF!-電力量!#REF!</f>
        <v>#REF!</v>
      </c>
      <c r="R628" t="e">
        <f>電力量!#REF!-電力量!#REF!</f>
        <v>#REF!</v>
      </c>
    </row>
    <row r="629" spans="1:18">
      <c r="A629" s="4">
        <f t="shared" si="209"/>
        <v>45926.125</v>
      </c>
      <c r="B629" t="e">
        <f>電力量!#REF!-電力量!#REF!</f>
        <v>#REF!</v>
      </c>
      <c r="C629" t="e">
        <f>電力量!#REF!-電力量!#REF!</f>
        <v>#REF!</v>
      </c>
      <c r="D629" t="e">
        <f>電力量!#REF!-電力量!#REF!</f>
        <v>#REF!</v>
      </c>
      <c r="E629" t="e">
        <f>電力量!#REF!-電力量!#REF!</f>
        <v>#REF!</v>
      </c>
      <c r="F629" t="e">
        <f>電力量!#REF!-電力量!#REF!</f>
        <v>#REF!</v>
      </c>
      <c r="G629" t="e">
        <f>電力量!#REF!-電力量!#REF!</f>
        <v>#REF!</v>
      </c>
      <c r="H629" t="e">
        <f>電力量!#REF!-電力量!#REF!</f>
        <v>#REF!</v>
      </c>
      <c r="I629" t="e">
        <f>電力量!#REF!-電力量!#REF!</f>
        <v>#REF!</v>
      </c>
      <c r="J629" t="e">
        <f>電力量!#REF!-電力量!#REF!</f>
        <v>#REF!</v>
      </c>
      <c r="K629" t="e">
        <f>電力量!#REF!-電力量!#REF!</f>
        <v>#REF!</v>
      </c>
      <c r="L629" t="e">
        <f>電力量!#REF!-電力量!#REF!</f>
        <v>#REF!</v>
      </c>
      <c r="M629" t="e">
        <f>電力量!#REF!-電力量!#REF!</f>
        <v>#REF!</v>
      </c>
      <c r="N629" t="e">
        <f>電力量!#REF!-電力量!#REF!</f>
        <v>#REF!</v>
      </c>
      <c r="O629" t="e">
        <f>電力量!#REF!-電力量!#REF!</f>
        <v>#REF!</v>
      </c>
      <c r="P629" t="e">
        <f>電力量!#REF!-電力量!#REF!</f>
        <v>#REF!</v>
      </c>
      <c r="Q629" t="e">
        <f>電力量!#REF!-電力量!#REF!</f>
        <v>#REF!</v>
      </c>
      <c r="R629" t="e">
        <f>電力量!#REF!-電力量!#REF!</f>
        <v>#REF!</v>
      </c>
    </row>
    <row r="630" spans="1:18">
      <c r="A630" s="4">
        <f t="shared" si="210"/>
        <v>45926.166666666664</v>
      </c>
      <c r="B630" t="e">
        <f>電力量!#REF!-電力量!#REF!</f>
        <v>#REF!</v>
      </c>
      <c r="C630" t="e">
        <f>電力量!#REF!-電力量!#REF!</f>
        <v>#REF!</v>
      </c>
      <c r="D630" t="e">
        <f>電力量!#REF!-電力量!#REF!</f>
        <v>#REF!</v>
      </c>
      <c r="E630" t="e">
        <f>電力量!#REF!-電力量!#REF!</f>
        <v>#REF!</v>
      </c>
      <c r="F630" t="e">
        <f>電力量!#REF!-電力量!#REF!</f>
        <v>#REF!</v>
      </c>
      <c r="G630" t="e">
        <f>電力量!#REF!-電力量!#REF!</f>
        <v>#REF!</v>
      </c>
      <c r="H630" t="e">
        <f>電力量!#REF!-電力量!#REF!</f>
        <v>#REF!</v>
      </c>
      <c r="I630" t="e">
        <f>電力量!#REF!-電力量!#REF!</f>
        <v>#REF!</v>
      </c>
      <c r="J630" t="e">
        <f>電力量!#REF!-電力量!#REF!</f>
        <v>#REF!</v>
      </c>
      <c r="K630" t="e">
        <f>電力量!#REF!-電力量!#REF!</f>
        <v>#REF!</v>
      </c>
      <c r="L630" t="e">
        <f>電力量!#REF!-電力量!#REF!</f>
        <v>#REF!</v>
      </c>
      <c r="M630" t="e">
        <f>電力量!#REF!-電力量!#REF!</f>
        <v>#REF!</v>
      </c>
      <c r="N630" t="e">
        <f>電力量!#REF!-電力量!#REF!</f>
        <v>#REF!</v>
      </c>
      <c r="O630" t="e">
        <f>電力量!#REF!-電力量!#REF!</f>
        <v>#REF!</v>
      </c>
      <c r="P630" t="e">
        <f>電力量!#REF!-電力量!#REF!</f>
        <v>#REF!</v>
      </c>
      <c r="Q630" t="e">
        <f>電力量!#REF!-電力量!#REF!</f>
        <v>#REF!</v>
      </c>
      <c r="R630" t="e">
        <f>電力量!#REF!-電力量!#REF!</f>
        <v>#REF!</v>
      </c>
    </row>
    <row r="631" spans="1:18">
      <c r="A631" s="4">
        <f t="shared" si="211"/>
        <v>45926.208333333336</v>
      </c>
      <c r="B631" t="e">
        <f>電力量!#REF!-電力量!#REF!</f>
        <v>#REF!</v>
      </c>
      <c r="C631" t="e">
        <f>電力量!#REF!-電力量!#REF!</f>
        <v>#REF!</v>
      </c>
      <c r="D631" t="e">
        <f>電力量!#REF!-電力量!#REF!</f>
        <v>#REF!</v>
      </c>
      <c r="E631" t="e">
        <f>電力量!#REF!-電力量!#REF!</f>
        <v>#REF!</v>
      </c>
      <c r="F631" t="e">
        <f>電力量!#REF!-電力量!#REF!</f>
        <v>#REF!</v>
      </c>
      <c r="G631" t="e">
        <f>電力量!#REF!-電力量!#REF!</f>
        <v>#REF!</v>
      </c>
      <c r="H631" t="e">
        <f>電力量!#REF!-電力量!#REF!</f>
        <v>#REF!</v>
      </c>
      <c r="I631" t="e">
        <f>電力量!#REF!-電力量!#REF!</f>
        <v>#REF!</v>
      </c>
      <c r="J631" t="e">
        <f>電力量!#REF!-電力量!#REF!</f>
        <v>#REF!</v>
      </c>
      <c r="K631" t="e">
        <f>電力量!#REF!-電力量!#REF!</f>
        <v>#REF!</v>
      </c>
      <c r="L631" t="e">
        <f>電力量!#REF!-電力量!#REF!</f>
        <v>#REF!</v>
      </c>
      <c r="M631" t="e">
        <f>電力量!#REF!-電力量!#REF!</f>
        <v>#REF!</v>
      </c>
      <c r="N631" t="e">
        <f>電力量!#REF!-電力量!#REF!</f>
        <v>#REF!</v>
      </c>
      <c r="O631" t="e">
        <f>電力量!#REF!-電力量!#REF!</f>
        <v>#REF!</v>
      </c>
      <c r="P631" t="e">
        <f>電力量!#REF!-電力量!#REF!</f>
        <v>#REF!</v>
      </c>
      <c r="Q631" t="e">
        <f>電力量!#REF!-電力量!#REF!</f>
        <v>#REF!</v>
      </c>
      <c r="R631" t="e">
        <f>電力量!#REF!-電力量!#REF!</f>
        <v>#REF!</v>
      </c>
    </row>
    <row r="632" spans="1:18">
      <c r="A632" s="4">
        <f t="shared" si="212"/>
        <v>45926.25</v>
      </c>
      <c r="B632" t="e">
        <f>電力量!#REF!-電力量!#REF!</f>
        <v>#REF!</v>
      </c>
      <c r="C632" t="e">
        <f>電力量!#REF!-電力量!#REF!</f>
        <v>#REF!</v>
      </c>
      <c r="D632" t="e">
        <f>電力量!#REF!-電力量!#REF!</f>
        <v>#REF!</v>
      </c>
      <c r="E632" t="e">
        <f>電力量!#REF!-電力量!#REF!</f>
        <v>#REF!</v>
      </c>
      <c r="F632" t="e">
        <f>電力量!#REF!-電力量!#REF!</f>
        <v>#REF!</v>
      </c>
      <c r="G632" t="e">
        <f>電力量!#REF!-電力量!#REF!</f>
        <v>#REF!</v>
      </c>
      <c r="H632" t="e">
        <f>電力量!#REF!-電力量!#REF!</f>
        <v>#REF!</v>
      </c>
      <c r="I632" t="e">
        <f>電力量!#REF!-電力量!#REF!</f>
        <v>#REF!</v>
      </c>
      <c r="J632" t="e">
        <f>電力量!#REF!-電力量!#REF!</f>
        <v>#REF!</v>
      </c>
      <c r="K632" t="e">
        <f>電力量!#REF!-電力量!#REF!</f>
        <v>#REF!</v>
      </c>
      <c r="L632" t="e">
        <f>電力量!#REF!-電力量!#REF!</f>
        <v>#REF!</v>
      </c>
      <c r="M632" t="e">
        <f>電力量!#REF!-電力量!#REF!</f>
        <v>#REF!</v>
      </c>
      <c r="N632" t="e">
        <f>電力量!#REF!-電力量!#REF!</f>
        <v>#REF!</v>
      </c>
      <c r="O632" t="e">
        <f>電力量!#REF!-電力量!#REF!</f>
        <v>#REF!</v>
      </c>
      <c r="P632" t="e">
        <f>電力量!#REF!-電力量!#REF!</f>
        <v>#REF!</v>
      </c>
      <c r="Q632" t="e">
        <f>電力量!#REF!-電力量!#REF!</f>
        <v>#REF!</v>
      </c>
      <c r="R632" t="e">
        <f>電力量!#REF!-電力量!#REF!</f>
        <v>#REF!</v>
      </c>
    </row>
    <row r="633" spans="1:18">
      <c r="A633" s="4">
        <f t="shared" si="213"/>
        <v>45926.291666666664</v>
      </c>
      <c r="B633" t="e">
        <f>電力量!#REF!-電力量!#REF!</f>
        <v>#REF!</v>
      </c>
      <c r="C633" t="e">
        <f>電力量!#REF!-電力量!#REF!</f>
        <v>#REF!</v>
      </c>
      <c r="D633" t="e">
        <f>電力量!#REF!-電力量!#REF!</f>
        <v>#REF!</v>
      </c>
      <c r="E633" t="e">
        <f>電力量!#REF!-電力量!#REF!</f>
        <v>#REF!</v>
      </c>
      <c r="F633" t="e">
        <f>電力量!#REF!-電力量!#REF!</f>
        <v>#REF!</v>
      </c>
      <c r="G633" t="e">
        <f>電力量!#REF!-電力量!#REF!</f>
        <v>#REF!</v>
      </c>
      <c r="H633" t="e">
        <f>電力量!#REF!-電力量!#REF!</f>
        <v>#REF!</v>
      </c>
      <c r="I633" t="e">
        <f>電力量!#REF!-電力量!#REF!</f>
        <v>#REF!</v>
      </c>
      <c r="J633" t="e">
        <f>電力量!#REF!-電力量!#REF!</f>
        <v>#REF!</v>
      </c>
      <c r="K633" t="e">
        <f>電力量!#REF!-電力量!#REF!</f>
        <v>#REF!</v>
      </c>
      <c r="L633" t="e">
        <f>電力量!#REF!-電力量!#REF!</f>
        <v>#REF!</v>
      </c>
      <c r="M633" t="e">
        <f>電力量!#REF!-電力量!#REF!</f>
        <v>#REF!</v>
      </c>
      <c r="N633" t="e">
        <f>電力量!#REF!-電力量!#REF!</f>
        <v>#REF!</v>
      </c>
      <c r="O633" t="e">
        <f>電力量!#REF!-電力量!#REF!</f>
        <v>#REF!</v>
      </c>
      <c r="P633" t="e">
        <f>電力量!#REF!-電力量!#REF!</f>
        <v>#REF!</v>
      </c>
      <c r="Q633" t="e">
        <f>電力量!#REF!-電力量!#REF!</f>
        <v>#REF!</v>
      </c>
      <c r="R633" t="e">
        <f>電力量!#REF!-電力量!#REF!</f>
        <v>#REF!</v>
      </c>
    </row>
    <row r="634" spans="1:18">
      <c r="A634" s="4">
        <f t="shared" si="214"/>
        <v>45926.333333333336</v>
      </c>
      <c r="B634" t="e">
        <f>電力量!#REF!-電力量!#REF!</f>
        <v>#REF!</v>
      </c>
      <c r="C634" t="e">
        <f>電力量!#REF!-電力量!#REF!</f>
        <v>#REF!</v>
      </c>
      <c r="D634" t="e">
        <f>電力量!#REF!-電力量!#REF!</f>
        <v>#REF!</v>
      </c>
      <c r="E634" t="e">
        <f>電力量!#REF!-電力量!#REF!</f>
        <v>#REF!</v>
      </c>
      <c r="F634" t="e">
        <f>電力量!#REF!-電力量!#REF!</f>
        <v>#REF!</v>
      </c>
      <c r="G634" t="e">
        <f>電力量!#REF!-電力量!#REF!</f>
        <v>#REF!</v>
      </c>
      <c r="H634" t="e">
        <f>電力量!#REF!-電力量!#REF!</f>
        <v>#REF!</v>
      </c>
      <c r="I634" t="e">
        <f>電力量!#REF!-電力量!#REF!</f>
        <v>#REF!</v>
      </c>
      <c r="J634" t="e">
        <f>電力量!#REF!-電力量!#REF!</f>
        <v>#REF!</v>
      </c>
      <c r="K634" t="e">
        <f>電力量!#REF!-電力量!#REF!</f>
        <v>#REF!</v>
      </c>
      <c r="L634" t="e">
        <f>電力量!#REF!-電力量!#REF!</f>
        <v>#REF!</v>
      </c>
      <c r="M634" t="e">
        <f>電力量!#REF!-電力量!#REF!</f>
        <v>#REF!</v>
      </c>
      <c r="N634" t="e">
        <f>電力量!#REF!-電力量!#REF!</f>
        <v>#REF!</v>
      </c>
      <c r="O634" t="e">
        <f>電力量!#REF!-電力量!#REF!</f>
        <v>#REF!</v>
      </c>
      <c r="P634" t="e">
        <f>電力量!#REF!-電力量!#REF!</f>
        <v>#REF!</v>
      </c>
      <c r="Q634" t="e">
        <f>電力量!#REF!-電力量!#REF!</f>
        <v>#REF!</v>
      </c>
      <c r="R634" t="e">
        <f>電力量!#REF!-電力量!#REF!</f>
        <v>#REF!</v>
      </c>
    </row>
    <row r="635" spans="1:18">
      <c r="A635" s="4">
        <f t="shared" si="215"/>
        <v>45926.375</v>
      </c>
      <c r="B635" t="e">
        <f>電力量!#REF!-電力量!#REF!</f>
        <v>#REF!</v>
      </c>
      <c r="C635" t="e">
        <f>電力量!#REF!-電力量!#REF!</f>
        <v>#REF!</v>
      </c>
      <c r="D635" t="e">
        <f>電力量!#REF!-電力量!#REF!</f>
        <v>#REF!</v>
      </c>
      <c r="E635" t="e">
        <f>電力量!#REF!-電力量!#REF!</f>
        <v>#REF!</v>
      </c>
      <c r="F635" t="e">
        <f>電力量!#REF!-電力量!#REF!</f>
        <v>#REF!</v>
      </c>
      <c r="G635" t="e">
        <f>電力量!#REF!-電力量!#REF!</f>
        <v>#REF!</v>
      </c>
      <c r="H635" t="e">
        <f>電力量!#REF!-電力量!#REF!</f>
        <v>#REF!</v>
      </c>
      <c r="I635" t="e">
        <f>電力量!#REF!-電力量!#REF!</f>
        <v>#REF!</v>
      </c>
      <c r="J635" t="e">
        <f>電力量!#REF!-電力量!#REF!</f>
        <v>#REF!</v>
      </c>
      <c r="K635" t="e">
        <f>電力量!#REF!-電力量!#REF!</f>
        <v>#REF!</v>
      </c>
      <c r="L635" t="e">
        <f>電力量!#REF!-電力量!#REF!</f>
        <v>#REF!</v>
      </c>
      <c r="M635" t="e">
        <f>電力量!#REF!-電力量!#REF!</f>
        <v>#REF!</v>
      </c>
      <c r="N635" t="e">
        <f>電力量!#REF!-電力量!#REF!</f>
        <v>#REF!</v>
      </c>
      <c r="O635" t="e">
        <f>電力量!#REF!-電力量!#REF!</f>
        <v>#REF!</v>
      </c>
      <c r="P635" t="e">
        <f>電力量!#REF!-電力量!#REF!</f>
        <v>#REF!</v>
      </c>
      <c r="Q635" t="e">
        <f>電力量!#REF!-電力量!#REF!</f>
        <v>#REF!</v>
      </c>
      <c r="R635" t="e">
        <f>電力量!#REF!-電力量!#REF!</f>
        <v>#REF!</v>
      </c>
    </row>
    <row r="636" spans="1:18">
      <c r="A636" s="4">
        <f t="shared" si="216"/>
        <v>45926.416666666664</v>
      </c>
      <c r="B636" t="e">
        <f>電力量!#REF!-電力量!#REF!</f>
        <v>#REF!</v>
      </c>
      <c r="C636" t="e">
        <f>電力量!#REF!-電力量!#REF!</f>
        <v>#REF!</v>
      </c>
      <c r="D636" t="e">
        <f>電力量!#REF!-電力量!#REF!</f>
        <v>#REF!</v>
      </c>
      <c r="E636" t="e">
        <f>電力量!#REF!-電力量!#REF!</f>
        <v>#REF!</v>
      </c>
      <c r="F636" t="e">
        <f>電力量!#REF!-電力量!#REF!</f>
        <v>#REF!</v>
      </c>
      <c r="G636" t="e">
        <f>電力量!#REF!-電力量!#REF!</f>
        <v>#REF!</v>
      </c>
      <c r="H636" t="e">
        <f>電力量!#REF!-電力量!#REF!</f>
        <v>#REF!</v>
      </c>
      <c r="I636" t="e">
        <f>電力量!#REF!-電力量!#REF!</f>
        <v>#REF!</v>
      </c>
      <c r="J636" t="e">
        <f>電力量!#REF!-電力量!#REF!</f>
        <v>#REF!</v>
      </c>
      <c r="K636" t="e">
        <f>電力量!#REF!-電力量!#REF!</f>
        <v>#REF!</v>
      </c>
      <c r="L636" t="e">
        <f>電力量!#REF!-電力量!#REF!</f>
        <v>#REF!</v>
      </c>
      <c r="M636" t="e">
        <f>電力量!#REF!-電力量!#REF!</f>
        <v>#REF!</v>
      </c>
      <c r="N636" t="e">
        <f>電力量!#REF!-電力量!#REF!</f>
        <v>#REF!</v>
      </c>
      <c r="O636" t="e">
        <f>電力量!#REF!-電力量!#REF!</f>
        <v>#REF!</v>
      </c>
      <c r="P636" t="e">
        <f>電力量!#REF!-電力量!#REF!</f>
        <v>#REF!</v>
      </c>
      <c r="Q636" t="e">
        <f>電力量!#REF!-電力量!#REF!</f>
        <v>#REF!</v>
      </c>
      <c r="R636" t="e">
        <f>電力量!#REF!-電力量!#REF!</f>
        <v>#REF!</v>
      </c>
    </row>
    <row r="637" spans="1:18">
      <c r="A637" s="4">
        <f t="shared" si="217"/>
        <v>45926.458333333336</v>
      </c>
      <c r="B637" t="e">
        <f>電力量!#REF!-電力量!#REF!</f>
        <v>#REF!</v>
      </c>
      <c r="C637" t="e">
        <f>電力量!#REF!-電力量!#REF!</f>
        <v>#REF!</v>
      </c>
      <c r="D637" t="e">
        <f>電力量!#REF!-電力量!#REF!</f>
        <v>#REF!</v>
      </c>
      <c r="E637" t="e">
        <f>電力量!#REF!-電力量!#REF!</f>
        <v>#REF!</v>
      </c>
      <c r="F637" t="e">
        <f>電力量!#REF!-電力量!#REF!</f>
        <v>#REF!</v>
      </c>
      <c r="G637" t="e">
        <f>電力量!#REF!-電力量!#REF!</f>
        <v>#REF!</v>
      </c>
      <c r="H637" t="e">
        <f>電力量!#REF!-電力量!#REF!</f>
        <v>#REF!</v>
      </c>
      <c r="I637" t="e">
        <f>電力量!#REF!-電力量!#REF!</f>
        <v>#REF!</v>
      </c>
      <c r="J637" t="e">
        <f>電力量!#REF!-電力量!#REF!</f>
        <v>#REF!</v>
      </c>
      <c r="K637" t="e">
        <f>電力量!#REF!-電力量!#REF!</f>
        <v>#REF!</v>
      </c>
      <c r="L637" t="e">
        <f>電力量!#REF!-電力量!#REF!</f>
        <v>#REF!</v>
      </c>
      <c r="M637" t="e">
        <f>電力量!#REF!-電力量!#REF!</f>
        <v>#REF!</v>
      </c>
      <c r="N637" t="e">
        <f>電力量!#REF!-電力量!#REF!</f>
        <v>#REF!</v>
      </c>
      <c r="O637" t="e">
        <f>電力量!#REF!-電力量!#REF!</f>
        <v>#REF!</v>
      </c>
      <c r="P637" t="e">
        <f>電力量!#REF!-電力量!#REF!</f>
        <v>#REF!</v>
      </c>
      <c r="Q637" t="e">
        <f>電力量!#REF!-電力量!#REF!</f>
        <v>#REF!</v>
      </c>
      <c r="R637" t="e">
        <f>電力量!#REF!-電力量!#REF!</f>
        <v>#REF!</v>
      </c>
    </row>
    <row r="638" spans="1:18">
      <c r="A638" s="4">
        <f t="shared" si="218"/>
        <v>45926.5</v>
      </c>
      <c r="B638" t="e">
        <f>電力量!#REF!-電力量!#REF!</f>
        <v>#REF!</v>
      </c>
      <c r="C638" t="e">
        <f>電力量!#REF!-電力量!#REF!</f>
        <v>#REF!</v>
      </c>
      <c r="D638" t="e">
        <f>電力量!#REF!-電力量!#REF!</f>
        <v>#REF!</v>
      </c>
      <c r="E638" t="e">
        <f>電力量!#REF!-電力量!#REF!</f>
        <v>#REF!</v>
      </c>
      <c r="F638" t="e">
        <f>電力量!#REF!-電力量!#REF!</f>
        <v>#REF!</v>
      </c>
      <c r="G638" t="e">
        <f>電力量!#REF!-電力量!#REF!</f>
        <v>#REF!</v>
      </c>
      <c r="H638" t="e">
        <f>電力量!#REF!-電力量!#REF!</f>
        <v>#REF!</v>
      </c>
      <c r="I638" t="e">
        <f>電力量!#REF!-電力量!#REF!</f>
        <v>#REF!</v>
      </c>
      <c r="J638" t="e">
        <f>電力量!#REF!-電力量!#REF!</f>
        <v>#REF!</v>
      </c>
      <c r="K638" t="e">
        <f>電力量!#REF!-電力量!#REF!</f>
        <v>#REF!</v>
      </c>
      <c r="L638" t="e">
        <f>電力量!#REF!-電力量!#REF!</f>
        <v>#REF!</v>
      </c>
      <c r="M638" t="e">
        <f>電力量!#REF!-電力量!#REF!</f>
        <v>#REF!</v>
      </c>
      <c r="N638" t="e">
        <f>電力量!#REF!-電力量!#REF!</f>
        <v>#REF!</v>
      </c>
      <c r="O638" t="e">
        <f>電力量!#REF!-電力量!#REF!</f>
        <v>#REF!</v>
      </c>
      <c r="P638" t="e">
        <f>電力量!#REF!-電力量!#REF!</f>
        <v>#REF!</v>
      </c>
      <c r="Q638" t="e">
        <f>電力量!#REF!-電力量!#REF!</f>
        <v>#REF!</v>
      </c>
      <c r="R638" t="e">
        <f>電力量!#REF!-電力量!#REF!</f>
        <v>#REF!</v>
      </c>
    </row>
    <row r="639" spans="1:18">
      <c r="A639" s="4">
        <f t="shared" si="219"/>
        <v>45926.541666666664</v>
      </c>
      <c r="B639" t="e">
        <f>電力量!#REF!-電力量!#REF!</f>
        <v>#REF!</v>
      </c>
      <c r="C639" t="e">
        <f>電力量!#REF!-電力量!#REF!</f>
        <v>#REF!</v>
      </c>
      <c r="D639" t="e">
        <f>電力量!#REF!-電力量!#REF!</f>
        <v>#REF!</v>
      </c>
      <c r="E639" t="e">
        <f>電力量!#REF!-電力量!#REF!</f>
        <v>#REF!</v>
      </c>
      <c r="F639" t="e">
        <f>電力量!#REF!-電力量!#REF!</f>
        <v>#REF!</v>
      </c>
      <c r="G639" t="e">
        <f>電力量!#REF!-電力量!#REF!</f>
        <v>#REF!</v>
      </c>
      <c r="H639" t="e">
        <f>電力量!#REF!-電力量!#REF!</f>
        <v>#REF!</v>
      </c>
      <c r="I639" t="e">
        <f>電力量!#REF!-電力量!#REF!</f>
        <v>#REF!</v>
      </c>
      <c r="J639" t="e">
        <f>電力量!#REF!-電力量!#REF!</f>
        <v>#REF!</v>
      </c>
      <c r="K639" t="e">
        <f>電力量!#REF!-電力量!#REF!</f>
        <v>#REF!</v>
      </c>
      <c r="L639" t="e">
        <f>電力量!#REF!-電力量!#REF!</f>
        <v>#REF!</v>
      </c>
      <c r="M639" t="e">
        <f>電力量!#REF!-電力量!#REF!</f>
        <v>#REF!</v>
      </c>
      <c r="N639" t="e">
        <f>電力量!#REF!-電力量!#REF!</f>
        <v>#REF!</v>
      </c>
      <c r="O639" t="e">
        <f>電力量!#REF!-電力量!#REF!</f>
        <v>#REF!</v>
      </c>
      <c r="P639" t="e">
        <f>電力量!#REF!-電力量!#REF!</f>
        <v>#REF!</v>
      </c>
      <c r="Q639" t="e">
        <f>電力量!#REF!-電力量!#REF!</f>
        <v>#REF!</v>
      </c>
      <c r="R639" t="e">
        <f>電力量!#REF!-電力量!#REF!</f>
        <v>#REF!</v>
      </c>
    </row>
    <row r="640" spans="1:18">
      <c r="A640" s="4">
        <f t="shared" si="220"/>
        <v>45926.583333333336</v>
      </c>
      <c r="B640" t="e">
        <f>電力量!#REF!-電力量!#REF!</f>
        <v>#REF!</v>
      </c>
      <c r="C640" t="e">
        <f>電力量!#REF!-電力量!#REF!</f>
        <v>#REF!</v>
      </c>
      <c r="D640" t="e">
        <f>電力量!#REF!-電力量!#REF!</f>
        <v>#REF!</v>
      </c>
      <c r="E640" t="e">
        <f>電力量!#REF!-電力量!#REF!</f>
        <v>#REF!</v>
      </c>
      <c r="F640" t="e">
        <f>電力量!#REF!-電力量!#REF!</f>
        <v>#REF!</v>
      </c>
      <c r="G640" t="e">
        <f>電力量!#REF!-電力量!#REF!</f>
        <v>#REF!</v>
      </c>
      <c r="H640" t="e">
        <f>電力量!#REF!-電力量!#REF!</f>
        <v>#REF!</v>
      </c>
      <c r="I640" t="e">
        <f>電力量!#REF!-電力量!#REF!</f>
        <v>#REF!</v>
      </c>
      <c r="J640" t="e">
        <f>電力量!#REF!-電力量!#REF!</f>
        <v>#REF!</v>
      </c>
      <c r="K640" t="e">
        <f>電力量!#REF!-電力量!#REF!</f>
        <v>#REF!</v>
      </c>
      <c r="L640" t="e">
        <f>電力量!#REF!-電力量!#REF!</f>
        <v>#REF!</v>
      </c>
      <c r="M640" t="e">
        <f>電力量!#REF!-電力量!#REF!</f>
        <v>#REF!</v>
      </c>
      <c r="N640" t="e">
        <f>電力量!#REF!-電力量!#REF!</f>
        <v>#REF!</v>
      </c>
      <c r="O640" t="e">
        <f>電力量!#REF!-電力量!#REF!</f>
        <v>#REF!</v>
      </c>
      <c r="P640" t="e">
        <f>電力量!#REF!-電力量!#REF!</f>
        <v>#REF!</v>
      </c>
      <c r="Q640" t="e">
        <f>電力量!#REF!-電力量!#REF!</f>
        <v>#REF!</v>
      </c>
      <c r="R640" t="e">
        <f>電力量!#REF!-電力量!#REF!</f>
        <v>#REF!</v>
      </c>
    </row>
    <row r="641" spans="1:18">
      <c r="A641" s="4">
        <f t="shared" si="221"/>
        <v>45926.625</v>
      </c>
      <c r="B641" t="e">
        <f>電力量!#REF!-電力量!#REF!</f>
        <v>#REF!</v>
      </c>
      <c r="C641" t="e">
        <f>電力量!#REF!-電力量!#REF!</f>
        <v>#REF!</v>
      </c>
      <c r="D641" t="e">
        <f>電力量!#REF!-電力量!#REF!</f>
        <v>#REF!</v>
      </c>
      <c r="E641" t="e">
        <f>電力量!#REF!-電力量!#REF!</f>
        <v>#REF!</v>
      </c>
      <c r="F641" t="e">
        <f>電力量!#REF!-電力量!#REF!</f>
        <v>#REF!</v>
      </c>
      <c r="G641" t="e">
        <f>電力量!#REF!-電力量!#REF!</f>
        <v>#REF!</v>
      </c>
      <c r="H641" t="e">
        <f>電力量!#REF!-電力量!#REF!</f>
        <v>#REF!</v>
      </c>
      <c r="I641" t="e">
        <f>電力量!#REF!-電力量!#REF!</f>
        <v>#REF!</v>
      </c>
      <c r="J641" t="e">
        <f>電力量!#REF!-電力量!#REF!</f>
        <v>#REF!</v>
      </c>
      <c r="K641" t="e">
        <f>電力量!#REF!-電力量!#REF!</f>
        <v>#REF!</v>
      </c>
      <c r="L641" t="e">
        <f>電力量!#REF!-電力量!#REF!</f>
        <v>#REF!</v>
      </c>
      <c r="M641" t="e">
        <f>電力量!#REF!-電力量!#REF!</f>
        <v>#REF!</v>
      </c>
      <c r="N641" t="e">
        <f>電力量!#REF!-電力量!#REF!</f>
        <v>#REF!</v>
      </c>
      <c r="O641" t="e">
        <f>電力量!#REF!-電力量!#REF!</f>
        <v>#REF!</v>
      </c>
      <c r="P641" t="e">
        <f>電力量!#REF!-電力量!#REF!</f>
        <v>#REF!</v>
      </c>
      <c r="Q641" t="e">
        <f>電力量!#REF!-電力量!#REF!</f>
        <v>#REF!</v>
      </c>
      <c r="R641" t="e">
        <f>電力量!#REF!-電力量!#REF!</f>
        <v>#REF!</v>
      </c>
    </row>
    <row r="642" spans="1:18">
      <c r="A642" s="4">
        <f t="shared" si="222"/>
        <v>45926.666666666664</v>
      </c>
      <c r="B642" t="e">
        <f>電力量!#REF!-電力量!#REF!</f>
        <v>#REF!</v>
      </c>
      <c r="C642" t="e">
        <f>電力量!#REF!-電力量!#REF!</f>
        <v>#REF!</v>
      </c>
      <c r="D642" t="e">
        <f>電力量!#REF!-電力量!#REF!</f>
        <v>#REF!</v>
      </c>
      <c r="E642" t="e">
        <f>電力量!#REF!-電力量!#REF!</f>
        <v>#REF!</v>
      </c>
      <c r="F642" t="e">
        <f>電力量!#REF!-電力量!#REF!</f>
        <v>#REF!</v>
      </c>
      <c r="G642" t="e">
        <f>電力量!#REF!-電力量!#REF!</f>
        <v>#REF!</v>
      </c>
      <c r="H642" t="e">
        <f>電力量!#REF!-電力量!#REF!</f>
        <v>#REF!</v>
      </c>
      <c r="I642" t="e">
        <f>電力量!#REF!-電力量!#REF!</f>
        <v>#REF!</v>
      </c>
      <c r="J642" t="e">
        <f>電力量!#REF!-電力量!#REF!</f>
        <v>#REF!</v>
      </c>
      <c r="K642" t="e">
        <f>電力量!#REF!-電力量!#REF!</f>
        <v>#REF!</v>
      </c>
      <c r="L642" t="e">
        <f>電力量!#REF!-電力量!#REF!</f>
        <v>#REF!</v>
      </c>
      <c r="M642" t="e">
        <f>電力量!#REF!-電力量!#REF!</f>
        <v>#REF!</v>
      </c>
      <c r="N642" t="e">
        <f>電力量!#REF!-電力量!#REF!</f>
        <v>#REF!</v>
      </c>
      <c r="O642" t="e">
        <f>電力量!#REF!-電力量!#REF!</f>
        <v>#REF!</v>
      </c>
      <c r="P642" t="e">
        <f>電力量!#REF!-電力量!#REF!</f>
        <v>#REF!</v>
      </c>
      <c r="Q642" t="e">
        <f>電力量!#REF!-電力量!#REF!</f>
        <v>#REF!</v>
      </c>
      <c r="R642" t="e">
        <f>電力量!#REF!-電力量!#REF!</f>
        <v>#REF!</v>
      </c>
    </row>
    <row r="643" spans="1:18">
      <c r="A643" s="4">
        <f t="shared" si="223"/>
        <v>45926.708333333336</v>
      </c>
      <c r="B643" t="e">
        <f>電力量!#REF!-電力量!#REF!</f>
        <v>#REF!</v>
      </c>
      <c r="C643" t="e">
        <f>電力量!#REF!-電力量!#REF!</f>
        <v>#REF!</v>
      </c>
      <c r="D643" t="e">
        <f>電力量!#REF!-電力量!#REF!</f>
        <v>#REF!</v>
      </c>
      <c r="E643" t="e">
        <f>電力量!#REF!-電力量!#REF!</f>
        <v>#REF!</v>
      </c>
      <c r="F643" t="e">
        <f>電力量!#REF!-電力量!#REF!</f>
        <v>#REF!</v>
      </c>
      <c r="G643" t="e">
        <f>電力量!#REF!-電力量!#REF!</f>
        <v>#REF!</v>
      </c>
      <c r="H643" t="e">
        <f>電力量!#REF!-電力量!#REF!</f>
        <v>#REF!</v>
      </c>
      <c r="I643" t="e">
        <f>電力量!#REF!-電力量!#REF!</f>
        <v>#REF!</v>
      </c>
      <c r="J643" t="e">
        <f>電力量!#REF!-電力量!#REF!</f>
        <v>#REF!</v>
      </c>
      <c r="K643" t="e">
        <f>電力量!#REF!-電力量!#REF!</f>
        <v>#REF!</v>
      </c>
      <c r="L643" t="e">
        <f>電力量!#REF!-電力量!#REF!</f>
        <v>#REF!</v>
      </c>
      <c r="M643" t="e">
        <f>電力量!#REF!-電力量!#REF!</f>
        <v>#REF!</v>
      </c>
      <c r="N643" t="e">
        <f>電力量!#REF!-電力量!#REF!</f>
        <v>#REF!</v>
      </c>
      <c r="O643" t="e">
        <f>電力量!#REF!-電力量!#REF!</f>
        <v>#REF!</v>
      </c>
      <c r="P643" t="e">
        <f>電力量!#REF!-電力量!#REF!</f>
        <v>#REF!</v>
      </c>
      <c r="Q643" t="e">
        <f>電力量!#REF!-電力量!#REF!</f>
        <v>#REF!</v>
      </c>
      <c r="R643" t="e">
        <f>電力量!#REF!-電力量!#REF!</f>
        <v>#REF!</v>
      </c>
    </row>
    <row r="644" spans="1:18">
      <c r="A644" s="4">
        <f t="shared" si="224"/>
        <v>45926.75</v>
      </c>
      <c r="B644" t="e">
        <f>電力量!#REF!-電力量!#REF!</f>
        <v>#REF!</v>
      </c>
      <c r="C644" t="e">
        <f>電力量!#REF!-電力量!#REF!</f>
        <v>#REF!</v>
      </c>
      <c r="D644" t="e">
        <f>電力量!#REF!-電力量!#REF!</f>
        <v>#REF!</v>
      </c>
      <c r="E644" t="e">
        <f>電力量!#REF!-電力量!#REF!</f>
        <v>#REF!</v>
      </c>
      <c r="F644" t="e">
        <f>電力量!#REF!-電力量!#REF!</f>
        <v>#REF!</v>
      </c>
      <c r="G644" t="e">
        <f>電力量!#REF!-電力量!#REF!</f>
        <v>#REF!</v>
      </c>
      <c r="H644" t="e">
        <f>電力量!#REF!-電力量!#REF!</f>
        <v>#REF!</v>
      </c>
      <c r="I644" t="e">
        <f>電力量!#REF!-電力量!#REF!</f>
        <v>#REF!</v>
      </c>
      <c r="J644" t="e">
        <f>電力量!#REF!-電力量!#REF!</f>
        <v>#REF!</v>
      </c>
      <c r="K644" t="e">
        <f>電力量!#REF!-電力量!#REF!</f>
        <v>#REF!</v>
      </c>
      <c r="L644" t="e">
        <f>電力量!#REF!-電力量!#REF!</f>
        <v>#REF!</v>
      </c>
      <c r="M644" t="e">
        <f>電力量!#REF!-電力量!#REF!</f>
        <v>#REF!</v>
      </c>
      <c r="N644" t="e">
        <f>電力量!#REF!-電力量!#REF!</f>
        <v>#REF!</v>
      </c>
      <c r="O644" t="e">
        <f>電力量!#REF!-電力量!#REF!</f>
        <v>#REF!</v>
      </c>
      <c r="P644" t="e">
        <f>電力量!#REF!-電力量!#REF!</f>
        <v>#REF!</v>
      </c>
      <c r="Q644" t="e">
        <f>電力量!#REF!-電力量!#REF!</f>
        <v>#REF!</v>
      </c>
      <c r="R644" t="e">
        <f>電力量!#REF!-電力量!#REF!</f>
        <v>#REF!</v>
      </c>
    </row>
    <row r="645" spans="1:18">
      <c r="A645" s="4">
        <f t="shared" si="225"/>
        <v>45926.791666666664</v>
      </c>
      <c r="B645" t="e">
        <f>電力量!#REF!-電力量!#REF!</f>
        <v>#REF!</v>
      </c>
      <c r="C645" t="e">
        <f>電力量!#REF!-電力量!#REF!</f>
        <v>#REF!</v>
      </c>
      <c r="D645" t="e">
        <f>電力量!#REF!-電力量!#REF!</f>
        <v>#REF!</v>
      </c>
      <c r="E645" t="e">
        <f>電力量!#REF!-電力量!#REF!</f>
        <v>#REF!</v>
      </c>
      <c r="F645" t="e">
        <f>電力量!#REF!-電力量!#REF!</f>
        <v>#REF!</v>
      </c>
      <c r="G645" t="e">
        <f>電力量!#REF!-電力量!#REF!</f>
        <v>#REF!</v>
      </c>
      <c r="H645" t="e">
        <f>電力量!#REF!-電力量!#REF!</f>
        <v>#REF!</v>
      </c>
      <c r="I645" t="e">
        <f>電力量!#REF!-電力量!#REF!</f>
        <v>#REF!</v>
      </c>
      <c r="J645" t="e">
        <f>電力量!#REF!-電力量!#REF!</f>
        <v>#REF!</v>
      </c>
      <c r="K645" t="e">
        <f>電力量!#REF!-電力量!#REF!</f>
        <v>#REF!</v>
      </c>
      <c r="L645" t="e">
        <f>電力量!#REF!-電力量!#REF!</f>
        <v>#REF!</v>
      </c>
      <c r="M645" t="e">
        <f>電力量!#REF!-電力量!#REF!</f>
        <v>#REF!</v>
      </c>
      <c r="N645" t="e">
        <f>電力量!#REF!-電力量!#REF!</f>
        <v>#REF!</v>
      </c>
      <c r="O645" t="e">
        <f>電力量!#REF!-電力量!#REF!</f>
        <v>#REF!</v>
      </c>
      <c r="P645" t="e">
        <f>電力量!#REF!-電力量!#REF!</f>
        <v>#REF!</v>
      </c>
      <c r="Q645" t="e">
        <f>電力量!#REF!-電力量!#REF!</f>
        <v>#REF!</v>
      </c>
      <c r="R645" t="e">
        <f>電力量!#REF!-電力量!#REF!</f>
        <v>#REF!</v>
      </c>
    </row>
    <row r="646" spans="1:18">
      <c r="A646" s="4">
        <f t="shared" si="226"/>
        <v>45926.833333333336</v>
      </c>
      <c r="B646" t="e">
        <f>電力量!#REF!-電力量!#REF!</f>
        <v>#REF!</v>
      </c>
      <c r="C646" t="e">
        <f>電力量!#REF!-電力量!#REF!</f>
        <v>#REF!</v>
      </c>
      <c r="D646" t="e">
        <f>電力量!#REF!-電力量!#REF!</f>
        <v>#REF!</v>
      </c>
      <c r="E646" t="e">
        <f>電力量!#REF!-電力量!#REF!</f>
        <v>#REF!</v>
      </c>
      <c r="F646" t="e">
        <f>電力量!#REF!-電力量!#REF!</f>
        <v>#REF!</v>
      </c>
      <c r="G646" t="e">
        <f>電力量!#REF!-電力量!#REF!</f>
        <v>#REF!</v>
      </c>
      <c r="H646" t="e">
        <f>電力量!#REF!-電力量!#REF!</f>
        <v>#REF!</v>
      </c>
      <c r="I646" t="e">
        <f>電力量!#REF!-電力量!#REF!</f>
        <v>#REF!</v>
      </c>
      <c r="J646" t="e">
        <f>電力量!#REF!-電力量!#REF!</f>
        <v>#REF!</v>
      </c>
      <c r="K646" t="e">
        <f>電力量!#REF!-電力量!#REF!</f>
        <v>#REF!</v>
      </c>
      <c r="L646" t="e">
        <f>電力量!#REF!-電力量!#REF!</f>
        <v>#REF!</v>
      </c>
      <c r="M646" t="e">
        <f>電力量!#REF!-電力量!#REF!</f>
        <v>#REF!</v>
      </c>
      <c r="N646" t="e">
        <f>電力量!#REF!-電力量!#REF!</f>
        <v>#REF!</v>
      </c>
      <c r="O646" t="e">
        <f>電力量!#REF!-電力量!#REF!</f>
        <v>#REF!</v>
      </c>
      <c r="P646" t="e">
        <f>電力量!#REF!-電力量!#REF!</f>
        <v>#REF!</v>
      </c>
      <c r="Q646" t="e">
        <f>電力量!#REF!-電力量!#REF!</f>
        <v>#REF!</v>
      </c>
      <c r="R646" t="e">
        <f>電力量!#REF!-電力量!#REF!</f>
        <v>#REF!</v>
      </c>
    </row>
    <row r="647" spans="1:18">
      <c r="A647" s="4">
        <f t="shared" si="227"/>
        <v>45926.875</v>
      </c>
      <c r="B647" t="e">
        <f>電力量!#REF!-電力量!#REF!</f>
        <v>#REF!</v>
      </c>
      <c r="C647" t="e">
        <f>電力量!#REF!-電力量!#REF!</f>
        <v>#REF!</v>
      </c>
      <c r="D647" t="e">
        <f>電力量!#REF!-電力量!#REF!</f>
        <v>#REF!</v>
      </c>
      <c r="E647" t="e">
        <f>電力量!#REF!-電力量!#REF!</f>
        <v>#REF!</v>
      </c>
      <c r="F647" t="e">
        <f>電力量!#REF!-電力量!#REF!</f>
        <v>#REF!</v>
      </c>
      <c r="G647" t="e">
        <f>電力量!#REF!-電力量!#REF!</f>
        <v>#REF!</v>
      </c>
      <c r="H647" t="e">
        <f>電力量!#REF!-電力量!#REF!</f>
        <v>#REF!</v>
      </c>
      <c r="I647" t="e">
        <f>電力量!#REF!-電力量!#REF!</f>
        <v>#REF!</v>
      </c>
      <c r="J647" t="e">
        <f>電力量!#REF!-電力量!#REF!</f>
        <v>#REF!</v>
      </c>
      <c r="K647" t="e">
        <f>電力量!#REF!-電力量!#REF!</f>
        <v>#REF!</v>
      </c>
      <c r="L647" t="e">
        <f>電力量!#REF!-電力量!#REF!</f>
        <v>#REF!</v>
      </c>
      <c r="M647" t="e">
        <f>電力量!#REF!-電力量!#REF!</f>
        <v>#REF!</v>
      </c>
      <c r="N647" t="e">
        <f>電力量!#REF!-電力量!#REF!</f>
        <v>#REF!</v>
      </c>
      <c r="O647" t="e">
        <f>電力量!#REF!-電力量!#REF!</f>
        <v>#REF!</v>
      </c>
      <c r="P647" t="e">
        <f>電力量!#REF!-電力量!#REF!</f>
        <v>#REF!</v>
      </c>
      <c r="Q647" t="e">
        <f>電力量!#REF!-電力量!#REF!</f>
        <v>#REF!</v>
      </c>
      <c r="R647" t="e">
        <f>電力量!#REF!-電力量!#REF!</f>
        <v>#REF!</v>
      </c>
    </row>
    <row r="648" spans="1:18">
      <c r="A648" s="4">
        <f t="shared" si="228"/>
        <v>45926.916666666664</v>
      </c>
      <c r="B648" t="e">
        <f>電力量!#REF!-電力量!#REF!</f>
        <v>#REF!</v>
      </c>
      <c r="C648" t="e">
        <f>電力量!#REF!-電力量!#REF!</f>
        <v>#REF!</v>
      </c>
      <c r="D648" t="e">
        <f>電力量!#REF!-電力量!#REF!</f>
        <v>#REF!</v>
      </c>
      <c r="E648" t="e">
        <f>電力量!#REF!-電力量!#REF!</f>
        <v>#REF!</v>
      </c>
      <c r="F648" t="e">
        <f>電力量!#REF!-電力量!#REF!</f>
        <v>#REF!</v>
      </c>
      <c r="G648" t="e">
        <f>電力量!#REF!-電力量!#REF!</f>
        <v>#REF!</v>
      </c>
      <c r="H648" t="e">
        <f>電力量!#REF!-電力量!#REF!</f>
        <v>#REF!</v>
      </c>
      <c r="I648" t="e">
        <f>電力量!#REF!-電力量!#REF!</f>
        <v>#REF!</v>
      </c>
      <c r="J648" t="e">
        <f>電力量!#REF!-電力量!#REF!</f>
        <v>#REF!</v>
      </c>
      <c r="K648" t="e">
        <f>電力量!#REF!-電力量!#REF!</f>
        <v>#REF!</v>
      </c>
      <c r="L648" t="e">
        <f>電力量!#REF!-電力量!#REF!</f>
        <v>#REF!</v>
      </c>
      <c r="M648" t="e">
        <f>電力量!#REF!-電力量!#REF!</f>
        <v>#REF!</v>
      </c>
      <c r="N648" t="e">
        <f>電力量!#REF!-電力量!#REF!</f>
        <v>#REF!</v>
      </c>
      <c r="O648" t="e">
        <f>電力量!#REF!-電力量!#REF!</f>
        <v>#REF!</v>
      </c>
      <c r="P648" t="e">
        <f>電力量!#REF!-電力量!#REF!</f>
        <v>#REF!</v>
      </c>
      <c r="Q648" t="e">
        <f>電力量!#REF!-電力量!#REF!</f>
        <v>#REF!</v>
      </c>
      <c r="R648" t="e">
        <f>電力量!#REF!-電力量!#REF!</f>
        <v>#REF!</v>
      </c>
    </row>
    <row r="649" spans="1:18">
      <c r="A649" s="4">
        <f t="shared" si="229"/>
        <v>45926.958333333336</v>
      </c>
      <c r="B649" t="e">
        <f>電力量!#REF!-電力量!#REF!</f>
        <v>#REF!</v>
      </c>
      <c r="C649" t="e">
        <f>電力量!#REF!-電力量!#REF!</f>
        <v>#REF!</v>
      </c>
      <c r="D649" t="e">
        <f>電力量!#REF!-電力量!#REF!</f>
        <v>#REF!</v>
      </c>
      <c r="E649" t="e">
        <f>電力量!#REF!-電力量!#REF!</f>
        <v>#REF!</v>
      </c>
      <c r="F649" t="e">
        <f>電力量!#REF!-電力量!#REF!</f>
        <v>#REF!</v>
      </c>
      <c r="G649" t="e">
        <f>電力量!#REF!-電力量!#REF!</f>
        <v>#REF!</v>
      </c>
      <c r="H649" t="e">
        <f>電力量!#REF!-電力量!#REF!</f>
        <v>#REF!</v>
      </c>
      <c r="I649" t="e">
        <f>電力量!#REF!-電力量!#REF!</f>
        <v>#REF!</v>
      </c>
      <c r="J649" t="e">
        <f>電力量!#REF!-電力量!#REF!</f>
        <v>#REF!</v>
      </c>
      <c r="K649" t="e">
        <f>電力量!#REF!-電力量!#REF!</f>
        <v>#REF!</v>
      </c>
      <c r="L649" t="e">
        <f>電力量!#REF!-電力量!#REF!</f>
        <v>#REF!</v>
      </c>
      <c r="M649" t="e">
        <f>電力量!#REF!-電力量!#REF!</f>
        <v>#REF!</v>
      </c>
      <c r="N649" t="e">
        <f>電力量!#REF!-電力量!#REF!</f>
        <v>#REF!</v>
      </c>
      <c r="O649" t="e">
        <f>電力量!#REF!-電力量!#REF!</f>
        <v>#REF!</v>
      </c>
      <c r="P649" t="e">
        <f>電力量!#REF!-電力量!#REF!</f>
        <v>#REF!</v>
      </c>
      <c r="Q649" t="e">
        <f>電力量!#REF!-電力量!#REF!</f>
        <v>#REF!</v>
      </c>
      <c r="R649" t="e">
        <f>電力量!#REF!-電力量!#REF!</f>
        <v>#REF!</v>
      </c>
    </row>
    <row r="650" spans="1:18">
      <c r="A650" s="4">
        <v>45927</v>
      </c>
      <c r="B650" t="e">
        <f>電力量!#REF!-電力量!#REF!</f>
        <v>#REF!</v>
      </c>
      <c r="C650" t="e">
        <f>電力量!#REF!-電力量!#REF!</f>
        <v>#REF!</v>
      </c>
      <c r="D650" t="e">
        <f>電力量!#REF!-電力量!#REF!</f>
        <v>#REF!</v>
      </c>
      <c r="E650" t="e">
        <f>電力量!#REF!-電力量!#REF!</f>
        <v>#REF!</v>
      </c>
      <c r="F650" t="e">
        <f>電力量!#REF!-電力量!#REF!</f>
        <v>#REF!</v>
      </c>
      <c r="G650" t="e">
        <f>電力量!#REF!-電力量!#REF!</f>
        <v>#REF!</v>
      </c>
      <c r="H650" t="e">
        <f>電力量!#REF!-電力量!#REF!</f>
        <v>#REF!</v>
      </c>
      <c r="I650" t="e">
        <f>電力量!#REF!-電力量!#REF!</f>
        <v>#REF!</v>
      </c>
      <c r="J650" t="e">
        <f>電力量!#REF!-電力量!#REF!</f>
        <v>#REF!</v>
      </c>
      <c r="K650" t="e">
        <f>電力量!#REF!-電力量!#REF!</f>
        <v>#REF!</v>
      </c>
      <c r="L650" t="e">
        <f>電力量!#REF!-電力量!#REF!</f>
        <v>#REF!</v>
      </c>
      <c r="M650" t="e">
        <f>電力量!#REF!-電力量!#REF!</f>
        <v>#REF!</v>
      </c>
      <c r="N650" t="e">
        <f>電力量!#REF!-電力量!#REF!</f>
        <v>#REF!</v>
      </c>
      <c r="O650" t="e">
        <f>電力量!#REF!-電力量!#REF!</f>
        <v>#REF!</v>
      </c>
      <c r="P650" t="e">
        <f>電力量!#REF!-電力量!#REF!</f>
        <v>#REF!</v>
      </c>
      <c r="Q650" t="e">
        <f>電力量!#REF!-電力量!#REF!</f>
        <v>#REF!</v>
      </c>
      <c r="R650" t="e">
        <f>電力量!#REF!-電力量!#REF!</f>
        <v>#REF!</v>
      </c>
    </row>
    <row r="651" spans="1:18">
      <c r="A651" s="4">
        <f t="shared" si="207"/>
        <v>45927.041666666664</v>
      </c>
      <c r="B651" t="e">
        <f>電力量!#REF!-電力量!#REF!</f>
        <v>#REF!</v>
      </c>
      <c r="C651" t="e">
        <f>電力量!#REF!-電力量!#REF!</f>
        <v>#REF!</v>
      </c>
      <c r="D651" t="e">
        <f>電力量!#REF!-電力量!#REF!</f>
        <v>#REF!</v>
      </c>
      <c r="E651" t="e">
        <f>電力量!#REF!-電力量!#REF!</f>
        <v>#REF!</v>
      </c>
      <c r="F651" t="e">
        <f>電力量!#REF!-電力量!#REF!</f>
        <v>#REF!</v>
      </c>
      <c r="G651" t="e">
        <f>電力量!#REF!-電力量!#REF!</f>
        <v>#REF!</v>
      </c>
      <c r="H651" t="e">
        <f>電力量!#REF!-電力量!#REF!</f>
        <v>#REF!</v>
      </c>
      <c r="I651" t="e">
        <f>電力量!#REF!-電力量!#REF!</f>
        <v>#REF!</v>
      </c>
      <c r="J651" t="e">
        <f>電力量!#REF!-電力量!#REF!</f>
        <v>#REF!</v>
      </c>
      <c r="K651" t="e">
        <f>電力量!#REF!-電力量!#REF!</f>
        <v>#REF!</v>
      </c>
      <c r="L651" t="e">
        <f>電力量!#REF!-電力量!#REF!</f>
        <v>#REF!</v>
      </c>
      <c r="M651" t="e">
        <f>電力量!#REF!-電力量!#REF!</f>
        <v>#REF!</v>
      </c>
      <c r="N651" t="e">
        <f>電力量!#REF!-電力量!#REF!</f>
        <v>#REF!</v>
      </c>
      <c r="O651" t="e">
        <f>電力量!#REF!-電力量!#REF!</f>
        <v>#REF!</v>
      </c>
      <c r="P651" t="e">
        <f>電力量!#REF!-電力量!#REF!</f>
        <v>#REF!</v>
      </c>
      <c r="Q651" t="e">
        <f>電力量!#REF!-電力量!#REF!</f>
        <v>#REF!</v>
      </c>
      <c r="R651" t="e">
        <f>電力量!#REF!-電力量!#REF!</f>
        <v>#REF!</v>
      </c>
    </row>
    <row r="652" spans="1:18">
      <c r="A652" s="4">
        <f t="shared" si="208"/>
        <v>45927.083333333336</v>
      </c>
      <c r="B652" t="e">
        <f>電力量!#REF!-電力量!#REF!</f>
        <v>#REF!</v>
      </c>
      <c r="C652" t="e">
        <f>電力量!#REF!-電力量!#REF!</f>
        <v>#REF!</v>
      </c>
      <c r="D652" t="e">
        <f>電力量!#REF!-電力量!#REF!</f>
        <v>#REF!</v>
      </c>
      <c r="E652" t="e">
        <f>電力量!#REF!-電力量!#REF!</f>
        <v>#REF!</v>
      </c>
      <c r="F652" t="e">
        <f>電力量!#REF!-電力量!#REF!</f>
        <v>#REF!</v>
      </c>
      <c r="G652" t="e">
        <f>電力量!#REF!-電力量!#REF!</f>
        <v>#REF!</v>
      </c>
      <c r="H652" t="e">
        <f>電力量!#REF!-電力量!#REF!</f>
        <v>#REF!</v>
      </c>
      <c r="I652" t="e">
        <f>電力量!#REF!-電力量!#REF!</f>
        <v>#REF!</v>
      </c>
      <c r="J652" t="e">
        <f>電力量!#REF!-電力量!#REF!</f>
        <v>#REF!</v>
      </c>
      <c r="K652" t="e">
        <f>電力量!#REF!-電力量!#REF!</f>
        <v>#REF!</v>
      </c>
      <c r="L652" t="e">
        <f>電力量!#REF!-電力量!#REF!</f>
        <v>#REF!</v>
      </c>
      <c r="M652" t="e">
        <f>電力量!#REF!-電力量!#REF!</f>
        <v>#REF!</v>
      </c>
      <c r="N652" t="e">
        <f>電力量!#REF!-電力量!#REF!</f>
        <v>#REF!</v>
      </c>
      <c r="O652" t="e">
        <f>電力量!#REF!-電力量!#REF!</f>
        <v>#REF!</v>
      </c>
      <c r="P652" t="e">
        <f>電力量!#REF!-電力量!#REF!</f>
        <v>#REF!</v>
      </c>
      <c r="Q652" t="e">
        <f>電力量!#REF!-電力量!#REF!</f>
        <v>#REF!</v>
      </c>
      <c r="R652" t="e">
        <f>電力量!#REF!-電力量!#REF!</f>
        <v>#REF!</v>
      </c>
    </row>
    <row r="653" spans="1:18">
      <c r="A653" s="4">
        <f t="shared" si="209"/>
        <v>45927.125</v>
      </c>
      <c r="B653" t="e">
        <f>電力量!#REF!-電力量!#REF!</f>
        <v>#REF!</v>
      </c>
      <c r="C653" t="e">
        <f>電力量!#REF!-電力量!#REF!</f>
        <v>#REF!</v>
      </c>
      <c r="D653" t="e">
        <f>電力量!#REF!-電力量!#REF!</f>
        <v>#REF!</v>
      </c>
      <c r="E653" t="e">
        <f>電力量!#REF!-電力量!#REF!</f>
        <v>#REF!</v>
      </c>
      <c r="F653" t="e">
        <f>電力量!#REF!-電力量!#REF!</f>
        <v>#REF!</v>
      </c>
      <c r="G653" t="e">
        <f>電力量!#REF!-電力量!#REF!</f>
        <v>#REF!</v>
      </c>
      <c r="H653" t="e">
        <f>電力量!#REF!-電力量!#REF!</f>
        <v>#REF!</v>
      </c>
      <c r="I653" t="e">
        <f>電力量!#REF!-電力量!#REF!</f>
        <v>#REF!</v>
      </c>
      <c r="J653" t="e">
        <f>電力量!#REF!-電力量!#REF!</f>
        <v>#REF!</v>
      </c>
      <c r="K653" t="e">
        <f>電力量!#REF!-電力量!#REF!</f>
        <v>#REF!</v>
      </c>
      <c r="L653" t="e">
        <f>電力量!#REF!-電力量!#REF!</f>
        <v>#REF!</v>
      </c>
      <c r="M653" t="e">
        <f>電力量!#REF!-電力量!#REF!</f>
        <v>#REF!</v>
      </c>
      <c r="N653" t="e">
        <f>電力量!#REF!-電力量!#REF!</f>
        <v>#REF!</v>
      </c>
      <c r="O653" t="e">
        <f>電力量!#REF!-電力量!#REF!</f>
        <v>#REF!</v>
      </c>
      <c r="P653" t="e">
        <f>電力量!#REF!-電力量!#REF!</f>
        <v>#REF!</v>
      </c>
      <c r="Q653" t="e">
        <f>電力量!#REF!-電力量!#REF!</f>
        <v>#REF!</v>
      </c>
      <c r="R653" t="e">
        <f>電力量!#REF!-電力量!#REF!</f>
        <v>#REF!</v>
      </c>
    </row>
    <row r="654" spans="1:18">
      <c r="A654" s="4">
        <f t="shared" si="210"/>
        <v>45927.166666666664</v>
      </c>
      <c r="B654" t="e">
        <f>電力量!#REF!-電力量!#REF!</f>
        <v>#REF!</v>
      </c>
      <c r="C654" t="e">
        <f>電力量!#REF!-電力量!#REF!</f>
        <v>#REF!</v>
      </c>
      <c r="D654" t="e">
        <f>電力量!#REF!-電力量!#REF!</f>
        <v>#REF!</v>
      </c>
      <c r="E654" t="e">
        <f>電力量!#REF!-電力量!#REF!</f>
        <v>#REF!</v>
      </c>
      <c r="F654" t="e">
        <f>電力量!#REF!-電力量!#REF!</f>
        <v>#REF!</v>
      </c>
      <c r="G654" t="e">
        <f>電力量!#REF!-電力量!#REF!</f>
        <v>#REF!</v>
      </c>
      <c r="H654" t="e">
        <f>電力量!#REF!-電力量!#REF!</f>
        <v>#REF!</v>
      </c>
      <c r="I654" t="e">
        <f>電力量!#REF!-電力量!#REF!</f>
        <v>#REF!</v>
      </c>
      <c r="J654" t="e">
        <f>電力量!#REF!-電力量!#REF!</f>
        <v>#REF!</v>
      </c>
      <c r="K654" t="e">
        <f>電力量!#REF!-電力量!#REF!</f>
        <v>#REF!</v>
      </c>
      <c r="L654" t="e">
        <f>電力量!#REF!-電力量!#REF!</f>
        <v>#REF!</v>
      </c>
      <c r="M654" t="e">
        <f>電力量!#REF!-電力量!#REF!</f>
        <v>#REF!</v>
      </c>
      <c r="N654" t="e">
        <f>電力量!#REF!-電力量!#REF!</f>
        <v>#REF!</v>
      </c>
      <c r="O654" t="e">
        <f>電力量!#REF!-電力量!#REF!</f>
        <v>#REF!</v>
      </c>
      <c r="P654" t="e">
        <f>電力量!#REF!-電力量!#REF!</f>
        <v>#REF!</v>
      </c>
      <c r="Q654" t="e">
        <f>電力量!#REF!-電力量!#REF!</f>
        <v>#REF!</v>
      </c>
      <c r="R654" t="e">
        <f>電力量!#REF!-電力量!#REF!</f>
        <v>#REF!</v>
      </c>
    </row>
    <row r="655" spans="1:18">
      <c r="A655" s="4">
        <f t="shared" si="211"/>
        <v>45927.208333333336</v>
      </c>
      <c r="B655" t="e">
        <f>電力量!#REF!-電力量!#REF!</f>
        <v>#REF!</v>
      </c>
      <c r="C655" t="e">
        <f>電力量!#REF!-電力量!#REF!</f>
        <v>#REF!</v>
      </c>
      <c r="D655" t="e">
        <f>電力量!#REF!-電力量!#REF!</f>
        <v>#REF!</v>
      </c>
      <c r="E655" t="e">
        <f>電力量!#REF!-電力量!#REF!</f>
        <v>#REF!</v>
      </c>
      <c r="F655" t="e">
        <f>電力量!#REF!-電力量!#REF!</f>
        <v>#REF!</v>
      </c>
      <c r="G655" t="e">
        <f>電力量!#REF!-電力量!#REF!</f>
        <v>#REF!</v>
      </c>
      <c r="H655" t="e">
        <f>電力量!#REF!-電力量!#REF!</f>
        <v>#REF!</v>
      </c>
      <c r="I655" t="e">
        <f>電力量!#REF!-電力量!#REF!</f>
        <v>#REF!</v>
      </c>
      <c r="J655" t="e">
        <f>電力量!#REF!-電力量!#REF!</f>
        <v>#REF!</v>
      </c>
      <c r="K655" t="e">
        <f>電力量!#REF!-電力量!#REF!</f>
        <v>#REF!</v>
      </c>
      <c r="L655" t="e">
        <f>電力量!#REF!-電力量!#REF!</f>
        <v>#REF!</v>
      </c>
      <c r="M655" t="e">
        <f>電力量!#REF!-電力量!#REF!</f>
        <v>#REF!</v>
      </c>
      <c r="N655" t="e">
        <f>電力量!#REF!-電力量!#REF!</f>
        <v>#REF!</v>
      </c>
      <c r="O655" t="e">
        <f>電力量!#REF!-電力量!#REF!</f>
        <v>#REF!</v>
      </c>
      <c r="P655" t="e">
        <f>電力量!#REF!-電力量!#REF!</f>
        <v>#REF!</v>
      </c>
      <c r="Q655" t="e">
        <f>電力量!#REF!-電力量!#REF!</f>
        <v>#REF!</v>
      </c>
      <c r="R655" t="e">
        <f>電力量!#REF!-電力量!#REF!</f>
        <v>#REF!</v>
      </c>
    </row>
    <row r="656" spans="1:18">
      <c r="A656" s="4">
        <f t="shared" si="212"/>
        <v>45927.25</v>
      </c>
      <c r="B656" t="e">
        <f>電力量!#REF!-電力量!#REF!</f>
        <v>#REF!</v>
      </c>
      <c r="C656" t="e">
        <f>電力量!#REF!-電力量!#REF!</f>
        <v>#REF!</v>
      </c>
      <c r="D656" t="e">
        <f>電力量!#REF!-電力量!#REF!</f>
        <v>#REF!</v>
      </c>
      <c r="E656" t="e">
        <f>電力量!#REF!-電力量!#REF!</f>
        <v>#REF!</v>
      </c>
      <c r="F656" t="e">
        <f>電力量!#REF!-電力量!#REF!</f>
        <v>#REF!</v>
      </c>
      <c r="G656" t="e">
        <f>電力量!#REF!-電力量!#REF!</f>
        <v>#REF!</v>
      </c>
      <c r="H656" t="e">
        <f>電力量!#REF!-電力量!#REF!</f>
        <v>#REF!</v>
      </c>
      <c r="I656" t="e">
        <f>電力量!#REF!-電力量!#REF!</f>
        <v>#REF!</v>
      </c>
      <c r="J656" t="e">
        <f>電力量!#REF!-電力量!#REF!</f>
        <v>#REF!</v>
      </c>
      <c r="K656" t="e">
        <f>電力量!#REF!-電力量!#REF!</f>
        <v>#REF!</v>
      </c>
      <c r="L656" t="e">
        <f>電力量!#REF!-電力量!#REF!</f>
        <v>#REF!</v>
      </c>
      <c r="M656" t="e">
        <f>電力量!#REF!-電力量!#REF!</f>
        <v>#REF!</v>
      </c>
      <c r="N656" t="e">
        <f>電力量!#REF!-電力量!#REF!</f>
        <v>#REF!</v>
      </c>
      <c r="O656" t="e">
        <f>電力量!#REF!-電力量!#REF!</f>
        <v>#REF!</v>
      </c>
      <c r="P656" t="e">
        <f>電力量!#REF!-電力量!#REF!</f>
        <v>#REF!</v>
      </c>
      <c r="Q656" t="e">
        <f>電力量!#REF!-電力量!#REF!</f>
        <v>#REF!</v>
      </c>
      <c r="R656" t="e">
        <f>電力量!#REF!-電力量!#REF!</f>
        <v>#REF!</v>
      </c>
    </row>
    <row r="657" spans="1:18">
      <c r="A657" s="4">
        <f t="shared" si="213"/>
        <v>45927.291666666664</v>
      </c>
      <c r="B657" t="e">
        <f>電力量!#REF!-電力量!#REF!</f>
        <v>#REF!</v>
      </c>
      <c r="C657" t="e">
        <f>電力量!#REF!-電力量!#REF!</f>
        <v>#REF!</v>
      </c>
      <c r="D657" t="e">
        <f>電力量!#REF!-電力量!#REF!</f>
        <v>#REF!</v>
      </c>
      <c r="E657" t="e">
        <f>電力量!#REF!-電力量!#REF!</f>
        <v>#REF!</v>
      </c>
      <c r="F657" t="e">
        <f>電力量!#REF!-電力量!#REF!</f>
        <v>#REF!</v>
      </c>
      <c r="G657" t="e">
        <f>電力量!#REF!-電力量!#REF!</f>
        <v>#REF!</v>
      </c>
      <c r="H657" t="e">
        <f>電力量!#REF!-電力量!#REF!</f>
        <v>#REF!</v>
      </c>
      <c r="I657" t="e">
        <f>電力量!#REF!-電力量!#REF!</f>
        <v>#REF!</v>
      </c>
      <c r="J657" t="e">
        <f>電力量!#REF!-電力量!#REF!</f>
        <v>#REF!</v>
      </c>
      <c r="K657" t="e">
        <f>電力量!#REF!-電力量!#REF!</f>
        <v>#REF!</v>
      </c>
      <c r="L657" t="e">
        <f>電力量!#REF!-電力量!#REF!</f>
        <v>#REF!</v>
      </c>
      <c r="M657" t="e">
        <f>電力量!#REF!-電力量!#REF!</f>
        <v>#REF!</v>
      </c>
      <c r="N657" t="e">
        <f>電力量!#REF!-電力量!#REF!</f>
        <v>#REF!</v>
      </c>
      <c r="O657" t="e">
        <f>電力量!#REF!-電力量!#REF!</f>
        <v>#REF!</v>
      </c>
      <c r="P657" t="e">
        <f>電力量!#REF!-電力量!#REF!</f>
        <v>#REF!</v>
      </c>
      <c r="Q657" t="e">
        <f>電力量!#REF!-電力量!#REF!</f>
        <v>#REF!</v>
      </c>
      <c r="R657" t="e">
        <f>電力量!#REF!-電力量!#REF!</f>
        <v>#REF!</v>
      </c>
    </row>
    <row r="658" spans="1:18">
      <c r="A658" s="4">
        <f t="shared" si="214"/>
        <v>45927.333333333336</v>
      </c>
      <c r="B658" t="e">
        <f>電力量!#REF!-電力量!#REF!</f>
        <v>#REF!</v>
      </c>
      <c r="C658" t="e">
        <f>電力量!#REF!-電力量!#REF!</f>
        <v>#REF!</v>
      </c>
      <c r="D658" t="e">
        <f>電力量!#REF!-電力量!#REF!</f>
        <v>#REF!</v>
      </c>
      <c r="E658" t="e">
        <f>電力量!#REF!-電力量!#REF!</f>
        <v>#REF!</v>
      </c>
      <c r="F658" t="e">
        <f>電力量!#REF!-電力量!#REF!</f>
        <v>#REF!</v>
      </c>
      <c r="G658" t="e">
        <f>電力量!#REF!-電力量!#REF!</f>
        <v>#REF!</v>
      </c>
      <c r="H658" t="e">
        <f>電力量!#REF!-電力量!#REF!</f>
        <v>#REF!</v>
      </c>
      <c r="I658" t="e">
        <f>電力量!#REF!-電力量!#REF!</f>
        <v>#REF!</v>
      </c>
      <c r="J658" t="e">
        <f>電力量!#REF!-電力量!#REF!</f>
        <v>#REF!</v>
      </c>
      <c r="K658" t="e">
        <f>電力量!#REF!-電力量!#REF!</f>
        <v>#REF!</v>
      </c>
      <c r="L658" t="e">
        <f>電力量!#REF!-電力量!#REF!</f>
        <v>#REF!</v>
      </c>
      <c r="M658" t="e">
        <f>電力量!#REF!-電力量!#REF!</f>
        <v>#REF!</v>
      </c>
      <c r="N658" t="e">
        <f>電力量!#REF!-電力量!#REF!</f>
        <v>#REF!</v>
      </c>
      <c r="O658" t="e">
        <f>電力量!#REF!-電力量!#REF!</f>
        <v>#REF!</v>
      </c>
      <c r="P658" t="e">
        <f>電力量!#REF!-電力量!#REF!</f>
        <v>#REF!</v>
      </c>
      <c r="Q658" t="e">
        <f>電力量!#REF!-電力量!#REF!</f>
        <v>#REF!</v>
      </c>
      <c r="R658" t="e">
        <f>電力量!#REF!-電力量!#REF!</f>
        <v>#REF!</v>
      </c>
    </row>
    <row r="659" spans="1:18">
      <c r="A659" s="4">
        <f t="shared" si="215"/>
        <v>45927.375</v>
      </c>
      <c r="B659" t="e">
        <f>電力量!#REF!-電力量!#REF!</f>
        <v>#REF!</v>
      </c>
      <c r="C659" t="e">
        <f>電力量!#REF!-電力量!#REF!</f>
        <v>#REF!</v>
      </c>
      <c r="D659" t="e">
        <f>電力量!#REF!-電力量!#REF!</f>
        <v>#REF!</v>
      </c>
      <c r="E659" t="e">
        <f>電力量!#REF!-電力量!#REF!</f>
        <v>#REF!</v>
      </c>
      <c r="F659" t="e">
        <f>電力量!#REF!-電力量!#REF!</f>
        <v>#REF!</v>
      </c>
      <c r="G659" t="e">
        <f>電力量!#REF!-電力量!#REF!</f>
        <v>#REF!</v>
      </c>
      <c r="H659" t="e">
        <f>電力量!#REF!-電力量!#REF!</f>
        <v>#REF!</v>
      </c>
      <c r="I659" t="e">
        <f>電力量!#REF!-電力量!#REF!</f>
        <v>#REF!</v>
      </c>
      <c r="J659" t="e">
        <f>電力量!#REF!-電力量!#REF!</f>
        <v>#REF!</v>
      </c>
      <c r="K659" t="e">
        <f>電力量!#REF!-電力量!#REF!</f>
        <v>#REF!</v>
      </c>
      <c r="L659" t="e">
        <f>電力量!#REF!-電力量!#REF!</f>
        <v>#REF!</v>
      </c>
      <c r="M659" t="e">
        <f>電力量!#REF!-電力量!#REF!</f>
        <v>#REF!</v>
      </c>
      <c r="N659" t="e">
        <f>電力量!#REF!-電力量!#REF!</f>
        <v>#REF!</v>
      </c>
      <c r="O659" t="e">
        <f>電力量!#REF!-電力量!#REF!</f>
        <v>#REF!</v>
      </c>
      <c r="P659" t="e">
        <f>電力量!#REF!-電力量!#REF!</f>
        <v>#REF!</v>
      </c>
      <c r="Q659" t="e">
        <f>電力量!#REF!-電力量!#REF!</f>
        <v>#REF!</v>
      </c>
      <c r="R659" t="e">
        <f>電力量!#REF!-電力量!#REF!</f>
        <v>#REF!</v>
      </c>
    </row>
    <row r="660" spans="1:18">
      <c r="A660" s="4">
        <f t="shared" si="216"/>
        <v>45927.416666666664</v>
      </c>
      <c r="B660" t="e">
        <f>電力量!#REF!-電力量!#REF!</f>
        <v>#REF!</v>
      </c>
      <c r="C660" t="e">
        <f>電力量!#REF!-電力量!#REF!</f>
        <v>#REF!</v>
      </c>
      <c r="D660" t="e">
        <f>電力量!#REF!-電力量!#REF!</f>
        <v>#REF!</v>
      </c>
      <c r="E660" t="e">
        <f>電力量!#REF!-電力量!#REF!</f>
        <v>#REF!</v>
      </c>
      <c r="F660" t="e">
        <f>電力量!#REF!-電力量!#REF!</f>
        <v>#REF!</v>
      </c>
      <c r="G660" t="e">
        <f>電力量!#REF!-電力量!#REF!</f>
        <v>#REF!</v>
      </c>
      <c r="H660" t="e">
        <f>電力量!#REF!-電力量!#REF!</f>
        <v>#REF!</v>
      </c>
      <c r="I660" t="e">
        <f>電力量!#REF!-電力量!#REF!</f>
        <v>#REF!</v>
      </c>
      <c r="J660" t="e">
        <f>電力量!#REF!-電力量!#REF!</f>
        <v>#REF!</v>
      </c>
      <c r="K660" t="e">
        <f>電力量!#REF!-電力量!#REF!</f>
        <v>#REF!</v>
      </c>
      <c r="L660" t="e">
        <f>電力量!#REF!-電力量!#REF!</f>
        <v>#REF!</v>
      </c>
      <c r="M660" t="e">
        <f>電力量!#REF!-電力量!#REF!</f>
        <v>#REF!</v>
      </c>
      <c r="N660" t="e">
        <f>電力量!#REF!-電力量!#REF!</f>
        <v>#REF!</v>
      </c>
      <c r="O660" t="e">
        <f>電力量!#REF!-電力量!#REF!</f>
        <v>#REF!</v>
      </c>
      <c r="P660" t="e">
        <f>電力量!#REF!-電力量!#REF!</f>
        <v>#REF!</v>
      </c>
      <c r="Q660" t="e">
        <f>電力量!#REF!-電力量!#REF!</f>
        <v>#REF!</v>
      </c>
      <c r="R660" t="e">
        <f>電力量!#REF!-電力量!#REF!</f>
        <v>#REF!</v>
      </c>
    </row>
    <row r="661" spans="1:18">
      <c r="A661" s="4">
        <f t="shared" si="217"/>
        <v>45927.458333333336</v>
      </c>
      <c r="B661" t="e">
        <f>電力量!#REF!-電力量!#REF!</f>
        <v>#REF!</v>
      </c>
      <c r="C661" t="e">
        <f>電力量!#REF!-電力量!#REF!</f>
        <v>#REF!</v>
      </c>
      <c r="D661" t="e">
        <f>電力量!#REF!-電力量!#REF!</f>
        <v>#REF!</v>
      </c>
      <c r="E661" t="e">
        <f>電力量!#REF!-電力量!#REF!</f>
        <v>#REF!</v>
      </c>
      <c r="F661" t="e">
        <f>電力量!#REF!-電力量!#REF!</f>
        <v>#REF!</v>
      </c>
      <c r="G661" t="e">
        <f>電力量!#REF!-電力量!#REF!</f>
        <v>#REF!</v>
      </c>
      <c r="H661" t="e">
        <f>電力量!#REF!-電力量!#REF!</f>
        <v>#REF!</v>
      </c>
      <c r="I661" t="e">
        <f>電力量!#REF!-電力量!#REF!</f>
        <v>#REF!</v>
      </c>
      <c r="J661" t="e">
        <f>電力量!#REF!-電力量!#REF!</f>
        <v>#REF!</v>
      </c>
      <c r="K661" t="e">
        <f>電力量!#REF!-電力量!#REF!</f>
        <v>#REF!</v>
      </c>
      <c r="L661" t="e">
        <f>電力量!#REF!-電力量!#REF!</f>
        <v>#REF!</v>
      </c>
      <c r="M661" t="e">
        <f>電力量!#REF!-電力量!#REF!</f>
        <v>#REF!</v>
      </c>
      <c r="N661" t="e">
        <f>電力量!#REF!-電力量!#REF!</f>
        <v>#REF!</v>
      </c>
      <c r="O661" t="e">
        <f>電力量!#REF!-電力量!#REF!</f>
        <v>#REF!</v>
      </c>
      <c r="P661" t="e">
        <f>電力量!#REF!-電力量!#REF!</f>
        <v>#REF!</v>
      </c>
      <c r="Q661" t="e">
        <f>電力量!#REF!-電力量!#REF!</f>
        <v>#REF!</v>
      </c>
      <c r="R661" t="e">
        <f>電力量!#REF!-電力量!#REF!</f>
        <v>#REF!</v>
      </c>
    </row>
    <row r="662" spans="1:18">
      <c r="A662" s="4">
        <f t="shared" si="218"/>
        <v>45927.5</v>
      </c>
      <c r="B662" t="e">
        <f>電力量!#REF!-電力量!#REF!</f>
        <v>#REF!</v>
      </c>
      <c r="C662" t="e">
        <f>電力量!#REF!-電力量!#REF!</f>
        <v>#REF!</v>
      </c>
      <c r="D662" t="e">
        <f>電力量!#REF!-電力量!#REF!</f>
        <v>#REF!</v>
      </c>
      <c r="E662" t="e">
        <f>電力量!#REF!-電力量!#REF!</f>
        <v>#REF!</v>
      </c>
      <c r="F662" t="e">
        <f>電力量!#REF!-電力量!#REF!</f>
        <v>#REF!</v>
      </c>
      <c r="G662" t="e">
        <f>電力量!#REF!-電力量!#REF!</f>
        <v>#REF!</v>
      </c>
      <c r="H662" t="e">
        <f>電力量!#REF!-電力量!#REF!</f>
        <v>#REF!</v>
      </c>
      <c r="I662" t="e">
        <f>電力量!#REF!-電力量!#REF!</f>
        <v>#REF!</v>
      </c>
      <c r="J662" t="e">
        <f>電力量!#REF!-電力量!#REF!</f>
        <v>#REF!</v>
      </c>
      <c r="K662" t="e">
        <f>電力量!#REF!-電力量!#REF!</f>
        <v>#REF!</v>
      </c>
      <c r="L662" t="e">
        <f>電力量!#REF!-電力量!#REF!</f>
        <v>#REF!</v>
      </c>
      <c r="M662" t="e">
        <f>電力量!#REF!-電力量!#REF!</f>
        <v>#REF!</v>
      </c>
      <c r="N662" t="e">
        <f>電力量!#REF!-電力量!#REF!</f>
        <v>#REF!</v>
      </c>
      <c r="O662" t="e">
        <f>電力量!#REF!-電力量!#REF!</f>
        <v>#REF!</v>
      </c>
      <c r="P662" t="e">
        <f>電力量!#REF!-電力量!#REF!</f>
        <v>#REF!</v>
      </c>
      <c r="Q662" t="e">
        <f>電力量!#REF!-電力量!#REF!</f>
        <v>#REF!</v>
      </c>
      <c r="R662" t="e">
        <f>電力量!#REF!-電力量!#REF!</f>
        <v>#REF!</v>
      </c>
    </row>
    <row r="663" spans="1:18">
      <c r="A663" s="4">
        <f t="shared" si="219"/>
        <v>45927.541666666664</v>
      </c>
      <c r="B663" t="e">
        <f>電力量!#REF!-電力量!#REF!</f>
        <v>#REF!</v>
      </c>
      <c r="C663" t="e">
        <f>電力量!#REF!-電力量!#REF!</f>
        <v>#REF!</v>
      </c>
      <c r="D663" t="e">
        <f>電力量!#REF!-電力量!#REF!</f>
        <v>#REF!</v>
      </c>
      <c r="E663" t="e">
        <f>電力量!#REF!-電力量!#REF!</f>
        <v>#REF!</v>
      </c>
      <c r="F663" t="e">
        <f>電力量!#REF!-電力量!#REF!</f>
        <v>#REF!</v>
      </c>
      <c r="G663" t="e">
        <f>電力量!#REF!-電力量!#REF!</f>
        <v>#REF!</v>
      </c>
      <c r="H663" t="e">
        <f>電力量!#REF!-電力量!#REF!</f>
        <v>#REF!</v>
      </c>
      <c r="I663" t="e">
        <f>電力量!#REF!-電力量!#REF!</f>
        <v>#REF!</v>
      </c>
      <c r="J663" t="e">
        <f>電力量!#REF!-電力量!#REF!</f>
        <v>#REF!</v>
      </c>
      <c r="K663" t="e">
        <f>電力量!#REF!-電力量!#REF!</f>
        <v>#REF!</v>
      </c>
      <c r="L663" t="e">
        <f>電力量!#REF!-電力量!#REF!</f>
        <v>#REF!</v>
      </c>
      <c r="M663" t="e">
        <f>電力量!#REF!-電力量!#REF!</f>
        <v>#REF!</v>
      </c>
      <c r="N663" t="e">
        <f>電力量!#REF!-電力量!#REF!</f>
        <v>#REF!</v>
      </c>
      <c r="O663" t="e">
        <f>電力量!#REF!-電力量!#REF!</f>
        <v>#REF!</v>
      </c>
      <c r="P663" t="e">
        <f>電力量!#REF!-電力量!#REF!</f>
        <v>#REF!</v>
      </c>
      <c r="Q663" t="e">
        <f>電力量!#REF!-電力量!#REF!</f>
        <v>#REF!</v>
      </c>
      <c r="R663" t="e">
        <f>電力量!#REF!-電力量!#REF!</f>
        <v>#REF!</v>
      </c>
    </row>
    <row r="664" spans="1:18">
      <c r="A664" s="4">
        <f t="shared" si="220"/>
        <v>45927.583333333336</v>
      </c>
      <c r="B664" t="e">
        <f>電力量!#REF!-電力量!#REF!</f>
        <v>#REF!</v>
      </c>
      <c r="C664" t="e">
        <f>電力量!#REF!-電力量!#REF!</f>
        <v>#REF!</v>
      </c>
      <c r="D664" t="e">
        <f>電力量!#REF!-電力量!#REF!</f>
        <v>#REF!</v>
      </c>
      <c r="E664" t="e">
        <f>電力量!#REF!-電力量!#REF!</f>
        <v>#REF!</v>
      </c>
      <c r="F664" t="e">
        <f>電力量!#REF!-電力量!#REF!</f>
        <v>#REF!</v>
      </c>
      <c r="G664" t="e">
        <f>電力量!#REF!-電力量!#REF!</f>
        <v>#REF!</v>
      </c>
      <c r="H664" t="e">
        <f>電力量!#REF!-電力量!#REF!</f>
        <v>#REF!</v>
      </c>
      <c r="I664" t="e">
        <f>電力量!#REF!-電力量!#REF!</f>
        <v>#REF!</v>
      </c>
      <c r="J664" t="e">
        <f>電力量!#REF!-電力量!#REF!</f>
        <v>#REF!</v>
      </c>
      <c r="K664" t="e">
        <f>電力量!#REF!-電力量!#REF!</f>
        <v>#REF!</v>
      </c>
      <c r="L664" t="e">
        <f>電力量!#REF!-電力量!#REF!</f>
        <v>#REF!</v>
      </c>
      <c r="M664" t="e">
        <f>電力量!#REF!-電力量!#REF!</f>
        <v>#REF!</v>
      </c>
      <c r="N664" t="e">
        <f>電力量!#REF!-電力量!#REF!</f>
        <v>#REF!</v>
      </c>
      <c r="O664" t="e">
        <f>電力量!#REF!-電力量!#REF!</f>
        <v>#REF!</v>
      </c>
      <c r="P664" t="e">
        <f>電力量!#REF!-電力量!#REF!</f>
        <v>#REF!</v>
      </c>
      <c r="Q664" t="e">
        <f>電力量!#REF!-電力量!#REF!</f>
        <v>#REF!</v>
      </c>
      <c r="R664" t="e">
        <f>電力量!#REF!-電力量!#REF!</f>
        <v>#REF!</v>
      </c>
    </row>
    <row r="665" spans="1:18">
      <c r="A665" s="4">
        <f t="shared" si="221"/>
        <v>45927.625</v>
      </c>
      <c r="B665" t="e">
        <f>電力量!#REF!-電力量!#REF!</f>
        <v>#REF!</v>
      </c>
      <c r="C665" t="e">
        <f>電力量!#REF!-電力量!#REF!</f>
        <v>#REF!</v>
      </c>
      <c r="D665" t="e">
        <f>電力量!#REF!-電力量!#REF!</f>
        <v>#REF!</v>
      </c>
      <c r="E665" t="e">
        <f>電力量!#REF!-電力量!#REF!</f>
        <v>#REF!</v>
      </c>
      <c r="F665" t="e">
        <f>電力量!#REF!-電力量!#REF!</f>
        <v>#REF!</v>
      </c>
      <c r="G665" t="e">
        <f>電力量!#REF!-電力量!#REF!</f>
        <v>#REF!</v>
      </c>
      <c r="H665" t="e">
        <f>電力量!#REF!-電力量!#REF!</f>
        <v>#REF!</v>
      </c>
      <c r="I665" t="e">
        <f>電力量!#REF!-電力量!#REF!</f>
        <v>#REF!</v>
      </c>
      <c r="J665" t="e">
        <f>電力量!#REF!-電力量!#REF!</f>
        <v>#REF!</v>
      </c>
      <c r="K665" t="e">
        <f>電力量!#REF!-電力量!#REF!</f>
        <v>#REF!</v>
      </c>
      <c r="L665" t="e">
        <f>電力量!#REF!-電力量!#REF!</f>
        <v>#REF!</v>
      </c>
      <c r="M665" t="e">
        <f>電力量!#REF!-電力量!#REF!</f>
        <v>#REF!</v>
      </c>
      <c r="N665" t="e">
        <f>電力量!#REF!-電力量!#REF!</f>
        <v>#REF!</v>
      </c>
      <c r="O665" t="e">
        <f>電力量!#REF!-電力量!#REF!</f>
        <v>#REF!</v>
      </c>
      <c r="P665" t="e">
        <f>電力量!#REF!-電力量!#REF!</f>
        <v>#REF!</v>
      </c>
      <c r="Q665" t="e">
        <f>電力量!#REF!-電力量!#REF!</f>
        <v>#REF!</v>
      </c>
      <c r="R665" t="e">
        <f>電力量!#REF!-電力量!#REF!</f>
        <v>#REF!</v>
      </c>
    </row>
    <row r="666" spans="1:18">
      <c r="A666" s="4">
        <f t="shared" si="222"/>
        <v>45927.666666666664</v>
      </c>
      <c r="B666" t="e">
        <f>電力量!#REF!-電力量!#REF!</f>
        <v>#REF!</v>
      </c>
      <c r="C666" t="e">
        <f>電力量!#REF!-電力量!#REF!</f>
        <v>#REF!</v>
      </c>
      <c r="D666" t="e">
        <f>電力量!#REF!-電力量!#REF!</f>
        <v>#REF!</v>
      </c>
      <c r="E666" t="e">
        <f>電力量!#REF!-電力量!#REF!</f>
        <v>#REF!</v>
      </c>
      <c r="F666" t="e">
        <f>電力量!#REF!-電力量!#REF!</f>
        <v>#REF!</v>
      </c>
      <c r="G666" t="e">
        <f>電力量!#REF!-電力量!#REF!</f>
        <v>#REF!</v>
      </c>
      <c r="H666" t="e">
        <f>電力量!#REF!-電力量!#REF!</f>
        <v>#REF!</v>
      </c>
      <c r="I666" t="e">
        <f>電力量!#REF!-電力量!#REF!</f>
        <v>#REF!</v>
      </c>
      <c r="J666" t="e">
        <f>電力量!#REF!-電力量!#REF!</f>
        <v>#REF!</v>
      </c>
      <c r="K666" t="e">
        <f>電力量!#REF!-電力量!#REF!</f>
        <v>#REF!</v>
      </c>
      <c r="L666" t="e">
        <f>電力量!#REF!-電力量!#REF!</f>
        <v>#REF!</v>
      </c>
      <c r="M666" t="e">
        <f>電力量!#REF!-電力量!#REF!</f>
        <v>#REF!</v>
      </c>
      <c r="N666" t="e">
        <f>電力量!#REF!-電力量!#REF!</f>
        <v>#REF!</v>
      </c>
      <c r="O666" t="e">
        <f>電力量!#REF!-電力量!#REF!</f>
        <v>#REF!</v>
      </c>
      <c r="P666" t="e">
        <f>電力量!#REF!-電力量!#REF!</f>
        <v>#REF!</v>
      </c>
      <c r="Q666" t="e">
        <f>電力量!#REF!-電力量!#REF!</f>
        <v>#REF!</v>
      </c>
      <c r="R666" t="e">
        <f>電力量!#REF!-電力量!#REF!</f>
        <v>#REF!</v>
      </c>
    </row>
    <row r="667" spans="1:18">
      <c r="A667" s="4">
        <f t="shared" si="223"/>
        <v>45927.708333333336</v>
      </c>
      <c r="B667" t="e">
        <f>電力量!#REF!-電力量!#REF!</f>
        <v>#REF!</v>
      </c>
      <c r="C667" t="e">
        <f>電力量!#REF!-電力量!#REF!</f>
        <v>#REF!</v>
      </c>
      <c r="D667" t="e">
        <f>電力量!#REF!-電力量!#REF!</f>
        <v>#REF!</v>
      </c>
      <c r="E667" t="e">
        <f>電力量!#REF!-電力量!#REF!</f>
        <v>#REF!</v>
      </c>
      <c r="F667" t="e">
        <f>電力量!#REF!-電力量!#REF!</f>
        <v>#REF!</v>
      </c>
      <c r="G667" t="e">
        <f>電力量!#REF!-電力量!#REF!</f>
        <v>#REF!</v>
      </c>
      <c r="H667" t="e">
        <f>電力量!#REF!-電力量!#REF!</f>
        <v>#REF!</v>
      </c>
      <c r="I667" t="e">
        <f>電力量!#REF!-電力量!#REF!</f>
        <v>#REF!</v>
      </c>
      <c r="J667" t="e">
        <f>電力量!#REF!-電力量!#REF!</f>
        <v>#REF!</v>
      </c>
      <c r="K667" t="e">
        <f>電力量!#REF!-電力量!#REF!</f>
        <v>#REF!</v>
      </c>
      <c r="L667" t="e">
        <f>電力量!#REF!-電力量!#REF!</f>
        <v>#REF!</v>
      </c>
      <c r="M667" t="e">
        <f>電力量!#REF!-電力量!#REF!</f>
        <v>#REF!</v>
      </c>
      <c r="N667" t="e">
        <f>電力量!#REF!-電力量!#REF!</f>
        <v>#REF!</v>
      </c>
      <c r="O667" t="e">
        <f>電力量!#REF!-電力量!#REF!</f>
        <v>#REF!</v>
      </c>
      <c r="P667" t="e">
        <f>電力量!#REF!-電力量!#REF!</f>
        <v>#REF!</v>
      </c>
      <c r="Q667" t="e">
        <f>電力量!#REF!-電力量!#REF!</f>
        <v>#REF!</v>
      </c>
      <c r="R667" t="e">
        <f>電力量!#REF!-電力量!#REF!</f>
        <v>#REF!</v>
      </c>
    </row>
    <row r="668" spans="1:18">
      <c r="A668" s="4">
        <f t="shared" si="224"/>
        <v>45927.75</v>
      </c>
      <c r="B668" t="e">
        <f>電力量!#REF!-電力量!#REF!</f>
        <v>#REF!</v>
      </c>
      <c r="C668" t="e">
        <f>電力量!#REF!-電力量!#REF!</f>
        <v>#REF!</v>
      </c>
      <c r="D668" t="e">
        <f>電力量!#REF!-電力量!#REF!</f>
        <v>#REF!</v>
      </c>
      <c r="E668" t="e">
        <f>電力量!#REF!-電力量!#REF!</f>
        <v>#REF!</v>
      </c>
      <c r="F668" t="e">
        <f>電力量!#REF!-電力量!#REF!</f>
        <v>#REF!</v>
      </c>
      <c r="G668" t="e">
        <f>電力量!#REF!-電力量!#REF!</f>
        <v>#REF!</v>
      </c>
      <c r="H668" t="e">
        <f>電力量!#REF!-電力量!#REF!</f>
        <v>#REF!</v>
      </c>
      <c r="I668" t="e">
        <f>電力量!#REF!-電力量!#REF!</f>
        <v>#REF!</v>
      </c>
      <c r="J668" t="e">
        <f>電力量!#REF!-電力量!#REF!</f>
        <v>#REF!</v>
      </c>
      <c r="K668" t="e">
        <f>電力量!#REF!-電力量!#REF!</f>
        <v>#REF!</v>
      </c>
      <c r="L668" t="e">
        <f>電力量!#REF!-電力量!#REF!</f>
        <v>#REF!</v>
      </c>
      <c r="M668" t="e">
        <f>電力量!#REF!-電力量!#REF!</f>
        <v>#REF!</v>
      </c>
      <c r="N668" t="e">
        <f>電力量!#REF!-電力量!#REF!</f>
        <v>#REF!</v>
      </c>
      <c r="O668" t="e">
        <f>電力量!#REF!-電力量!#REF!</f>
        <v>#REF!</v>
      </c>
      <c r="P668" t="e">
        <f>電力量!#REF!-電力量!#REF!</f>
        <v>#REF!</v>
      </c>
      <c r="Q668" t="e">
        <f>電力量!#REF!-電力量!#REF!</f>
        <v>#REF!</v>
      </c>
      <c r="R668" t="e">
        <f>電力量!#REF!-電力量!#REF!</f>
        <v>#REF!</v>
      </c>
    </row>
    <row r="669" spans="1:18">
      <c r="A669" s="4">
        <f t="shared" si="225"/>
        <v>45927.791666666664</v>
      </c>
      <c r="B669" t="e">
        <f>電力量!#REF!-電力量!#REF!</f>
        <v>#REF!</v>
      </c>
      <c r="C669" t="e">
        <f>電力量!#REF!-電力量!#REF!</f>
        <v>#REF!</v>
      </c>
      <c r="D669" t="e">
        <f>電力量!#REF!-電力量!#REF!</f>
        <v>#REF!</v>
      </c>
      <c r="E669" t="e">
        <f>電力量!#REF!-電力量!#REF!</f>
        <v>#REF!</v>
      </c>
      <c r="F669" t="e">
        <f>電力量!#REF!-電力量!#REF!</f>
        <v>#REF!</v>
      </c>
      <c r="G669" t="e">
        <f>電力量!#REF!-電力量!#REF!</f>
        <v>#REF!</v>
      </c>
      <c r="H669" t="e">
        <f>電力量!#REF!-電力量!#REF!</f>
        <v>#REF!</v>
      </c>
      <c r="I669" t="e">
        <f>電力量!#REF!-電力量!#REF!</f>
        <v>#REF!</v>
      </c>
      <c r="J669" t="e">
        <f>電力量!#REF!-電力量!#REF!</f>
        <v>#REF!</v>
      </c>
      <c r="K669" t="e">
        <f>電力量!#REF!-電力量!#REF!</f>
        <v>#REF!</v>
      </c>
      <c r="L669" t="e">
        <f>電力量!#REF!-電力量!#REF!</f>
        <v>#REF!</v>
      </c>
      <c r="M669" t="e">
        <f>電力量!#REF!-電力量!#REF!</f>
        <v>#REF!</v>
      </c>
      <c r="N669" t="e">
        <f>電力量!#REF!-電力量!#REF!</f>
        <v>#REF!</v>
      </c>
      <c r="O669" t="e">
        <f>電力量!#REF!-電力量!#REF!</f>
        <v>#REF!</v>
      </c>
      <c r="P669" t="e">
        <f>電力量!#REF!-電力量!#REF!</f>
        <v>#REF!</v>
      </c>
      <c r="Q669" t="e">
        <f>電力量!#REF!-電力量!#REF!</f>
        <v>#REF!</v>
      </c>
      <c r="R669" t="e">
        <f>電力量!#REF!-電力量!#REF!</f>
        <v>#REF!</v>
      </c>
    </row>
    <row r="670" spans="1:18">
      <c r="A670" s="4">
        <f t="shared" si="226"/>
        <v>45927.833333333336</v>
      </c>
      <c r="B670" t="e">
        <f>電力量!#REF!-電力量!#REF!</f>
        <v>#REF!</v>
      </c>
      <c r="C670" t="e">
        <f>電力量!#REF!-電力量!#REF!</f>
        <v>#REF!</v>
      </c>
      <c r="D670" t="e">
        <f>電力量!#REF!-電力量!#REF!</f>
        <v>#REF!</v>
      </c>
      <c r="E670" t="e">
        <f>電力量!#REF!-電力量!#REF!</f>
        <v>#REF!</v>
      </c>
      <c r="F670" t="e">
        <f>電力量!#REF!-電力量!#REF!</f>
        <v>#REF!</v>
      </c>
      <c r="G670" t="e">
        <f>電力量!#REF!-電力量!#REF!</f>
        <v>#REF!</v>
      </c>
      <c r="H670" t="e">
        <f>電力量!#REF!-電力量!#REF!</f>
        <v>#REF!</v>
      </c>
      <c r="I670" t="e">
        <f>電力量!#REF!-電力量!#REF!</f>
        <v>#REF!</v>
      </c>
      <c r="J670" t="e">
        <f>電力量!#REF!-電力量!#REF!</f>
        <v>#REF!</v>
      </c>
      <c r="K670" t="e">
        <f>電力量!#REF!-電力量!#REF!</f>
        <v>#REF!</v>
      </c>
      <c r="L670" t="e">
        <f>電力量!#REF!-電力量!#REF!</f>
        <v>#REF!</v>
      </c>
      <c r="M670" t="e">
        <f>電力量!#REF!-電力量!#REF!</f>
        <v>#REF!</v>
      </c>
      <c r="N670" t="e">
        <f>電力量!#REF!-電力量!#REF!</f>
        <v>#REF!</v>
      </c>
      <c r="O670" t="e">
        <f>電力量!#REF!-電力量!#REF!</f>
        <v>#REF!</v>
      </c>
      <c r="P670" t="e">
        <f>電力量!#REF!-電力量!#REF!</f>
        <v>#REF!</v>
      </c>
      <c r="Q670" t="e">
        <f>電力量!#REF!-電力量!#REF!</f>
        <v>#REF!</v>
      </c>
      <c r="R670" t="e">
        <f>電力量!#REF!-電力量!#REF!</f>
        <v>#REF!</v>
      </c>
    </row>
    <row r="671" spans="1:18">
      <c r="A671" s="4">
        <f t="shared" si="227"/>
        <v>45927.875</v>
      </c>
      <c r="B671" t="e">
        <f>電力量!#REF!-電力量!#REF!</f>
        <v>#REF!</v>
      </c>
      <c r="C671" t="e">
        <f>電力量!#REF!-電力量!#REF!</f>
        <v>#REF!</v>
      </c>
      <c r="D671" t="e">
        <f>電力量!#REF!-電力量!#REF!</f>
        <v>#REF!</v>
      </c>
      <c r="E671" t="e">
        <f>電力量!#REF!-電力量!#REF!</f>
        <v>#REF!</v>
      </c>
      <c r="F671" t="e">
        <f>電力量!#REF!-電力量!#REF!</f>
        <v>#REF!</v>
      </c>
      <c r="G671" t="e">
        <f>電力量!#REF!-電力量!#REF!</f>
        <v>#REF!</v>
      </c>
      <c r="H671" t="e">
        <f>電力量!#REF!-電力量!#REF!</f>
        <v>#REF!</v>
      </c>
      <c r="I671" t="e">
        <f>電力量!#REF!-電力量!#REF!</f>
        <v>#REF!</v>
      </c>
      <c r="J671" t="e">
        <f>電力量!#REF!-電力量!#REF!</f>
        <v>#REF!</v>
      </c>
      <c r="K671" t="e">
        <f>電力量!#REF!-電力量!#REF!</f>
        <v>#REF!</v>
      </c>
      <c r="L671" t="e">
        <f>電力量!#REF!-電力量!#REF!</f>
        <v>#REF!</v>
      </c>
      <c r="M671" t="e">
        <f>電力量!#REF!-電力量!#REF!</f>
        <v>#REF!</v>
      </c>
      <c r="N671" t="e">
        <f>電力量!#REF!-電力量!#REF!</f>
        <v>#REF!</v>
      </c>
      <c r="O671" t="e">
        <f>電力量!#REF!-電力量!#REF!</f>
        <v>#REF!</v>
      </c>
      <c r="P671" t="e">
        <f>電力量!#REF!-電力量!#REF!</f>
        <v>#REF!</v>
      </c>
      <c r="Q671" t="e">
        <f>電力量!#REF!-電力量!#REF!</f>
        <v>#REF!</v>
      </c>
      <c r="R671" t="e">
        <f>電力量!#REF!-電力量!#REF!</f>
        <v>#REF!</v>
      </c>
    </row>
    <row r="672" spans="1:18">
      <c r="A672" s="4">
        <f t="shared" si="228"/>
        <v>45927.916666666664</v>
      </c>
      <c r="B672" t="e">
        <f>電力量!#REF!-電力量!#REF!</f>
        <v>#REF!</v>
      </c>
      <c r="C672" t="e">
        <f>電力量!#REF!-電力量!#REF!</f>
        <v>#REF!</v>
      </c>
      <c r="D672" t="e">
        <f>電力量!#REF!-電力量!#REF!</f>
        <v>#REF!</v>
      </c>
      <c r="E672" t="e">
        <f>電力量!#REF!-電力量!#REF!</f>
        <v>#REF!</v>
      </c>
      <c r="F672" t="e">
        <f>電力量!#REF!-電力量!#REF!</f>
        <v>#REF!</v>
      </c>
      <c r="G672" t="e">
        <f>電力量!#REF!-電力量!#REF!</f>
        <v>#REF!</v>
      </c>
      <c r="H672" t="e">
        <f>電力量!#REF!-電力量!#REF!</f>
        <v>#REF!</v>
      </c>
      <c r="I672" t="e">
        <f>電力量!#REF!-電力量!#REF!</f>
        <v>#REF!</v>
      </c>
      <c r="J672" t="e">
        <f>電力量!#REF!-電力量!#REF!</f>
        <v>#REF!</v>
      </c>
      <c r="K672" t="e">
        <f>電力量!#REF!-電力量!#REF!</f>
        <v>#REF!</v>
      </c>
      <c r="L672" t="e">
        <f>電力量!#REF!-電力量!#REF!</f>
        <v>#REF!</v>
      </c>
      <c r="M672" t="e">
        <f>電力量!#REF!-電力量!#REF!</f>
        <v>#REF!</v>
      </c>
      <c r="N672" t="e">
        <f>電力量!#REF!-電力量!#REF!</f>
        <v>#REF!</v>
      </c>
      <c r="O672" t="e">
        <f>電力量!#REF!-電力量!#REF!</f>
        <v>#REF!</v>
      </c>
      <c r="P672" t="e">
        <f>電力量!#REF!-電力量!#REF!</f>
        <v>#REF!</v>
      </c>
      <c r="Q672" t="e">
        <f>電力量!#REF!-電力量!#REF!</f>
        <v>#REF!</v>
      </c>
      <c r="R672" t="e">
        <f>電力量!#REF!-電力量!#REF!</f>
        <v>#REF!</v>
      </c>
    </row>
    <row r="673" spans="1:18">
      <c r="A673" s="4">
        <f t="shared" si="229"/>
        <v>45927.958333333336</v>
      </c>
      <c r="B673" t="e">
        <f>電力量!#REF!-電力量!#REF!</f>
        <v>#REF!</v>
      </c>
      <c r="C673" t="e">
        <f>電力量!#REF!-電力量!#REF!</f>
        <v>#REF!</v>
      </c>
      <c r="D673" t="e">
        <f>電力量!#REF!-電力量!#REF!</f>
        <v>#REF!</v>
      </c>
      <c r="E673" t="e">
        <f>電力量!#REF!-電力量!#REF!</f>
        <v>#REF!</v>
      </c>
      <c r="F673" t="e">
        <f>電力量!#REF!-電力量!#REF!</f>
        <v>#REF!</v>
      </c>
      <c r="G673" t="e">
        <f>電力量!#REF!-電力量!#REF!</f>
        <v>#REF!</v>
      </c>
      <c r="H673" t="e">
        <f>電力量!#REF!-電力量!#REF!</f>
        <v>#REF!</v>
      </c>
      <c r="I673" t="e">
        <f>電力量!#REF!-電力量!#REF!</f>
        <v>#REF!</v>
      </c>
      <c r="J673" t="e">
        <f>電力量!#REF!-電力量!#REF!</f>
        <v>#REF!</v>
      </c>
      <c r="K673" t="e">
        <f>電力量!#REF!-電力量!#REF!</f>
        <v>#REF!</v>
      </c>
      <c r="L673" t="e">
        <f>電力量!#REF!-電力量!#REF!</f>
        <v>#REF!</v>
      </c>
      <c r="M673" t="e">
        <f>電力量!#REF!-電力量!#REF!</f>
        <v>#REF!</v>
      </c>
      <c r="N673" t="e">
        <f>電力量!#REF!-電力量!#REF!</f>
        <v>#REF!</v>
      </c>
      <c r="O673" t="e">
        <f>電力量!#REF!-電力量!#REF!</f>
        <v>#REF!</v>
      </c>
      <c r="P673" t="e">
        <f>電力量!#REF!-電力量!#REF!</f>
        <v>#REF!</v>
      </c>
      <c r="Q673" t="e">
        <f>電力量!#REF!-電力量!#REF!</f>
        <v>#REF!</v>
      </c>
      <c r="R673" t="e">
        <f>電力量!#REF!-電力量!#REF!</f>
        <v>#REF!</v>
      </c>
    </row>
    <row r="674" spans="1:18">
      <c r="A674" s="4">
        <v>45928</v>
      </c>
      <c r="B674" t="e">
        <f>電力量!#REF!-電力量!#REF!</f>
        <v>#REF!</v>
      </c>
      <c r="C674" t="e">
        <f>電力量!#REF!-電力量!#REF!</f>
        <v>#REF!</v>
      </c>
      <c r="D674" t="e">
        <f>電力量!#REF!-電力量!#REF!</f>
        <v>#REF!</v>
      </c>
      <c r="E674" t="e">
        <f>電力量!#REF!-電力量!#REF!</f>
        <v>#REF!</v>
      </c>
      <c r="F674" t="e">
        <f>電力量!#REF!-電力量!#REF!</f>
        <v>#REF!</v>
      </c>
      <c r="G674" t="e">
        <f>電力量!#REF!-電力量!#REF!</f>
        <v>#REF!</v>
      </c>
      <c r="H674" t="e">
        <f>電力量!#REF!-電力量!#REF!</f>
        <v>#REF!</v>
      </c>
      <c r="I674" t="e">
        <f>電力量!#REF!-電力量!#REF!</f>
        <v>#REF!</v>
      </c>
      <c r="J674" t="e">
        <f>電力量!#REF!-電力量!#REF!</f>
        <v>#REF!</v>
      </c>
      <c r="K674" t="e">
        <f>電力量!#REF!-電力量!#REF!</f>
        <v>#REF!</v>
      </c>
      <c r="L674" t="e">
        <f>電力量!#REF!-電力量!#REF!</f>
        <v>#REF!</v>
      </c>
      <c r="M674" t="e">
        <f>電力量!#REF!-電力量!#REF!</f>
        <v>#REF!</v>
      </c>
      <c r="N674" t="e">
        <f>電力量!#REF!-電力量!#REF!</f>
        <v>#REF!</v>
      </c>
      <c r="O674" t="e">
        <f>電力量!#REF!-電力量!#REF!</f>
        <v>#REF!</v>
      </c>
      <c r="P674" t="e">
        <f>電力量!#REF!-電力量!#REF!</f>
        <v>#REF!</v>
      </c>
      <c r="Q674" t="e">
        <f>電力量!#REF!-電力量!#REF!</f>
        <v>#REF!</v>
      </c>
      <c r="R674" t="e">
        <f>電力量!#REF!-電力量!#REF!</f>
        <v>#REF!</v>
      </c>
    </row>
    <row r="675" spans="1:18">
      <c r="A675" s="4">
        <f t="shared" ref="A675:A723" si="230">A674+(1/24)</f>
        <v>45928.041666666664</v>
      </c>
      <c r="B675" t="e">
        <f>電力量!#REF!-電力量!#REF!</f>
        <v>#REF!</v>
      </c>
      <c r="C675" t="e">
        <f>電力量!#REF!-電力量!#REF!</f>
        <v>#REF!</v>
      </c>
      <c r="D675" t="e">
        <f>電力量!#REF!-電力量!#REF!</f>
        <v>#REF!</v>
      </c>
      <c r="E675" t="e">
        <f>電力量!#REF!-電力量!#REF!</f>
        <v>#REF!</v>
      </c>
      <c r="F675" t="e">
        <f>電力量!#REF!-電力量!#REF!</f>
        <v>#REF!</v>
      </c>
      <c r="G675" t="e">
        <f>電力量!#REF!-電力量!#REF!</f>
        <v>#REF!</v>
      </c>
      <c r="H675" t="e">
        <f>電力量!#REF!-電力量!#REF!</f>
        <v>#REF!</v>
      </c>
      <c r="I675" t="e">
        <f>電力量!#REF!-電力量!#REF!</f>
        <v>#REF!</v>
      </c>
      <c r="J675" t="e">
        <f>電力量!#REF!-電力量!#REF!</f>
        <v>#REF!</v>
      </c>
      <c r="K675" t="e">
        <f>電力量!#REF!-電力量!#REF!</f>
        <v>#REF!</v>
      </c>
      <c r="L675" t="e">
        <f>電力量!#REF!-電力量!#REF!</f>
        <v>#REF!</v>
      </c>
      <c r="M675" t="e">
        <f>電力量!#REF!-電力量!#REF!</f>
        <v>#REF!</v>
      </c>
      <c r="N675" t="e">
        <f>電力量!#REF!-電力量!#REF!</f>
        <v>#REF!</v>
      </c>
      <c r="O675" t="e">
        <f>電力量!#REF!-電力量!#REF!</f>
        <v>#REF!</v>
      </c>
      <c r="P675" t="e">
        <f>電力量!#REF!-電力量!#REF!</f>
        <v>#REF!</v>
      </c>
      <c r="Q675" t="e">
        <f>電力量!#REF!-電力量!#REF!</f>
        <v>#REF!</v>
      </c>
      <c r="R675" t="e">
        <f>電力量!#REF!-電力量!#REF!</f>
        <v>#REF!</v>
      </c>
    </row>
    <row r="676" spans="1:18">
      <c r="A676" s="4">
        <f t="shared" ref="A676:A724" si="231">A674+(2/24)</f>
        <v>45928.083333333336</v>
      </c>
      <c r="B676" t="e">
        <f>電力量!#REF!-電力量!#REF!</f>
        <v>#REF!</v>
      </c>
      <c r="C676" t="e">
        <f>電力量!#REF!-電力量!#REF!</f>
        <v>#REF!</v>
      </c>
      <c r="D676" t="e">
        <f>電力量!#REF!-電力量!#REF!</f>
        <v>#REF!</v>
      </c>
      <c r="E676" t="e">
        <f>電力量!#REF!-電力量!#REF!</f>
        <v>#REF!</v>
      </c>
      <c r="F676" t="e">
        <f>電力量!#REF!-電力量!#REF!</f>
        <v>#REF!</v>
      </c>
      <c r="G676" t="e">
        <f>電力量!#REF!-電力量!#REF!</f>
        <v>#REF!</v>
      </c>
      <c r="H676" t="e">
        <f>電力量!#REF!-電力量!#REF!</f>
        <v>#REF!</v>
      </c>
      <c r="I676" t="e">
        <f>電力量!#REF!-電力量!#REF!</f>
        <v>#REF!</v>
      </c>
      <c r="J676" t="e">
        <f>電力量!#REF!-電力量!#REF!</f>
        <v>#REF!</v>
      </c>
      <c r="K676" t="e">
        <f>電力量!#REF!-電力量!#REF!</f>
        <v>#REF!</v>
      </c>
      <c r="L676" t="e">
        <f>電力量!#REF!-電力量!#REF!</f>
        <v>#REF!</v>
      </c>
      <c r="M676" t="e">
        <f>電力量!#REF!-電力量!#REF!</f>
        <v>#REF!</v>
      </c>
      <c r="N676" t="e">
        <f>電力量!#REF!-電力量!#REF!</f>
        <v>#REF!</v>
      </c>
      <c r="O676" t="e">
        <f>電力量!#REF!-電力量!#REF!</f>
        <v>#REF!</v>
      </c>
      <c r="P676" t="e">
        <f>電力量!#REF!-電力量!#REF!</f>
        <v>#REF!</v>
      </c>
      <c r="Q676" t="e">
        <f>電力量!#REF!-電力量!#REF!</f>
        <v>#REF!</v>
      </c>
      <c r="R676" t="e">
        <f>電力量!#REF!-電力量!#REF!</f>
        <v>#REF!</v>
      </c>
    </row>
    <row r="677" spans="1:18">
      <c r="A677" s="4">
        <f t="shared" ref="A677:A725" si="232">A674+(3/24)</f>
        <v>45928.125</v>
      </c>
      <c r="B677" t="e">
        <f>電力量!#REF!-電力量!#REF!</f>
        <v>#REF!</v>
      </c>
      <c r="C677" t="e">
        <f>電力量!#REF!-電力量!#REF!</f>
        <v>#REF!</v>
      </c>
      <c r="D677" t="e">
        <f>電力量!#REF!-電力量!#REF!</f>
        <v>#REF!</v>
      </c>
      <c r="E677" t="e">
        <f>電力量!#REF!-電力量!#REF!</f>
        <v>#REF!</v>
      </c>
      <c r="F677" t="e">
        <f>電力量!#REF!-電力量!#REF!</f>
        <v>#REF!</v>
      </c>
      <c r="G677" t="e">
        <f>電力量!#REF!-電力量!#REF!</f>
        <v>#REF!</v>
      </c>
      <c r="H677" t="e">
        <f>電力量!#REF!-電力量!#REF!</f>
        <v>#REF!</v>
      </c>
      <c r="I677" t="e">
        <f>電力量!#REF!-電力量!#REF!</f>
        <v>#REF!</v>
      </c>
      <c r="J677" t="e">
        <f>電力量!#REF!-電力量!#REF!</f>
        <v>#REF!</v>
      </c>
      <c r="K677" t="e">
        <f>電力量!#REF!-電力量!#REF!</f>
        <v>#REF!</v>
      </c>
      <c r="L677" t="e">
        <f>電力量!#REF!-電力量!#REF!</f>
        <v>#REF!</v>
      </c>
      <c r="M677" t="e">
        <f>電力量!#REF!-電力量!#REF!</f>
        <v>#REF!</v>
      </c>
      <c r="N677" t="e">
        <f>電力量!#REF!-電力量!#REF!</f>
        <v>#REF!</v>
      </c>
      <c r="O677" t="e">
        <f>電力量!#REF!-電力量!#REF!</f>
        <v>#REF!</v>
      </c>
      <c r="P677" t="e">
        <f>電力量!#REF!-電力量!#REF!</f>
        <v>#REF!</v>
      </c>
      <c r="Q677" t="e">
        <f>電力量!#REF!-電力量!#REF!</f>
        <v>#REF!</v>
      </c>
      <c r="R677" t="e">
        <f>電力量!#REF!-電力量!#REF!</f>
        <v>#REF!</v>
      </c>
    </row>
    <row r="678" spans="1:18">
      <c r="A678" s="4">
        <f t="shared" ref="A678:A726" si="233">A674+(4/24)</f>
        <v>45928.166666666664</v>
      </c>
      <c r="B678" t="e">
        <f>電力量!#REF!-電力量!#REF!</f>
        <v>#REF!</v>
      </c>
      <c r="C678" t="e">
        <f>電力量!#REF!-電力量!#REF!</f>
        <v>#REF!</v>
      </c>
      <c r="D678" t="e">
        <f>電力量!#REF!-電力量!#REF!</f>
        <v>#REF!</v>
      </c>
      <c r="E678" t="e">
        <f>電力量!#REF!-電力量!#REF!</f>
        <v>#REF!</v>
      </c>
      <c r="F678" t="e">
        <f>電力量!#REF!-電力量!#REF!</f>
        <v>#REF!</v>
      </c>
      <c r="G678" t="e">
        <f>電力量!#REF!-電力量!#REF!</f>
        <v>#REF!</v>
      </c>
      <c r="H678" t="e">
        <f>電力量!#REF!-電力量!#REF!</f>
        <v>#REF!</v>
      </c>
      <c r="I678" t="e">
        <f>電力量!#REF!-電力量!#REF!</f>
        <v>#REF!</v>
      </c>
      <c r="J678" t="e">
        <f>電力量!#REF!-電力量!#REF!</f>
        <v>#REF!</v>
      </c>
      <c r="K678" t="e">
        <f>電力量!#REF!-電力量!#REF!</f>
        <v>#REF!</v>
      </c>
      <c r="L678" t="e">
        <f>電力量!#REF!-電力量!#REF!</f>
        <v>#REF!</v>
      </c>
      <c r="M678" t="e">
        <f>電力量!#REF!-電力量!#REF!</f>
        <v>#REF!</v>
      </c>
      <c r="N678" t="e">
        <f>電力量!#REF!-電力量!#REF!</f>
        <v>#REF!</v>
      </c>
      <c r="O678" t="e">
        <f>電力量!#REF!-電力量!#REF!</f>
        <v>#REF!</v>
      </c>
      <c r="P678" t="e">
        <f>電力量!#REF!-電力量!#REF!</f>
        <v>#REF!</v>
      </c>
      <c r="Q678" t="e">
        <f>電力量!#REF!-電力量!#REF!</f>
        <v>#REF!</v>
      </c>
      <c r="R678" t="e">
        <f>電力量!#REF!-電力量!#REF!</f>
        <v>#REF!</v>
      </c>
    </row>
    <row r="679" spans="1:18">
      <c r="A679" s="4">
        <f t="shared" ref="A679:A727" si="234">A674+(5/24)</f>
        <v>45928.208333333336</v>
      </c>
      <c r="B679" t="e">
        <f>電力量!#REF!-電力量!#REF!</f>
        <v>#REF!</v>
      </c>
      <c r="C679" t="e">
        <f>電力量!#REF!-電力量!#REF!</f>
        <v>#REF!</v>
      </c>
      <c r="D679" t="e">
        <f>電力量!#REF!-電力量!#REF!</f>
        <v>#REF!</v>
      </c>
      <c r="E679" t="e">
        <f>電力量!#REF!-電力量!#REF!</f>
        <v>#REF!</v>
      </c>
      <c r="F679" t="e">
        <f>電力量!#REF!-電力量!#REF!</f>
        <v>#REF!</v>
      </c>
      <c r="G679" t="e">
        <f>電力量!#REF!-電力量!#REF!</f>
        <v>#REF!</v>
      </c>
      <c r="H679" t="e">
        <f>電力量!#REF!-電力量!#REF!</f>
        <v>#REF!</v>
      </c>
      <c r="I679" t="e">
        <f>電力量!#REF!-電力量!#REF!</f>
        <v>#REF!</v>
      </c>
      <c r="J679" t="e">
        <f>電力量!#REF!-電力量!#REF!</f>
        <v>#REF!</v>
      </c>
      <c r="K679" t="e">
        <f>電力量!#REF!-電力量!#REF!</f>
        <v>#REF!</v>
      </c>
      <c r="L679" t="e">
        <f>電力量!#REF!-電力量!#REF!</f>
        <v>#REF!</v>
      </c>
      <c r="M679" t="e">
        <f>電力量!#REF!-電力量!#REF!</f>
        <v>#REF!</v>
      </c>
      <c r="N679" t="e">
        <f>電力量!#REF!-電力量!#REF!</f>
        <v>#REF!</v>
      </c>
      <c r="O679" t="e">
        <f>電力量!#REF!-電力量!#REF!</f>
        <v>#REF!</v>
      </c>
      <c r="P679" t="e">
        <f>電力量!#REF!-電力量!#REF!</f>
        <v>#REF!</v>
      </c>
      <c r="Q679" t="e">
        <f>電力量!#REF!-電力量!#REF!</f>
        <v>#REF!</v>
      </c>
      <c r="R679" t="e">
        <f>電力量!#REF!-電力量!#REF!</f>
        <v>#REF!</v>
      </c>
    </row>
    <row r="680" spans="1:18">
      <c r="A680" s="4">
        <f t="shared" ref="A680:A728" si="235">A674+(6/24)</f>
        <v>45928.25</v>
      </c>
      <c r="B680" t="e">
        <f>電力量!#REF!-電力量!#REF!</f>
        <v>#REF!</v>
      </c>
      <c r="C680" t="e">
        <f>電力量!#REF!-電力量!#REF!</f>
        <v>#REF!</v>
      </c>
      <c r="D680" t="e">
        <f>電力量!#REF!-電力量!#REF!</f>
        <v>#REF!</v>
      </c>
      <c r="E680" t="e">
        <f>電力量!#REF!-電力量!#REF!</f>
        <v>#REF!</v>
      </c>
      <c r="F680" t="e">
        <f>電力量!#REF!-電力量!#REF!</f>
        <v>#REF!</v>
      </c>
      <c r="G680" t="e">
        <f>電力量!#REF!-電力量!#REF!</f>
        <v>#REF!</v>
      </c>
      <c r="H680" t="e">
        <f>電力量!#REF!-電力量!#REF!</f>
        <v>#REF!</v>
      </c>
      <c r="I680" t="e">
        <f>電力量!#REF!-電力量!#REF!</f>
        <v>#REF!</v>
      </c>
      <c r="J680" t="e">
        <f>電力量!#REF!-電力量!#REF!</f>
        <v>#REF!</v>
      </c>
      <c r="K680" t="e">
        <f>電力量!#REF!-電力量!#REF!</f>
        <v>#REF!</v>
      </c>
      <c r="L680" t="e">
        <f>電力量!#REF!-電力量!#REF!</f>
        <v>#REF!</v>
      </c>
      <c r="M680" t="e">
        <f>電力量!#REF!-電力量!#REF!</f>
        <v>#REF!</v>
      </c>
      <c r="N680" t="e">
        <f>電力量!#REF!-電力量!#REF!</f>
        <v>#REF!</v>
      </c>
      <c r="O680" t="e">
        <f>電力量!#REF!-電力量!#REF!</f>
        <v>#REF!</v>
      </c>
      <c r="P680" t="e">
        <f>電力量!#REF!-電力量!#REF!</f>
        <v>#REF!</v>
      </c>
      <c r="Q680" t="e">
        <f>電力量!#REF!-電力量!#REF!</f>
        <v>#REF!</v>
      </c>
      <c r="R680" t="e">
        <f>電力量!#REF!-電力量!#REF!</f>
        <v>#REF!</v>
      </c>
    </row>
    <row r="681" spans="1:18">
      <c r="A681" s="4">
        <f t="shared" ref="A681:A729" si="236">A674+(7/24)</f>
        <v>45928.291666666664</v>
      </c>
      <c r="B681" t="e">
        <f>電力量!#REF!-電力量!#REF!</f>
        <v>#REF!</v>
      </c>
      <c r="C681" t="e">
        <f>電力量!#REF!-電力量!#REF!</f>
        <v>#REF!</v>
      </c>
      <c r="D681" t="e">
        <f>電力量!#REF!-電力量!#REF!</f>
        <v>#REF!</v>
      </c>
      <c r="E681" t="e">
        <f>電力量!#REF!-電力量!#REF!</f>
        <v>#REF!</v>
      </c>
      <c r="F681" t="e">
        <f>電力量!#REF!-電力量!#REF!</f>
        <v>#REF!</v>
      </c>
      <c r="G681" t="e">
        <f>電力量!#REF!-電力量!#REF!</f>
        <v>#REF!</v>
      </c>
      <c r="H681" t="e">
        <f>電力量!#REF!-電力量!#REF!</f>
        <v>#REF!</v>
      </c>
      <c r="I681" t="e">
        <f>電力量!#REF!-電力量!#REF!</f>
        <v>#REF!</v>
      </c>
      <c r="J681" t="e">
        <f>電力量!#REF!-電力量!#REF!</f>
        <v>#REF!</v>
      </c>
      <c r="K681" t="e">
        <f>電力量!#REF!-電力量!#REF!</f>
        <v>#REF!</v>
      </c>
      <c r="L681" t="e">
        <f>電力量!#REF!-電力量!#REF!</f>
        <v>#REF!</v>
      </c>
      <c r="M681" t="e">
        <f>電力量!#REF!-電力量!#REF!</f>
        <v>#REF!</v>
      </c>
      <c r="N681" t="e">
        <f>電力量!#REF!-電力量!#REF!</f>
        <v>#REF!</v>
      </c>
      <c r="O681" t="e">
        <f>電力量!#REF!-電力量!#REF!</f>
        <v>#REF!</v>
      </c>
      <c r="P681" t="e">
        <f>電力量!#REF!-電力量!#REF!</f>
        <v>#REF!</v>
      </c>
      <c r="Q681" t="e">
        <f>電力量!#REF!-電力量!#REF!</f>
        <v>#REF!</v>
      </c>
      <c r="R681" t="e">
        <f>電力量!#REF!-電力量!#REF!</f>
        <v>#REF!</v>
      </c>
    </row>
    <row r="682" spans="1:18">
      <c r="A682" s="4">
        <f t="shared" ref="A682:A730" si="237">A674+(8/24)</f>
        <v>45928.333333333336</v>
      </c>
      <c r="B682" t="e">
        <f>電力量!#REF!-電力量!#REF!</f>
        <v>#REF!</v>
      </c>
      <c r="C682" t="e">
        <f>電力量!#REF!-電力量!#REF!</f>
        <v>#REF!</v>
      </c>
      <c r="D682" t="e">
        <f>電力量!#REF!-電力量!#REF!</f>
        <v>#REF!</v>
      </c>
      <c r="E682" t="e">
        <f>電力量!#REF!-電力量!#REF!</f>
        <v>#REF!</v>
      </c>
      <c r="F682" t="e">
        <f>電力量!#REF!-電力量!#REF!</f>
        <v>#REF!</v>
      </c>
      <c r="G682" t="e">
        <f>電力量!#REF!-電力量!#REF!</f>
        <v>#REF!</v>
      </c>
      <c r="H682" t="e">
        <f>電力量!#REF!-電力量!#REF!</f>
        <v>#REF!</v>
      </c>
      <c r="I682" t="e">
        <f>電力量!#REF!-電力量!#REF!</f>
        <v>#REF!</v>
      </c>
      <c r="J682" t="e">
        <f>電力量!#REF!-電力量!#REF!</f>
        <v>#REF!</v>
      </c>
      <c r="K682" t="e">
        <f>電力量!#REF!-電力量!#REF!</f>
        <v>#REF!</v>
      </c>
      <c r="L682" t="e">
        <f>電力量!#REF!-電力量!#REF!</f>
        <v>#REF!</v>
      </c>
      <c r="M682" t="e">
        <f>電力量!#REF!-電力量!#REF!</f>
        <v>#REF!</v>
      </c>
      <c r="N682" t="e">
        <f>電力量!#REF!-電力量!#REF!</f>
        <v>#REF!</v>
      </c>
      <c r="O682" t="e">
        <f>電力量!#REF!-電力量!#REF!</f>
        <v>#REF!</v>
      </c>
      <c r="P682" t="e">
        <f>電力量!#REF!-電力量!#REF!</f>
        <v>#REF!</v>
      </c>
      <c r="Q682" t="e">
        <f>電力量!#REF!-電力量!#REF!</f>
        <v>#REF!</v>
      </c>
      <c r="R682" t="e">
        <f>電力量!#REF!-電力量!#REF!</f>
        <v>#REF!</v>
      </c>
    </row>
    <row r="683" spans="1:18">
      <c r="A683" s="4">
        <f t="shared" ref="A683:A731" si="238">A674+(9/24)</f>
        <v>45928.375</v>
      </c>
      <c r="B683" t="e">
        <f>電力量!#REF!-電力量!#REF!</f>
        <v>#REF!</v>
      </c>
      <c r="C683" t="e">
        <f>電力量!#REF!-電力量!#REF!</f>
        <v>#REF!</v>
      </c>
      <c r="D683" t="e">
        <f>電力量!#REF!-電力量!#REF!</f>
        <v>#REF!</v>
      </c>
      <c r="E683" t="e">
        <f>電力量!#REF!-電力量!#REF!</f>
        <v>#REF!</v>
      </c>
      <c r="F683" t="e">
        <f>電力量!#REF!-電力量!#REF!</f>
        <v>#REF!</v>
      </c>
      <c r="G683" t="e">
        <f>電力量!#REF!-電力量!#REF!</f>
        <v>#REF!</v>
      </c>
      <c r="H683" t="e">
        <f>電力量!#REF!-電力量!#REF!</f>
        <v>#REF!</v>
      </c>
      <c r="I683" t="e">
        <f>電力量!#REF!-電力量!#REF!</f>
        <v>#REF!</v>
      </c>
      <c r="J683" t="e">
        <f>電力量!#REF!-電力量!#REF!</f>
        <v>#REF!</v>
      </c>
      <c r="K683" t="e">
        <f>電力量!#REF!-電力量!#REF!</f>
        <v>#REF!</v>
      </c>
      <c r="L683" t="e">
        <f>電力量!#REF!-電力量!#REF!</f>
        <v>#REF!</v>
      </c>
      <c r="M683" t="e">
        <f>電力量!#REF!-電力量!#REF!</f>
        <v>#REF!</v>
      </c>
      <c r="N683" t="e">
        <f>電力量!#REF!-電力量!#REF!</f>
        <v>#REF!</v>
      </c>
      <c r="O683" t="e">
        <f>電力量!#REF!-電力量!#REF!</f>
        <v>#REF!</v>
      </c>
      <c r="P683" t="e">
        <f>電力量!#REF!-電力量!#REF!</f>
        <v>#REF!</v>
      </c>
      <c r="Q683" t="e">
        <f>電力量!#REF!-電力量!#REF!</f>
        <v>#REF!</v>
      </c>
      <c r="R683" t="e">
        <f>電力量!#REF!-電力量!#REF!</f>
        <v>#REF!</v>
      </c>
    </row>
    <row r="684" spans="1:18">
      <c r="A684" s="4">
        <f t="shared" ref="A684:A732" si="239">A674+(10/24)</f>
        <v>45928.416666666664</v>
      </c>
      <c r="B684" t="e">
        <f>電力量!#REF!-電力量!#REF!</f>
        <v>#REF!</v>
      </c>
      <c r="C684" t="e">
        <f>電力量!#REF!-電力量!#REF!</f>
        <v>#REF!</v>
      </c>
      <c r="D684" t="e">
        <f>電力量!#REF!-電力量!#REF!</f>
        <v>#REF!</v>
      </c>
      <c r="E684" t="e">
        <f>電力量!#REF!-電力量!#REF!</f>
        <v>#REF!</v>
      </c>
      <c r="F684" t="e">
        <f>電力量!#REF!-電力量!#REF!</f>
        <v>#REF!</v>
      </c>
      <c r="G684" t="e">
        <f>電力量!#REF!-電力量!#REF!</f>
        <v>#REF!</v>
      </c>
      <c r="H684" t="e">
        <f>電力量!#REF!-電力量!#REF!</f>
        <v>#REF!</v>
      </c>
      <c r="I684" t="e">
        <f>電力量!#REF!-電力量!#REF!</f>
        <v>#REF!</v>
      </c>
      <c r="J684" t="e">
        <f>電力量!#REF!-電力量!#REF!</f>
        <v>#REF!</v>
      </c>
      <c r="K684" t="e">
        <f>電力量!#REF!-電力量!#REF!</f>
        <v>#REF!</v>
      </c>
      <c r="L684" t="e">
        <f>電力量!#REF!-電力量!#REF!</f>
        <v>#REF!</v>
      </c>
      <c r="M684" t="e">
        <f>電力量!#REF!-電力量!#REF!</f>
        <v>#REF!</v>
      </c>
      <c r="N684" t="e">
        <f>電力量!#REF!-電力量!#REF!</f>
        <v>#REF!</v>
      </c>
      <c r="O684" t="e">
        <f>電力量!#REF!-電力量!#REF!</f>
        <v>#REF!</v>
      </c>
      <c r="P684" t="e">
        <f>電力量!#REF!-電力量!#REF!</f>
        <v>#REF!</v>
      </c>
      <c r="Q684" t="e">
        <f>電力量!#REF!-電力量!#REF!</f>
        <v>#REF!</v>
      </c>
      <c r="R684" t="e">
        <f>電力量!#REF!-電力量!#REF!</f>
        <v>#REF!</v>
      </c>
    </row>
    <row r="685" spans="1:18">
      <c r="A685" s="4">
        <f t="shared" ref="A685:A733" si="240">A674+(11/24)</f>
        <v>45928.458333333336</v>
      </c>
      <c r="B685" t="e">
        <f>電力量!#REF!-電力量!#REF!</f>
        <v>#REF!</v>
      </c>
      <c r="C685" t="e">
        <f>電力量!#REF!-電力量!#REF!</f>
        <v>#REF!</v>
      </c>
      <c r="D685" t="e">
        <f>電力量!#REF!-電力量!#REF!</f>
        <v>#REF!</v>
      </c>
      <c r="E685" t="e">
        <f>電力量!#REF!-電力量!#REF!</f>
        <v>#REF!</v>
      </c>
      <c r="F685" t="e">
        <f>電力量!#REF!-電力量!#REF!</f>
        <v>#REF!</v>
      </c>
      <c r="G685" t="e">
        <f>電力量!#REF!-電力量!#REF!</f>
        <v>#REF!</v>
      </c>
      <c r="H685" t="e">
        <f>電力量!#REF!-電力量!#REF!</f>
        <v>#REF!</v>
      </c>
      <c r="I685" t="e">
        <f>電力量!#REF!-電力量!#REF!</f>
        <v>#REF!</v>
      </c>
      <c r="J685" t="e">
        <f>電力量!#REF!-電力量!#REF!</f>
        <v>#REF!</v>
      </c>
      <c r="K685" t="e">
        <f>電力量!#REF!-電力量!#REF!</f>
        <v>#REF!</v>
      </c>
      <c r="L685" t="e">
        <f>電力量!#REF!-電力量!#REF!</f>
        <v>#REF!</v>
      </c>
      <c r="M685" t="e">
        <f>電力量!#REF!-電力量!#REF!</f>
        <v>#REF!</v>
      </c>
      <c r="N685" t="e">
        <f>電力量!#REF!-電力量!#REF!</f>
        <v>#REF!</v>
      </c>
      <c r="O685" t="e">
        <f>電力量!#REF!-電力量!#REF!</f>
        <v>#REF!</v>
      </c>
      <c r="P685" t="e">
        <f>電力量!#REF!-電力量!#REF!</f>
        <v>#REF!</v>
      </c>
      <c r="Q685" t="e">
        <f>電力量!#REF!-電力量!#REF!</f>
        <v>#REF!</v>
      </c>
      <c r="R685" t="e">
        <f>電力量!#REF!-電力量!#REF!</f>
        <v>#REF!</v>
      </c>
    </row>
    <row r="686" spans="1:18">
      <c r="A686" s="4">
        <f t="shared" ref="A686:A734" si="241">A674+(12/24)</f>
        <v>45928.5</v>
      </c>
      <c r="B686" t="e">
        <f>電力量!#REF!-電力量!#REF!</f>
        <v>#REF!</v>
      </c>
      <c r="C686" t="e">
        <f>電力量!#REF!-電力量!#REF!</f>
        <v>#REF!</v>
      </c>
      <c r="D686" t="e">
        <f>電力量!#REF!-電力量!#REF!</f>
        <v>#REF!</v>
      </c>
      <c r="E686" t="e">
        <f>電力量!#REF!-電力量!#REF!</f>
        <v>#REF!</v>
      </c>
      <c r="F686" t="e">
        <f>電力量!#REF!-電力量!#REF!</f>
        <v>#REF!</v>
      </c>
      <c r="G686" t="e">
        <f>電力量!#REF!-電力量!#REF!</f>
        <v>#REF!</v>
      </c>
      <c r="H686" t="e">
        <f>電力量!#REF!-電力量!#REF!</f>
        <v>#REF!</v>
      </c>
      <c r="I686" t="e">
        <f>電力量!#REF!-電力量!#REF!</f>
        <v>#REF!</v>
      </c>
      <c r="J686" t="e">
        <f>電力量!#REF!-電力量!#REF!</f>
        <v>#REF!</v>
      </c>
      <c r="K686" t="e">
        <f>電力量!#REF!-電力量!#REF!</f>
        <v>#REF!</v>
      </c>
      <c r="L686" t="e">
        <f>電力量!#REF!-電力量!#REF!</f>
        <v>#REF!</v>
      </c>
      <c r="M686" t="e">
        <f>電力量!#REF!-電力量!#REF!</f>
        <v>#REF!</v>
      </c>
      <c r="N686" t="e">
        <f>電力量!#REF!-電力量!#REF!</f>
        <v>#REF!</v>
      </c>
      <c r="O686" t="e">
        <f>電力量!#REF!-電力量!#REF!</f>
        <v>#REF!</v>
      </c>
      <c r="P686" t="e">
        <f>電力量!#REF!-電力量!#REF!</f>
        <v>#REF!</v>
      </c>
      <c r="Q686" t="e">
        <f>電力量!#REF!-電力量!#REF!</f>
        <v>#REF!</v>
      </c>
      <c r="R686" t="e">
        <f>電力量!#REF!-電力量!#REF!</f>
        <v>#REF!</v>
      </c>
    </row>
    <row r="687" spans="1:18">
      <c r="A687" s="4">
        <f t="shared" ref="A687:A735" si="242">A674+(13/24)</f>
        <v>45928.541666666664</v>
      </c>
      <c r="B687" t="e">
        <f>電力量!#REF!-電力量!#REF!</f>
        <v>#REF!</v>
      </c>
      <c r="C687" t="e">
        <f>電力量!#REF!-電力量!#REF!</f>
        <v>#REF!</v>
      </c>
      <c r="D687" t="e">
        <f>電力量!#REF!-電力量!#REF!</f>
        <v>#REF!</v>
      </c>
      <c r="E687" t="e">
        <f>電力量!#REF!-電力量!#REF!</f>
        <v>#REF!</v>
      </c>
      <c r="F687" t="e">
        <f>電力量!#REF!-電力量!#REF!</f>
        <v>#REF!</v>
      </c>
      <c r="G687" t="e">
        <f>電力量!#REF!-電力量!#REF!</f>
        <v>#REF!</v>
      </c>
      <c r="H687" t="e">
        <f>電力量!#REF!-電力量!#REF!</f>
        <v>#REF!</v>
      </c>
      <c r="I687" t="e">
        <f>電力量!#REF!-電力量!#REF!</f>
        <v>#REF!</v>
      </c>
      <c r="J687" t="e">
        <f>電力量!#REF!-電力量!#REF!</f>
        <v>#REF!</v>
      </c>
      <c r="K687" t="e">
        <f>電力量!#REF!-電力量!#REF!</f>
        <v>#REF!</v>
      </c>
      <c r="L687" t="e">
        <f>電力量!#REF!-電力量!#REF!</f>
        <v>#REF!</v>
      </c>
      <c r="M687" t="e">
        <f>電力量!#REF!-電力量!#REF!</f>
        <v>#REF!</v>
      </c>
      <c r="N687" t="e">
        <f>電力量!#REF!-電力量!#REF!</f>
        <v>#REF!</v>
      </c>
      <c r="O687" t="e">
        <f>電力量!#REF!-電力量!#REF!</f>
        <v>#REF!</v>
      </c>
      <c r="P687" t="e">
        <f>電力量!#REF!-電力量!#REF!</f>
        <v>#REF!</v>
      </c>
      <c r="Q687" t="e">
        <f>電力量!#REF!-電力量!#REF!</f>
        <v>#REF!</v>
      </c>
      <c r="R687" t="e">
        <f>電力量!#REF!-電力量!#REF!</f>
        <v>#REF!</v>
      </c>
    </row>
    <row r="688" spans="1:18">
      <c r="A688" s="4">
        <f t="shared" ref="A688:A736" si="243">A674+(14/24)</f>
        <v>45928.583333333336</v>
      </c>
      <c r="B688" t="e">
        <f>電力量!#REF!-電力量!#REF!</f>
        <v>#REF!</v>
      </c>
      <c r="C688" t="e">
        <f>電力量!#REF!-電力量!#REF!</f>
        <v>#REF!</v>
      </c>
      <c r="D688" t="e">
        <f>電力量!#REF!-電力量!#REF!</f>
        <v>#REF!</v>
      </c>
      <c r="E688" t="e">
        <f>電力量!#REF!-電力量!#REF!</f>
        <v>#REF!</v>
      </c>
      <c r="F688" t="e">
        <f>電力量!#REF!-電力量!#REF!</f>
        <v>#REF!</v>
      </c>
      <c r="G688" t="e">
        <f>電力量!#REF!-電力量!#REF!</f>
        <v>#REF!</v>
      </c>
      <c r="H688" t="e">
        <f>電力量!#REF!-電力量!#REF!</f>
        <v>#REF!</v>
      </c>
      <c r="I688" t="e">
        <f>電力量!#REF!-電力量!#REF!</f>
        <v>#REF!</v>
      </c>
      <c r="J688" t="e">
        <f>電力量!#REF!-電力量!#REF!</f>
        <v>#REF!</v>
      </c>
      <c r="K688" t="e">
        <f>電力量!#REF!-電力量!#REF!</f>
        <v>#REF!</v>
      </c>
      <c r="L688" t="e">
        <f>電力量!#REF!-電力量!#REF!</f>
        <v>#REF!</v>
      </c>
      <c r="M688" t="e">
        <f>電力量!#REF!-電力量!#REF!</f>
        <v>#REF!</v>
      </c>
      <c r="N688" t="e">
        <f>電力量!#REF!-電力量!#REF!</f>
        <v>#REF!</v>
      </c>
      <c r="O688" t="e">
        <f>電力量!#REF!-電力量!#REF!</f>
        <v>#REF!</v>
      </c>
      <c r="P688" t="e">
        <f>電力量!#REF!-電力量!#REF!</f>
        <v>#REF!</v>
      </c>
      <c r="Q688" t="e">
        <f>電力量!#REF!-電力量!#REF!</f>
        <v>#REF!</v>
      </c>
      <c r="R688" t="e">
        <f>電力量!#REF!-電力量!#REF!</f>
        <v>#REF!</v>
      </c>
    </row>
    <row r="689" spans="1:18">
      <c r="A689" s="4">
        <f t="shared" ref="A689:A713" si="244">A674+(15/24)</f>
        <v>45928.625</v>
      </c>
      <c r="B689" t="e">
        <f>電力量!#REF!-電力量!#REF!</f>
        <v>#REF!</v>
      </c>
      <c r="C689" t="e">
        <f>電力量!#REF!-電力量!#REF!</f>
        <v>#REF!</v>
      </c>
      <c r="D689" t="e">
        <f>電力量!#REF!-電力量!#REF!</f>
        <v>#REF!</v>
      </c>
      <c r="E689" t="e">
        <f>電力量!#REF!-電力量!#REF!</f>
        <v>#REF!</v>
      </c>
      <c r="F689" t="e">
        <f>電力量!#REF!-電力量!#REF!</f>
        <v>#REF!</v>
      </c>
      <c r="G689" t="e">
        <f>電力量!#REF!-電力量!#REF!</f>
        <v>#REF!</v>
      </c>
      <c r="H689" t="e">
        <f>電力量!#REF!-電力量!#REF!</f>
        <v>#REF!</v>
      </c>
      <c r="I689" t="e">
        <f>電力量!#REF!-電力量!#REF!</f>
        <v>#REF!</v>
      </c>
      <c r="J689" t="e">
        <f>電力量!#REF!-電力量!#REF!</f>
        <v>#REF!</v>
      </c>
      <c r="K689" t="e">
        <f>電力量!#REF!-電力量!#REF!</f>
        <v>#REF!</v>
      </c>
      <c r="L689" t="e">
        <f>電力量!#REF!-電力量!#REF!</f>
        <v>#REF!</v>
      </c>
      <c r="M689" t="e">
        <f>電力量!#REF!-電力量!#REF!</f>
        <v>#REF!</v>
      </c>
      <c r="N689" t="e">
        <f>電力量!#REF!-電力量!#REF!</f>
        <v>#REF!</v>
      </c>
      <c r="O689" t="e">
        <f>電力量!#REF!-電力量!#REF!</f>
        <v>#REF!</v>
      </c>
      <c r="P689" t="e">
        <f>電力量!#REF!-電力量!#REF!</f>
        <v>#REF!</v>
      </c>
      <c r="Q689" t="e">
        <f>電力量!#REF!-電力量!#REF!</f>
        <v>#REF!</v>
      </c>
      <c r="R689" t="e">
        <f>電力量!#REF!-電力量!#REF!</f>
        <v>#REF!</v>
      </c>
    </row>
    <row r="690" spans="1:18">
      <c r="A690" s="4">
        <f t="shared" ref="A690:A714" si="245">A674+(16/24)</f>
        <v>45928.666666666664</v>
      </c>
      <c r="B690" t="e">
        <f>電力量!#REF!-電力量!#REF!</f>
        <v>#REF!</v>
      </c>
      <c r="C690" t="e">
        <f>電力量!#REF!-電力量!#REF!</f>
        <v>#REF!</v>
      </c>
      <c r="D690" t="e">
        <f>電力量!#REF!-電力量!#REF!</f>
        <v>#REF!</v>
      </c>
      <c r="E690" t="e">
        <f>電力量!#REF!-電力量!#REF!</f>
        <v>#REF!</v>
      </c>
      <c r="F690" t="e">
        <f>電力量!#REF!-電力量!#REF!</f>
        <v>#REF!</v>
      </c>
      <c r="G690" t="e">
        <f>電力量!#REF!-電力量!#REF!</f>
        <v>#REF!</v>
      </c>
      <c r="H690" t="e">
        <f>電力量!#REF!-電力量!#REF!</f>
        <v>#REF!</v>
      </c>
      <c r="I690" t="e">
        <f>電力量!#REF!-電力量!#REF!</f>
        <v>#REF!</v>
      </c>
      <c r="J690" t="e">
        <f>電力量!#REF!-電力量!#REF!</f>
        <v>#REF!</v>
      </c>
      <c r="K690" t="e">
        <f>電力量!#REF!-電力量!#REF!</f>
        <v>#REF!</v>
      </c>
      <c r="L690" t="e">
        <f>電力量!#REF!-電力量!#REF!</f>
        <v>#REF!</v>
      </c>
      <c r="M690" t="e">
        <f>電力量!#REF!-電力量!#REF!</f>
        <v>#REF!</v>
      </c>
      <c r="N690" t="e">
        <f>電力量!#REF!-電力量!#REF!</f>
        <v>#REF!</v>
      </c>
      <c r="O690" t="e">
        <f>電力量!#REF!-電力量!#REF!</f>
        <v>#REF!</v>
      </c>
      <c r="P690" t="e">
        <f>電力量!#REF!-電力量!#REF!</f>
        <v>#REF!</v>
      </c>
      <c r="Q690" t="e">
        <f>電力量!#REF!-電力量!#REF!</f>
        <v>#REF!</v>
      </c>
      <c r="R690" t="e">
        <f>電力量!#REF!-電力量!#REF!</f>
        <v>#REF!</v>
      </c>
    </row>
    <row r="691" spans="1:18">
      <c r="A691" s="4">
        <f t="shared" ref="A691:A715" si="246">A674+(17/24)</f>
        <v>45928.708333333336</v>
      </c>
      <c r="B691" t="e">
        <f>電力量!#REF!-電力量!#REF!</f>
        <v>#REF!</v>
      </c>
      <c r="C691" t="e">
        <f>電力量!#REF!-電力量!#REF!</f>
        <v>#REF!</v>
      </c>
      <c r="D691" t="e">
        <f>電力量!#REF!-電力量!#REF!</f>
        <v>#REF!</v>
      </c>
      <c r="E691" t="e">
        <f>電力量!#REF!-電力量!#REF!</f>
        <v>#REF!</v>
      </c>
      <c r="F691" t="e">
        <f>電力量!#REF!-電力量!#REF!</f>
        <v>#REF!</v>
      </c>
      <c r="G691" t="e">
        <f>電力量!#REF!-電力量!#REF!</f>
        <v>#REF!</v>
      </c>
      <c r="H691" t="e">
        <f>電力量!#REF!-電力量!#REF!</f>
        <v>#REF!</v>
      </c>
      <c r="I691" t="e">
        <f>電力量!#REF!-電力量!#REF!</f>
        <v>#REF!</v>
      </c>
      <c r="J691" t="e">
        <f>電力量!#REF!-電力量!#REF!</f>
        <v>#REF!</v>
      </c>
      <c r="K691" t="e">
        <f>電力量!#REF!-電力量!#REF!</f>
        <v>#REF!</v>
      </c>
      <c r="L691" t="e">
        <f>電力量!#REF!-電力量!#REF!</f>
        <v>#REF!</v>
      </c>
      <c r="M691" t="e">
        <f>電力量!#REF!-電力量!#REF!</f>
        <v>#REF!</v>
      </c>
      <c r="N691" t="e">
        <f>電力量!#REF!-電力量!#REF!</f>
        <v>#REF!</v>
      </c>
      <c r="O691" t="e">
        <f>電力量!#REF!-電力量!#REF!</f>
        <v>#REF!</v>
      </c>
      <c r="P691" t="e">
        <f>電力量!#REF!-電力量!#REF!</f>
        <v>#REF!</v>
      </c>
      <c r="Q691" t="e">
        <f>電力量!#REF!-電力量!#REF!</f>
        <v>#REF!</v>
      </c>
      <c r="R691" t="e">
        <f>電力量!#REF!-電力量!#REF!</f>
        <v>#REF!</v>
      </c>
    </row>
    <row r="692" spans="1:18">
      <c r="A692" s="4">
        <f t="shared" ref="A692:A716" si="247">A674+(18/24)</f>
        <v>45928.75</v>
      </c>
      <c r="B692" t="e">
        <f>電力量!#REF!-電力量!#REF!</f>
        <v>#REF!</v>
      </c>
      <c r="C692" t="e">
        <f>電力量!#REF!-電力量!#REF!</f>
        <v>#REF!</v>
      </c>
      <c r="D692" t="e">
        <f>電力量!#REF!-電力量!#REF!</f>
        <v>#REF!</v>
      </c>
      <c r="E692" t="e">
        <f>電力量!#REF!-電力量!#REF!</f>
        <v>#REF!</v>
      </c>
      <c r="F692" t="e">
        <f>電力量!#REF!-電力量!#REF!</f>
        <v>#REF!</v>
      </c>
      <c r="G692" t="e">
        <f>電力量!#REF!-電力量!#REF!</f>
        <v>#REF!</v>
      </c>
      <c r="H692" t="e">
        <f>電力量!#REF!-電力量!#REF!</f>
        <v>#REF!</v>
      </c>
      <c r="I692" t="e">
        <f>電力量!#REF!-電力量!#REF!</f>
        <v>#REF!</v>
      </c>
      <c r="J692" t="e">
        <f>電力量!#REF!-電力量!#REF!</f>
        <v>#REF!</v>
      </c>
      <c r="K692" t="e">
        <f>電力量!#REF!-電力量!#REF!</f>
        <v>#REF!</v>
      </c>
      <c r="L692" t="e">
        <f>電力量!#REF!-電力量!#REF!</f>
        <v>#REF!</v>
      </c>
      <c r="M692" t="e">
        <f>電力量!#REF!-電力量!#REF!</f>
        <v>#REF!</v>
      </c>
      <c r="N692" t="e">
        <f>電力量!#REF!-電力量!#REF!</f>
        <v>#REF!</v>
      </c>
      <c r="O692" t="e">
        <f>電力量!#REF!-電力量!#REF!</f>
        <v>#REF!</v>
      </c>
      <c r="P692" t="e">
        <f>電力量!#REF!-電力量!#REF!</f>
        <v>#REF!</v>
      </c>
      <c r="Q692" t="e">
        <f>電力量!#REF!-電力量!#REF!</f>
        <v>#REF!</v>
      </c>
      <c r="R692" t="e">
        <f>電力量!#REF!-電力量!#REF!</f>
        <v>#REF!</v>
      </c>
    </row>
    <row r="693" spans="1:18">
      <c r="A693" s="4">
        <f t="shared" ref="A693:A717" si="248">A674+(19/24)</f>
        <v>45928.791666666664</v>
      </c>
      <c r="B693" t="e">
        <f>電力量!#REF!-電力量!#REF!</f>
        <v>#REF!</v>
      </c>
      <c r="C693" t="e">
        <f>電力量!#REF!-電力量!#REF!</f>
        <v>#REF!</v>
      </c>
      <c r="D693" t="e">
        <f>電力量!#REF!-電力量!#REF!</f>
        <v>#REF!</v>
      </c>
      <c r="E693" t="e">
        <f>電力量!#REF!-電力量!#REF!</f>
        <v>#REF!</v>
      </c>
      <c r="F693" t="e">
        <f>電力量!#REF!-電力量!#REF!</f>
        <v>#REF!</v>
      </c>
      <c r="G693" t="e">
        <f>電力量!#REF!-電力量!#REF!</f>
        <v>#REF!</v>
      </c>
      <c r="H693" t="e">
        <f>電力量!#REF!-電力量!#REF!</f>
        <v>#REF!</v>
      </c>
      <c r="I693" t="e">
        <f>電力量!#REF!-電力量!#REF!</f>
        <v>#REF!</v>
      </c>
      <c r="J693" t="e">
        <f>電力量!#REF!-電力量!#REF!</f>
        <v>#REF!</v>
      </c>
      <c r="K693" t="e">
        <f>電力量!#REF!-電力量!#REF!</f>
        <v>#REF!</v>
      </c>
      <c r="L693" t="e">
        <f>電力量!#REF!-電力量!#REF!</f>
        <v>#REF!</v>
      </c>
      <c r="M693" t="e">
        <f>電力量!#REF!-電力量!#REF!</f>
        <v>#REF!</v>
      </c>
      <c r="N693" t="e">
        <f>電力量!#REF!-電力量!#REF!</f>
        <v>#REF!</v>
      </c>
      <c r="O693" t="e">
        <f>電力量!#REF!-電力量!#REF!</f>
        <v>#REF!</v>
      </c>
      <c r="P693" t="e">
        <f>電力量!#REF!-電力量!#REF!</f>
        <v>#REF!</v>
      </c>
      <c r="Q693" t="e">
        <f>電力量!#REF!-電力量!#REF!</f>
        <v>#REF!</v>
      </c>
      <c r="R693" t="e">
        <f>電力量!#REF!-電力量!#REF!</f>
        <v>#REF!</v>
      </c>
    </row>
    <row r="694" spans="1:18">
      <c r="A694" s="4">
        <f t="shared" ref="A694:A718" si="249">A674+(20/24)</f>
        <v>45928.833333333336</v>
      </c>
      <c r="B694" t="e">
        <f>電力量!#REF!-電力量!#REF!</f>
        <v>#REF!</v>
      </c>
      <c r="C694" t="e">
        <f>電力量!#REF!-電力量!#REF!</f>
        <v>#REF!</v>
      </c>
      <c r="D694" t="e">
        <f>電力量!#REF!-電力量!#REF!</f>
        <v>#REF!</v>
      </c>
      <c r="E694" t="e">
        <f>電力量!#REF!-電力量!#REF!</f>
        <v>#REF!</v>
      </c>
      <c r="F694" t="e">
        <f>電力量!#REF!-電力量!#REF!</f>
        <v>#REF!</v>
      </c>
      <c r="G694" t="e">
        <f>電力量!#REF!-電力量!#REF!</f>
        <v>#REF!</v>
      </c>
      <c r="H694" t="e">
        <f>電力量!#REF!-電力量!#REF!</f>
        <v>#REF!</v>
      </c>
      <c r="I694" t="e">
        <f>電力量!#REF!-電力量!#REF!</f>
        <v>#REF!</v>
      </c>
      <c r="J694" t="e">
        <f>電力量!#REF!-電力量!#REF!</f>
        <v>#REF!</v>
      </c>
      <c r="K694" t="e">
        <f>電力量!#REF!-電力量!#REF!</f>
        <v>#REF!</v>
      </c>
      <c r="L694" t="e">
        <f>電力量!#REF!-電力量!#REF!</f>
        <v>#REF!</v>
      </c>
      <c r="M694" t="e">
        <f>電力量!#REF!-電力量!#REF!</f>
        <v>#REF!</v>
      </c>
      <c r="N694" t="e">
        <f>電力量!#REF!-電力量!#REF!</f>
        <v>#REF!</v>
      </c>
      <c r="O694" t="e">
        <f>電力量!#REF!-電力量!#REF!</f>
        <v>#REF!</v>
      </c>
      <c r="P694" t="e">
        <f>電力量!#REF!-電力量!#REF!</f>
        <v>#REF!</v>
      </c>
      <c r="Q694" t="e">
        <f>電力量!#REF!-電力量!#REF!</f>
        <v>#REF!</v>
      </c>
      <c r="R694" t="e">
        <f>電力量!#REF!-電力量!#REF!</f>
        <v>#REF!</v>
      </c>
    </row>
    <row r="695" spans="1:18">
      <c r="A695" s="4">
        <f t="shared" ref="A695:A719" si="250">A674+(21/24)</f>
        <v>45928.875</v>
      </c>
      <c r="B695" t="e">
        <f>電力量!#REF!-電力量!#REF!</f>
        <v>#REF!</v>
      </c>
      <c r="C695" t="e">
        <f>電力量!#REF!-電力量!#REF!</f>
        <v>#REF!</v>
      </c>
      <c r="D695" t="e">
        <f>電力量!#REF!-電力量!#REF!</f>
        <v>#REF!</v>
      </c>
      <c r="E695" t="e">
        <f>電力量!#REF!-電力量!#REF!</f>
        <v>#REF!</v>
      </c>
      <c r="F695" t="e">
        <f>電力量!#REF!-電力量!#REF!</f>
        <v>#REF!</v>
      </c>
      <c r="G695" t="e">
        <f>電力量!#REF!-電力量!#REF!</f>
        <v>#REF!</v>
      </c>
      <c r="H695" t="e">
        <f>電力量!#REF!-電力量!#REF!</f>
        <v>#REF!</v>
      </c>
      <c r="I695" t="e">
        <f>電力量!#REF!-電力量!#REF!</f>
        <v>#REF!</v>
      </c>
      <c r="J695" t="e">
        <f>電力量!#REF!-電力量!#REF!</f>
        <v>#REF!</v>
      </c>
      <c r="K695" t="e">
        <f>電力量!#REF!-電力量!#REF!</f>
        <v>#REF!</v>
      </c>
      <c r="L695" t="e">
        <f>電力量!#REF!-電力量!#REF!</f>
        <v>#REF!</v>
      </c>
      <c r="M695" t="e">
        <f>電力量!#REF!-電力量!#REF!</f>
        <v>#REF!</v>
      </c>
      <c r="N695" t="e">
        <f>電力量!#REF!-電力量!#REF!</f>
        <v>#REF!</v>
      </c>
      <c r="O695" t="e">
        <f>電力量!#REF!-電力量!#REF!</f>
        <v>#REF!</v>
      </c>
      <c r="P695" t="e">
        <f>電力量!#REF!-電力量!#REF!</f>
        <v>#REF!</v>
      </c>
      <c r="Q695" t="e">
        <f>電力量!#REF!-電力量!#REF!</f>
        <v>#REF!</v>
      </c>
      <c r="R695" t="e">
        <f>電力量!#REF!-電力量!#REF!</f>
        <v>#REF!</v>
      </c>
    </row>
    <row r="696" spans="1:18">
      <c r="A696" s="4">
        <f t="shared" ref="A696:A720" si="251">A674+(22/24)</f>
        <v>45928.916666666664</v>
      </c>
      <c r="B696" t="e">
        <f>電力量!#REF!-電力量!#REF!</f>
        <v>#REF!</v>
      </c>
      <c r="C696" t="e">
        <f>電力量!#REF!-電力量!#REF!</f>
        <v>#REF!</v>
      </c>
      <c r="D696" t="e">
        <f>電力量!#REF!-電力量!#REF!</f>
        <v>#REF!</v>
      </c>
      <c r="E696" t="e">
        <f>電力量!#REF!-電力量!#REF!</f>
        <v>#REF!</v>
      </c>
      <c r="F696" t="e">
        <f>電力量!#REF!-電力量!#REF!</f>
        <v>#REF!</v>
      </c>
      <c r="G696" t="e">
        <f>電力量!#REF!-電力量!#REF!</f>
        <v>#REF!</v>
      </c>
      <c r="H696" t="e">
        <f>電力量!#REF!-電力量!#REF!</f>
        <v>#REF!</v>
      </c>
      <c r="I696" t="e">
        <f>電力量!#REF!-電力量!#REF!</f>
        <v>#REF!</v>
      </c>
      <c r="J696" t="e">
        <f>電力量!#REF!-電力量!#REF!</f>
        <v>#REF!</v>
      </c>
      <c r="K696" t="e">
        <f>電力量!#REF!-電力量!#REF!</f>
        <v>#REF!</v>
      </c>
      <c r="L696" t="e">
        <f>電力量!#REF!-電力量!#REF!</f>
        <v>#REF!</v>
      </c>
      <c r="M696" t="e">
        <f>電力量!#REF!-電力量!#REF!</f>
        <v>#REF!</v>
      </c>
      <c r="N696" t="e">
        <f>電力量!#REF!-電力量!#REF!</f>
        <v>#REF!</v>
      </c>
      <c r="O696" t="e">
        <f>電力量!#REF!-電力量!#REF!</f>
        <v>#REF!</v>
      </c>
      <c r="P696" t="e">
        <f>電力量!#REF!-電力量!#REF!</f>
        <v>#REF!</v>
      </c>
      <c r="Q696" t="e">
        <f>電力量!#REF!-電力量!#REF!</f>
        <v>#REF!</v>
      </c>
      <c r="R696" t="e">
        <f>電力量!#REF!-電力量!#REF!</f>
        <v>#REF!</v>
      </c>
    </row>
    <row r="697" spans="1:18">
      <c r="A697" s="4">
        <f t="shared" ref="A697:A721" si="252">A674+(23/24)</f>
        <v>45928.958333333336</v>
      </c>
      <c r="B697" t="e">
        <f>電力量!#REF!-電力量!#REF!</f>
        <v>#REF!</v>
      </c>
      <c r="C697" t="e">
        <f>電力量!#REF!-電力量!#REF!</f>
        <v>#REF!</v>
      </c>
      <c r="D697" t="e">
        <f>電力量!#REF!-電力量!#REF!</f>
        <v>#REF!</v>
      </c>
      <c r="E697" t="e">
        <f>電力量!#REF!-電力量!#REF!</f>
        <v>#REF!</v>
      </c>
      <c r="F697" t="e">
        <f>電力量!#REF!-電力量!#REF!</f>
        <v>#REF!</v>
      </c>
      <c r="G697" t="e">
        <f>電力量!#REF!-電力量!#REF!</f>
        <v>#REF!</v>
      </c>
      <c r="H697" t="e">
        <f>電力量!#REF!-電力量!#REF!</f>
        <v>#REF!</v>
      </c>
      <c r="I697" t="e">
        <f>電力量!#REF!-電力量!#REF!</f>
        <v>#REF!</v>
      </c>
      <c r="J697" t="e">
        <f>電力量!#REF!-電力量!#REF!</f>
        <v>#REF!</v>
      </c>
      <c r="K697" t="e">
        <f>電力量!#REF!-電力量!#REF!</f>
        <v>#REF!</v>
      </c>
      <c r="L697" t="e">
        <f>電力量!#REF!-電力量!#REF!</f>
        <v>#REF!</v>
      </c>
      <c r="M697" t="e">
        <f>電力量!#REF!-電力量!#REF!</f>
        <v>#REF!</v>
      </c>
      <c r="N697" t="e">
        <f>電力量!#REF!-電力量!#REF!</f>
        <v>#REF!</v>
      </c>
      <c r="O697" t="e">
        <f>電力量!#REF!-電力量!#REF!</f>
        <v>#REF!</v>
      </c>
      <c r="P697" t="e">
        <f>電力量!#REF!-電力量!#REF!</f>
        <v>#REF!</v>
      </c>
      <c r="Q697" t="e">
        <f>電力量!#REF!-電力量!#REF!</f>
        <v>#REF!</v>
      </c>
      <c r="R697" t="e">
        <f>電力量!#REF!-電力量!#REF!</f>
        <v>#REF!</v>
      </c>
    </row>
    <row r="698" spans="1:18">
      <c r="A698" s="4">
        <v>45929</v>
      </c>
      <c r="B698" t="e">
        <f>電力量!#REF!-電力量!#REF!</f>
        <v>#REF!</v>
      </c>
      <c r="C698" t="e">
        <f>電力量!#REF!-電力量!#REF!</f>
        <v>#REF!</v>
      </c>
      <c r="D698" t="e">
        <f>電力量!#REF!-電力量!#REF!</f>
        <v>#REF!</v>
      </c>
      <c r="E698" t="e">
        <f>電力量!#REF!-電力量!#REF!</f>
        <v>#REF!</v>
      </c>
      <c r="F698" t="e">
        <f>電力量!#REF!-電力量!#REF!</f>
        <v>#REF!</v>
      </c>
      <c r="G698" t="e">
        <f>電力量!#REF!-電力量!#REF!</f>
        <v>#REF!</v>
      </c>
      <c r="H698" t="e">
        <f>電力量!#REF!-電力量!#REF!</f>
        <v>#REF!</v>
      </c>
      <c r="I698" t="e">
        <f>電力量!#REF!-電力量!#REF!</f>
        <v>#REF!</v>
      </c>
      <c r="J698" t="e">
        <f>電力量!#REF!-電力量!#REF!</f>
        <v>#REF!</v>
      </c>
      <c r="K698" t="e">
        <f>電力量!#REF!-電力量!#REF!</f>
        <v>#REF!</v>
      </c>
      <c r="L698" t="e">
        <f>電力量!#REF!-電力量!#REF!</f>
        <v>#REF!</v>
      </c>
      <c r="M698" t="e">
        <f>電力量!#REF!-電力量!#REF!</f>
        <v>#REF!</v>
      </c>
      <c r="N698" t="e">
        <f>電力量!#REF!-電力量!#REF!</f>
        <v>#REF!</v>
      </c>
      <c r="O698" t="e">
        <f>電力量!#REF!-電力量!#REF!</f>
        <v>#REF!</v>
      </c>
      <c r="P698" t="e">
        <f>電力量!#REF!-電力量!#REF!</f>
        <v>#REF!</v>
      </c>
      <c r="Q698" t="e">
        <f>電力量!#REF!-電力量!#REF!</f>
        <v>#REF!</v>
      </c>
      <c r="R698" t="e">
        <f>電力量!#REF!-電力量!#REF!</f>
        <v>#REF!</v>
      </c>
    </row>
    <row r="699" spans="1:18">
      <c r="A699" s="4">
        <f t="shared" si="230"/>
        <v>45929.041666666664</v>
      </c>
      <c r="B699" t="e">
        <f>電力量!#REF!-電力量!#REF!</f>
        <v>#REF!</v>
      </c>
      <c r="C699" t="e">
        <f>電力量!#REF!-電力量!#REF!</f>
        <v>#REF!</v>
      </c>
      <c r="D699" t="e">
        <f>電力量!#REF!-電力量!#REF!</f>
        <v>#REF!</v>
      </c>
      <c r="E699" t="e">
        <f>電力量!#REF!-電力量!#REF!</f>
        <v>#REF!</v>
      </c>
      <c r="F699" t="e">
        <f>電力量!#REF!-電力量!#REF!</f>
        <v>#REF!</v>
      </c>
      <c r="G699" t="e">
        <f>電力量!#REF!-電力量!#REF!</f>
        <v>#REF!</v>
      </c>
      <c r="H699" t="e">
        <f>電力量!#REF!-電力量!#REF!</f>
        <v>#REF!</v>
      </c>
      <c r="I699" t="e">
        <f>電力量!#REF!-電力量!#REF!</f>
        <v>#REF!</v>
      </c>
      <c r="J699" t="e">
        <f>電力量!#REF!-電力量!#REF!</f>
        <v>#REF!</v>
      </c>
      <c r="K699" t="e">
        <f>電力量!#REF!-電力量!#REF!</f>
        <v>#REF!</v>
      </c>
      <c r="L699" t="e">
        <f>電力量!#REF!-電力量!#REF!</f>
        <v>#REF!</v>
      </c>
      <c r="M699" t="e">
        <f>電力量!#REF!-電力量!#REF!</f>
        <v>#REF!</v>
      </c>
      <c r="N699" t="e">
        <f>電力量!#REF!-電力量!#REF!</f>
        <v>#REF!</v>
      </c>
      <c r="O699" t="e">
        <f>電力量!#REF!-電力量!#REF!</f>
        <v>#REF!</v>
      </c>
      <c r="P699" t="e">
        <f>電力量!#REF!-電力量!#REF!</f>
        <v>#REF!</v>
      </c>
      <c r="Q699" t="e">
        <f>電力量!#REF!-電力量!#REF!</f>
        <v>#REF!</v>
      </c>
      <c r="R699" t="e">
        <f>電力量!#REF!-電力量!#REF!</f>
        <v>#REF!</v>
      </c>
    </row>
    <row r="700" spans="1:18">
      <c r="A700" s="4">
        <f t="shared" si="231"/>
        <v>45929.083333333336</v>
      </c>
      <c r="B700" t="e">
        <f>電力量!#REF!-電力量!#REF!</f>
        <v>#REF!</v>
      </c>
      <c r="C700" t="e">
        <f>電力量!#REF!-電力量!#REF!</f>
        <v>#REF!</v>
      </c>
      <c r="D700" t="e">
        <f>電力量!#REF!-電力量!#REF!</f>
        <v>#REF!</v>
      </c>
      <c r="E700" t="e">
        <f>電力量!#REF!-電力量!#REF!</f>
        <v>#REF!</v>
      </c>
      <c r="F700" t="e">
        <f>電力量!#REF!-電力量!#REF!</f>
        <v>#REF!</v>
      </c>
      <c r="G700" t="e">
        <f>電力量!#REF!-電力量!#REF!</f>
        <v>#REF!</v>
      </c>
      <c r="H700" t="e">
        <f>電力量!#REF!-電力量!#REF!</f>
        <v>#REF!</v>
      </c>
      <c r="I700" t="e">
        <f>電力量!#REF!-電力量!#REF!</f>
        <v>#REF!</v>
      </c>
      <c r="J700" t="e">
        <f>電力量!#REF!-電力量!#REF!</f>
        <v>#REF!</v>
      </c>
      <c r="K700" t="e">
        <f>電力量!#REF!-電力量!#REF!</f>
        <v>#REF!</v>
      </c>
      <c r="L700" t="e">
        <f>電力量!#REF!-電力量!#REF!</f>
        <v>#REF!</v>
      </c>
      <c r="M700" t="e">
        <f>電力量!#REF!-電力量!#REF!</f>
        <v>#REF!</v>
      </c>
      <c r="N700" t="e">
        <f>電力量!#REF!-電力量!#REF!</f>
        <v>#REF!</v>
      </c>
      <c r="O700" t="e">
        <f>電力量!#REF!-電力量!#REF!</f>
        <v>#REF!</v>
      </c>
      <c r="P700" t="e">
        <f>電力量!#REF!-電力量!#REF!</f>
        <v>#REF!</v>
      </c>
      <c r="Q700" t="e">
        <f>電力量!#REF!-電力量!#REF!</f>
        <v>#REF!</v>
      </c>
      <c r="R700" t="e">
        <f>電力量!#REF!-電力量!#REF!</f>
        <v>#REF!</v>
      </c>
    </row>
    <row r="701" spans="1:18">
      <c r="A701" s="4">
        <f t="shared" si="232"/>
        <v>45929.125</v>
      </c>
      <c r="B701" t="e">
        <f>電力量!#REF!-電力量!#REF!</f>
        <v>#REF!</v>
      </c>
      <c r="C701" t="e">
        <f>電力量!#REF!-電力量!#REF!</f>
        <v>#REF!</v>
      </c>
      <c r="D701" t="e">
        <f>電力量!#REF!-電力量!#REF!</f>
        <v>#REF!</v>
      </c>
      <c r="E701" t="e">
        <f>電力量!#REF!-電力量!#REF!</f>
        <v>#REF!</v>
      </c>
      <c r="F701" t="e">
        <f>電力量!#REF!-電力量!#REF!</f>
        <v>#REF!</v>
      </c>
      <c r="G701" t="e">
        <f>電力量!#REF!-電力量!#REF!</f>
        <v>#REF!</v>
      </c>
      <c r="H701" t="e">
        <f>電力量!#REF!-電力量!#REF!</f>
        <v>#REF!</v>
      </c>
      <c r="I701" t="e">
        <f>電力量!#REF!-電力量!#REF!</f>
        <v>#REF!</v>
      </c>
      <c r="J701" t="e">
        <f>電力量!#REF!-電力量!#REF!</f>
        <v>#REF!</v>
      </c>
      <c r="K701" t="e">
        <f>電力量!#REF!-電力量!#REF!</f>
        <v>#REF!</v>
      </c>
      <c r="L701" t="e">
        <f>電力量!#REF!-電力量!#REF!</f>
        <v>#REF!</v>
      </c>
      <c r="M701" t="e">
        <f>電力量!#REF!-電力量!#REF!</f>
        <v>#REF!</v>
      </c>
      <c r="N701" t="e">
        <f>電力量!#REF!-電力量!#REF!</f>
        <v>#REF!</v>
      </c>
      <c r="O701" t="e">
        <f>電力量!#REF!-電力量!#REF!</f>
        <v>#REF!</v>
      </c>
      <c r="P701" t="e">
        <f>電力量!#REF!-電力量!#REF!</f>
        <v>#REF!</v>
      </c>
      <c r="Q701" t="e">
        <f>電力量!#REF!-電力量!#REF!</f>
        <v>#REF!</v>
      </c>
      <c r="R701" t="e">
        <f>電力量!#REF!-電力量!#REF!</f>
        <v>#REF!</v>
      </c>
    </row>
    <row r="702" spans="1:18">
      <c r="A702" s="4">
        <f t="shared" si="233"/>
        <v>45929.166666666664</v>
      </c>
      <c r="B702" t="e">
        <f>電力量!#REF!-電力量!#REF!</f>
        <v>#REF!</v>
      </c>
      <c r="C702" t="e">
        <f>電力量!#REF!-電力量!#REF!</f>
        <v>#REF!</v>
      </c>
      <c r="D702" t="e">
        <f>電力量!#REF!-電力量!#REF!</f>
        <v>#REF!</v>
      </c>
      <c r="E702" t="e">
        <f>電力量!#REF!-電力量!#REF!</f>
        <v>#REF!</v>
      </c>
      <c r="F702" t="e">
        <f>電力量!#REF!-電力量!#REF!</f>
        <v>#REF!</v>
      </c>
      <c r="G702" t="e">
        <f>電力量!#REF!-電力量!#REF!</f>
        <v>#REF!</v>
      </c>
      <c r="H702" t="e">
        <f>電力量!#REF!-電力量!#REF!</f>
        <v>#REF!</v>
      </c>
      <c r="I702" t="e">
        <f>電力量!#REF!-電力量!#REF!</f>
        <v>#REF!</v>
      </c>
      <c r="J702" t="e">
        <f>電力量!#REF!-電力量!#REF!</f>
        <v>#REF!</v>
      </c>
      <c r="K702" t="e">
        <f>電力量!#REF!-電力量!#REF!</f>
        <v>#REF!</v>
      </c>
      <c r="L702" t="e">
        <f>電力量!#REF!-電力量!#REF!</f>
        <v>#REF!</v>
      </c>
      <c r="M702" t="e">
        <f>電力量!#REF!-電力量!#REF!</f>
        <v>#REF!</v>
      </c>
      <c r="N702" t="e">
        <f>電力量!#REF!-電力量!#REF!</f>
        <v>#REF!</v>
      </c>
      <c r="O702" t="e">
        <f>電力量!#REF!-電力量!#REF!</f>
        <v>#REF!</v>
      </c>
      <c r="P702" t="e">
        <f>電力量!#REF!-電力量!#REF!</f>
        <v>#REF!</v>
      </c>
      <c r="Q702" t="e">
        <f>電力量!#REF!-電力量!#REF!</f>
        <v>#REF!</v>
      </c>
      <c r="R702" t="e">
        <f>電力量!#REF!-電力量!#REF!</f>
        <v>#REF!</v>
      </c>
    </row>
    <row r="703" spans="1:18">
      <c r="A703" s="4">
        <f t="shared" si="234"/>
        <v>45929.208333333336</v>
      </c>
      <c r="B703" t="e">
        <f>電力量!#REF!-電力量!#REF!</f>
        <v>#REF!</v>
      </c>
      <c r="C703" t="e">
        <f>電力量!#REF!-電力量!#REF!</f>
        <v>#REF!</v>
      </c>
      <c r="D703" t="e">
        <f>電力量!#REF!-電力量!#REF!</f>
        <v>#REF!</v>
      </c>
      <c r="E703" t="e">
        <f>電力量!#REF!-電力量!#REF!</f>
        <v>#REF!</v>
      </c>
      <c r="F703" t="e">
        <f>電力量!#REF!-電力量!#REF!</f>
        <v>#REF!</v>
      </c>
      <c r="G703" t="e">
        <f>電力量!#REF!-電力量!#REF!</f>
        <v>#REF!</v>
      </c>
      <c r="H703" t="e">
        <f>電力量!#REF!-電力量!#REF!</f>
        <v>#REF!</v>
      </c>
      <c r="I703" t="e">
        <f>電力量!#REF!-電力量!#REF!</f>
        <v>#REF!</v>
      </c>
      <c r="J703" t="e">
        <f>電力量!#REF!-電力量!#REF!</f>
        <v>#REF!</v>
      </c>
      <c r="K703" t="e">
        <f>電力量!#REF!-電力量!#REF!</f>
        <v>#REF!</v>
      </c>
      <c r="L703" t="e">
        <f>電力量!#REF!-電力量!#REF!</f>
        <v>#REF!</v>
      </c>
      <c r="M703" t="e">
        <f>電力量!#REF!-電力量!#REF!</f>
        <v>#REF!</v>
      </c>
      <c r="N703" t="e">
        <f>電力量!#REF!-電力量!#REF!</f>
        <v>#REF!</v>
      </c>
      <c r="O703" t="e">
        <f>電力量!#REF!-電力量!#REF!</f>
        <v>#REF!</v>
      </c>
      <c r="P703" t="e">
        <f>電力量!#REF!-電力量!#REF!</f>
        <v>#REF!</v>
      </c>
      <c r="Q703" t="e">
        <f>電力量!#REF!-電力量!#REF!</f>
        <v>#REF!</v>
      </c>
      <c r="R703" t="e">
        <f>電力量!#REF!-電力量!#REF!</f>
        <v>#REF!</v>
      </c>
    </row>
    <row r="704" spans="1:18">
      <c r="A704" s="4">
        <f t="shared" si="235"/>
        <v>45929.25</v>
      </c>
      <c r="B704" t="e">
        <f>電力量!#REF!-電力量!#REF!</f>
        <v>#REF!</v>
      </c>
      <c r="C704" t="e">
        <f>電力量!#REF!-電力量!#REF!</f>
        <v>#REF!</v>
      </c>
      <c r="D704" t="e">
        <f>電力量!#REF!-電力量!#REF!</f>
        <v>#REF!</v>
      </c>
      <c r="E704" t="e">
        <f>電力量!#REF!-電力量!#REF!</f>
        <v>#REF!</v>
      </c>
      <c r="F704" t="e">
        <f>電力量!#REF!-電力量!#REF!</f>
        <v>#REF!</v>
      </c>
      <c r="G704" t="e">
        <f>電力量!#REF!-電力量!#REF!</f>
        <v>#REF!</v>
      </c>
      <c r="H704" t="e">
        <f>電力量!#REF!-電力量!#REF!</f>
        <v>#REF!</v>
      </c>
      <c r="I704" t="e">
        <f>電力量!#REF!-電力量!#REF!</f>
        <v>#REF!</v>
      </c>
      <c r="J704" t="e">
        <f>電力量!#REF!-電力量!#REF!</f>
        <v>#REF!</v>
      </c>
      <c r="K704" t="e">
        <f>電力量!#REF!-電力量!#REF!</f>
        <v>#REF!</v>
      </c>
      <c r="L704" t="e">
        <f>電力量!#REF!-電力量!#REF!</f>
        <v>#REF!</v>
      </c>
      <c r="M704" t="e">
        <f>電力量!#REF!-電力量!#REF!</f>
        <v>#REF!</v>
      </c>
      <c r="N704" t="e">
        <f>電力量!#REF!-電力量!#REF!</f>
        <v>#REF!</v>
      </c>
      <c r="O704" t="e">
        <f>電力量!#REF!-電力量!#REF!</f>
        <v>#REF!</v>
      </c>
      <c r="P704" t="e">
        <f>電力量!#REF!-電力量!#REF!</f>
        <v>#REF!</v>
      </c>
      <c r="Q704" t="e">
        <f>電力量!#REF!-電力量!#REF!</f>
        <v>#REF!</v>
      </c>
      <c r="R704" t="e">
        <f>電力量!#REF!-電力量!#REF!</f>
        <v>#REF!</v>
      </c>
    </row>
    <row r="705" spans="1:18">
      <c r="A705" s="4">
        <f t="shared" si="236"/>
        <v>45929.291666666664</v>
      </c>
      <c r="B705" t="e">
        <f>電力量!#REF!-電力量!#REF!</f>
        <v>#REF!</v>
      </c>
      <c r="C705" t="e">
        <f>電力量!#REF!-電力量!#REF!</f>
        <v>#REF!</v>
      </c>
      <c r="D705" t="e">
        <f>電力量!#REF!-電力量!#REF!</f>
        <v>#REF!</v>
      </c>
      <c r="E705" t="e">
        <f>電力量!#REF!-電力量!#REF!</f>
        <v>#REF!</v>
      </c>
      <c r="F705" t="e">
        <f>電力量!#REF!-電力量!#REF!</f>
        <v>#REF!</v>
      </c>
      <c r="G705" t="e">
        <f>電力量!#REF!-電力量!#REF!</f>
        <v>#REF!</v>
      </c>
      <c r="H705" t="e">
        <f>電力量!#REF!-電力量!#REF!</f>
        <v>#REF!</v>
      </c>
      <c r="I705" t="e">
        <f>電力量!#REF!-電力量!#REF!</f>
        <v>#REF!</v>
      </c>
      <c r="J705" t="e">
        <f>電力量!#REF!-電力量!#REF!</f>
        <v>#REF!</v>
      </c>
      <c r="K705" t="e">
        <f>電力量!#REF!-電力量!#REF!</f>
        <v>#REF!</v>
      </c>
      <c r="L705" t="e">
        <f>電力量!#REF!-電力量!#REF!</f>
        <v>#REF!</v>
      </c>
      <c r="M705" t="e">
        <f>電力量!#REF!-電力量!#REF!</f>
        <v>#REF!</v>
      </c>
      <c r="N705" t="e">
        <f>電力量!#REF!-電力量!#REF!</f>
        <v>#REF!</v>
      </c>
      <c r="O705" t="e">
        <f>電力量!#REF!-電力量!#REF!</f>
        <v>#REF!</v>
      </c>
      <c r="P705" t="e">
        <f>電力量!#REF!-電力量!#REF!</f>
        <v>#REF!</v>
      </c>
      <c r="Q705" t="e">
        <f>電力量!#REF!-電力量!#REF!</f>
        <v>#REF!</v>
      </c>
      <c r="R705" t="e">
        <f>電力量!#REF!-電力量!#REF!</f>
        <v>#REF!</v>
      </c>
    </row>
    <row r="706" spans="1:18">
      <c r="A706" s="4">
        <f t="shared" si="237"/>
        <v>45929.333333333336</v>
      </c>
      <c r="B706" t="e">
        <f>電力量!#REF!-電力量!#REF!</f>
        <v>#REF!</v>
      </c>
      <c r="C706" t="e">
        <f>電力量!#REF!-電力量!#REF!</f>
        <v>#REF!</v>
      </c>
      <c r="D706" t="e">
        <f>電力量!#REF!-電力量!#REF!</f>
        <v>#REF!</v>
      </c>
      <c r="E706" t="e">
        <f>電力量!#REF!-電力量!#REF!</f>
        <v>#REF!</v>
      </c>
      <c r="F706" t="e">
        <f>電力量!#REF!-電力量!#REF!</f>
        <v>#REF!</v>
      </c>
      <c r="G706" t="e">
        <f>電力量!#REF!-電力量!#REF!</f>
        <v>#REF!</v>
      </c>
      <c r="H706" t="e">
        <f>電力量!#REF!-電力量!#REF!</f>
        <v>#REF!</v>
      </c>
      <c r="I706" t="e">
        <f>電力量!#REF!-電力量!#REF!</f>
        <v>#REF!</v>
      </c>
      <c r="J706" t="e">
        <f>電力量!#REF!-電力量!#REF!</f>
        <v>#REF!</v>
      </c>
      <c r="K706" t="e">
        <f>電力量!#REF!-電力量!#REF!</f>
        <v>#REF!</v>
      </c>
      <c r="L706" t="e">
        <f>電力量!#REF!-電力量!#REF!</f>
        <v>#REF!</v>
      </c>
      <c r="M706" t="e">
        <f>電力量!#REF!-電力量!#REF!</f>
        <v>#REF!</v>
      </c>
      <c r="N706" t="e">
        <f>電力量!#REF!-電力量!#REF!</f>
        <v>#REF!</v>
      </c>
      <c r="O706" t="e">
        <f>電力量!#REF!-電力量!#REF!</f>
        <v>#REF!</v>
      </c>
      <c r="P706" t="e">
        <f>電力量!#REF!-電力量!#REF!</f>
        <v>#REF!</v>
      </c>
      <c r="Q706" t="e">
        <f>電力量!#REF!-電力量!#REF!</f>
        <v>#REF!</v>
      </c>
      <c r="R706" t="e">
        <f>電力量!#REF!-電力量!#REF!</f>
        <v>#REF!</v>
      </c>
    </row>
    <row r="707" spans="1:18">
      <c r="A707" s="4">
        <f t="shared" si="238"/>
        <v>45929.375</v>
      </c>
      <c r="B707" t="e">
        <f>電力量!#REF!-電力量!#REF!</f>
        <v>#REF!</v>
      </c>
      <c r="C707" t="e">
        <f>電力量!#REF!-電力量!#REF!</f>
        <v>#REF!</v>
      </c>
      <c r="D707" t="e">
        <f>電力量!#REF!-電力量!#REF!</f>
        <v>#REF!</v>
      </c>
      <c r="E707" t="e">
        <f>電力量!#REF!-電力量!#REF!</f>
        <v>#REF!</v>
      </c>
      <c r="F707" t="e">
        <f>電力量!#REF!-電力量!#REF!</f>
        <v>#REF!</v>
      </c>
      <c r="G707" t="e">
        <f>電力量!#REF!-電力量!#REF!</f>
        <v>#REF!</v>
      </c>
      <c r="H707" t="e">
        <f>電力量!#REF!-電力量!#REF!</f>
        <v>#REF!</v>
      </c>
      <c r="I707" t="e">
        <f>電力量!#REF!-電力量!#REF!</f>
        <v>#REF!</v>
      </c>
      <c r="J707" t="e">
        <f>電力量!#REF!-電力量!#REF!</f>
        <v>#REF!</v>
      </c>
      <c r="K707" t="e">
        <f>電力量!#REF!-電力量!#REF!</f>
        <v>#REF!</v>
      </c>
      <c r="L707" t="e">
        <f>電力量!#REF!-電力量!#REF!</f>
        <v>#REF!</v>
      </c>
      <c r="M707" t="e">
        <f>電力量!#REF!-電力量!#REF!</f>
        <v>#REF!</v>
      </c>
      <c r="N707" t="e">
        <f>電力量!#REF!-電力量!#REF!</f>
        <v>#REF!</v>
      </c>
      <c r="O707" t="e">
        <f>電力量!#REF!-電力量!#REF!</f>
        <v>#REF!</v>
      </c>
      <c r="P707" t="e">
        <f>電力量!#REF!-電力量!#REF!</f>
        <v>#REF!</v>
      </c>
      <c r="Q707" t="e">
        <f>電力量!#REF!-電力量!#REF!</f>
        <v>#REF!</v>
      </c>
      <c r="R707" t="e">
        <f>電力量!#REF!-電力量!#REF!</f>
        <v>#REF!</v>
      </c>
    </row>
    <row r="708" spans="1:18">
      <c r="A708" s="4">
        <f t="shared" si="239"/>
        <v>45929.416666666664</v>
      </c>
      <c r="B708" t="e">
        <f>電力量!#REF!-電力量!#REF!</f>
        <v>#REF!</v>
      </c>
      <c r="C708" t="e">
        <f>電力量!#REF!-電力量!#REF!</f>
        <v>#REF!</v>
      </c>
      <c r="D708" t="e">
        <f>電力量!#REF!-電力量!#REF!</f>
        <v>#REF!</v>
      </c>
      <c r="E708" t="e">
        <f>電力量!#REF!-電力量!#REF!</f>
        <v>#REF!</v>
      </c>
      <c r="F708" t="e">
        <f>電力量!#REF!-電力量!#REF!</f>
        <v>#REF!</v>
      </c>
      <c r="G708" t="e">
        <f>電力量!#REF!-電力量!#REF!</f>
        <v>#REF!</v>
      </c>
      <c r="H708" t="e">
        <f>電力量!#REF!-電力量!#REF!</f>
        <v>#REF!</v>
      </c>
      <c r="I708" t="e">
        <f>電力量!#REF!-電力量!#REF!</f>
        <v>#REF!</v>
      </c>
      <c r="J708" t="e">
        <f>電力量!#REF!-電力量!#REF!</f>
        <v>#REF!</v>
      </c>
      <c r="K708" t="e">
        <f>電力量!#REF!-電力量!#REF!</f>
        <v>#REF!</v>
      </c>
      <c r="L708" t="e">
        <f>電力量!#REF!-電力量!#REF!</f>
        <v>#REF!</v>
      </c>
      <c r="M708" t="e">
        <f>電力量!#REF!-電力量!#REF!</f>
        <v>#REF!</v>
      </c>
      <c r="N708" t="e">
        <f>電力量!#REF!-電力量!#REF!</f>
        <v>#REF!</v>
      </c>
      <c r="O708" t="e">
        <f>電力量!#REF!-電力量!#REF!</f>
        <v>#REF!</v>
      </c>
      <c r="P708" t="e">
        <f>電力量!#REF!-電力量!#REF!</f>
        <v>#REF!</v>
      </c>
      <c r="Q708" t="e">
        <f>電力量!#REF!-電力量!#REF!</f>
        <v>#REF!</v>
      </c>
      <c r="R708" t="e">
        <f>電力量!#REF!-電力量!#REF!</f>
        <v>#REF!</v>
      </c>
    </row>
    <row r="709" spans="1:18">
      <c r="A709" s="4">
        <f t="shared" si="240"/>
        <v>45929.458333333336</v>
      </c>
      <c r="B709" t="e">
        <f>電力量!#REF!-電力量!#REF!</f>
        <v>#REF!</v>
      </c>
      <c r="C709" t="e">
        <f>電力量!#REF!-電力量!#REF!</f>
        <v>#REF!</v>
      </c>
      <c r="D709" t="e">
        <f>電力量!#REF!-電力量!#REF!</f>
        <v>#REF!</v>
      </c>
      <c r="E709" t="e">
        <f>電力量!#REF!-電力量!#REF!</f>
        <v>#REF!</v>
      </c>
      <c r="F709" t="e">
        <f>電力量!#REF!-電力量!#REF!</f>
        <v>#REF!</v>
      </c>
      <c r="G709" t="e">
        <f>電力量!#REF!-電力量!#REF!</f>
        <v>#REF!</v>
      </c>
      <c r="H709" t="e">
        <f>電力量!#REF!-電力量!#REF!</f>
        <v>#REF!</v>
      </c>
      <c r="I709" t="e">
        <f>電力量!#REF!-電力量!#REF!</f>
        <v>#REF!</v>
      </c>
      <c r="J709" t="e">
        <f>電力量!#REF!-電力量!#REF!</f>
        <v>#REF!</v>
      </c>
      <c r="K709" t="e">
        <f>電力量!#REF!-電力量!#REF!</f>
        <v>#REF!</v>
      </c>
      <c r="L709" t="e">
        <f>電力量!#REF!-電力量!#REF!</f>
        <v>#REF!</v>
      </c>
      <c r="M709" t="e">
        <f>電力量!#REF!-電力量!#REF!</f>
        <v>#REF!</v>
      </c>
      <c r="N709" t="e">
        <f>電力量!#REF!-電力量!#REF!</f>
        <v>#REF!</v>
      </c>
      <c r="O709" t="e">
        <f>電力量!#REF!-電力量!#REF!</f>
        <v>#REF!</v>
      </c>
      <c r="P709" t="e">
        <f>電力量!#REF!-電力量!#REF!</f>
        <v>#REF!</v>
      </c>
      <c r="Q709" t="e">
        <f>電力量!#REF!-電力量!#REF!</f>
        <v>#REF!</v>
      </c>
      <c r="R709" t="e">
        <f>電力量!#REF!-電力量!#REF!</f>
        <v>#REF!</v>
      </c>
    </row>
    <row r="710" spans="1:18">
      <c r="A710" s="4">
        <f t="shared" si="241"/>
        <v>45929.5</v>
      </c>
      <c r="B710" t="e">
        <f>電力量!#REF!-電力量!#REF!</f>
        <v>#REF!</v>
      </c>
      <c r="C710" t="e">
        <f>電力量!#REF!-電力量!#REF!</f>
        <v>#REF!</v>
      </c>
      <c r="D710" t="e">
        <f>電力量!#REF!-電力量!#REF!</f>
        <v>#REF!</v>
      </c>
      <c r="E710" t="e">
        <f>電力量!#REF!-電力量!#REF!</f>
        <v>#REF!</v>
      </c>
      <c r="F710" t="e">
        <f>電力量!#REF!-電力量!#REF!</f>
        <v>#REF!</v>
      </c>
      <c r="G710" t="e">
        <f>電力量!#REF!-電力量!#REF!</f>
        <v>#REF!</v>
      </c>
      <c r="H710" t="e">
        <f>電力量!#REF!-電力量!#REF!</f>
        <v>#REF!</v>
      </c>
      <c r="I710" t="e">
        <f>電力量!#REF!-電力量!#REF!</f>
        <v>#REF!</v>
      </c>
      <c r="J710" t="e">
        <f>電力量!#REF!-電力量!#REF!</f>
        <v>#REF!</v>
      </c>
      <c r="K710" t="e">
        <f>電力量!#REF!-電力量!#REF!</f>
        <v>#REF!</v>
      </c>
      <c r="L710" t="e">
        <f>電力量!#REF!-電力量!#REF!</f>
        <v>#REF!</v>
      </c>
      <c r="M710" t="e">
        <f>電力量!#REF!-電力量!#REF!</f>
        <v>#REF!</v>
      </c>
      <c r="N710" t="e">
        <f>電力量!#REF!-電力量!#REF!</f>
        <v>#REF!</v>
      </c>
      <c r="O710" t="e">
        <f>電力量!#REF!-電力量!#REF!</f>
        <v>#REF!</v>
      </c>
      <c r="P710" t="e">
        <f>電力量!#REF!-電力量!#REF!</f>
        <v>#REF!</v>
      </c>
      <c r="Q710" t="e">
        <f>電力量!#REF!-電力量!#REF!</f>
        <v>#REF!</v>
      </c>
      <c r="R710" t="e">
        <f>電力量!#REF!-電力量!#REF!</f>
        <v>#REF!</v>
      </c>
    </row>
    <row r="711" spans="1:18">
      <c r="A711" s="4">
        <f t="shared" si="242"/>
        <v>45929.541666666664</v>
      </c>
      <c r="B711" t="e">
        <f>電力量!#REF!-電力量!#REF!</f>
        <v>#REF!</v>
      </c>
      <c r="C711" t="e">
        <f>電力量!#REF!-電力量!#REF!</f>
        <v>#REF!</v>
      </c>
      <c r="D711" t="e">
        <f>電力量!#REF!-電力量!#REF!</f>
        <v>#REF!</v>
      </c>
      <c r="E711" t="e">
        <f>電力量!#REF!-電力量!#REF!</f>
        <v>#REF!</v>
      </c>
      <c r="F711" t="e">
        <f>電力量!#REF!-電力量!#REF!</f>
        <v>#REF!</v>
      </c>
      <c r="G711" t="e">
        <f>電力量!#REF!-電力量!#REF!</f>
        <v>#REF!</v>
      </c>
      <c r="H711" t="e">
        <f>電力量!#REF!-電力量!#REF!</f>
        <v>#REF!</v>
      </c>
      <c r="I711" t="e">
        <f>電力量!#REF!-電力量!#REF!</f>
        <v>#REF!</v>
      </c>
      <c r="J711" t="e">
        <f>電力量!#REF!-電力量!#REF!</f>
        <v>#REF!</v>
      </c>
      <c r="K711" t="e">
        <f>電力量!#REF!-電力量!#REF!</f>
        <v>#REF!</v>
      </c>
      <c r="L711" t="e">
        <f>電力量!#REF!-電力量!#REF!</f>
        <v>#REF!</v>
      </c>
      <c r="M711" t="e">
        <f>電力量!#REF!-電力量!#REF!</f>
        <v>#REF!</v>
      </c>
      <c r="N711" t="e">
        <f>電力量!#REF!-電力量!#REF!</f>
        <v>#REF!</v>
      </c>
      <c r="O711" t="e">
        <f>電力量!#REF!-電力量!#REF!</f>
        <v>#REF!</v>
      </c>
      <c r="P711" t="e">
        <f>電力量!#REF!-電力量!#REF!</f>
        <v>#REF!</v>
      </c>
      <c r="Q711" t="e">
        <f>電力量!#REF!-電力量!#REF!</f>
        <v>#REF!</v>
      </c>
      <c r="R711" t="e">
        <f>電力量!#REF!-電力量!#REF!</f>
        <v>#REF!</v>
      </c>
    </row>
    <row r="712" spans="1:18">
      <c r="A712" s="4">
        <f t="shared" si="243"/>
        <v>45929.583333333336</v>
      </c>
      <c r="B712" t="e">
        <f>電力量!#REF!-電力量!#REF!</f>
        <v>#REF!</v>
      </c>
      <c r="C712" t="e">
        <f>電力量!#REF!-電力量!#REF!</f>
        <v>#REF!</v>
      </c>
      <c r="D712" t="e">
        <f>電力量!#REF!-電力量!#REF!</f>
        <v>#REF!</v>
      </c>
      <c r="E712" t="e">
        <f>電力量!#REF!-電力量!#REF!</f>
        <v>#REF!</v>
      </c>
      <c r="F712" t="e">
        <f>電力量!#REF!-電力量!#REF!</f>
        <v>#REF!</v>
      </c>
      <c r="G712" t="e">
        <f>電力量!#REF!-電力量!#REF!</f>
        <v>#REF!</v>
      </c>
      <c r="H712" t="e">
        <f>電力量!#REF!-電力量!#REF!</f>
        <v>#REF!</v>
      </c>
      <c r="I712" t="e">
        <f>電力量!#REF!-電力量!#REF!</f>
        <v>#REF!</v>
      </c>
      <c r="J712" t="e">
        <f>電力量!#REF!-電力量!#REF!</f>
        <v>#REF!</v>
      </c>
      <c r="K712" t="e">
        <f>電力量!#REF!-電力量!#REF!</f>
        <v>#REF!</v>
      </c>
      <c r="L712" t="e">
        <f>電力量!#REF!-電力量!#REF!</f>
        <v>#REF!</v>
      </c>
      <c r="M712" t="e">
        <f>電力量!#REF!-電力量!#REF!</f>
        <v>#REF!</v>
      </c>
      <c r="N712" t="e">
        <f>電力量!#REF!-電力量!#REF!</f>
        <v>#REF!</v>
      </c>
      <c r="O712" t="e">
        <f>電力量!#REF!-電力量!#REF!</f>
        <v>#REF!</v>
      </c>
      <c r="P712" t="e">
        <f>電力量!#REF!-電力量!#REF!</f>
        <v>#REF!</v>
      </c>
      <c r="Q712" t="e">
        <f>電力量!#REF!-電力量!#REF!</f>
        <v>#REF!</v>
      </c>
      <c r="R712" t="e">
        <f>電力量!#REF!-電力量!#REF!</f>
        <v>#REF!</v>
      </c>
    </row>
    <row r="713" spans="1:18">
      <c r="A713" s="4">
        <f t="shared" si="244"/>
        <v>45929.625</v>
      </c>
      <c r="B713" t="e">
        <f>電力量!#REF!-電力量!#REF!</f>
        <v>#REF!</v>
      </c>
      <c r="C713" t="e">
        <f>電力量!#REF!-電力量!#REF!</f>
        <v>#REF!</v>
      </c>
      <c r="D713" t="e">
        <f>電力量!#REF!-電力量!#REF!</f>
        <v>#REF!</v>
      </c>
      <c r="E713" t="e">
        <f>電力量!#REF!-電力量!#REF!</f>
        <v>#REF!</v>
      </c>
      <c r="F713" t="e">
        <f>電力量!#REF!-電力量!#REF!</f>
        <v>#REF!</v>
      </c>
      <c r="G713" t="e">
        <f>電力量!#REF!-電力量!#REF!</f>
        <v>#REF!</v>
      </c>
      <c r="H713" t="e">
        <f>電力量!#REF!-電力量!#REF!</f>
        <v>#REF!</v>
      </c>
      <c r="I713" t="e">
        <f>電力量!#REF!-電力量!#REF!</f>
        <v>#REF!</v>
      </c>
      <c r="J713" t="e">
        <f>電力量!#REF!-電力量!#REF!</f>
        <v>#REF!</v>
      </c>
      <c r="K713" t="e">
        <f>電力量!#REF!-電力量!#REF!</f>
        <v>#REF!</v>
      </c>
      <c r="L713" t="e">
        <f>電力量!#REF!-電力量!#REF!</f>
        <v>#REF!</v>
      </c>
      <c r="M713" t="e">
        <f>電力量!#REF!-電力量!#REF!</f>
        <v>#REF!</v>
      </c>
      <c r="N713" t="e">
        <f>電力量!#REF!-電力量!#REF!</f>
        <v>#REF!</v>
      </c>
      <c r="O713" t="e">
        <f>電力量!#REF!-電力量!#REF!</f>
        <v>#REF!</v>
      </c>
      <c r="P713" t="e">
        <f>電力量!#REF!-電力量!#REF!</f>
        <v>#REF!</v>
      </c>
      <c r="Q713" t="e">
        <f>電力量!#REF!-電力量!#REF!</f>
        <v>#REF!</v>
      </c>
      <c r="R713" t="e">
        <f>電力量!#REF!-電力量!#REF!</f>
        <v>#REF!</v>
      </c>
    </row>
    <row r="714" spans="1:18">
      <c r="A714" s="4">
        <f t="shared" si="245"/>
        <v>45929.666666666664</v>
      </c>
      <c r="B714" t="e">
        <f>電力量!#REF!-電力量!#REF!</f>
        <v>#REF!</v>
      </c>
      <c r="C714" t="e">
        <f>電力量!#REF!-電力量!#REF!</f>
        <v>#REF!</v>
      </c>
      <c r="D714" t="e">
        <f>電力量!#REF!-電力量!#REF!</f>
        <v>#REF!</v>
      </c>
      <c r="E714" t="e">
        <f>電力量!#REF!-電力量!#REF!</f>
        <v>#REF!</v>
      </c>
      <c r="F714" t="e">
        <f>電力量!#REF!-電力量!#REF!</f>
        <v>#REF!</v>
      </c>
      <c r="G714" t="e">
        <f>電力量!#REF!-電力量!#REF!</f>
        <v>#REF!</v>
      </c>
      <c r="H714" t="e">
        <f>電力量!#REF!-電力量!#REF!</f>
        <v>#REF!</v>
      </c>
      <c r="I714" t="e">
        <f>電力量!#REF!-電力量!#REF!</f>
        <v>#REF!</v>
      </c>
      <c r="J714" t="e">
        <f>電力量!#REF!-電力量!#REF!</f>
        <v>#REF!</v>
      </c>
      <c r="K714" t="e">
        <f>電力量!#REF!-電力量!#REF!</f>
        <v>#REF!</v>
      </c>
      <c r="L714" t="e">
        <f>電力量!#REF!-電力量!#REF!</f>
        <v>#REF!</v>
      </c>
      <c r="M714" t="e">
        <f>電力量!#REF!-電力量!#REF!</f>
        <v>#REF!</v>
      </c>
      <c r="N714" t="e">
        <f>電力量!#REF!-電力量!#REF!</f>
        <v>#REF!</v>
      </c>
      <c r="O714" t="e">
        <f>電力量!#REF!-電力量!#REF!</f>
        <v>#REF!</v>
      </c>
      <c r="P714" t="e">
        <f>電力量!#REF!-電力量!#REF!</f>
        <v>#REF!</v>
      </c>
      <c r="Q714" t="e">
        <f>電力量!#REF!-電力量!#REF!</f>
        <v>#REF!</v>
      </c>
      <c r="R714" t="e">
        <f>電力量!#REF!-電力量!#REF!</f>
        <v>#REF!</v>
      </c>
    </row>
    <row r="715" spans="1:18">
      <c r="A715" s="4">
        <f t="shared" si="246"/>
        <v>45929.708333333336</v>
      </c>
      <c r="B715" t="e">
        <f>電力量!#REF!-電力量!#REF!</f>
        <v>#REF!</v>
      </c>
      <c r="C715" t="e">
        <f>電力量!#REF!-電力量!#REF!</f>
        <v>#REF!</v>
      </c>
      <c r="D715" t="e">
        <f>電力量!#REF!-電力量!#REF!</f>
        <v>#REF!</v>
      </c>
      <c r="E715" t="e">
        <f>電力量!#REF!-電力量!#REF!</f>
        <v>#REF!</v>
      </c>
      <c r="F715" t="e">
        <f>電力量!#REF!-電力量!#REF!</f>
        <v>#REF!</v>
      </c>
      <c r="G715" t="e">
        <f>電力量!#REF!-電力量!#REF!</f>
        <v>#REF!</v>
      </c>
      <c r="H715" t="e">
        <f>電力量!#REF!-電力量!#REF!</f>
        <v>#REF!</v>
      </c>
      <c r="I715" t="e">
        <f>電力量!#REF!-電力量!#REF!</f>
        <v>#REF!</v>
      </c>
      <c r="J715" t="e">
        <f>電力量!#REF!-電力量!#REF!</f>
        <v>#REF!</v>
      </c>
      <c r="K715" t="e">
        <f>電力量!#REF!-電力量!#REF!</f>
        <v>#REF!</v>
      </c>
      <c r="L715" t="e">
        <f>電力量!#REF!-電力量!#REF!</f>
        <v>#REF!</v>
      </c>
      <c r="M715" t="e">
        <f>電力量!#REF!-電力量!#REF!</f>
        <v>#REF!</v>
      </c>
      <c r="N715" t="e">
        <f>電力量!#REF!-電力量!#REF!</f>
        <v>#REF!</v>
      </c>
      <c r="O715" t="e">
        <f>電力量!#REF!-電力量!#REF!</f>
        <v>#REF!</v>
      </c>
      <c r="P715" t="e">
        <f>電力量!#REF!-電力量!#REF!</f>
        <v>#REF!</v>
      </c>
      <c r="Q715" t="e">
        <f>電力量!#REF!-電力量!#REF!</f>
        <v>#REF!</v>
      </c>
      <c r="R715" t="e">
        <f>電力量!#REF!-電力量!#REF!</f>
        <v>#REF!</v>
      </c>
    </row>
    <row r="716" spans="1:18">
      <c r="A716" s="4">
        <f t="shared" si="247"/>
        <v>45929.75</v>
      </c>
      <c r="B716" t="e">
        <f>電力量!#REF!-電力量!#REF!</f>
        <v>#REF!</v>
      </c>
      <c r="C716" t="e">
        <f>電力量!#REF!-電力量!#REF!</f>
        <v>#REF!</v>
      </c>
      <c r="D716" t="e">
        <f>電力量!#REF!-電力量!#REF!</f>
        <v>#REF!</v>
      </c>
      <c r="E716" t="e">
        <f>電力量!#REF!-電力量!#REF!</f>
        <v>#REF!</v>
      </c>
      <c r="F716" t="e">
        <f>電力量!#REF!-電力量!#REF!</f>
        <v>#REF!</v>
      </c>
      <c r="G716" t="e">
        <f>電力量!#REF!-電力量!#REF!</f>
        <v>#REF!</v>
      </c>
      <c r="H716" t="e">
        <f>電力量!#REF!-電力量!#REF!</f>
        <v>#REF!</v>
      </c>
      <c r="I716" t="e">
        <f>電力量!#REF!-電力量!#REF!</f>
        <v>#REF!</v>
      </c>
      <c r="J716" t="e">
        <f>電力量!#REF!-電力量!#REF!</f>
        <v>#REF!</v>
      </c>
      <c r="K716" t="e">
        <f>電力量!#REF!-電力量!#REF!</f>
        <v>#REF!</v>
      </c>
      <c r="L716" t="e">
        <f>電力量!#REF!-電力量!#REF!</f>
        <v>#REF!</v>
      </c>
      <c r="M716" t="e">
        <f>電力量!#REF!-電力量!#REF!</f>
        <v>#REF!</v>
      </c>
      <c r="N716" t="e">
        <f>電力量!#REF!-電力量!#REF!</f>
        <v>#REF!</v>
      </c>
      <c r="O716" t="e">
        <f>電力量!#REF!-電力量!#REF!</f>
        <v>#REF!</v>
      </c>
      <c r="P716" t="e">
        <f>電力量!#REF!-電力量!#REF!</f>
        <v>#REF!</v>
      </c>
      <c r="Q716" t="e">
        <f>電力量!#REF!-電力量!#REF!</f>
        <v>#REF!</v>
      </c>
      <c r="R716" t="e">
        <f>電力量!#REF!-電力量!#REF!</f>
        <v>#REF!</v>
      </c>
    </row>
    <row r="717" spans="1:18">
      <c r="A717" s="4">
        <f t="shared" si="248"/>
        <v>45929.791666666664</v>
      </c>
      <c r="B717" t="e">
        <f>電力量!#REF!-電力量!#REF!</f>
        <v>#REF!</v>
      </c>
      <c r="C717" t="e">
        <f>電力量!#REF!-電力量!#REF!</f>
        <v>#REF!</v>
      </c>
      <c r="D717" t="e">
        <f>電力量!#REF!-電力量!#REF!</f>
        <v>#REF!</v>
      </c>
      <c r="E717" t="e">
        <f>電力量!#REF!-電力量!#REF!</f>
        <v>#REF!</v>
      </c>
      <c r="F717" t="e">
        <f>電力量!#REF!-電力量!#REF!</f>
        <v>#REF!</v>
      </c>
      <c r="G717" t="e">
        <f>電力量!#REF!-電力量!#REF!</f>
        <v>#REF!</v>
      </c>
      <c r="H717" t="e">
        <f>電力量!#REF!-電力量!#REF!</f>
        <v>#REF!</v>
      </c>
      <c r="I717" t="e">
        <f>電力量!#REF!-電力量!#REF!</f>
        <v>#REF!</v>
      </c>
      <c r="J717" t="e">
        <f>電力量!#REF!-電力量!#REF!</f>
        <v>#REF!</v>
      </c>
      <c r="K717" t="e">
        <f>電力量!#REF!-電力量!#REF!</f>
        <v>#REF!</v>
      </c>
      <c r="L717" t="e">
        <f>電力量!#REF!-電力量!#REF!</f>
        <v>#REF!</v>
      </c>
      <c r="M717" t="e">
        <f>電力量!#REF!-電力量!#REF!</f>
        <v>#REF!</v>
      </c>
      <c r="N717" t="e">
        <f>電力量!#REF!-電力量!#REF!</f>
        <v>#REF!</v>
      </c>
      <c r="O717" t="e">
        <f>電力量!#REF!-電力量!#REF!</f>
        <v>#REF!</v>
      </c>
      <c r="P717" t="e">
        <f>電力量!#REF!-電力量!#REF!</f>
        <v>#REF!</v>
      </c>
      <c r="Q717" t="e">
        <f>電力量!#REF!-電力量!#REF!</f>
        <v>#REF!</v>
      </c>
      <c r="R717" t="e">
        <f>電力量!#REF!-電力量!#REF!</f>
        <v>#REF!</v>
      </c>
    </row>
    <row r="718" spans="1:18">
      <c r="A718" s="4">
        <f t="shared" si="249"/>
        <v>45929.833333333336</v>
      </c>
      <c r="B718" t="e">
        <f>電力量!#REF!-電力量!#REF!</f>
        <v>#REF!</v>
      </c>
      <c r="C718" t="e">
        <f>電力量!#REF!-電力量!#REF!</f>
        <v>#REF!</v>
      </c>
      <c r="D718" t="e">
        <f>電力量!#REF!-電力量!#REF!</f>
        <v>#REF!</v>
      </c>
      <c r="E718" t="e">
        <f>電力量!#REF!-電力量!#REF!</f>
        <v>#REF!</v>
      </c>
      <c r="F718" t="e">
        <f>電力量!#REF!-電力量!#REF!</f>
        <v>#REF!</v>
      </c>
      <c r="G718" t="e">
        <f>電力量!#REF!-電力量!#REF!</f>
        <v>#REF!</v>
      </c>
      <c r="H718" t="e">
        <f>電力量!#REF!-電力量!#REF!</f>
        <v>#REF!</v>
      </c>
      <c r="I718" t="e">
        <f>電力量!#REF!-電力量!#REF!</f>
        <v>#REF!</v>
      </c>
      <c r="J718" t="e">
        <f>電力量!#REF!-電力量!#REF!</f>
        <v>#REF!</v>
      </c>
      <c r="K718" t="e">
        <f>電力量!#REF!-電力量!#REF!</f>
        <v>#REF!</v>
      </c>
      <c r="L718" t="e">
        <f>電力量!#REF!-電力量!#REF!</f>
        <v>#REF!</v>
      </c>
      <c r="M718" t="e">
        <f>電力量!#REF!-電力量!#REF!</f>
        <v>#REF!</v>
      </c>
      <c r="N718" t="e">
        <f>電力量!#REF!-電力量!#REF!</f>
        <v>#REF!</v>
      </c>
      <c r="O718" t="e">
        <f>電力量!#REF!-電力量!#REF!</f>
        <v>#REF!</v>
      </c>
      <c r="P718" t="e">
        <f>電力量!#REF!-電力量!#REF!</f>
        <v>#REF!</v>
      </c>
      <c r="Q718" t="e">
        <f>電力量!#REF!-電力量!#REF!</f>
        <v>#REF!</v>
      </c>
      <c r="R718" t="e">
        <f>電力量!#REF!-電力量!#REF!</f>
        <v>#REF!</v>
      </c>
    </row>
    <row r="719" spans="1:18">
      <c r="A719" s="4">
        <f t="shared" si="250"/>
        <v>45929.875</v>
      </c>
      <c r="B719" t="e">
        <f>電力量!#REF!-電力量!#REF!</f>
        <v>#REF!</v>
      </c>
      <c r="C719" t="e">
        <f>電力量!#REF!-電力量!#REF!</f>
        <v>#REF!</v>
      </c>
      <c r="D719" t="e">
        <f>電力量!#REF!-電力量!#REF!</f>
        <v>#REF!</v>
      </c>
      <c r="E719" t="e">
        <f>電力量!#REF!-電力量!#REF!</f>
        <v>#REF!</v>
      </c>
      <c r="F719" t="e">
        <f>電力量!#REF!-電力量!#REF!</f>
        <v>#REF!</v>
      </c>
      <c r="G719" t="e">
        <f>電力量!#REF!-電力量!#REF!</f>
        <v>#REF!</v>
      </c>
      <c r="H719" t="e">
        <f>電力量!#REF!-電力量!#REF!</f>
        <v>#REF!</v>
      </c>
      <c r="I719" t="e">
        <f>電力量!#REF!-電力量!#REF!</f>
        <v>#REF!</v>
      </c>
      <c r="J719" t="e">
        <f>電力量!#REF!-電力量!#REF!</f>
        <v>#REF!</v>
      </c>
      <c r="K719" t="e">
        <f>電力量!#REF!-電力量!#REF!</f>
        <v>#REF!</v>
      </c>
      <c r="L719" t="e">
        <f>電力量!#REF!-電力量!#REF!</f>
        <v>#REF!</v>
      </c>
      <c r="M719" t="e">
        <f>電力量!#REF!-電力量!#REF!</f>
        <v>#REF!</v>
      </c>
      <c r="N719" t="e">
        <f>電力量!#REF!-電力量!#REF!</f>
        <v>#REF!</v>
      </c>
      <c r="O719" t="e">
        <f>電力量!#REF!-電力量!#REF!</f>
        <v>#REF!</v>
      </c>
      <c r="P719" t="e">
        <f>電力量!#REF!-電力量!#REF!</f>
        <v>#REF!</v>
      </c>
      <c r="Q719" t="e">
        <f>電力量!#REF!-電力量!#REF!</f>
        <v>#REF!</v>
      </c>
      <c r="R719" t="e">
        <f>電力量!#REF!-電力量!#REF!</f>
        <v>#REF!</v>
      </c>
    </row>
    <row r="720" spans="1:18">
      <c r="A720" s="4">
        <f t="shared" si="251"/>
        <v>45929.916666666664</v>
      </c>
      <c r="B720" t="e">
        <f>電力量!#REF!-電力量!#REF!</f>
        <v>#REF!</v>
      </c>
      <c r="C720" t="e">
        <f>電力量!#REF!-電力量!#REF!</f>
        <v>#REF!</v>
      </c>
      <c r="D720" t="e">
        <f>電力量!#REF!-電力量!#REF!</f>
        <v>#REF!</v>
      </c>
      <c r="E720" t="e">
        <f>電力量!#REF!-電力量!#REF!</f>
        <v>#REF!</v>
      </c>
      <c r="F720" t="e">
        <f>電力量!#REF!-電力量!#REF!</f>
        <v>#REF!</v>
      </c>
      <c r="G720" t="e">
        <f>電力量!#REF!-電力量!#REF!</f>
        <v>#REF!</v>
      </c>
      <c r="H720" t="e">
        <f>電力量!#REF!-電力量!#REF!</f>
        <v>#REF!</v>
      </c>
      <c r="I720" t="e">
        <f>電力量!#REF!-電力量!#REF!</f>
        <v>#REF!</v>
      </c>
      <c r="J720" t="e">
        <f>電力量!#REF!-電力量!#REF!</f>
        <v>#REF!</v>
      </c>
      <c r="K720" t="e">
        <f>電力量!#REF!-電力量!#REF!</f>
        <v>#REF!</v>
      </c>
      <c r="L720" t="e">
        <f>電力量!#REF!-電力量!#REF!</f>
        <v>#REF!</v>
      </c>
      <c r="M720" t="e">
        <f>電力量!#REF!-電力量!#REF!</f>
        <v>#REF!</v>
      </c>
      <c r="N720" t="e">
        <f>電力量!#REF!-電力量!#REF!</f>
        <v>#REF!</v>
      </c>
      <c r="O720" t="e">
        <f>電力量!#REF!-電力量!#REF!</f>
        <v>#REF!</v>
      </c>
      <c r="P720" t="e">
        <f>電力量!#REF!-電力量!#REF!</f>
        <v>#REF!</v>
      </c>
      <c r="Q720" t="e">
        <f>電力量!#REF!-電力量!#REF!</f>
        <v>#REF!</v>
      </c>
      <c r="R720" t="e">
        <f>電力量!#REF!-電力量!#REF!</f>
        <v>#REF!</v>
      </c>
    </row>
    <row r="721" spans="1:18">
      <c r="A721" s="4">
        <f t="shared" si="252"/>
        <v>45929.958333333336</v>
      </c>
      <c r="B721" t="e">
        <f>電力量!#REF!-電力量!#REF!</f>
        <v>#REF!</v>
      </c>
      <c r="C721" t="e">
        <f>電力量!#REF!-電力量!#REF!</f>
        <v>#REF!</v>
      </c>
      <c r="D721" t="e">
        <f>電力量!#REF!-電力量!#REF!</f>
        <v>#REF!</v>
      </c>
      <c r="E721" t="e">
        <f>電力量!#REF!-電力量!#REF!</f>
        <v>#REF!</v>
      </c>
      <c r="F721" t="e">
        <f>電力量!#REF!-電力量!#REF!</f>
        <v>#REF!</v>
      </c>
      <c r="G721" t="e">
        <f>電力量!#REF!-電力量!#REF!</f>
        <v>#REF!</v>
      </c>
      <c r="H721" t="e">
        <f>電力量!#REF!-電力量!#REF!</f>
        <v>#REF!</v>
      </c>
      <c r="I721" t="e">
        <f>電力量!#REF!-電力量!#REF!</f>
        <v>#REF!</v>
      </c>
      <c r="J721" t="e">
        <f>電力量!#REF!-電力量!#REF!</f>
        <v>#REF!</v>
      </c>
      <c r="K721" t="e">
        <f>電力量!#REF!-電力量!#REF!</f>
        <v>#REF!</v>
      </c>
      <c r="L721" t="e">
        <f>電力量!#REF!-電力量!#REF!</f>
        <v>#REF!</v>
      </c>
      <c r="M721" t="e">
        <f>電力量!#REF!-電力量!#REF!</f>
        <v>#REF!</v>
      </c>
      <c r="N721" t="e">
        <f>電力量!#REF!-電力量!#REF!</f>
        <v>#REF!</v>
      </c>
      <c r="O721" t="e">
        <f>電力量!#REF!-電力量!#REF!</f>
        <v>#REF!</v>
      </c>
      <c r="P721" t="e">
        <f>電力量!#REF!-電力量!#REF!</f>
        <v>#REF!</v>
      </c>
      <c r="Q721" t="e">
        <f>電力量!#REF!-電力量!#REF!</f>
        <v>#REF!</v>
      </c>
      <c r="R721" t="e">
        <f>電力量!#REF!-電力量!#REF!</f>
        <v>#REF!</v>
      </c>
    </row>
    <row r="722" spans="1:18">
      <c r="A722" s="4">
        <v>45930</v>
      </c>
    </row>
    <row r="723" spans="1:18">
      <c r="A723" s="4">
        <f t="shared" si="230"/>
        <v>45930.041666666664</v>
      </c>
      <c r="B723" t="e">
        <f>電力量!#REF!-電力量!#REF!</f>
        <v>#REF!</v>
      </c>
      <c r="C723" t="e">
        <f>電力量!#REF!-電力量!#REF!</f>
        <v>#REF!</v>
      </c>
      <c r="D723" t="e">
        <f>電力量!#REF!-電力量!#REF!</f>
        <v>#REF!</v>
      </c>
      <c r="E723" t="e">
        <f>電力量!#REF!-電力量!#REF!</f>
        <v>#REF!</v>
      </c>
      <c r="F723" t="e">
        <f>電力量!#REF!-電力量!#REF!</f>
        <v>#REF!</v>
      </c>
      <c r="G723" t="e">
        <f>電力量!#REF!-電力量!#REF!</f>
        <v>#REF!</v>
      </c>
      <c r="H723" t="e">
        <f>電力量!#REF!-電力量!#REF!</f>
        <v>#REF!</v>
      </c>
      <c r="I723" t="e">
        <f>電力量!#REF!-電力量!#REF!</f>
        <v>#REF!</v>
      </c>
      <c r="J723" t="e">
        <f>電力量!#REF!-電力量!#REF!</f>
        <v>#REF!</v>
      </c>
      <c r="K723" t="e">
        <f>電力量!#REF!-電力量!#REF!</f>
        <v>#REF!</v>
      </c>
      <c r="L723" t="e">
        <f>電力量!#REF!-電力量!#REF!</f>
        <v>#REF!</v>
      </c>
      <c r="M723" t="e">
        <f>電力量!#REF!-電力量!#REF!</f>
        <v>#REF!</v>
      </c>
      <c r="N723" t="e">
        <f>電力量!#REF!-電力量!#REF!</f>
        <v>#REF!</v>
      </c>
      <c r="O723" t="e">
        <f>電力量!#REF!-電力量!#REF!</f>
        <v>#REF!</v>
      </c>
      <c r="P723" t="e">
        <f>電力量!#REF!-電力量!#REF!</f>
        <v>#REF!</v>
      </c>
      <c r="Q723" t="e">
        <f>電力量!#REF!-電力量!#REF!</f>
        <v>#REF!</v>
      </c>
      <c r="R723" t="e">
        <f>電力量!#REF!-電力量!#REF!</f>
        <v>#REF!</v>
      </c>
    </row>
    <row r="724" spans="1:18">
      <c r="A724" s="4">
        <f t="shared" si="231"/>
        <v>45930.083333333336</v>
      </c>
      <c r="B724" t="e">
        <f>電力量!#REF!-電力量!#REF!</f>
        <v>#REF!</v>
      </c>
      <c r="C724" t="e">
        <f>電力量!#REF!-電力量!#REF!</f>
        <v>#REF!</v>
      </c>
      <c r="D724" t="e">
        <f>電力量!#REF!-電力量!#REF!</f>
        <v>#REF!</v>
      </c>
      <c r="E724" t="e">
        <f>電力量!#REF!-電力量!#REF!</f>
        <v>#REF!</v>
      </c>
      <c r="F724" t="e">
        <f>電力量!#REF!-電力量!#REF!</f>
        <v>#REF!</v>
      </c>
      <c r="G724" t="e">
        <f>電力量!#REF!-電力量!#REF!</f>
        <v>#REF!</v>
      </c>
      <c r="H724" t="e">
        <f>電力量!#REF!-電力量!#REF!</f>
        <v>#REF!</v>
      </c>
      <c r="I724" t="e">
        <f>電力量!#REF!-電力量!#REF!</f>
        <v>#REF!</v>
      </c>
      <c r="J724" t="e">
        <f>電力量!#REF!-電力量!#REF!</f>
        <v>#REF!</v>
      </c>
      <c r="K724" t="e">
        <f>電力量!#REF!-電力量!#REF!</f>
        <v>#REF!</v>
      </c>
      <c r="L724" t="e">
        <f>電力量!#REF!-電力量!#REF!</f>
        <v>#REF!</v>
      </c>
      <c r="M724" t="e">
        <f>電力量!#REF!-電力量!#REF!</f>
        <v>#REF!</v>
      </c>
      <c r="N724" t="e">
        <f>電力量!#REF!-電力量!#REF!</f>
        <v>#REF!</v>
      </c>
      <c r="O724" t="e">
        <f>電力量!#REF!-電力量!#REF!</f>
        <v>#REF!</v>
      </c>
      <c r="P724" t="e">
        <f>電力量!#REF!-電力量!#REF!</f>
        <v>#REF!</v>
      </c>
      <c r="Q724" t="e">
        <f>電力量!#REF!-電力量!#REF!</f>
        <v>#REF!</v>
      </c>
      <c r="R724" t="e">
        <f>電力量!#REF!-電力量!#REF!</f>
        <v>#REF!</v>
      </c>
    </row>
    <row r="725" spans="1:18">
      <c r="A725" s="4">
        <f t="shared" si="232"/>
        <v>45930.125</v>
      </c>
      <c r="B725" t="e">
        <f>電力量!#REF!-電力量!#REF!</f>
        <v>#REF!</v>
      </c>
      <c r="C725" t="e">
        <f>電力量!#REF!-電力量!#REF!</f>
        <v>#REF!</v>
      </c>
      <c r="D725" t="e">
        <f>電力量!#REF!-電力量!#REF!</f>
        <v>#REF!</v>
      </c>
      <c r="E725" t="e">
        <f>電力量!#REF!-電力量!#REF!</f>
        <v>#REF!</v>
      </c>
      <c r="F725" t="e">
        <f>電力量!#REF!-電力量!#REF!</f>
        <v>#REF!</v>
      </c>
      <c r="G725" t="e">
        <f>電力量!#REF!-電力量!#REF!</f>
        <v>#REF!</v>
      </c>
      <c r="H725" t="e">
        <f>電力量!#REF!-電力量!#REF!</f>
        <v>#REF!</v>
      </c>
      <c r="I725" t="e">
        <f>電力量!#REF!-電力量!#REF!</f>
        <v>#REF!</v>
      </c>
      <c r="J725" t="e">
        <f>電力量!#REF!-電力量!#REF!</f>
        <v>#REF!</v>
      </c>
      <c r="K725" t="e">
        <f>電力量!#REF!-電力量!#REF!</f>
        <v>#REF!</v>
      </c>
      <c r="L725" t="e">
        <f>電力量!#REF!-電力量!#REF!</f>
        <v>#REF!</v>
      </c>
      <c r="M725" t="e">
        <f>電力量!#REF!-電力量!#REF!</f>
        <v>#REF!</v>
      </c>
      <c r="N725" t="e">
        <f>電力量!#REF!-電力量!#REF!</f>
        <v>#REF!</v>
      </c>
      <c r="O725" t="e">
        <f>電力量!#REF!-電力量!#REF!</f>
        <v>#REF!</v>
      </c>
      <c r="P725" t="e">
        <f>電力量!#REF!-電力量!#REF!</f>
        <v>#REF!</v>
      </c>
      <c r="Q725" t="e">
        <f>電力量!#REF!-電力量!#REF!</f>
        <v>#REF!</v>
      </c>
      <c r="R725" t="e">
        <f>電力量!#REF!-電力量!#REF!</f>
        <v>#REF!</v>
      </c>
    </row>
    <row r="726" spans="1:18">
      <c r="A726" s="4">
        <f t="shared" si="233"/>
        <v>45930.166666666664</v>
      </c>
      <c r="B726" t="e">
        <f>電力量!#REF!-電力量!#REF!</f>
        <v>#REF!</v>
      </c>
      <c r="C726" t="e">
        <f>電力量!#REF!-電力量!#REF!</f>
        <v>#REF!</v>
      </c>
      <c r="D726" t="e">
        <f>電力量!#REF!-電力量!#REF!</f>
        <v>#REF!</v>
      </c>
      <c r="E726" t="e">
        <f>電力量!#REF!-電力量!#REF!</f>
        <v>#REF!</v>
      </c>
      <c r="F726" t="e">
        <f>電力量!#REF!-電力量!#REF!</f>
        <v>#REF!</v>
      </c>
      <c r="G726" t="e">
        <f>電力量!#REF!-電力量!#REF!</f>
        <v>#REF!</v>
      </c>
      <c r="H726" t="e">
        <f>電力量!#REF!-電力量!#REF!</f>
        <v>#REF!</v>
      </c>
      <c r="I726" t="e">
        <f>電力量!#REF!-電力量!#REF!</f>
        <v>#REF!</v>
      </c>
      <c r="J726" t="e">
        <f>電力量!#REF!-電力量!#REF!</f>
        <v>#REF!</v>
      </c>
      <c r="K726" t="e">
        <f>電力量!#REF!-電力量!#REF!</f>
        <v>#REF!</v>
      </c>
      <c r="L726" t="e">
        <f>電力量!#REF!-電力量!#REF!</f>
        <v>#REF!</v>
      </c>
      <c r="M726" t="e">
        <f>電力量!#REF!-電力量!#REF!</f>
        <v>#REF!</v>
      </c>
      <c r="N726" t="e">
        <f>電力量!#REF!-電力量!#REF!</f>
        <v>#REF!</v>
      </c>
      <c r="O726" t="e">
        <f>電力量!#REF!-電力量!#REF!</f>
        <v>#REF!</v>
      </c>
      <c r="P726" t="e">
        <f>電力量!#REF!-電力量!#REF!</f>
        <v>#REF!</v>
      </c>
      <c r="Q726" t="e">
        <f>電力量!#REF!-電力量!#REF!</f>
        <v>#REF!</v>
      </c>
      <c r="R726" t="e">
        <f>電力量!#REF!-電力量!#REF!</f>
        <v>#REF!</v>
      </c>
    </row>
    <row r="727" spans="1:18">
      <c r="A727" s="4">
        <f t="shared" si="234"/>
        <v>45930.208333333336</v>
      </c>
      <c r="B727" t="e">
        <f>電力量!#REF!-電力量!#REF!</f>
        <v>#REF!</v>
      </c>
      <c r="C727" t="e">
        <f>電力量!#REF!-電力量!#REF!</f>
        <v>#REF!</v>
      </c>
      <c r="D727" t="e">
        <f>電力量!#REF!-電力量!#REF!</f>
        <v>#REF!</v>
      </c>
      <c r="E727" t="e">
        <f>電力量!#REF!-電力量!#REF!</f>
        <v>#REF!</v>
      </c>
      <c r="F727" t="e">
        <f>電力量!#REF!-電力量!#REF!</f>
        <v>#REF!</v>
      </c>
      <c r="G727" t="e">
        <f>電力量!#REF!-電力量!#REF!</f>
        <v>#REF!</v>
      </c>
      <c r="H727" t="e">
        <f>電力量!#REF!-電力量!#REF!</f>
        <v>#REF!</v>
      </c>
      <c r="I727" t="e">
        <f>電力量!#REF!-電力量!#REF!</f>
        <v>#REF!</v>
      </c>
      <c r="J727" t="e">
        <f>電力量!#REF!-電力量!#REF!</f>
        <v>#REF!</v>
      </c>
      <c r="K727" t="e">
        <f>電力量!#REF!-電力量!#REF!</f>
        <v>#REF!</v>
      </c>
      <c r="L727" t="e">
        <f>電力量!#REF!-電力量!#REF!</f>
        <v>#REF!</v>
      </c>
      <c r="M727" t="e">
        <f>電力量!#REF!-電力量!#REF!</f>
        <v>#REF!</v>
      </c>
      <c r="N727" t="e">
        <f>電力量!#REF!-電力量!#REF!</f>
        <v>#REF!</v>
      </c>
      <c r="O727" t="e">
        <f>電力量!#REF!-電力量!#REF!</f>
        <v>#REF!</v>
      </c>
      <c r="P727" t="e">
        <f>電力量!#REF!-電力量!#REF!</f>
        <v>#REF!</v>
      </c>
      <c r="Q727" t="e">
        <f>電力量!#REF!-電力量!#REF!</f>
        <v>#REF!</v>
      </c>
      <c r="R727" t="e">
        <f>電力量!#REF!-電力量!#REF!</f>
        <v>#REF!</v>
      </c>
    </row>
    <row r="728" spans="1:18">
      <c r="A728" s="4">
        <f t="shared" si="235"/>
        <v>45930.25</v>
      </c>
      <c r="B728" t="e">
        <f>電力量!#REF!-電力量!#REF!</f>
        <v>#REF!</v>
      </c>
      <c r="C728" t="e">
        <f>電力量!#REF!-電力量!#REF!</f>
        <v>#REF!</v>
      </c>
      <c r="D728" t="e">
        <f>電力量!#REF!-電力量!#REF!</f>
        <v>#REF!</v>
      </c>
      <c r="E728" t="e">
        <f>電力量!#REF!-電力量!#REF!</f>
        <v>#REF!</v>
      </c>
      <c r="F728" t="e">
        <f>電力量!#REF!-電力量!#REF!</f>
        <v>#REF!</v>
      </c>
      <c r="G728" t="e">
        <f>電力量!#REF!-電力量!#REF!</f>
        <v>#REF!</v>
      </c>
      <c r="H728" t="e">
        <f>電力量!#REF!-電力量!#REF!</f>
        <v>#REF!</v>
      </c>
      <c r="I728" t="e">
        <f>電力量!#REF!-電力量!#REF!</f>
        <v>#REF!</v>
      </c>
      <c r="J728" t="e">
        <f>電力量!#REF!-電力量!#REF!</f>
        <v>#REF!</v>
      </c>
      <c r="K728" t="e">
        <f>電力量!#REF!-電力量!#REF!</f>
        <v>#REF!</v>
      </c>
      <c r="L728" t="e">
        <f>電力量!#REF!-電力量!#REF!</f>
        <v>#REF!</v>
      </c>
      <c r="M728" t="e">
        <f>電力量!#REF!-電力量!#REF!</f>
        <v>#REF!</v>
      </c>
      <c r="N728" t="e">
        <f>電力量!#REF!-電力量!#REF!</f>
        <v>#REF!</v>
      </c>
      <c r="O728" t="e">
        <f>電力量!#REF!-電力量!#REF!</f>
        <v>#REF!</v>
      </c>
      <c r="P728" t="e">
        <f>電力量!#REF!-電力量!#REF!</f>
        <v>#REF!</v>
      </c>
      <c r="Q728" t="e">
        <f>電力量!#REF!-電力量!#REF!</f>
        <v>#REF!</v>
      </c>
      <c r="R728" t="e">
        <f>電力量!#REF!-電力量!#REF!</f>
        <v>#REF!</v>
      </c>
    </row>
    <row r="729" spans="1:18">
      <c r="A729" s="4">
        <f t="shared" si="236"/>
        <v>45930.291666666664</v>
      </c>
      <c r="B729" t="e">
        <f>電力量!#REF!-電力量!#REF!</f>
        <v>#REF!</v>
      </c>
      <c r="C729" t="e">
        <f>電力量!#REF!-電力量!#REF!</f>
        <v>#REF!</v>
      </c>
      <c r="D729" t="e">
        <f>電力量!#REF!-電力量!#REF!</f>
        <v>#REF!</v>
      </c>
      <c r="E729" t="e">
        <f>電力量!#REF!-電力量!#REF!</f>
        <v>#REF!</v>
      </c>
      <c r="F729" t="e">
        <f>電力量!#REF!-電力量!#REF!</f>
        <v>#REF!</v>
      </c>
      <c r="G729" t="e">
        <f>電力量!#REF!-電力量!#REF!</f>
        <v>#REF!</v>
      </c>
      <c r="H729" t="e">
        <f>電力量!#REF!-電力量!#REF!</f>
        <v>#REF!</v>
      </c>
      <c r="I729" t="e">
        <f>電力量!#REF!-電力量!#REF!</f>
        <v>#REF!</v>
      </c>
      <c r="J729" t="e">
        <f>電力量!#REF!-電力量!#REF!</f>
        <v>#REF!</v>
      </c>
      <c r="K729" t="e">
        <f>電力量!#REF!-電力量!#REF!</f>
        <v>#REF!</v>
      </c>
      <c r="L729" t="e">
        <f>電力量!#REF!-電力量!#REF!</f>
        <v>#REF!</v>
      </c>
      <c r="M729" t="e">
        <f>電力量!#REF!-電力量!#REF!</f>
        <v>#REF!</v>
      </c>
      <c r="N729" t="e">
        <f>電力量!#REF!-電力量!#REF!</f>
        <v>#REF!</v>
      </c>
      <c r="O729" t="e">
        <f>電力量!#REF!-電力量!#REF!</f>
        <v>#REF!</v>
      </c>
      <c r="P729" t="e">
        <f>電力量!#REF!-電力量!#REF!</f>
        <v>#REF!</v>
      </c>
      <c r="Q729" t="e">
        <f>電力量!#REF!-電力量!#REF!</f>
        <v>#REF!</v>
      </c>
      <c r="R729" t="e">
        <f>電力量!#REF!-電力量!#REF!</f>
        <v>#REF!</v>
      </c>
    </row>
    <row r="730" spans="1:18">
      <c r="A730" s="4">
        <f t="shared" si="237"/>
        <v>45930.333333333336</v>
      </c>
      <c r="B730" t="e">
        <f>電力量!#REF!-電力量!#REF!</f>
        <v>#REF!</v>
      </c>
      <c r="C730" t="e">
        <f>電力量!#REF!-電力量!#REF!</f>
        <v>#REF!</v>
      </c>
      <c r="D730" t="e">
        <f>電力量!#REF!-電力量!#REF!</f>
        <v>#REF!</v>
      </c>
      <c r="E730" t="e">
        <f>電力量!#REF!-電力量!#REF!</f>
        <v>#REF!</v>
      </c>
      <c r="F730" t="e">
        <f>電力量!#REF!-電力量!#REF!</f>
        <v>#REF!</v>
      </c>
      <c r="G730" t="e">
        <f>電力量!#REF!-電力量!#REF!</f>
        <v>#REF!</v>
      </c>
      <c r="H730" t="e">
        <f>電力量!#REF!-電力量!#REF!</f>
        <v>#REF!</v>
      </c>
      <c r="I730" t="e">
        <f>電力量!#REF!-電力量!#REF!</f>
        <v>#REF!</v>
      </c>
      <c r="J730" t="e">
        <f>電力量!#REF!-電力量!#REF!</f>
        <v>#REF!</v>
      </c>
      <c r="K730" t="e">
        <f>電力量!#REF!-電力量!#REF!</f>
        <v>#REF!</v>
      </c>
      <c r="L730" t="e">
        <f>電力量!#REF!-電力量!#REF!</f>
        <v>#REF!</v>
      </c>
      <c r="M730" t="e">
        <f>電力量!#REF!-電力量!#REF!</f>
        <v>#REF!</v>
      </c>
      <c r="N730" t="e">
        <f>電力量!#REF!-電力量!#REF!</f>
        <v>#REF!</v>
      </c>
      <c r="O730" t="e">
        <f>電力量!#REF!-電力量!#REF!</f>
        <v>#REF!</v>
      </c>
      <c r="P730" t="e">
        <f>電力量!#REF!-電力量!#REF!</f>
        <v>#REF!</v>
      </c>
      <c r="Q730" t="e">
        <f>電力量!#REF!-電力量!#REF!</f>
        <v>#REF!</v>
      </c>
      <c r="R730" t="e">
        <f>電力量!#REF!-電力量!#REF!</f>
        <v>#REF!</v>
      </c>
    </row>
    <row r="731" spans="1:18">
      <c r="A731" s="4">
        <f t="shared" si="238"/>
        <v>45930.375</v>
      </c>
      <c r="B731" t="e">
        <f>電力量!#REF!-電力量!#REF!</f>
        <v>#REF!</v>
      </c>
      <c r="C731" t="e">
        <f>電力量!#REF!-電力量!#REF!</f>
        <v>#REF!</v>
      </c>
      <c r="D731" t="e">
        <f>電力量!#REF!-電力量!#REF!</f>
        <v>#REF!</v>
      </c>
      <c r="E731" t="e">
        <f>電力量!#REF!-電力量!#REF!</f>
        <v>#REF!</v>
      </c>
      <c r="F731" t="e">
        <f>電力量!#REF!-電力量!#REF!</f>
        <v>#REF!</v>
      </c>
      <c r="G731" t="e">
        <f>電力量!#REF!-電力量!#REF!</f>
        <v>#REF!</v>
      </c>
      <c r="H731" t="e">
        <f>電力量!#REF!-電力量!#REF!</f>
        <v>#REF!</v>
      </c>
      <c r="I731" t="e">
        <f>電力量!#REF!-電力量!#REF!</f>
        <v>#REF!</v>
      </c>
      <c r="J731" t="e">
        <f>電力量!#REF!-電力量!#REF!</f>
        <v>#REF!</v>
      </c>
      <c r="K731" t="e">
        <f>電力量!#REF!-電力量!#REF!</f>
        <v>#REF!</v>
      </c>
      <c r="L731" t="e">
        <f>電力量!#REF!-電力量!#REF!</f>
        <v>#REF!</v>
      </c>
      <c r="M731" t="e">
        <f>電力量!#REF!-電力量!#REF!</f>
        <v>#REF!</v>
      </c>
      <c r="N731" t="e">
        <f>電力量!#REF!-電力量!#REF!</f>
        <v>#REF!</v>
      </c>
      <c r="O731" t="e">
        <f>電力量!#REF!-電力量!#REF!</f>
        <v>#REF!</v>
      </c>
      <c r="P731" t="e">
        <f>電力量!#REF!-電力量!#REF!</f>
        <v>#REF!</v>
      </c>
      <c r="Q731" t="e">
        <f>電力量!#REF!-電力量!#REF!</f>
        <v>#REF!</v>
      </c>
      <c r="R731" t="e">
        <f>電力量!#REF!-電力量!#REF!</f>
        <v>#REF!</v>
      </c>
    </row>
    <row r="732" spans="1:18">
      <c r="A732" s="4">
        <f t="shared" si="239"/>
        <v>45930.416666666664</v>
      </c>
      <c r="B732" t="e">
        <f>電力量!#REF!-電力量!#REF!</f>
        <v>#REF!</v>
      </c>
      <c r="C732" t="e">
        <f>電力量!#REF!-電力量!#REF!</f>
        <v>#REF!</v>
      </c>
      <c r="D732" t="e">
        <f>電力量!#REF!-電力量!#REF!</f>
        <v>#REF!</v>
      </c>
      <c r="E732" t="e">
        <f>電力量!#REF!-電力量!#REF!</f>
        <v>#REF!</v>
      </c>
      <c r="F732" t="e">
        <f>電力量!#REF!-電力量!#REF!</f>
        <v>#REF!</v>
      </c>
      <c r="G732" t="e">
        <f>電力量!#REF!-電力量!#REF!</f>
        <v>#REF!</v>
      </c>
      <c r="H732" t="e">
        <f>電力量!#REF!-電力量!#REF!</f>
        <v>#REF!</v>
      </c>
      <c r="I732" t="e">
        <f>電力量!#REF!-電力量!#REF!</f>
        <v>#REF!</v>
      </c>
      <c r="J732" t="e">
        <f>電力量!#REF!-電力量!#REF!</f>
        <v>#REF!</v>
      </c>
      <c r="K732" t="e">
        <f>電力量!#REF!-電力量!#REF!</f>
        <v>#REF!</v>
      </c>
      <c r="L732" t="e">
        <f>電力量!#REF!-電力量!#REF!</f>
        <v>#REF!</v>
      </c>
      <c r="M732" t="e">
        <f>電力量!#REF!-電力量!#REF!</f>
        <v>#REF!</v>
      </c>
      <c r="N732" t="e">
        <f>電力量!#REF!-電力量!#REF!</f>
        <v>#REF!</v>
      </c>
      <c r="O732" t="e">
        <f>電力量!#REF!-電力量!#REF!</f>
        <v>#REF!</v>
      </c>
      <c r="P732" t="e">
        <f>電力量!#REF!-電力量!#REF!</f>
        <v>#REF!</v>
      </c>
      <c r="Q732" t="e">
        <f>電力量!#REF!-電力量!#REF!</f>
        <v>#REF!</v>
      </c>
      <c r="R732" t="e">
        <f>電力量!#REF!-電力量!#REF!</f>
        <v>#REF!</v>
      </c>
    </row>
    <row r="733" spans="1:18">
      <c r="A733" s="4">
        <f t="shared" si="240"/>
        <v>45930.458333333336</v>
      </c>
      <c r="B733" t="e">
        <f>電力量!#REF!-電力量!#REF!</f>
        <v>#REF!</v>
      </c>
      <c r="C733" t="e">
        <f>電力量!#REF!-電力量!#REF!</f>
        <v>#REF!</v>
      </c>
      <c r="D733" t="e">
        <f>電力量!#REF!-電力量!#REF!</f>
        <v>#REF!</v>
      </c>
      <c r="E733" t="e">
        <f>電力量!#REF!-電力量!#REF!</f>
        <v>#REF!</v>
      </c>
      <c r="F733" t="e">
        <f>電力量!#REF!-電力量!#REF!</f>
        <v>#REF!</v>
      </c>
      <c r="G733" t="e">
        <f>電力量!#REF!-電力量!#REF!</f>
        <v>#REF!</v>
      </c>
      <c r="H733" t="e">
        <f>電力量!#REF!-電力量!#REF!</f>
        <v>#REF!</v>
      </c>
      <c r="I733" t="e">
        <f>電力量!#REF!-電力量!#REF!</f>
        <v>#REF!</v>
      </c>
      <c r="J733" t="e">
        <f>電力量!#REF!-電力量!#REF!</f>
        <v>#REF!</v>
      </c>
      <c r="K733" t="e">
        <f>電力量!#REF!-電力量!#REF!</f>
        <v>#REF!</v>
      </c>
      <c r="L733" t="e">
        <f>電力量!#REF!-電力量!#REF!</f>
        <v>#REF!</v>
      </c>
      <c r="M733" t="e">
        <f>電力量!#REF!-電力量!#REF!</f>
        <v>#REF!</v>
      </c>
      <c r="N733" t="e">
        <f>電力量!#REF!-電力量!#REF!</f>
        <v>#REF!</v>
      </c>
      <c r="O733" t="e">
        <f>電力量!#REF!-電力量!#REF!</f>
        <v>#REF!</v>
      </c>
      <c r="P733" t="e">
        <f>電力量!#REF!-電力量!#REF!</f>
        <v>#REF!</v>
      </c>
      <c r="Q733" t="e">
        <f>電力量!#REF!-電力量!#REF!</f>
        <v>#REF!</v>
      </c>
      <c r="R733" t="e">
        <f>電力量!#REF!-電力量!#REF!</f>
        <v>#REF!</v>
      </c>
    </row>
    <row r="734" spans="1:18">
      <c r="A734" s="4">
        <f t="shared" si="241"/>
        <v>45930.5</v>
      </c>
      <c r="B734" t="e">
        <f>電力量!#REF!-電力量!#REF!</f>
        <v>#REF!</v>
      </c>
      <c r="C734" t="e">
        <f>電力量!#REF!-電力量!#REF!</f>
        <v>#REF!</v>
      </c>
      <c r="D734" t="e">
        <f>電力量!#REF!-電力量!#REF!</f>
        <v>#REF!</v>
      </c>
      <c r="E734" t="e">
        <f>電力量!#REF!-電力量!#REF!</f>
        <v>#REF!</v>
      </c>
      <c r="F734" t="e">
        <f>電力量!#REF!-電力量!#REF!</f>
        <v>#REF!</v>
      </c>
      <c r="G734" t="e">
        <f>電力量!#REF!-電力量!#REF!</f>
        <v>#REF!</v>
      </c>
      <c r="H734" t="e">
        <f>電力量!#REF!-電力量!#REF!</f>
        <v>#REF!</v>
      </c>
      <c r="I734" t="e">
        <f>電力量!#REF!-電力量!#REF!</f>
        <v>#REF!</v>
      </c>
      <c r="J734" t="e">
        <f>電力量!#REF!-電力量!#REF!</f>
        <v>#REF!</v>
      </c>
      <c r="K734" t="e">
        <f>電力量!#REF!-電力量!#REF!</f>
        <v>#REF!</v>
      </c>
      <c r="L734" t="e">
        <f>電力量!#REF!-電力量!#REF!</f>
        <v>#REF!</v>
      </c>
      <c r="M734" t="e">
        <f>電力量!#REF!-電力量!#REF!</f>
        <v>#REF!</v>
      </c>
      <c r="N734" t="e">
        <f>電力量!#REF!-電力量!#REF!</f>
        <v>#REF!</v>
      </c>
      <c r="O734" t="e">
        <f>電力量!#REF!-電力量!#REF!</f>
        <v>#REF!</v>
      </c>
      <c r="P734" t="e">
        <f>電力量!#REF!-電力量!#REF!</f>
        <v>#REF!</v>
      </c>
      <c r="Q734" t="e">
        <f>電力量!#REF!-電力量!#REF!</f>
        <v>#REF!</v>
      </c>
      <c r="R734" t="e">
        <f>電力量!#REF!-電力量!#REF!</f>
        <v>#REF!</v>
      </c>
    </row>
    <row r="735" spans="1:18">
      <c r="A735" s="4">
        <f t="shared" si="242"/>
        <v>45930.541666666664</v>
      </c>
      <c r="B735" t="e">
        <f>電力量!#REF!-電力量!#REF!</f>
        <v>#REF!</v>
      </c>
      <c r="C735" t="e">
        <f>電力量!#REF!-電力量!#REF!</f>
        <v>#REF!</v>
      </c>
      <c r="D735" t="e">
        <f>電力量!#REF!-電力量!#REF!</f>
        <v>#REF!</v>
      </c>
      <c r="E735" t="e">
        <f>電力量!#REF!-電力量!#REF!</f>
        <v>#REF!</v>
      </c>
      <c r="F735" t="e">
        <f>電力量!#REF!-電力量!#REF!</f>
        <v>#REF!</v>
      </c>
      <c r="G735" t="e">
        <f>電力量!#REF!-電力量!#REF!</f>
        <v>#REF!</v>
      </c>
      <c r="H735" t="e">
        <f>電力量!#REF!-電力量!#REF!</f>
        <v>#REF!</v>
      </c>
      <c r="I735" t="e">
        <f>電力量!#REF!-電力量!#REF!</f>
        <v>#REF!</v>
      </c>
      <c r="J735" t="e">
        <f>電力量!#REF!-電力量!#REF!</f>
        <v>#REF!</v>
      </c>
      <c r="K735" t="e">
        <f>電力量!#REF!-電力量!#REF!</f>
        <v>#REF!</v>
      </c>
      <c r="L735" t="e">
        <f>電力量!#REF!-電力量!#REF!</f>
        <v>#REF!</v>
      </c>
      <c r="M735" t="e">
        <f>電力量!#REF!-電力量!#REF!</f>
        <v>#REF!</v>
      </c>
      <c r="N735" t="e">
        <f>電力量!#REF!-電力量!#REF!</f>
        <v>#REF!</v>
      </c>
      <c r="O735" t="e">
        <f>電力量!#REF!-電力量!#REF!</f>
        <v>#REF!</v>
      </c>
      <c r="P735" t="e">
        <f>電力量!#REF!-電力量!#REF!</f>
        <v>#REF!</v>
      </c>
      <c r="Q735" t="e">
        <f>電力量!#REF!-電力量!#REF!</f>
        <v>#REF!</v>
      </c>
      <c r="R735" t="e">
        <f>電力量!#REF!-電力量!#REF!</f>
        <v>#REF!</v>
      </c>
    </row>
    <row r="736" spans="1:18">
      <c r="A736" s="4">
        <f t="shared" si="243"/>
        <v>45930.583333333336</v>
      </c>
      <c r="B736" t="e">
        <f>電力量!#REF!-電力量!#REF!</f>
        <v>#REF!</v>
      </c>
      <c r="C736" t="e">
        <f>電力量!#REF!-電力量!#REF!</f>
        <v>#REF!</v>
      </c>
      <c r="D736" t="e">
        <f>電力量!#REF!-電力量!#REF!</f>
        <v>#REF!</v>
      </c>
      <c r="E736" t="e">
        <f>電力量!#REF!-電力量!#REF!</f>
        <v>#REF!</v>
      </c>
      <c r="F736" t="e">
        <f>電力量!#REF!-電力量!#REF!</f>
        <v>#REF!</v>
      </c>
      <c r="G736" t="e">
        <f>電力量!#REF!-電力量!#REF!</f>
        <v>#REF!</v>
      </c>
      <c r="H736" t="e">
        <f>電力量!#REF!-電力量!#REF!</f>
        <v>#REF!</v>
      </c>
      <c r="I736" t="e">
        <f>電力量!#REF!-電力量!#REF!</f>
        <v>#REF!</v>
      </c>
      <c r="J736" t="e">
        <f>電力量!#REF!-電力量!#REF!</f>
        <v>#REF!</v>
      </c>
      <c r="K736" t="e">
        <f>電力量!#REF!-電力量!#REF!</f>
        <v>#REF!</v>
      </c>
      <c r="L736" t="e">
        <f>電力量!#REF!-電力量!#REF!</f>
        <v>#REF!</v>
      </c>
      <c r="M736" t="e">
        <f>電力量!#REF!-電力量!#REF!</f>
        <v>#REF!</v>
      </c>
      <c r="N736" t="e">
        <f>電力量!#REF!-電力量!#REF!</f>
        <v>#REF!</v>
      </c>
      <c r="O736" t="e">
        <f>電力量!#REF!-電力量!#REF!</f>
        <v>#REF!</v>
      </c>
      <c r="P736" t="e">
        <f>電力量!#REF!-電力量!#REF!</f>
        <v>#REF!</v>
      </c>
      <c r="Q736" t="e">
        <f>電力量!#REF!-電力量!#REF!</f>
        <v>#REF!</v>
      </c>
      <c r="R736" t="e">
        <f>電力量!#REF!-電力量!#REF!</f>
        <v>#REF!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元データ</vt:lpstr>
      <vt:lpstr>反転</vt:lpstr>
      <vt:lpstr>電力量</vt:lpstr>
      <vt:lpstr>電力使用量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ETO KIYOKA</dc:creator>
  <cp:lastModifiedBy>ETO KIYOKA</cp:lastModifiedBy>
  <dcterms:created xsi:type="dcterms:W3CDTF">2015-06-05T18:19:34Z</dcterms:created>
  <dcterms:modified xsi:type="dcterms:W3CDTF">2025-09-24T12:03:01Z</dcterms:modified>
</cp:coreProperties>
</file>